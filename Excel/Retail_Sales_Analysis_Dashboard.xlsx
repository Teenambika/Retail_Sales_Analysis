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Teena\Documents\Project_1\"/>
    </mc:Choice>
  </mc:AlternateContent>
  <xr:revisionPtr revIDLastSave="0" documentId="8_{EA0B8FDE-CD30-40FC-81A9-D86EAAD39434}" xr6:coauthVersionLast="47" xr6:coauthVersionMax="47" xr10:uidLastSave="{00000000-0000-0000-0000-000000000000}"/>
  <bookViews>
    <workbookView xWindow="-120" yWindow="-120" windowWidth="20730" windowHeight="11160" xr2:uid="{00000000-000D-0000-FFFF-FFFF00000000}"/>
  </bookViews>
  <sheets>
    <sheet name="Dashboard" sheetId="3" r:id="rId1"/>
    <sheet name="Pivot Tables" sheetId="2" r:id="rId2"/>
    <sheet name="Sales_data" sheetId="1" r:id="rId3"/>
  </sheets>
  <definedNames>
    <definedName name="Slicer_city">#N/A</definedName>
    <definedName name="Slicer_customer_name">#N/A</definedName>
    <definedName name="Slicer_product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15" i="1" l="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Y12" i="1"/>
  <c r="Y9" i="1"/>
  <c r="Y6" i="1"/>
  <c r="Y2" i="1"/>
</calcChain>
</file>

<file path=xl/sharedStrings.xml><?xml version="1.0" encoding="utf-8"?>
<sst xmlns="http://schemas.openxmlformats.org/spreadsheetml/2006/main" count="31546" uniqueCount="6775">
  <si>
    <t>order_id</t>
  </si>
  <si>
    <t>order_date</t>
  </si>
  <si>
    <t>customer_id</t>
  </si>
  <si>
    <t>customer_name</t>
  </si>
  <si>
    <t>age</t>
  </si>
  <si>
    <t>gender</t>
  </si>
  <si>
    <t>region</t>
  </si>
  <si>
    <t>city</t>
  </si>
  <si>
    <t>product_category</t>
  </si>
  <si>
    <t>product_name</t>
  </si>
  <si>
    <t>quantity</t>
  </si>
  <si>
    <t>unit_price</t>
  </si>
  <si>
    <t>discount_pct</t>
  </si>
  <si>
    <t>sales_amount</t>
  </si>
  <si>
    <t>profit</t>
  </si>
  <si>
    <t>shipping_cost</t>
  </si>
  <si>
    <t>payment_method</t>
  </si>
  <si>
    <t>customer_satisfaction</t>
  </si>
  <si>
    <t>return_flag</t>
  </si>
  <si>
    <t>order_status</t>
  </si>
  <si>
    <t>days_to_ship</t>
  </si>
  <si>
    <t>ORD-02198</t>
  </si>
  <si>
    <t>CUST07881</t>
  </si>
  <si>
    <t>Sanjay Verma</t>
  </si>
  <si>
    <t>Male</t>
  </si>
  <si>
    <t>West</t>
  </si>
  <si>
    <t>Mumbai</t>
  </si>
  <si>
    <t>Beauty</t>
  </si>
  <si>
    <t>Sunscreen</t>
  </si>
  <si>
    <t>Debit Card</t>
  </si>
  <si>
    <t>Delivered</t>
  </si>
  <si>
    <t>ORD-01348</t>
  </si>
  <si>
    <t>CUST49296</t>
  </si>
  <si>
    <t>Pooja Sharma</t>
  </si>
  <si>
    <t>Other</t>
  </si>
  <si>
    <t>Surat</t>
  </si>
  <si>
    <t>Furniture</t>
  </si>
  <si>
    <t>Sofa</t>
  </si>
  <si>
    <t>ORD-02076</t>
  </si>
  <si>
    <t>CUST05587</t>
  </si>
  <si>
    <t>Priya Reddy</t>
  </si>
  <si>
    <t>Ahmedabad</t>
  </si>
  <si>
    <t>Bed Frame</t>
  </si>
  <si>
    <t>EMI</t>
  </si>
  <si>
    <t>ORD-03954</t>
  </si>
  <si>
    <t>CUST17187</t>
  </si>
  <si>
    <t>Vikram Iyer</t>
  </si>
  <si>
    <t>Books</t>
  </si>
  <si>
    <t>Self-Help Book</t>
  </si>
  <si>
    <t>Cash on Delivery</t>
  </si>
  <si>
    <t>Returned</t>
  </si>
  <si>
    <t>ORD-01412</t>
  </si>
  <si>
    <t>CUST02453</t>
  </si>
  <si>
    <t>Arjun Shah</t>
  </si>
  <si>
    <t>Female</t>
  </si>
  <si>
    <t>Central</t>
  </si>
  <si>
    <t>Bhopal</t>
  </si>
  <si>
    <t>Credit Card</t>
  </si>
  <si>
    <t>ORD-02911</t>
  </si>
  <si>
    <t>CUST23285</t>
  </si>
  <si>
    <t>Aditya Sharma</t>
  </si>
  <si>
    <t>North</t>
  </si>
  <si>
    <t>Amritsar</t>
  </si>
  <si>
    <t>Clothing</t>
  </si>
  <si>
    <t>Saree</t>
  </si>
  <si>
    <t>UPI</t>
  </si>
  <si>
    <t>ORD-00465</t>
  </si>
  <si>
    <t>CUST23609</t>
  </si>
  <si>
    <t>Aditya Patel</t>
  </si>
  <si>
    <t>East</t>
  </si>
  <si>
    <t>Patna</t>
  </si>
  <si>
    <t>Cancelled</t>
  </si>
  <si>
    <t>ORD-00362</t>
  </si>
  <si>
    <t>CUST80340</t>
  </si>
  <si>
    <t>Meera Mishra</t>
  </si>
  <si>
    <t>Raipur</t>
  </si>
  <si>
    <t>Wardrobe</t>
  </si>
  <si>
    <t>ORD-01814</t>
  </si>
  <si>
    <t>CUST08792</t>
  </si>
  <si>
    <t>Rahul Gupta</t>
  </si>
  <si>
    <t>South</t>
  </si>
  <si>
    <t>Bangalore</t>
  </si>
  <si>
    <t>Dress</t>
  </si>
  <si>
    <t>ORD-04171</t>
  </si>
  <si>
    <t>CUST15084</t>
  </si>
  <si>
    <t>Nikhil Mishra</t>
  </si>
  <si>
    <t>Kochi</t>
  </si>
  <si>
    <t>Jacket</t>
  </si>
  <si>
    <t>ORD-00049</t>
  </si>
  <si>
    <t>CUST43401</t>
  </si>
  <si>
    <t>Sanjay Bose</t>
  </si>
  <si>
    <t>Delhi</t>
  </si>
  <si>
    <t>Net Banking</t>
  </si>
  <si>
    <t>Shipped</t>
  </si>
  <si>
    <t>ORD-04158</t>
  </si>
  <si>
    <t>CUST75042</t>
  </si>
  <si>
    <t>Pooja Verma</t>
  </si>
  <si>
    <t>Nagpur</t>
  </si>
  <si>
    <t>ORD-03913</t>
  </si>
  <si>
    <t>CUST83779</t>
  </si>
  <si>
    <t>Nikhil Bhat</t>
  </si>
  <si>
    <t>Sports</t>
  </si>
  <si>
    <t>Football</t>
  </si>
  <si>
    <t>ORD-01473</t>
  </si>
  <si>
    <t>CUST33809</t>
  </si>
  <si>
    <t>Sanjay Reddy</t>
  </si>
  <si>
    <t>Groceries</t>
  </si>
  <si>
    <t>Cooking Oil</t>
  </si>
  <si>
    <t>ORD-03795</t>
  </si>
  <si>
    <t>CUST28954</t>
  </si>
  <si>
    <t>Nikhil Bose</t>
  </si>
  <si>
    <t>T-Shirt</t>
  </si>
  <si>
    <t>ORD-01275</t>
  </si>
  <si>
    <t>CUST94413</t>
  </si>
  <si>
    <t>Indore</t>
  </si>
  <si>
    <t>Electronics</t>
  </si>
  <si>
    <t>Laptop</t>
  </si>
  <si>
    <t>ORD-00412</t>
  </si>
  <si>
    <t>CUST88814</t>
  </si>
  <si>
    <t>Rahul Kapoor</t>
  </si>
  <si>
    <t>Comic Book</t>
  </si>
  <si>
    <t>ORD-01848</t>
  </si>
  <si>
    <t>CUST43339</t>
  </si>
  <si>
    <t>Arjun Pillai</t>
  </si>
  <si>
    <t>Cricket Bat</t>
  </si>
  <si>
    <t>ORD-02684</t>
  </si>
  <si>
    <t>CUST32875</t>
  </si>
  <si>
    <t>Kavya Patel</t>
  </si>
  <si>
    <t>Hair Oil</t>
  </si>
  <si>
    <t>ORD-00936</t>
  </si>
  <si>
    <t>CUST82575</t>
  </si>
  <si>
    <t>Kavya Pillai</t>
  </si>
  <si>
    <t>Bookshelf</t>
  </si>
  <si>
    <t>ORD-03422</t>
  </si>
  <si>
    <t>CUST58923</t>
  </si>
  <si>
    <t>Deepa Pillai</t>
  </si>
  <si>
    <t>Guwahati</t>
  </si>
  <si>
    <t>Headphones</t>
  </si>
  <si>
    <t>ORD-01505</t>
  </si>
  <si>
    <t>CUST41623</t>
  </si>
  <si>
    <t>Vikram Pillai</t>
  </si>
  <si>
    <t>Chandigarh</t>
  </si>
  <si>
    <t>ORD-04045</t>
  </si>
  <si>
    <t>CUST10094</t>
  </si>
  <si>
    <t>Rahul Sharma</t>
  </si>
  <si>
    <t>Camera</t>
  </si>
  <si>
    <t>ORD-02565</t>
  </si>
  <si>
    <t>CUST71120</t>
  </si>
  <si>
    <t>Ritu Nair</t>
  </si>
  <si>
    <t>ORD-03773</t>
  </si>
  <si>
    <t>CUST34644</t>
  </si>
  <si>
    <t>Ananya Patel</t>
  </si>
  <si>
    <t>Jeans</t>
  </si>
  <si>
    <t>ORD-00025</t>
  </si>
  <si>
    <t>CUST91373</t>
  </si>
  <si>
    <t>Karan Iyer</t>
  </si>
  <si>
    <t>Cook Book</t>
  </si>
  <si>
    <t>ORD-02868</t>
  </si>
  <si>
    <t>CUST17518</t>
  </si>
  <si>
    <t>Sanjay Shah</t>
  </si>
  <si>
    <t>ORD-01993</t>
  </si>
  <si>
    <t>CUST20457</t>
  </si>
  <si>
    <t>Vikram Kumar</t>
  </si>
  <si>
    <t>Ludhiana</t>
  </si>
  <si>
    <t>Tennis Racket</t>
  </si>
  <si>
    <t>ORD-03357</t>
  </si>
  <si>
    <t>CUST53286</t>
  </si>
  <si>
    <t>Kavya Verma</t>
  </si>
  <si>
    <t>Face Cream</t>
  </si>
  <si>
    <t>ORD-02282</t>
  </si>
  <si>
    <t>CUST94046</t>
  </si>
  <si>
    <t>Ananya Nair</t>
  </si>
  <si>
    <t>ORD-04111</t>
  </si>
  <si>
    <t>CUST99588</t>
  </si>
  <si>
    <t>Meera Kumar</t>
  </si>
  <si>
    <t>ORD-00707</t>
  </si>
  <si>
    <t>CUST43806</t>
  </si>
  <si>
    <t>Nikhil Reddy</t>
  </si>
  <si>
    <t>ORD-01870</t>
  </si>
  <si>
    <t>CUST73941</t>
  </si>
  <si>
    <t>Aditya Mehta</t>
  </si>
  <si>
    <t>Bhubaneswar</t>
  </si>
  <si>
    <t>ORD-01047</t>
  </si>
  <si>
    <t>CUST61067</t>
  </si>
  <si>
    <t>Meera Chatterjee</t>
  </si>
  <si>
    <t>ORD-03033</t>
  </si>
  <si>
    <t>CUST52453</t>
  </si>
  <si>
    <t>Vikram Shah</t>
  </si>
  <si>
    <t>Sugar</t>
  </si>
  <si>
    <t>ORD-02831</t>
  </si>
  <si>
    <t>CUST55922</t>
  </si>
  <si>
    <t>Aditya Pillai</t>
  </si>
  <si>
    <t>Lipstick</t>
  </si>
  <si>
    <t>Pending</t>
  </si>
  <si>
    <t>ORD-00489</t>
  </si>
  <si>
    <t>CUST85726</t>
  </si>
  <si>
    <t>Ritu Verma</t>
  </si>
  <si>
    <t>Tablet</t>
  </si>
  <si>
    <t>ORD-00364</t>
  </si>
  <si>
    <t>CUST12024</t>
  </si>
  <si>
    <t>Shreya Kumar</t>
  </si>
  <si>
    <t>ORD-03081</t>
  </si>
  <si>
    <t>CUST01739</t>
  </si>
  <si>
    <t>Rohan Nair</t>
  </si>
  <si>
    <t>Fiction Novel</t>
  </si>
  <si>
    <t>ORD-00357</t>
  </si>
  <si>
    <t>CUST75375</t>
  </si>
  <si>
    <t>Priya Joshi</t>
  </si>
  <si>
    <t>ORD-03752</t>
  </si>
  <si>
    <t>CUST35687</t>
  </si>
  <si>
    <t>Deepa Nair</t>
  </si>
  <si>
    <t>ORD-00117</t>
  </si>
  <si>
    <t>CUST33188</t>
  </si>
  <si>
    <t>Sanjay Joshi</t>
  </si>
  <si>
    <t>Cycle</t>
  </si>
  <si>
    <t>ORD-00225</t>
  </si>
  <si>
    <t>CUST97307</t>
  </si>
  <si>
    <t>Ritu Gupta</t>
  </si>
  <si>
    <t>ORD-00966</t>
  </si>
  <si>
    <t>CUST15832</t>
  </si>
  <si>
    <t>Aarav Pillai</t>
  </si>
  <si>
    <t>Kolkata</t>
  </si>
  <si>
    <t>ORD-01339</t>
  </si>
  <si>
    <t>CUST94587</t>
  </si>
  <si>
    <t>Aditya Gupta</t>
  </si>
  <si>
    <t>ORD-03177</t>
  </si>
  <si>
    <t>CUST99258</t>
  </si>
  <si>
    <t>Ananya Joshi</t>
  </si>
  <si>
    <t>ORD-02058</t>
  </si>
  <si>
    <t>CUST44617</t>
  </si>
  <si>
    <t>Desk</t>
  </si>
  <si>
    <t>ORD-02241</t>
  </si>
  <si>
    <t>CUST64655</t>
  </si>
  <si>
    <t>ORD-00011</t>
  </si>
  <si>
    <t>CUST64950</t>
  </si>
  <si>
    <t>Nisha Mehta</t>
  </si>
  <si>
    <t>Hyderabad</t>
  </si>
  <si>
    <t>ORD-02876</t>
  </si>
  <si>
    <t>CUST23195</t>
  </si>
  <si>
    <t>ORD-02210</t>
  </si>
  <si>
    <t>CUST53700</t>
  </si>
  <si>
    <t>Ananya Shah</t>
  </si>
  <si>
    <t>Chennai</t>
  </si>
  <si>
    <t>Chair</t>
  </si>
  <si>
    <t>ORD-01057</t>
  </si>
  <si>
    <t>CUST83911</t>
  </si>
  <si>
    <t>Aditya Das</t>
  </si>
  <si>
    <t>Dal (1kg)</t>
  </si>
  <si>
    <t>ORD-02900</t>
  </si>
  <si>
    <t>CUST23268</t>
  </si>
  <si>
    <t>Deepa Das</t>
  </si>
  <si>
    <t>ORD-00402</t>
  </si>
  <si>
    <t>CUST55018</t>
  </si>
  <si>
    <t>Vikram Nair</t>
  </si>
  <si>
    <t>ORD-01747</t>
  </si>
  <si>
    <t>CUST14531</t>
  </si>
  <si>
    <t>Meera Gupta</t>
  </si>
  <si>
    <t>ORD-04017</t>
  </si>
  <si>
    <t>CUST02198</t>
  </si>
  <si>
    <t>Meera Singh</t>
  </si>
  <si>
    <t>ORD-00634</t>
  </si>
  <si>
    <t>CUST01277</t>
  </si>
  <si>
    <t>Sanjay Iyer</t>
  </si>
  <si>
    <t>ORD-01699</t>
  </si>
  <si>
    <t>CUST22943</t>
  </si>
  <si>
    <t>Nisha Shah</t>
  </si>
  <si>
    <t>ORD-01353</t>
  </si>
  <si>
    <t>CUST45393</t>
  </si>
  <si>
    <t>Shreya Reddy</t>
  </si>
  <si>
    <t>ORD-02391</t>
  </si>
  <si>
    <t>CUST63245</t>
  </si>
  <si>
    <t>Ananya Verma</t>
  </si>
  <si>
    <t>Textbook</t>
  </si>
  <si>
    <t>ORD-00729</t>
  </si>
  <si>
    <t>CUST88249</t>
  </si>
  <si>
    <t>Karan Das</t>
  </si>
  <si>
    <t>ORD-01385</t>
  </si>
  <si>
    <t>CUST85642</t>
  </si>
  <si>
    <t>Priya Singh</t>
  </si>
  <si>
    <t>ORD-02434</t>
  </si>
  <si>
    <t>CUST85190</t>
  </si>
  <si>
    <t>Nikhil Patel</t>
  </si>
  <si>
    <t>ORD-00158</t>
  </si>
  <si>
    <t>CUST56042</t>
  </si>
  <si>
    <t>Deepa Rao</t>
  </si>
  <si>
    <t>ORD-00857</t>
  </si>
  <si>
    <t>CUST59535</t>
  </si>
  <si>
    <t>Vikram Gupta</t>
  </si>
  <si>
    <t>ORD-03406</t>
  </si>
  <si>
    <t>CUST62905</t>
  </si>
  <si>
    <t>ORD-02843</t>
  </si>
  <si>
    <t>CUST04791</t>
  </si>
  <si>
    <t>Rahul Verma</t>
  </si>
  <si>
    <t>ORD-01014</t>
  </si>
  <si>
    <t>CUST62653</t>
  </si>
  <si>
    <t>ORD-01087</t>
  </si>
  <si>
    <t>CUST29357</t>
  </si>
  <si>
    <t>Meera Nair</t>
  </si>
  <si>
    <t>Pune</t>
  </si>
  <si>
    <t>ORD-02773</t>
  </si>
  <si>
    <t>CUST69945</t>
  </si>
  <si>
    <t>Rahul Das</t>
  </si>
  <si>
    <t>ORD-01093</t>
  </si>
  <si>
    <t>CUST80149</t>
  </si>
  <si>
    <t>Pooja Mishra</t>
  </si>
  <si>
    <t>ORD-00101</t>
  </si>
  <si>
    <t>CUST45487</t>
  </si>
  <si>
    <t>Sunita Joshi</t>
  </si>
  <si>
    <t>ORD-02873</t>
  </si>
  <si>
    <t>CUST07917</t>
  </si>
  <si>
    <t>Nikhil Nair</t>
  </si>
  <si>
    <t>ORD-03342</t>
  </si>
  <si>
    <t>CUST26677</t>
  </si>
  <si>
    <t>Rahul Chatterjee</t>
  </si>
  <si>
    <t>Tea</t>
  </si>
  <si>
    <t>ORD-04177</t>
  </si>
  <si>
    <t>CUST44560</t>
  </si>
  <si>
    <t>Amit Verma</t>
  </si>
  <si>
    <t>Dumbbells</t>
  </si>
  <si>
    <t>ORD-02805</t>
  </si>
  <si>
    <t>CUST85937</t>
  </si>
  <si>
    <t>Deepa Verma</t>
  </si>
  <si>
    <t>ORD-00918</t>
  </si>
  <si>
    <t>CUST67405</t>
  </si>
  <si>
    <t>Meera Pillai</t>
  </si>
  <si>
    <t>ORD-00759</t>
  </si>
  <si>
    <t>CUST23197</t>
  </si>
  <si>
    <t>Amit Patel</t>
  </si>
  <si>
    <t>ORD-00793</t>
  </si>
  <si>
    <t>CUST49838</t>
  </si>
  <si>
    <t>Sunita Gupta</t>
  </si>
  <si>
    <t>Flour</t>
  </si>
  <si>
    <t>ORD-01894</t>
  </si>
  <si>
    <t>CUST28783</t>
  </si>
  <si>
    <t>Rohan Shah</t>
  </si>
  <si>
    <t>Perfume</t>
  </si>
  <si>
    <t>ORD-04109</t>
  </si>
  <si>
    <t>CUST36614</t>
  </si>
  <si>
    <t>Shreya Pillai</t>
  </si>
  <si>
    <t>ORD-02212</t>
  </si>
  <si>
    <t>CUST44717</t>
  </si>
  <si>
    <t>ORD-02836</t>
  </si>
  <si>
    <t>CUST76017</t>
  </si>
  <si>
    <t>Arjun Chatterjee</t>
  </si>
  <si>
    <t>ORD-00409</t>
  </si>
  <si>
    <t>CUST97162</t>
  </si>
  <si>
    <t>Sanjay Mehta</t>
  </si>
  <si>
    <t>ORD-00528</t>
  </si>
  <si>
    <t>CUST94563</t>
  </si>
  <si>
    <t>Amit Das</t>
  </si>
  <si>
    <t>ORD-00268</t>
  </si>
  <si>
    <t>CUST64785</t>
  </si>
  <si>
    <t>Sunita Reddy</t>
  </si>
  <si>
    <t>ORD-00948</t>
  </si>
  <si>
    <t>CUST85939</t>
  </si>
  <si>
    <t>ORD-04060</t>
  </si>
  <si>
    <t>CUST99521</t>
  </si>
  <si>
    <t>ORD-01996</t>
  </si>
  <si>
    <t>CUST48253</t>
  </si>
  <si>
    <t>ORD-01584</t>
  </si>
  <si>
    <t>CUST51398</t>
  </si>
  <si>
    <t>Karan Bose</t>
  </si>
  <si>
    <t>ORD-01026</t>
  </si>
  <si>
    <t>CUST78889</t>
  </si>
  <si>
    <t>Nikhil Joshi</t>
  </si>
  <si>
    <t>ORD-01973</t>
  </si>
  <si>
    <t>CUST45923</t>
  </si>
  <si>
    <t>Ananya Rao</t>
  </si>
  <si>
    <t>ORD-03390</t>
  </si>
  <si>
    <t>CUST51656</t>
  </si>
  <si>
    <t>Kavya Singh</t>
  </si>
  <si>
    <t>ORD-01905</t>
  </si>
  <si>
    <t>CUST28422</t>
  </si>
  <si>
    <t>ORD-00422</t>
  </si>
  <si>
    <t>CUST44523</t>
  </si>
  <si>
    <t>Priya Sharma</t>
  </si>
  <si>
    <t>ORD-02497</t>
  </si>
  <si>
    <t>CUST57740</t>
  </si>
  <si>
    <t>Sunita Verma</t>
  </si>
  <si>
    <t>ORD-03163</t>
  </si>
  <si>
    <t>CUST87976</t>
  </si>
  <si>
    <t>Amit Singh</t>
  </si>
  <si>
    <t>ORD-03997</t>
  </si>
  <si>
    <t>CUST57164</t>
  </si>
  <si>
    <t>Karan Reddy</t>
  </si>
  <si>
    <t>ORD-02522</t>
  </si>
  <si>
    <t>CUST79852</t>
  </si>
  <si>
    <t>Nisha Kapoor</t>
  </si>
  <si>
    <t>ORD-02356</t>
  </si>
  <si>
    <t>CUST40158</t>
  </si>
  <si>
    <t>ORD-03607</t>
  </si>
  <si>
    <t>CUST69333</t>
  </si>
  <si>
    <t>Pooja Iyer</t>
  </si>
  <si>
    <t>ORD-01868</t>
  </si>
  <si>
    <t>CUST05359</t>
  </si>
  <si>
    <t>ORD-00888</t>
  </si>
  <si>
    <t>CUST27547</t>
  </si>
  <si>
    <t>Shreya Gupta</t>
  </si>
  <si>
    <t>Smartwatch</t>
  </si>
  <si>
    <t>ORD-02771</t>
  </si>
  <si>
    <t>CUST00213</t>
  </si>
  <si>
    <t>Ritu Reddy</t>
  </si>
  <si>
    <t>ORD-00591</t>
  </si>
  <si>
    <t>CUST49777</t>
  </si>
  <si>
    <t>Pooja Shah</t>
  </si>
  <si>
    <t>ORD-03456</t>
  </si>
  <si>
    <t>CUST58295</t>
  </si>
  <si>
    <t>Sunita Iyer</t>
  </si>
  <si>
    <t>ORD-01031</t>
  </si>
  <si>
    <t>CUST25835</t>
  </si>
  <si>
    <t>ORD-03205</t>
  </si>
  <si>
    <t>CUST12676</t>
  </si>
  <si>
    <t>Meera Iyer</t>
  </si>
  <si>
    <t>ORD-00490</t>
  </si>
  <si>
    <t>CUST00642</t>
  </si>
  <si>
    <t>Kavya Das</t>
  </si>
  <si>
    <t>ORD-00653</t>
  </si>
  <si>
    <t>CUST35559</t>
  </si>
  <si>
    <t>ORD-01457</t>
  </si>
  <si>
    <t>CUST96946</t>
  </si>
  <si>
    <t>Sunita Sharma</t>
  </si>
  <si>
    <t>ORD-03779</t>
  </si>
  <si>
    <t>CUST68889</t>
  </si>
  <si>
    <t>Vikram Chatterjee</t>
  </si>
  <si>
    <t>ORD-00928</t>
  </si>
  <si>
    <t>CUST88225</t>
  </si>
  <si>
    <t>ORD-00710</t>
  </si>
  <si>
    <t>CUST57843</t>
  </si>
  <si>
    <t>ORD-03999</t>
  </si>
  <si>
    <t>CUST81465</t>
  </si>
  <si>
    <t>Rohan Pillai</t>
  </si>
  <si>
    <t>ORD-01536</t>
  </si>
  <si>
    <t>CUST55972</t>
  </si>
  <si>
    <t>Rohan Kumar</t>
  </si>
  <si>
    <t>Kurta</t>
  </si>
  <si>
    <t>ORD-03376</t>
  </si>
  <si>
    <t>CUST86469</t>
  </si>
  <si>
    <t>Aarav Mehta</t>
  </si>
  <si>
    <t>ORD-00273</t>
  </si>
  <si>
    <t>CUST92554</t>
  </si>
  <si>
    <t>Nisha Joshi</t>
  </si>
  <si>
    <t>ORD-03823</t>
  </si>
  <si>
    <t>CUST65889</t>
  </si>
  <si>
    <t>Priya Verma</t>
  </si>
  <si>
    <t>ORD-01540</t>
  </si>
  <si>
    <t>CUST28110</t>
  </si>
  <si>
    <t>Kavya Rao</t>
  </si>
  <si>
    <t>ORD-03094</t>
  </si>
  <si>
    <t>CUST98803</t>
  </si>
  <si>
    <t>Vikram Joshi</t>
  </si>
  <si>
    <t>ORD-02147</t>
  </si>
  <si>
    <t>CUST10089</t>
  </si>
  <si>
    <t>Vikram Bhat</t>
  </si>
  <si>
    <t>ORD-01640</t>
  </si>
  <si>
    <t>CUST78194</t>
  </si>
  <si>
    <t>Shreya Mishra</t>
  </si>
  <si>
    <t>Yoga Mat</t>
  </si>
  <si>
    <t>ORD-03902</t>
  </si>
  <si>
    <t>CUST28307</t>
  </si>
  <si>
    <t>Nisha Bhat</t>
  </si>
  <si>
    <t>ORD-00280</t>
  </si>
  <si>
    <t>CUST00544</t>
  </si>
  <si>
    <t>ORD-03732</t>
  </si>
  <si>
    <t>CUST93241</t>
  </si>
  <si>
    <t>ORD-02746</t>
  </si>
  <si>
    <t>CUST71887</t>
  </si>
  <si>
    <t>ORD-02871</t>
  </si>
  <si>
    <t>CUST88518</t>
  </si>
  <si>
    <t>Aditya Bose</t>
  </si>
  <si>
    <t>ORD-00693</t>
  </si>
  <si>
    <t>CUST90563</t>
  </si>
  <si>
    <t>Rahul Kumar</t>
  </si>
  <si>
    <t>ORD-02945</t>
  </si>
  <si>
    <t>CUST19434</t>
  </si>
  <si>
    <t>Aarav Das</t>
  </si>
  <si>
    <t>ORD-00291</t>
  </si>
  <si>
    <t>CUST36091</t>
  </si>
  <si>
    <t>Meera Mehta</t>
  </si>
  <si>
    <t>ORD-02931</t>
  </si>
  <si>
    <t>CUST81737</t>
  </si>
  <si>
    <t>Shampoo</t>
  </si>
  <si>
    <t>ORD-00530</t>
  </si>
  <si>
    <t>CUST91144</t>
  </si>
  <si>
    <t>ORD-01920</t>
  </si>
  <si>
    <t>CUST28329</t>
  </si>
  <si>
    <t>Vikram Sharma</t>
  </si>
  <si>
    <t>ORD-04004</t>
  </si>
  <si>
    <t>CUST45019</t>
  </si>
  <si>
    <t>ORD-02861</t>
  </si>
  <si>
    <t>CUST53780</t>
  </si>
  <si>
    <t>Meera Joshi</t>
  </si>
  <si>
    <t>ORD-00403</t>
  </si>
  <si>
    <t>CUST52549</t>
  </si>
  <si>
    <t>Pooja Rao</t>
  </si>
  <si>
    <t>ORD-03741</t>
  </si>
  <si>
    <t>CUST11870</t>
  </si>
  <si>
    <t>Arjun Iyer</t>
  </si>
  <si>
    <t>ORD-03172</t>
  </si>
  <si>
    <t>CUST73615</t>
  </si>
  <si>
    <t>Sanjay Gupta</t>
  </si>
  <si>
    <t>ORD-00749</t>
  </si>
  <si>
    <t>CUST43010</t>
  </si>
  <si>
    <t>Priya Gupta</t>
  </si>
  <si>
    <t>ORD-00053</t>
  </si>
  <si>
    <t>CUST07190</t>
  </si>
  <si>
    <t>Deepa Kapoor</t>
  </si>
  <si>
    <t>ORD-01418</t>
  </si>
  <si>
    <t>CUST26109</t>
  </si>
  <si>
    <t>ORD-02382</t>
  </si>
  <si>
    <t>CUST54015</t>
  </si>
  <si>
    <t>Shreya Rao</t>
  </si>
  <si>
    <t>ORD-00601</t>
  </si>
  <si>
    <t>CUST39660</t>
  </si>
  <si>
    <t>Priya Pillai</t>
  </si>
  <si>
    <t>ORD-00339</t>
  </si>
  <si>
    <t>CUST65020</t>
  </si>
  <si>
    <t>Pooja Bhat</t>
  </si>
  <si>
    <t>ORD-01292</t>
  </si>
  <si>
    <t>CUST14859</t>
  </si>
  <si>
    <t>Vikram Mehta</t>
  </si>
  <si>
    <t>ORD-03394</t>
  </si>
  <si>
    <t>CUST94721</t>
  </si>
  <si>
    <t>Nisha Reddy</t>
  </si>
  <si>
    <t>ORD-03486</t>
  </si>
  <si>
    <t>CUST56798</t>
  </si>
  <si>
    <t>ORD-03191</t>
  </si>
  <si>
    <t>CUST15190</t>
  </si>
  <si>
    <t>Aditya Shah</t>
  </si>
  <si>
    <t>ORD-00183</t>
  </si>
  <si>
    <t>CUST16395</t>
  </si>
  <si>
    <t>Sunita Pillai</t>
  </si>
  <si>
    <t>ORD-02779</t>
  </si>
  <si>
    <t>CUST66673</t>
  </si>
  <si>
    <t>Pooja Mehta</t>
  </si>
  <si>
    <t>ORD-01224</t>
  </si>
  <si>
    <t>CUST34079</t>
  </si>
  <si>
    <t>Nisha Das</t>
  </si>
  <si>
    <t>ORD-03282</t>
  </si>
  <si>
    <t>CUST30266</t>
  </si>
  <si>
    <t>Deepa Bose</t>
  </si>
  <si>
    <t>ORD-03259</t>
  </si>
  <si>
    <t>CUST28855</t>
  </si>
  <si>
    <t>Kavya Kumar</t>
  </si>
  <si>
    <t>ORD-02007</t>
  </si>
  <si>
    <t>CUST96054</t>
  </si>
  <si>
    <t>Smartphone</t>
  </si>
  <si>
    <t>ORD-02400</t>
  </si>
  <si>
    <t>CUST21465</t>
  </si>
  <si>
    <t>Pooja Kumar</t>
  </si>
  <si>
    <t>ORD-02972</t>
  </si>
  <si>
    <t>CUST95419</t>
  </si>
  <si>
    <t>Deepa Joshi</t>
  </si>
  <si>
    <t>ORD-03622</t>
  </si>
  <si>
    <t>CUST32129</t>
  </si>
  <si>
    <t>ORD-00200</t>
  </si>
  <si>
    <t>CUST79644</t>
  </si>
  <si>
    <t>Aarav Verma</t>
  </si>
  <si>
    <t>ORD-04057</t>
  </si>
  <si>
    <t>CUST95307</t>
  </si>
  <si>
    <t>ORD-02757</t>
  </si>
  <si>
    <t>CUST97559</t>
  </si>
  <si>
    <t>Sunita Kumar</t>
  </si>
  <si>
    <t>ORD-00881</t>
  </si>
  <si>
    <t>CUST31073</t>
  </si>
  <si>
    <t>Kavya Shah</t>
  </si>
  <si>
    <t>ORD-00751</t>
  </si>
  <si>
    <t>CUST41385</t>
  </si>
  <si>
    <t>Rohan Patel</t>
  </si>
  <si>
    <t>ORD-01788</t>
  </si>
  <si>
    <t>CUST10753</t>
  </si>
  <si>
    <t>ORD-00262</t>
  </si>
  <si>
    <t>CUST33827</t>
  </si>
  <si>
    <t>Rahul Bose</t>
  </si>
  <si>
    <t>ORD-04086</t>
  </si>
  <si>
    <t>CUST69304</t>
  </si>
  <si>
    <t>ORD-01693</t>
  </si>
  <si>
    <t>CUST37446</t>
  </si>
  <si>
    <t>Shreya Das</t>
  </si>
  <si>
    <t>ORD-02495</t>
  </si>
  <si>
    <t>CUST29148</t>
  </si>
  <si>
    <t>Amit Kumar</t>
  </si>
  <si>
    <t>ORD-02508</t>
  </si>
  <si>
    <t>CUST55151</t>
  </si>
  <si>
    <t>Ananya Reddy</t>
  </si>
  <si>
    <t>ORD-01872</t>
  </si>
  <si>
    <t>CUST60962</t>
  </si>
  <si>
    <t>ORD-01233</t>
  </si>
  <si>
    <t>CUST64805</t>
  </si>
  <si>
    <t>Priya Mishra</t>
  </si>
  <si>
    <t>ORD-00752</t>
  </si>
  <si>
    <t>CUST76726</t>
  </si>
  <si>
    <t>Meera Rao</t>
  </si>
  <si>
    <t>ORD-00038</t>
  </si>
  <si>
    <t>CUST79223</t>
  </si>
  <si>
    <t>ORD-00994</t>
  </si>
  <si>
    <t>CUST13598</t>
  </si>
  <si>
    <t>Sanjay Chatterjee</t>
  </si>
  <si>
    <t>ORD-00436</t>
  </si>
  <si>
    <t>CUST18887</t>
  </si>
  <si>
    <t>Pooja Kapoor</t>
  </si>
  <si>
    <t>Biography</t>
  </si>
  <si>
    <t>ORD-00923</t>
  </si>
  <si>
    <t>CUST41859</t>
  </si>
  <si>
    <t>Deepa Kumar</t>
  </si>
  <si>
    <t>ORD-04035</t>
  </si>
  <si>
    <t>CUST10272</t>
  </si>
  <si>
    <t>Sunita Das</t>
  </si>
  <si>
    <t>ORD-04090</t>
  </si>
  <si>
    <t>CUST31562</t>
  </si>
  <si>
    <t>ORD-03401</t>
  </si>
  <si>
    <t>CUST97545</t>
  </si>
  <si>
    <t>Ritu Bose</t>
  </si>
  <si>
    <t>ORD-04160</t>
  </si>
  <si>
    <t>CUST91116</t>
  </si>
  <si>
    <t>ORD-01192</t>
  </si>
  <si>
    <t>CUST39249</t>
  </si>
  <si>
    <t>ORD-01195</t>
  </si>
  <si>
    <t>CUST26595</t>
  </si>
  <si>
    <t>Ananya Gupta</t>
  </si>
  <si>
    <t>ORD-00170</t>
  </si>
  <si>
    <t>CUST53622</t>
  </si>
  <si>
    <t>Aditya Chatterjee</t>
  </si>
  <si>
    <t>ORD-01213</t>
  </si>
  <si>
    <t>CUST54226</t>
  </si>
  <si>
    <t>ORD-04115</t>
  </si>
  <si>
    <t>CUST88970</t>
  </si>
  <si>
    <t>Ritu Pillai</t>
  </si>
  <si>
    <t>ORD-03200</t>
  </si>
  <si>
    <t>CUST43688</t>
  </si>
  <si>
    <t>Amit Iyer</t>
  </si>
  <si>
    <t>ORD-00713</t>
  </si>
  <si>
    <t>CUST97013</t>
  </si>
  <si>
    <t>ORD-00975</t>
  </si>
  <si>
    <t>CUST76263</t>
  </si>
  <si>
    <t>Arjun Reddy</t>
  </si>
  <si>
    <t>ORD-01391</t>
  </si>
  <si>
    <t>CUST53724</t>
  </si>
  <si>
    <t>Kavya Iyer</t>
  </si>
  <si>
    <t>ORD-01111</t>
  </si>
  <si>
    <t>CUST07335</t>
  </si>
  <si>
    <t>Vikram Kapoor</t>
  </si>
  <si>
    <t>ORD-02171</t>
  </si>
  <si>
    <t>CUST77492</t>
  </si>
  <si>
    <t>Karan Sharma</t>
  </si>
  <si>
    <t>ORD-02834</t>
  </si>
  <si>
    <t>CUST80957</t>
  </si>
  <si>
    <t>Pooja Gupta</t>
  </si>
  <si>
    <t>ORD-03900</t>
  </si>
  <si>
    <t>CUST14119</t>
  </si>
  <si>
    <t>Vikram Verma</t>
  </si>
  <si>
    <t>ORD-02192</t>
  </si>
  <si>
    <t>CUST61790</t>
  </si>
  <si>
    <t>ORD-02000</t>
  </si>
  <si>
    <t>CUST60137</t>
  </si>
  <si>
    <t>Sanjay Sharma</t>
  </si>
  <si>
    <t>ORD-03042</t>
  </si>
  <si>
    <t>CUST48817</t>
  </si>
  <si>
    <t>Karan Singh</t>
  </si>
  <si>
    <t>ORD-03399</t>
  </si>
  <si>
    <t>CUST76705</t>
  </si>
  <si>
    <t>Meera Das</t>
  </si>
  <si>
    <t>ORD-01991</t>
  </si>
  <si>
    <t>CUST25027</t>
  </si>
  <si>
    <t>Nisha Mishra</t>
  </si>
  <si>
    <t>ORD-04049</t>
  </si>
  <si>
    <t>CUST98496</t>
  </si>
  <si>
    <t>Nisha Singh</t>
  </si>
  <si>
    <t>ORD-02187</t>
  </si>
  <si>
    <t>CUST47298</t>
  </si>
  <si>
    <t>ORD-03703</t>
  </si>
  <si>
    <t>CUST91203</t>
  </si>
  <si>
    <t>Arjun Verma</t>
  </si>
  <si>
    <t>ORD-01312</t>
  </si>
  <si>
    <t>CUST22985</t>
  </si>
  <si>
    <t>Amit Pillai</t>
  </si>
  <si>
    <t>ORD-00797</t>
  </si>
  <si>
    <t>CUST04732</t>
  </si>
  <si>
    <t>ORD-02663</t>
  </si>
  <si>
    <t>CUST82371</t>
  </si>
  <si>
    <t>Kavya Nair</t>
  </si>
  <si>
    <t>ORD-01907</t>
  </si>
  <si>
    <t>CUST58083</t>
  </si>
  <si>
    <t>Sanjay Kapoor</t>
  </si>
  <si>
    <t>ORD-00766</t>
  </si>
  <si>
    <t>CUST94306</t>
  </si>
  <si>
    <t>Shreya Kapoor</t>
  </si>
  <si>
    <t>ORD-03824</t>
  </si>
  <si>
    <t>CUST13500</t>
  </si>
  <si>
    <t>ORD-03029</t>
  </si>
  <si>
    <t>CUST15879</t>
  </si>
  <si>
    <t>ORD-02801</t>
  </si>
  <si>
    <t>CUST13741</t>
  </si>
  <si>
    <t>Meera Verma</t>
  </si>
  <si>
    <t>ORD-01318</t>
  </si>
  <si>
    <t>CUST59067</t>
  </si>
  <si>
    <t>Nikhil Gupta</t>
  </si>
  <si>
    <t>ORD-03603</t>
  </si>
  <si>
    <t>CUST16934</t>
  </si>
  <si>
    <t>ORD-02947</t>
  </si>
  <si>
    <t>CUST85761</t>
  </si>
  <si>
    <t>ORD-02150</t>
  </si>
  <si>
    <t>CUST80481</t>
  </si>
  <si>
    <t>Sanjay Mishra</t>
  </si>
  <si>
    <t>ORD-03667</t>
  </si>
  <si>
    <t>CUST95748</t>
  </si>
  <si>
    <t>Arjun Kapoor</t>
  </si>
  <si>
    <t>ORD-03993</t>
  </si>
  <si>
    <t>CUST65197</t>
  </si>
  <si>
    <t>Rohan Chatterjee</t>
  </si>
  <si>
    <t>ORD-02774</t>
  </si>
  <si>
    <t>CUST92472</t>
  </si>
  <si>
    <t>Deepa Gupta</t>
  </si>
  <si>
    <t>ORD-00337</t>
  </si>
  <si>
    <t>CUST25152</t>
  </si>
  <si>
    <t>ORD-03207</t>
  </si>
  <si>
    <t>CUST72297</t>
  </si>
  <si>
    <t>ORD-00354</t>
  </si>
  <si>
    <t>CUST12677</t>
  </si>
  <si>
    <t>Rice (5kg)</t>
  </si>
  <si>
    <t>ORD-00837</t>
  </si>
  <si>
    <t>CUST71096</t>
  </si>
  <si>
    <t>ORD-02607</t>
  </si>
  <si>
    <t>CUST31900</t>
  </si>
  <si>
    <t>Amit Rao</t>
  </si>
  <si>
    <t>ORD-00727</t>
  </si>
  <si>
    <t>CUST39869</t>
  </si>
  <si>
    <t>Ritu Mishra</t>
  </si>
  <si>
    <t>ORD-02529</t>
  </si>
  <si>
    <t>CUST61216</t>
  </si>
  <si>
    <t>ORD-03018</t>
  </si>
  <si>
    <t>CUST13941</t>
  </si>
  <si>
    <t>Ritu Sharma</t>
  </si>
  <si>
    <t>ORD-01841</t>
  </si>
  <si>
    <t>CUST02321</t>
  </si>
  <si>
    <t>Sunita Patel</t>
  </si>
  <si>
    <t>ORD-02858</t>
  </si>
  <si>
    <t>CUST34534</t>
  </si>
  <si>
    <t>Sanjay Rao</t>
  </si>
  <si>
    <t>ORD-03609</t>
  </si>
  <si>
    <t>CUST45693</t>
  </si>
  <si>
    <t>Aditya Singh</t>
  </si>
  <si>
    <t>ORD-00559</t>
  </si>
  <si>
    <t>CUST34558</t>
  </si>
  <si>
    <t>Amit Bhat</t>
  </si>
  <si>
    <t>ORD-02870</t>
  </si>
  <si>
    <t>CUST15861</t>
  </si>
  <si>
    <t>ORD-00130</t>
  </si>
  <si>
    <t>CUST73625</t>
  </si>
  <si>
    <t>Nisha Bose</t>
  </si>
  <si>
    <t>ORD-02188</t>
  </si>
  <si>
    <t>CUST93685</t>
  </si>
  <si>
    <t>Vikram Singh</t>
  </si>
  <si>
    <t>ORD-03976</t>
  </si>
  <si>
    <t>CUST72202</t>
  </si>
  <si>
    <t>Aarav Joshi</t>
  </si>
  <si>
    <t>ORD-03674</t>
  </si>
  <si>
    <t>CUST71549</t>
  </si>
  <si>
    <t>Ritu Das</t>
  </si>
  <si>
    <t>ORD-03297</t>
  </si>
  <si>
    <t>CUST29713</t>
  </si>
  <si>
    <t>ORD-02445</t>
  </si>
  <si>
    <t>CUST71240</t>
  </si>
  <si>
    <t>ORD-00701</t>
  </si>
  <si>
    <t>CUST90688</t>
  </si>
  <si>
    <t>Priya Nair</t>
  </si>
  <si>
    <t>ORD-00439</t>
  </si>
  <si>
    <t>CUST45071</t>
  </si>
  <si>
    <t>Aditya Nair</t>
  </si>
  <si>
    <t>ORD-00132</t>
  </si>
  <si>
    <t>CUST20387</t>
  </si>
  <si>
    <t>ORD-00343</t>
  </si>
  <si>
    <t>CUST91659</t>
  </si>
  <si>
    <t>Shreya Verma</t>
  </si>
  <si>
    <t>ORD-02011</t>
  </si>
  <si>
    <t>CUST67385</t>
  </si>
  <si>
    <t>ORD-03217</t>
  </si>
  <si>
    <t>CUST14537</t>
  </si>
  <si>
    <t>Pooja Joshi</t>
  </si>
  <si>
    <t>ORD-02921</t>
  </si>
  <si>
    <t>CUST51781</t>
  </si>
  <si>
    <t>ORD-01303</t>
  </si>
  <si>
    <t>CUST71873</t>
  </si>
  <si>
    <t>ORD-01463</t>
  </si>
  <si>
    <t>CUST80946</t>
  </si>
  <si>
    <t>Nikhil Verma</t>
  </si>
  <si>
    <t>ORD-02047</t>
  </si>
  <si>
    <t>CUST63577</t>
  </si>
  <si>
    <t>ORD-00799</t>
  </si>
  <si>
    <t>CUST20881</t>
  </si>
  <si>
    <t>Rohan Singh</t>
  </si>
  <si>
    <t>ORD-01013</t>
  </si>
  <si>
    <t>CUST39675</t>
  </si>
  <si>
    <t>Priya Kapoor</t>
  </si>
  <si>
    <t>ORD-00267</t>
  </si>
  <si>
    <t>CUST76356</t>
  </si>
  <si>
    <t>ORD-01704</t>
  </si>
  <si>
    <t>CUST33909</t>
  </si>
  <si>
    <t>Amit Reddy</t>
  </si>
  <si>
    <t>ORD-01925</t>
  </si>
  <si>
    <t>CUST73689</t>
  </si>
  <si>
    <t>ORD-02748</t>
  </si>
  <si>
    <t>CUST72583</t>
  </si>
  <si>
    <t>Sunita Bose</t>
  </si>
  <si>
    <t>ORD-00575</t>
  </si>
  <si>
    <t>CUST39101</t>
  </si>
  <si>
    <t>Sunita Mehta</t>
  </si>
  <si>
    <t>ORD-02409</t>
  </si>
  <si>
    <t>CUST13324</t>
  </si>
  <si>
    <t>ORD-02610</t>
  </si>
  <si>
    <t>CUST96115</t>
  </si>
  <si>
    <t>ORD-00915</t>
  </si>
  <si>
    <t>CUST76268</t>
  </si>
  <si>
    <t>Arjun Patel</t>
  </si>
  <si>
    <t>ORD-02705</t>
  </si>
  <si>
    <t>CUST85785</t>
  </si>
  <si>
    <t>ORD-04126</t>
  </si>
  <si>
    <t>CUST88649</t>
  </si>
  <si>
    <t>ORD-01992</t>
  </si>
  <si>
    <t>CUST42274</t>
  </si>
  <si>
    <t>ORD-02181</t>
  </si>
  <si>
    <t>CUST50045</t>
  </si>
  <si>
    <t>ORD-03851</t>
  </si>
  <si>
    <t>CUST24550</t>
  </si>
  <si>
    <t>Amit Nair</t>
  </si>
  <si>
    <t>ORD-00644</t>
  </si>
  <si>
    <t>CUST94203</t>
  </si>
  <si>
    <t>Sanjay Nair</t>
  </si>
  <si>
    <t>ORD-01414</t>
  </si>
  <si>
    <t>CUST00909</t>
  </si>
  <si>
    <t>ORD-00251</t>
  </si>
  <si>
    <t>CUST66007</t>
  </si>
  <si>
    <t>ORD-01407</t>
  </si>
  <si>
    <t>CUST62870</t>
  </si>
  <si>
    <t>Shreya Mehta</t>
  </si>
  <si>
    <t>ORD-01940</t>
  </si>
  <si>
    <t>CUST29935</t>
  </si>
  <si>
    <t>ORD-00142</t>
  </si>
  <si>
    <t>CUST82516</t>
  </si>
  <si>
    <t>Ritu Joshi</t>
  </si>
  <si>
    <t>ORD-03035</t>
  </si>
  <si>
    <t>CUST76199</t>
  </si>
  <si>
    <t>ORD-03088</t>
  </si>
  <si>
    <t>CUST49151</t>
  </si>
  <si>
    <t>ORD-00283</t>
  </si>
  <si>
    <t>CUST17741</t>
  </si>
  <si>
    <t>ORD-01627</t>
  </si>
  <si>
    <t>CUST42701</t>
  </si>
  <si>
    <t>ORD-02973</t>
  </si>
  <si>
    <t>CUST55824</t>
  </si>
  <si>
    <t>Ritu Kumar</t>
  </si>
  <si>
    <t>ORD-03131</t>
  </si>
  <si>
    <t>CUST60904</t>
  </si>
  <si>
    <t>ORD-01170</t>
  </si>
  <si>
    <t>CUST04051</t>
  </si>
  <si>
    <t>Ananya Sharma</t>
  </si>
  <si>
    <t>ORD-02153</t>
  </si>
  <si>
    <t>CUST05495</t>
  </si>
  <si>
    <t>ORD-02260</t>
  </si>
  <si>
    <t>CUST10492</t>
  </si>
  <si>
    <t>Rahul Patel</t>
  </si>
  <si>
    <t>ORD-01363</t>
  </si>
  <si>
    <t>CUST15260</t>
  </si>
  <si>
    <t>Meera Patel</t>
  </si>
  <si>
    <t>ORD-01781</t>
  </si>
  <si>
    <t>CUST31446</t>
  </si>
  <si>
    <t>ORD-02812</t>
  </si>
  <si>
    <t>CUST82471</t>
  </si>
  <si>
    <t>ORD-00384</t>
  </si>
  <si>
    <t>CUST60562</t>
  </si>
  <si>
    <t>ORD-03940</t>
  </si>
  <si>
    <t>CUST96355</t>
  </si>
  <si>
    <t>Shreya Bose</t>
  </si>
  <si>
    <t>ORD-01059</t>
  </si>
  <si>
    <t>CUST64001</t>
  </si>
  <si>
    <t>Ananya Das</t>
  </si>
  <si>
    <t>ORD-03122</t>
  </si>
  <si>
    <t>CUST56458</t>
  </si>
  <si>
    <t>ORD-02176</t>
  </si>
  <si>
    <t>CUST51575</t>
  </si>
  <si>
    <t>Karan Mishra</t>
  </si>
  <si>
    <t>ORD-01078</t>
  </si>
  <si>
    <t>CUST72966</t>
  </si>
  <si>
    <t>ORD-03959</t>
  </si>
  <si>
    <t>CUST64416</t>
  </si>
  <si>
    <t>Pooja Reddy</t>
  </si>
  <si>
    <t>ORD-02697</t>
  </si>
  <si>
    <t>CUST37138</t>
  </si>
  <si>
    <t>ORD-02515</t>
  </si>
  <si>
    <t>CUST66205</t>
  </si>
  <si>
    <t>ORD-02735</t>
  </si>
  <si>
    <t>CUST60872</t>
  </si>
  <si>
    <t>ORD-01766</t>
  </si>
  <si>
    <t>CUST87890</t>
  </si>
  <si>
    <t>ORD-02707</t>
  </si>
  <si>
    <t>CUST97042</t>
  </si>
  <si>
    <t>Ananya Mishra</t>
  </si>
  <si>
    <t>ORD-00671</t>
  </si>
  <si>
    <t>CUST93387</t>
  </si>
  <si>
    <t>ORD-03931</t>
  </si>
  <si>
    <t>CUST94914</t>
  </si>
  <si>
    <t>ORD-01721</t>
  </si>
  <si>
    <t>CUST05033</t>
  </si>
  <si>
    <t>ORD-03054</t>
  </si>
  <si>
    <t>CUST26906</t>
  </si>
  <si>
    <t>Nisha Iyer</t>
  </si>
  <si>
    <t>ORD-03543</t>
  </si>
  <si>
    <t>CUST14777</t>
  </si>
  <si>
    <t>Aarav Shah</t>
  </si>
  <si>
    <t>ORD-02803</t>
  </si>
  <si>
    <t>CUST07347</t>
  </si>
  <si>
    <t>Priya Mehta</t>
  </si>
  <si>
    <t>ORD-03231</t>
  </si>
  <si>
    <t>CUST88608</t>
  </si>
  <si>
    <t>ORD-02672</t>
  </si>
  <si>
    <t>CUST97216</t>
  </si>
  <si>
    <t>ORD-00232</t>
  </si>
  <si>
    <t>CUST30800</t>
  </si>
  <si>
    <t>ORD-00522</t>
  </si>
  <si>
    <t>CUST28496</t>
  </si>
  <si>
    <t>ORD-03797</t>
  </si>
  <si>
    <t>CUST19882</t>
  </si>
  <si>
    <t>ORD-03327</t>
  </si>
  <si>
    <t>CUST05689</t>
  </si>
  <si>
    <t>Ananya Bhat</t>
  </si>
  <si>
    <t>ORD-03907</t>
  </si>
  <si>
    <t>CUST07299</t>
  </si>
  <si>
    <t>ORD-02613</t>
  </si>
  <si>
    <t>CUST69520</t>
  </si>
  <si>
    <t>ORD-04164</t>
  </si>
  <si>
    <t>CUST96903</t>
  </si>
  <si>
    <t>ORD-01065</t>
  </si>
  <si>
    <t>CUST39633</t>
  </si>
  <si>
    <t>Aarav Mishra</t>
  </si>
  <si>
    <t>ORD-00656</t>
  </si>
  <si>
    <t>CUST42875</t>
  </si>
  <si>
    <t>ORD-03479</t>
  </si>
  <si>
    <t>CUST39897</t>
  </si>
  <si>
    <t>Sunita Singh</t>
  </si>
  <si>
    <t>ORD-03008</t>
  </si>
  <si>
    <t>CUST03875</t>
  </si>
  <si>
    <t>ORD-03519</t>
  </si>
  <si>
    <t>CUST89317</t>
  </si>
  <si>
    <t>ORD-01731</t>
  </si>
  <si>
    <t>CUST81381</t>
  </si>
  <si>
    <t>Aarav Bose</t>
  </si>
  <si>
    <t>ORD-02322</t>
  </si>
  <si>
    <t>CUST93809</t>
  </si>
  <si>
    <t>Kavya Sharma</t>
  </si>
  <si>
    <t>ORD-02365</t>
  </si>
  <si>
    <t>CUST12074</t>
  </si>
  <si>
    <t>ORD-00115</t>
  </si>
  <si>
    <t>CUST05374</t>
  </si>
  <si>
    <t>ORD-01557</t>
  </si>
  <si>
    <t>CUST23869</t>
  </si>
  <si>
    <t>ORD-00800</t>
  </si>
  <si>
    <t>CUST77423</t>
  </si>
  <si>
    <t>Priya Shah</t>
  </si>
  <si>
    <t>ORD-02381</t>
  </si>
  <si>
    <t>CUST35452</t>
  </si>
  <si>
    <t>Rahul Singh</t>
  </si>
  <si>
    <t>ORD-01862</t>
  </si>
  <si>
    <t>CUST38887</t>
  </si>
  <si>
    <t>ORD-04033</t>
  </si>
  <si>
    <t>CUST01456</t>
  </si>
  <si>
    <t>Ananya Singh</t>
  </si>
  <si>
    <t>ORD-04061</t>
  </si>
  <si>
    <t>CUST83988</t>
  </si>
  <si>
    <t>Arjun Bose</t>
  </si>
  <si>
    <t>ORD-02662</t>
  </si>
  <si>
    <t>CUST02913</t>
  </si>
  <si>
    <t>Nisha Kumar</t>
  </si>
  <si>
    <t>ORD-01421</t>
  </si>
  <si>
    <t>CUST32538</t>
  </si>
  <si>
    <t>ORD-02686</t>
  </si>
  <si>
    <t>CUST63976</t>
  </si>
  <si>
    <t>ORD-02630</t>
  </si>
  <si>
    <t>CUST21078</t>
  </si>
  <si>
    <t>Meera Kapoor</t>
  </si>
  <si>
    <t>ORD-01893</t>
  </si>
  <si>
    <t>CUST98008</t>
  </si>
  <si>
    <t>ORD-01702</t>
  </si>
  <si>
    <t>CUST81394</t>
  </si>
  <si>
    <t>Nikhil Kumar</t>
  </si>
  <si>
    <t>ORD-00781</t>
  </si>
  <si>
    <t>CUST92097</t>
  </si>
  <si>
    <t>Nisha Gupta</t>
  </si>
  <si>
    <t>ORD-00983</t>
  </si>
  <si>
    <t>CUST01477</t>
  </si>
  <si>
    <t>ORD-01403</t>
  </si>
  <si>
    <t>CUST02694</t>
  </si>
  <si>
    <t>Priya Chatterjee</t>
  </si>
  <si>
    <t>ORD-03034</t>
  </si>
  <si>
    <t>CUST76477</t>
  </si>
  <si>
    <t>ORD-03420</t>
  </si>
  <si>
    <t>CUST83939</t>
  </si>
  <si>
    <t>Priya Bose</t>
  </si>
  <si>
    <t>ORD-00379</t>
  </si>
  <si>
    <t>CUST57932</t>
  </si>
  <si>
    <t>Rohan Bhat</t>
  </si>
  <si>
    <t>ORD-00734</t>
  </si>
  <si>
    <t>CUST76439</t>
  </si>
  <si>
    <t>ORD-01911</t>
  </si>
  <si>
    <t>CUST11183</t>
  </si>
  <si>
    <t>ORD-02647</t>
  </si>
  <si>
    <t>CUST98321</t>
  </si>
  <si>
    <t>ORD-00664</t>
  </si>
  <si>
    <t>CUST76842</t>
  </si>
  <si>
    <t>ORD-00346</t>
  </si>
  <si>
    <t>CUST21580</t>
  </si>
  <si>
    <t>ORD-03434</t>
  </si>
  <si>
    <t>CUST36372</t>
  </si>
  <si>
    <t>ORD-00495</t>
  </si>
  <si>
    <t>CUST95892</t>
  </si>
  <si>
    <t>ORD-01008</t>
  </si>
  <si>
    <t>CUST58835</t>
  </si>
  <si>
    <t>ORD-01435</t>
  </si>
  <si>
    <t>CUST41321</t>
  </si>
  <si>
    <t>Ritu Bhat</t>
  </si>
  <si>
    <t>ORD-03713</t>
  </si>
  <si>
    <t>CUST56250</t>
  </si>
  <si>
    <t>Shreya Shah</t>
  </si>
  <si>
    <t>ORD-02022</t>
  </si>
  <si>
    <t>CUST15844</t>
  </si>
  <si>
    <t>Rohan Verma</t>
  </si>
  <si>
    <t>ORD-00138</t>
  </si>
  <si>
    <t>CUST54691</t>
  </si>
  <si>
    <t>ORD-02813</t>
  </si>
  <si>
    <t>CUST45426</t>
  </si>
  <si>
    <t>ORD-02397</t>
  </si>
  <si>
    <t>CUST53890</t>
  </si>
  <si>
    <t>Kavya Kapoor</t>
  </si>
  <si>
    <t>ORD-00617</t>
  </si>
  <si>
    <t>CUST56731</t>
  </si>
  <si>
    <t>ORD-03961</t>
  </si>
  <si>
    <t>CUST41469</t>
  </si>
  <si>
    <t>ORD-04195</t>
  </si>
  <si>
    <t>CUST13220</t>
  </si>
  <si>
    <t>ORD-03605</t>
  </si>
  <si>
    <t>CUST13355</t>
  </si>
  <si>
    <t>Aarav Rao</t>
  </si>
  <si>
    <t>ORD-01381</t>
  </si>
  <si>
    <t>CUST67856</t>
  </si>
  <si>
    <t>ORD-02719</t>
  </si>
  <si>
    <t>CUST07357</t>
  </si>
  <si>
    <t>ORD-00779</t>
  </si>
  <si>
    <t>CUST99814</t>
  </si>
  <si>
    <t>ORD-04101</t>
  </si>
  <si>
    <t>CUST53114</t>
  </si>
  <si>
    <t>Kavya Bose</t>
  </si>
  <si>
    <t>ORD-03749</t>
  </si>
  <si>
    <t>CUST71536</t>
  </si>
  <si>
    <t>Amit Bose</t>
  </si>
  <si>
    <t>ORD-01544</t>
  </si>
  <si>
    <t>CUST03481</t>
  </si>
  <si>
    <t>Rahul Mishra</t>
  </si>
  <si>
    <t>ORD-01040</t>
  </si>
  <si>
    <t>CUST99976</t>
  </si>
  <si>
    <t>ORD-01527</t>
  </si>
  <si>
    <t>CUST25719</t>
  </si>
  <si>
    <t>Nikhil Chatterjee</t>
  </si>
  <si>
    <t>ORD-03296</t>
  </si>
  <si>
    <t>CUST49836</t>
  </si>
  <si>
    <t>ORD-02542</t>
  </si>
  <si>
    <t>CUST20603</t>
  </si>
  <si>
    <t>ORD-00886</t>
  </si>
  <si>
    <t>CUST50029</t>
  </si>
  <si>
    <t>Rohan Mehta</t>
  </si>
  <si>
    <t>ORD-02510</t>
  </si>
  <si>
    <t>CUST29676</t>
  </si>
  <si>
    <t>Arjun Rao</t>
  </si>
  <si>
    <t>ORD-03352</t>
  </si>
  <si>
    <t>CUST97209</t>
  </si>
  <si>
    <t>ORD-03714</t>
  </si>
  <si>
    <t>CUST48600</t>
  </si>
  <si>
    <t>Kavya Reddy</t>
  </si>
  <si>
    <t>ORD-00737</t>
  </si>
  <si>
    <t>CUST84086</t>
  </si>
  <si>
    <t>ORD-02712</t>
  </si>
  <si>
    <t>CUST21655</t>
  </si>
  <si>
    <t>ORD-03079</t>
  </si>
  <si>
    <t>CUST74717</t>
  </si>
  <si>
    <t>ORD-00093</t>
  </si>
  <si>
    <t>CUST28742</t>
  </si>
  <si>
    <t>Kavya Bhat</t>
  </si>
  <si>
    <t>ORD-02847</t>
  </si>
  <si>
    <t>CUST62909</t>
  </si>
  <si>
    <t>ORD-03053</t>
  </si>
  <si>
    <t>CUST70734</t>
  </si>
  <si>
    <t>ORD-03942</t>
  </si>
  <si>
    <t>CUST76909</t>
  </si>
  <si>
    <t>ORD-00201</t>
  </si>
  <si>
    <t>CUST39806</t>
  </si>
  <si>
    <t>Sanjay Bhat</t>
  </si>
  <si>
    <t>ORD-00582</t>
  </si>
  <si>
    <t>CUST42583</t>
  </si>
  <si>
    <t>Nisha Rao</t>
  </si>
  <si>
    <t>ORD-02281</t>
  </si>
  <si>
    <t>CUST68153</t>
  </si>
  <si>
    <t>ORD-02777</t>
  </si>
  <si>
    <t>CUST15930</t>
  </si>
  <si>
    <t>Rahul Bhat</t>
  </si>
  <si>
    <t>ORD-01949</t>
  </si>
  <si>
    <t>CUST55786</t>
  </si>
  <si>
    <t>Deepa Mehta</t>
  </si>
  <si>
    <t>ORD-01516</t>
  </si>
  <si>
    <t>CUST58345</t>
  </si>
  <si>
    <t>ORD-02846</t>
  </si>
  <si>
    <t>CUST56492</t>
  </si>
  <si>
    <t>ORD-03441</t>
  </si>
  <si>
    <t>CUST02308</t>
  </si>
  <si>
    <t>ORD-01690</t>
  </si>
  <si>
    <t>CUST13726</t>
  </si>
  <si>
    <t>ORD-01139</t>
  </si>
  <si>
    <t>CUST11240</t>
  </si>
  <si>
    <t>Deepa Iyer</t>
  </si>
  <si>
    <t>ORD-01042</t>
  </si>
  <si>
    <t>CUST52708</t>
  </si>
  <si>
    <t>Shreya Bhat</t>
  </si>
  <si>
    <t>ORD-00028</t>
  </si>
  <si>
    <t>CUST03400</t>
  </si>
  <si>
    <t>ORD-03478</t>
  </si>
  <si>
    <t>CUST86909</t>
  </si>
  <si>
    <t>ORD-00350</t>
  </si>
  <si>
    <t>CUST72810</t>
  </si>
  <si>
    <t>ORD-02052</t>
  </si>
  <si>
    <t>CUST10079</t>
  </si>
  <si>
    <t>Pooja Singh</t>
  </si>
  <si>
    <t>ORD-01961</t>
  </si>
  <si>
    <t>CUST60023</t>
  </si>
  <si>
    <t>Rohan Rao</t>
  </si>
  <si>
    <t>ORD-00317</t>
  </si>
  <si>
    <t>CUST52213</t>
  </si>
  <si>
    <t>ORD-03440</t>
  </si>
  <si>
    <t>CUST60633</t>
  </si>
  <si>
    <t>ORD-00318</t>
  </si>
  <si>
    <t>CUST80292</t>
  </si>
  <si>
    <t>Ritu Shah</t>
  </si>
  <si>
    <t>ORD-02292</t>
  </si>
  <si>
    <t>CUST08013</t>
  </si>
  <si>
    <t>ORD-04161</t>
  </si>
  <si>
    <t>CUST28262</t>
  </si>
  <si>
    <t>Aarav Patel</t>
  </si>
  <si>
    <t>ORD-02099</t>
  </si>
  <si>
    <t>CUST13620</t>
  </si>
  <si>
    <t>ORD-00129</t>
  </si>
  <si>
    <t>CUST20302</t>
  </si>
  <si>
    <t>ORD-03339</t>
  </si>
  <si>
    <t>CUST29727</t>
  </si>
  <si>
    <t>ORD-02780</t>
  </si>
  <si>
    <t>CUST00961</t>
  </si>
  <si>
    <t>ORD-01597</t>
  </si>
  <si>
    <t>CUST58607</t>
  </si>
  <si>
    <t>ORD-02643</t>
  </si>
  <si>
    <t>CUST02524</t>
  </si>
  <si>
    <t>ORD-03637</t>
  </si>
  <si>
    <t>CUST91185</t>
  </si>
  <si>
    <t>Karan Rao</t>
  </si>
  <si>
    <t>ORD-02974</t>
  </si>
  <si>
    <t>CUST06333</t>
  </si>
  <si>
    <t>ORD-03801</t>
  </si>
  <si>
    <t>CUST68786</t>
  </si>
  <si>
    <t>ORD-01247</t>
  </si>
  <si>
    <t>CUST10958</t>
  </si>
  <si>
    <t>Rahul Nair</t>
  </si>
  <si>
    <t>ORD-00428</t>
  </si>
  <si>
    <t>CUST48382</t>
  </si>
  <si>
    <t>Priya Kumar</t>
  </si>
  <si>
    <t>ORD-03405</t>
  </si>
  <si>
    <t>CUST34808</t>
  </si>
  <si>
    <t>ORD-03621</t>
  </si>
  <si>
    <t>CUST65858</t>
  </si>
  <si>
    <t>Karan Nair</t>
  </si>
  <si>
    <t>ORD-02736</t>
  </si>
  <si>
    <t>CUST35540</t>
  </si>
  <si>
    <t>ORD-01999</t>
  </si>
  <si>
    <t>CUST83431</t>
  </si>
  <si>
    <t>ORD-02823</t>
  </si>
  <si>
    <t>CUST96063</t>
  </si>
  <si>
    <t>Shreya Iyer</t>
  </si>
  <si>
    <t>ORD-01937</t>
  </si>
  <si>
    <t>CUST01091</t>
  </si>
  <si>
    <t>ORD-01851</t>
  </si>
  <si>
    <t>CUST81634</t>
  </si>
  <si>
    <t>Ananya Kumar</t>
  </si>
  <si>
    <t>ORD-03966</t>
  </si>
  <si>
    <t>CUST46541</t>
  </si>
  <si>
    <t>ORD-02914</t>
  </si>
  <si>
    <t>CUST62247</t>
  </si>
  <si>
    <t>Aditya Rao</t>
  </si>
  <si>
    <t>ORD-03096</t>
  </si>
  <si>
    <t>CUST81977</t>
  </si>
  <si>
    <t>ORD-02175</t>
  </si>
  <si>
    <t>CUST77531</t>
  </si>
  <si>
    <t>ORD-03027</t>
  </si>
  <si>
    <t>CUST20866</t>
  </si>
  <si>
    <t>ORD-03598</t>
  </si>
  <si>
    <t>CUST37246</t>
  </si>
  <si>
    <t>ORD-02959</t>
  </si>
  <si>
    <t>CUST01768</t>
  </si>
  <si>
    <t>ORD-03349</t>
  </si>
  <si>
    <t>CUST44606</t>
  </si>
  <si>
    <t>ORD-03923</t>
  </si>
  <si>
    <t>CUST86711</t>
  </si>
  <si>
    <t>Ritu Chatterjee</t>
  </si>
  <si>
    <t>ORD-01417</t>
  </si>
  <si>
    <t>CUST32469</t>
  </si>
  <si>
    <t>ORD-03066</t>
  </si>
  <si>
    <t>CUST82969</t>
  </si>
  <si>
    <t>ORD-00432</t>
  </si>
  <si>
    <t>CUST05737</t>
  </si>
  <si>
    <t>ORD-03073</t>
  </si>
  <si>
    <t>CUST40607</t>
  </si>
  <si>
    <t>Amit Kapoor</t>
  </si>
  <si>
    <t>ORD-00064</t>
  </si>
  <si>
    <t>CUST37898</t>
  </si>
  <si>
    <t>Shreya Patel</t>
  </si>
  <si>
    <t>ORD-03968</t>
  </si>
  <si>
    <t>CUST99406</t>
  </si>
  <si>
    <t>ORD-00447</t>
  </si>
  <si>
    <t>CUST75670</t>
  </si>
  <si>
    <t>Kavya Mehta</t>
  </si>
  <si>
    <t>ORD-00174</t>
  </si>
  <si>
    <t>CUST91348</t>
  </si>
  <si>
    <t>Meera Reddy</t>
  </si>
  <si>
    <t>ORD-03612</t>
  </si>
  <si>
    <t>CUST81078</t>
  </si>
  <si>
    <t>ORD-04098</t>
  </si>
  <si>
    <t>CUST64023</t>
  </si>
  <si>
    <t>ORD-03243</t>
  </si>
  <si>
    <t>CUST21449</t>
  </si>
  <si>
    <t>ORD-00153</t>
  </si>
  <si>
    <t>CUST65087</t>
  </si>
  <si>
    <t>ORD-01408</t>
  </si>
  <si>
    <t>Sanjay Singh</t>
  </si>
  <si>
    <t>ORD-02425</t>
  </si>
  <si>
    <t>CUST81941</t>
  </si>
  <si>
    <t>Aditya Iyer</t>
  </si>
  <si>
    <t>ORD-01605</t>
  </si>
  <si>
    <t>CUST74310</t>
  </si>
  <si>
    <t>ORD-03886</t>
  </si>
  <si>
    <t>CUST37843</t>
  </si>
  <si>
    <t>Rahul Iyer</t>
  </si>
  <si>
    <t>ORD-00508</t>
  </si>
  <si>
    <t>CUST12889</t>
  </si>
  <si>
    <t>ORD-02799</t>
  </si>
  <si>
    <t>CUST04344</t>
  </si>
  <si>
    <t>ORD-03209</t>
  </si>
  <si>
    <t>CUST57413</t>
  </si>
  <si>
    <t>Karan Patel</t>
  </si>
  <si>
    <t>ORD-02760</t>
  </si>
  <si>
    <t>CUST27593</t>
  </si>
  <si>
    <t>Nikhil Shah</t>
  </si>
  <si>
    <t>ORD-01910</t>
  </si>
  <si>
    <t>CUST00866</t>
  </si>
  <si>
    <t>ORD-03867</t>
  </si>
  <si>
    <t>CUST39793</t>
  </si>
  <si>
    <t>ORD-00740</t>
  </si>
  <si>
    <t>CUST43436</t>
  </si>
  <si>
    <t>ORD-03403</t>
  </si>
  <si>
    <t>CUST49423</t>
  </si>
  <si>
    <t>ORD-03091</t>
  </si>
  <si>
    <t>CUST39206</t>
  </si>
  <si>
    <t>Amit Mehta</t>
  </si>
  <si>
    <t>ORD-02040</t>
  </si>
  <si>
    <t>CUST10264</t>
  </si>
  <si>
    <t>ORD-03367</t>
  </si>
  <si>
    <t>CUST44669</t>
  </si>
  <si>
    <t>Sunita Mishra</t>
  </si>
  <si>
    <t>ORD-00724</t>
  </si>
  <si>
    <t>CUST48812</t>
  </si>
  <si>
    <t>ORD-00841</t>
  </si>
  <si>
    <t>CUST59671</t>
  </si>
  <si>
    <t>ORD-02230</t>
  </si>
  <si>
    <t>CUST49677</t>
  </si>
  <si>
    <t>Vikram Rao</t>
  </si>
  <si>
    <t>ORD-02694</t>
  </si>
  <si>
    <t>CUST76215</t>
  </si>
  <si>
    <t>ORD-03260</t>
  </si>
  <si>
    <t>CUST04203</t>
  </si>
  <si>
    <t>ORD-00624</t>
  </si>
  <si>
    <t>CUST07175</t>
  </si>
  <si>
    <t>Kavya Joshi</t>
  </si>
  <si>
    <t>ORD-02814</t>
  </si>
  <si>
    <t>CUST78368</t>
  </si>
  <si>
    <t>ORD-02201</t>
  </si>
  <si>
    <t>CUST38678</t>
  </si>
  <si>
    <t>ORD-02795</t>
  </si>
  <si>
    <t>CUST45978</t>
  </si>
  <si>
    <t>Nikhil Iyer</t>
  </si>
  <si>
    <t>ORD-00097</t>
  </si>
  <si>
    <t>CUST92061</t>
  </si>
  <si>
    <t>Aditya Kumar</t>
  </si>
  <si>
    <t>ORD-03102</t>
  </si>
  <si>
    <t>CUST37184</t>
  </si>
  <si>
    <t>Karan Verma</t>
  </si>
  <si>
    <t>ORD-03648</t>
  </si>
  <si>
    <t>CUST67942</t>
  </si>
  <si>
    <t>ORD-02349</t>
  </si>
  <si>
    <t>CUST17978</t>
  </si>
  <si>
    <t>ORD-02944</t>
  </si>
  <si>
    <t>CUST91370</t>
  </si>
  <si>
    <t>ORD-03085</t>
  </si>
  <si>
    <t>CUST66243</t>
  </si>
  <si>
    <t>Karan Shah</t>
  </si>
  <si>
    <t>ORD-00116</t>
  </si>
  <si>
    <t>CUST51634</t>
  </si>
  <si>
    <t>ORD-02593</t>
  </si>
  <si>
    <t>CUST54751</t>
  </si>
  <si>
    <t>ORD-03379</t>
  </si>
  <si>
    <t>CUST97050</t>
  </si>
  <si>
    <t>ORD-01829</t>
  </si>
  <si>
    <t>CUST59422</t>
  </si>
  <si>
    <t>Vikram Das</t>
  </si>
  <si>
    <t>ORD-03261</t>
  </si>
  <si>
    <t>CUST80345</t>
  </si>
  <si>
    <t>ORD-02239</t>
  </si>
  <si>
    <t>CUST33232</t>
  </si>
  <si>
    <t>ORD-00922</t>
  </si>
  <si>
    <t>CUST58356</t>
  </si>
  <si>
    <t>ORD-00807</t>
  </si>
  <si>
    <t>CUST38805</t>
  </si>
  <si>
    <t>ORD-00434</t>
  </si>
  <si>
    <t>CUST66878</t>
  </si>
  <si>
    <t>ORD-03887</t>
  </si>
  <si>
    <t>CUST50038</t>
  </si>
  <si>
    <t>ORD-03010</t>
  </si>
  <si>
    <t>CUST41279</t>
  </si>
  <si>
    <t>Amit Sharma</t>
  </si>
  <si>
    <t>ORD-01239</t>
  </si>
  <si>
    <t>CUST27651</t>
  </si>
  <si>
    <t>Amit Chatterjee</t>
  </si>
  <si>
    <t>ORD-00015</t>
  </si>
  <si>
    <t>CUST32301</t>
  </si>
  <si>
    <t>Arjun Bhat</t>
  </si>
  <si>
    <t>ORD-03772</t>
  </si>
  <si>
    <t>CUST20093</t>
  </si>
  <si>
    <t>ORD-03934</t>
  </si>
  <si>
    <t>CUST52420</t>
  </si>
  <si>
    <t>Pooja Patel</t>
  </si>
  <si>
    <t>ORD-03468</t>
  </si>
  <si>
    <t>CUST47776</t>
  </si>
  <si>
    <t>Arjun Das</t>
  </si>
  <si>
    <t>ORD-00677</t>
  </si>
  <si>
    <t>CUST61386</t>
  </si>
  <si>
    <t>ORD-00503</t>
  </si>
  <si>
    <t>CUST41086</t>
  </si>
  <si>
    <t>ORD-01657</t>
  </si>
  <si>
    <t>CUST72051</t>
  </si>
  <si>
    <t>Sunita Bhat</t>
  </si>
  <si>
    <t>ORD-03364</t>
  </si>
  <si>
    <t>CUST81812</t>
  </si>
  <si>
    <t>Pooja Chatterjee</t>
  </si>
  <si>
    <t>ORD-01705</t>
  </si>
  <si>
    <t>CUST77601</t>
  </si>
  <si>
    <t>Rohan Mishra</t>
  </si>
  <si>
    <t>ORD-00050</t>
  </si>
  <si>
    <t>CUST20234</t>
  </si>
  <si>
    <t>ORD-03151</t>
  </si>
  <si>
    <t>CUST28094</t>
  </si>
  <si>
    <t>Meera Shah</t>
  </si>
  <si>
    <t>ORD-01746</t>
  </si>
  <si>
    <t>CUST09453</t>
  </si>
  <si>
    <t>Arjun Gupta</t>
  </si>
  <si>
    <t>ORD-01671</t>
  </si>
  <si>
    <t>CUST45922</t>
  </si>
  <si>
    <t>Sunita Chatterjee</t>
  </si>
  <si>
    <t>ORD-00944</t>
  </si>
  <si>
    <t>CUST74789</t>
  </si>
  <si>
    <t>ORD-02251</t>
  </si>
  <si>
    <t>CUST41014</t>
  </si>
  <si>
    <t>Deepa Bhat</t>
  </si>
  <si>
    <t>ORD-00466</t>
  </si>
  <si>
    <t>CUST73065</t>
  </si>
  <si>
    <t>Priya Das</t>
  </si>
  <si>
    <t>ORD-01518</t>
  </si>
  <si>
    <t>CUST66356</t>
  </si>
  <si>
    <t>ORD-01384</t>
  </si>
  <si>
    <t>CUST19005</t>
  </si>
  <si>
    <t>ORD-00383</t>
  </si>
  <si>
    <t>CUST78014</t>
  </si>
  <si>
    <t>ORD-01525</t>
  </si>
  <si>
    <t>CUST73027</t>
  </si>
  <si>
    <t>ORD-02930</t>
  </si>
  <si>
    <t>CUST27302</t>
  </si>
  <si>
    <t>ORD-01440</t>
  </si>
  <si>
    <t>CUST84528</t>
  </si>
  <si>
    <t>ORD-03307</t>
  </si>
  <si>
    <t>CUST74033</t>
  </si>
  <si>
    <t>ORD-01634</t>
  </si>
  <si>
    <t>CUST19177</t>
  </si>
  <si>
    <t>ORD-00772</t>
  </si>
  <si>
    <t>CUST40808</t>
  </si>
  <si>
    <t>Shreya Singh</t>
  </si>
  <si>
    <t>ORD-03958</t>
  </si>
  <si>
    <t>CUST05507</t>
  </si>
  <si>
    <t>ORD-01896</t>
  </si>
  <si>
    <t>CUST56422</t>
  </si>
  <si>
    <t>ORD-02041</t>
  </si>
  <si>
    <t>CUST04308</t>
  </si>
  <si>
    <t>ORD-00078</t>
  </si>
  <si>
    <t>CUST03970</t>
  </si>
  <si>
    <t>Arjun Kumar</t>
  </si>
  <si>
    <t>ORD-00305</t>
  </si>
  <si>
    <t>CUST10300</t>
  </si>
  <si>
    <t>ORD-01684</t>
  </si>
  <si>
    <t>CUST67104</t>
  </si>
  <si>
    <t>Aarav Sharma</t>
  </si>
  <si>
    <t>ORD-02637</t>
  </si>
  <si>
    <t>CUST01385</t>
  </si>
  <si>
    <t>Nikhil Sharma</t>
  </si>
  <si>
    <t>ORD-00013</t>
  </si>
  <si>
    <t>CUST86980</t>
  </si>
  <si>
    <t>ORD-04159</t>
  </si>
  <si>
    <t>CUST56892</t>
  </si>
  <si>
    <t>Karan Gupta</t>
  </si>
  <si>
    <t>ORD-03080</t>
  </si>
  <si>
    <t>CUST34629</t>
  </si>
  <si>
    <t>Aarav Singh</t>
  </si>
  <si>
    <t>ORD-02720</t>
  </si>
  <si>
    <t>CUST36373</t>
  </si>
  <si>
    <t>Aarav Kapoor</t>
  </si>
  <si>
    <t>ORD-02315</t>
  </si>
  <si>
    <t>CUST44222</t>
  </si>
  <si>
    <t>Nikhil Pillai</t>
  </si>
  <si>
    <t>ORD-00568</t>
  </si>
  <si>
    <t>CUST35377</t>
  </si>
  <si>
    <t>ORD-00896</t>
  </si>
  <si>
    <t>CUST89978</t>
  </si>
  <si>
    <t>ORD-02261</t>
  </si>
  <si>
    <t>CUST28968</t>
  </si>
  <si>
    <t>Ananya Mehta</t>
  </si>
  <si>
    <t>ORD-04151</t>
  </si>
  <si>
    <t>CUST43686</t>
  </si>
  <si>
    <t>Nikhil Singh</t>
  </si>
  <si>
    <t>ORD-01430</t>
  </si>
  <si>
    <t>CUST37845</t>
  </si>
  <si>
    <t>Nisha Sharma</t>
  </si>
  <si>
    <t>ORD-02884</t>
  </si>
  <si>
    <t>CUST30359</t>
  </si>
  <si>
    <t>Nisha Patel</t>
  </si>
  <si>
    <t>ORD-00529</t>
  </si>
  <si>
    <t>CUST06871</t>
  </si>
  <si>
    <t>Arjun Sharma</t>
  </si>
  <si>
    <t>ORD-01422</t>
  </si>
  <si>
    <t>CUST97273</t>
  </si>
  <si>
    <t>Aarav Gupta</t>
  </si>
  <si>
    <t>ORD-00894</t>
  </si>
  <si>
    <t>CUST78346</t>
  </si>
  <si>
    <t>ORD-01172</t>
  </si>
  <si>
    <t>CUST46531</t>
  </si>
  <si>
    <t>ORD-03633</t>
  </si>
  <si>
    <t>CUST94304</t>
  </si>
  <si>
    <t>ORD-02970</t>
  </si>
  <si>
    <t>CUST03472</t>
  </si>
  <si>
    <t>ORD-01114</t>
  </si>
  <si>
    <t>CUST93051</t>
  </si>
  <si>
    <t>Meera Bhat</t>
  </si>
  <si>
    <t>ORD-03800</t>
  </si>
  <si>
    <t>CUST91283</t>
  </si>
  <si>
    <t>ORD-03557</t>
  </si>
  <si>
    <t>CUST80826</t>
  </si>
  <si>
    <t>ORD-01952</t>
  </si>
  <si>
    <t>CUST78875</t>
  </si>
  <si>
    <t>ORD-03988</t>
  </si>
  <si>
    <t>CUST06985</t>
  </si>
  <si>
    <t>ORD-00777</t>
  </si>
  <si>
    <t>CUST52222</t>
  </si>
  <si>
    <t>ORD-02091</t>
  </si>
  <si>
    <t>CUST74431</t>
  </si>
  <si>
    <t>ORD-01534</t>
  </si>
  <si>
    <t>CUST28621</t>
  </si>
  <si>
    <t>ORD-01342</t>
  </si>
  <si>
    <t>CUST97259</t>
  </si>
  <si>
    <t>Aarav Chatterjee</t>
  </si>
  <si>
    <t>ORD-00718</t>
  </si>
  <si>
    <t>CUST87168</t>
  </si>
  <si>
    <t>ORD-00732</t>
  </si>
  <si>
    <t>CUST50773</t>
  </si>
  <si>
    <t>Pooja Nair</t>
  </si>
  <si>
    <t>ORD-01041</t>
  </si>
  <si>
    <t>CUST54549</t>
  </si>
  <si>
    <t>ORD-03263</t>
  </si>
  <si>
    <t>CUST94911</t>
  </si>
  <si>
    <t>Rohan Gupta</t>
  </si>
  <si>
    <t>ORD-01119</t>
  </si>
  <si>
    <t>CUST96816</t>
  </si>
  <si>
    <t>ORD-01552</t>
  </si>
  <si>
    <t>CUST17708</t>
  </si>
  <si>
    <t>ORD-00087</t>
  </si>
  <si>
    <t>CUST92405</t>
  </si>
  <si>
    <t>ORD-01058</t>
  </si>
  <si>
    <t>CUST42637</t>
  </si>
  <si>
    <t>ORD-01248</t>
  </si>
  <si>
    <t>CUST02073</t>
  </si>
  <si>
    <t>ORD-00659</t>
  </si>
  <si>
    <t>CUST20907</t>
  </si>
  <si>
    <t>ORD-00866</t>
  </si>
  <si>
    <t>CUST71222</t>
  </si>
  <si>
    <t>Pooja Das</t>
  </si>
  <si>
    <t>ORD-02674</t>
  </si>
  <si>
    <t>CUST43411</t>
  </si>
  <si>
    <t>ORD-01520</t>
  </si>
  <si>
    <t>CUST85696</t>
  </si>
  <si>
    <t>Kavya Mishra</t>
  </si>
  <si>
    <t>ORD-00479</t>
  </si>
  <si>
    <t>CUST08721</t>
  </si>
  <si>
    <t>ORD-03969</t>
  </si>
  <si>
    <t>CUST60604</t>
  </si>
  <si>
    <t>ORD-01869</t>
  </si>
  <si>
    <t>CUST89646</t>
  </si>
  <si>
    <t>ORD-03181</t>
  </si>
  <si>
    <t>CUST05659</t>
  </si>
  <si>
    <t>ORD-00572</t>
  </si>
  <si>
    <t>CUST64941</t>
  </si>
  <si>
    <t>ORD-00095</t>
  </si>
  <si>
    <t>CUST17595</t>
  </si>
  <si>
    <t>Ritu Iyer</t>
  </si>
  <si>
    <t>ORD-00386</t>
  </si>
  <si>
    <t>CUST61530</t>
  </si>
  <si>
    <t>ORD-01321</t>
  </si>
  <si>
    <t>CUST60359</t>
  </si>
  <si>
    <t>Kavya Gupta</t>
  </si>
  <si>
    <t>ORD-03432</t>
  </si>
  <si>
    <t>CUST93500</t>
  </si>
  <si>
    <t>ORD-01995</t>
  </si>
  <si>
    <t>CUST56565</t>
  </si>
  <si>
    <t>ORD-02537</t>
  </si>
  <si>
    <t>CUST57903</t>
  </si>
  <si>
    <t>ORD-01383</t>
  </si>
  <si>
    <t>CUST61824</t>
  </si>
  <si>
    <t>ORD-01382</t>
  </si>
  <si>
    <t>CUST87197</t>
  </si>
  <si>
    <t>ORD-01607</t>
  </si>
  <si>
    <t>CUST44100</t>
  </si>
  <si>
    <t>ORD-01983</t>
  </si>
  <si>
    <t>CUST55032</t>
  </si>
  <si>
    <t>ORD-01533</t>
  </si>
  <si>
    <t>CUST14357</t>
  </si>
  <si>
    <t>Deepa Chatterjee</t>
  </si>
  <si>
    <t>ORD-00790</t>
  </si>
  <si>
    <t>CUST03149</t>
  </si>
  <si>
    <t>ORD-02988</t>
  </si>
  <si>
    <t>CUST14176</t>
  </si>
  <si>
    <t>ORD-01713</t>
  </si>
  <si>
    <t>CUST87459</t>
  </si>
  <si>
    <t>Sanjay Das</t>
  </si>
  <si>
    <t>ORD-02220</t>
  </si>
  <si>
    <t>CUST94861</t>
  </si>
  <si>
    <t>ORD-04056</t>
  </si>
  <si>
    <t>CUST85837</t>
  </si>
  <si>
    <t>ORD-03871</t>
  </si>
  <si>
    <t>CUST30080</t>
  </si>
  <si>
    <t>ORD-02903</t>
  </si>
  <si>
    <t>CUST35531</t>
  </si>
  <si>
    <t>ORD-02065</t>
  </si>
  <si>
    <t>CUST70033</t>
  </si>
  <si>
    <t>ORD-03223</t>
  </si>
  <si>
    <t>CUST08748</t>
  </si>
  <si>
    <t>ORD-02611</t>
  </si>
  <si>
    <t>CUST82751</t>
  </si>
  <si>
    <t>ORD-00288</t>
  </si>
  <si>
    <t>CUST56916</t>
  </si>
  <si>
    <t>ORD-00962</t>
  </si>
  <si>
    <t>CUST30724</t>
  </si>
  <si>
    <t>ORD-00911</t>
  </si>
  <si>
    <t>CUST78268</t>
  </si>
  <si>
    <t>Shreya Sharma</t>
  </si>
  <si>
    <t>ORD-02833</t>
  </si>
  <si>
    <t>CUST95416</t>
  </si>
  <si>
    <t>ORD-00691</t>
  </si>
  <si>
    <t>CUST03760</t>
  </si>
  <si>
    <t>ORD-02089</t>
  </si>
  <si>
    <t>CUST77763</t>
  </si>
  <si>
    <t>Shreya Nair</t>
  </si>
  <si>
    <t>ORD-03147</t>
  </si>
  <si>
    <t>CUST30274</t>
  </si>
  <si>
    <t>ORD-02100</t>
  </si>
  <si>
    <t>CUST74233</t>
  </si>
  <si>
    <t>Nisha Chatterjee</t>
  </si>
  <si>
    <t>ORD-02626</t>
  </si>
  <si>
    <t>CUST69406</t>
  </si>
  <si>
    <t>ORD-02079</t>
  </si>
  <si>
    <t>CUST04011</t>
  </si>
  <si>
    <t>ORD-02750</t>
  </si>
  <si>
    <t>CUST50334</t>
  </si>
  <si>
    <t>ORD-00858</t>
  </si>
  <si>
    <t>CUST72879</t>
  </si>
  <si>
    <t>ORD-00655</t>
  </si>
  <si>
    <t>CUST05466</t>
  </si>
  <si>
    <t>Karan Kapoor</t>
  </si>
  <si>
    <t>ORD-02447</t>
  </si>
  <si>
    <t>CUST28654</t>
  </si>
  <si>
    <t>ORD-03981</t>
  </si>
  <si>
    <t>CUST77329</t>
  </si>
  <si>
    <t>ORD-03668</t>
  </si>
  <si>
    <t>CUST73443</t>
  </si>
  <si>
    <t>ORD-00312</t>
  </si>
  <si>
    <t>CUST15821</t>
  </si>
  <si>
    <t>Karan Kumar</t>
  </si>
  <si>
    <t>ORD-02446</t>
  </si>
  <si>
    <t>CUST10062</t>
  </si>
  <si>
    <t>ORD-01508</t>
  </si>
  <si>
    <t>CUST17295</t>
  </si>
  <si>
    <t>ORD-02907</t>
  </si>
  <si>
    <t>CUST44256</t>
  </si>
  <si>
    <t>ORD-00260</t>
  </si>
  <si>
    <t>CUST61424</t>
  </si>
  <si>
    <t>ORD-03119</t>
  </si>
  <si>
    <t>CUST59443</t>
  </si>
  <si>
    <t>ORD-00420</t>
  </si>
  <si>
    <t>CUST53531</t>
  </si>
  <si>
    <t>ORD-02767</t>
  </si>
  <si>
    <t>CUST75550</t>
  </si>
  <si>
    <t>ORD-00456</t>
  </si>
  <si>
    <t>CUST76466</t>
  </si>
  <si>
    <t>ORD-03233</t>
  </si>
  <si>
    <t>CUST27413</t>
  </si>
  <si>
    <t>Amit Gupta</t>
  </si>
  <si>
    <t>ORD-02244</t>
  </si>
  <si>
    <t>CUST41690</t>
  </si>
  <si>
    <t>ORD-01182</t>
  </si>
  <si>
    <t>CUST88678</t>
  </si>
  <si>
    <t>Deepa Sharma</t>
  </si>
  <si>
    <t>ORD-01343</t>
  </si>
  <si>
    <t>CUST26367</t>
  </si>
  <si>
    <t>Vikram Bose</t>
  </si>
  <si>
    <t>ORD-01071</t>
  </si>
  <si>
    <t>CUST61699</t>
  </si>
  <si>
    <t>ORD-00102</t>
  </si>
  <si>
    <t>CUST59146</t>
  </si>
  <si>
    <t>Nikhil Kapoor</t>
  </si>
  <si>
    <t>ORD-00755</t>
  </si>
  <si>
    <t>CUST00745</t>
  </si>
  <si>
    <t>ORD-04058</t>
  </si>
  <si>
    <t>CUST87657</t>
  </si>
  <si>
    <t>ORD-00795</t>
  </si>
  <si>
    <t>CUST00853</t>
  </si>
  <si>
    <t>ORD-01270</t>
  </si>
  <si>
    <t>CUST77971</t>
  </si>
  <si>
    <t>ORD-03213</t>
  </si>
  <si>
    <t>CUST91826</t>
  </si>
  <si>
    <t>Sanjay Patel</t>
  </si>
  <si>
    <t>ORD-02929</t>
  </si>
  <si>
    <t>CUST82307</t>
  </si>
  <si>
    <t>Sanjay Kumar</t>
  </si>
  <si>
    <t>ORD-01441</t>
  </si>
  <si>
    <t>CUST46668</t>
  </si>
  <si>
    <t>Karan Bhat</t>
  </si>
  <si>
    <t>ORD-01615</t>
  </si>
  <si>
    <t>CUST49728</t>
  </si>
  <si>
    <t>ORD-02739</t>
  </si>
  <si>
    <t>CUST55589</t>
  </si>
  <si>
    <t>ORD-02536</t>
  </si>
  <si>
    <t>CUST18948</t>
  </si>
  <si>
    <t>Amit Shah</t>
  </si>
  <si>
    <t>ORD-03905</t>
  </si>
  <si>
    <t>CUST19408</t>
  </si>
  <si>
    <t>ORD-00750</t>
  </si>
  <si>
    <t>CUST88589</t>
  </si>
  <si>
    <t>Karan Joshi</t>
  </si>
  <si>
    <t>ORD-01082</t>
  </si>
  <si>
    <t>CUST69812</t>
  </si>
  <si>
    <t>Ritu Kapoor</t>
  </si>
  <si>
    <t>ORD-01028</t>
  </si>
  <si>
    <t>CUST33135</t>
  </si>
  <si>
    <t>ORD-00895</t>
  </si>
  <si>
    <t>CUST68309</t>
  </si>
  <si>
    <t>ORD-03097</t>
  </si>
  <si>
    <t>CUST96631</t>
  </si>
  <si>
    <t>ORD-03816</t>
  </si>
  <si>
    <t>CUST84507</t>
  </si>
  <si>
    <t>ORD-03490</t>
  </si>
  <si>
    <t>CUST29539</t>
  </si>
  <si>
    <t>ORD-02075</t>
  </si>
  <si>
    <t>CUST98678</t>
  </si>
  <si>
    <t>ORD-00159</t>
  </si>
  <si>
    <t>CUST53040</t>
  </si>
  <si>
    <t>Rahul Joshi</t>
  </si>
  <si>
    <t>ORD-00486</t>
  </si>
  <si>
    <t>CUST70631</t>
  </si>
  <si>
    <t>ORD-00348</t>
  </si>
  <si>
    <t>CUST36817</t>
  </si>
  <si>
    <t>ORD-03138</t>
  </si>
  <si>
    <t>CUST63631</t>
  </si>
  <si>
    <t>ORD-01347</t>
  </si>
  <si>
    <t>CUST43896</t>
  </si>
  <si>
    <t>ORD-03544</t>
  </si>
  <si>
    <t>CUST29796</t>
  </si>
  <si>
    <t>ORD-03719</t>
  </si>
  <si>
    <t>CUST03355</t>
  </si>
  <si>
    <t>ORD-02654</t>
  </si>
  <si>
    <t>CUST39288</t>
  </si>
  <si>
    <t>ORD-02687</t>
  </si>
  <si>
    <t>CUST74163</t>
  </si>
  <si>
    <t>ORD-00801</t>
  </si>
  <si>
    <t>CUST09674</t>
  </si>
  <si>
    <t>ORD-01572</t>
  </si>
  <si>
    <t>CUST23827</t>
  </si>
  <si>
    <t>ORD-02756</t>
  </si>
  <si>
    <t>CUST40199</t>
  </si>
  <si>
    <t>ORD-03626</t>
  </si>
  <si>
    <t>CUST12779</t>
  </si>
  <si>
    <t>ORD-00207</t>
  </si>
  <si>
    <t>CUST97019</t>
  </si>
  <si>
    <t>Nikhil Mehta</t>
  </si>
  <si>
    <t>ORD-03929</t>
  </si>
  <si>
    <t>CUST39906</t>
  </si>
  <si>
    <t>ORD-00686</t>
  </si>
  <si>
    <t>CUST38079</t>
  </si>
  <si>
    <t>ORD-00029</t>
  </si>
  <si>
    <t>CUST78062</t>
  </si>
  <si>
    <t>ORD-01666</t>
  </si>
  <si>
    <t>CUST87705</t>
  </si>
  <si>
    <t>ORD-00265</t>
  </si>
  <si>
    <t>CUST32861</t>
  </si>
  <si>
    <t>ORD-03060</t>
  </si>
  <si>
    <t>CUST71865</t>
  </si>
  <si>
    <t>ORD-04134</t>
  </si>
  <si>
    <t>CUST52437</t>
  </si>
  <si>
    <t>Rohan Kapoor</t>
  </si>
  <si>
    <t>ORD-02567</t>
  </si>
  <si>
    <t>CUST46311</t>
  </si>
  <si>
    <t>ORD-00021</t>
  </si>
  <si>
    <t>CUST80727</t>
  </si>
  <si>
    <t>ORD-02242</t>
  </si>
  <si>
    <t>CUST95868</t>
  </si>
  <si>
    <t>ORD-04147</t>
  </si>
  <si>
    <t>CUST95344</t>
  </si>
  <si>
    <t>ORD-00668</t>
  </si>
  <si>
    <t>CUST19944</t>
  </si>
  <si>
    <t>ORD-02934</t>
  </si>
  <si>
    <t>CUST34229</t>
  </si>
  <si>
    <t>ORD-02266</t>
  </si>
  <si>
    <t>CUST21061</t>
  </si>
  <si>
    <t>ORD-04076</t>
  </si>
  <si>
    <t>CUST95354</t>
  </si>
  <si>
    <t>Aarav Nair</t>
  </si>
  <si>
    <t>ORD-03563</t>
  </si>
  <si>
    <t>CUST46277</t>
  </si>
  <si>
    <t>ORD-02321</t>
  </si>
  <si>
    <t>CUST59579</t>
  </si>
  <si>
    <t>ORD-03945</t>
  </si>
  <si>
    <t>CUST92249</t>
  </si>
  <si>
    <t>ORD-01563</t>
  </si>
  <si>
    <t>ORD-00545</t>
  </si>
  <si>
    <t>CUST34020</t>
  </si>
  <si>
    <t>ORD-00909</t>
  </si>
  <si>
    <t>CUST63944</t>
  </si>
  <si>
    <t>ORD-03437</t>
  </si>
  <si>
    <t>CUST14095</t>
  </si>
  <si>
    <t>ORD-02631</t>
  </si>
  <si>
    <t>CUST32596</t>
  </si>
  <si>
    <t>ORD-00525</t>
  </si>
  <si>
    <t>CUST73074</t>
  </si>
  <si>
    <t>ORD-02703</t>
  </si>
  <si>
    <t>CUST53601</t>
  </si>
  <si>
    <t>Rohan Iyer</t>
  </si>
  <si>
    <t>ORD-04083</t>
  </si>
  <si>
    <t>CUST32744</t>
  </si>
  <si>
    <t>ORD-02199</t>
  </si>
  <si>
    <t>CUST65100</t>
  </si>
  <si>
    <t>Priya Patel</t>
  </si>
  <si>
    <t>ORD-00901</t>
  </si>
  <si>
    <t>CUST88807</t>
  </si>
  <si>
    <t>ORD-04149</t>
  </si>
  <si>
    <t>CUST54782</t>
  </si>
  <si>
    <t>ORD-00638</t>
  </si>
  <si>
    <t>CUST17767</t>
  </si>
  <si>
    <t>ORD-00010</t>
  </si>
  <si>
    <t>CUST07407</t>
  </si>
  <si>
    <t>ORD-01250</t>
  </si>
  <si>
    <t>CUST20121</t>
  </si>
  <si>
    <t>ORD-01550</t>
  </si>
  <si>
    <t>CUST66901</t>
  </si>
  <si>
    <t>ORD-03192</t>
  </si>
  <si>
    <t>CUST23779</t>
  </si>
  <si>
    <t>ORD-01356</t>
  </si>
  <si>
    <t>CUST36316</t>
  </si>
  <si>
    <t>ORD-00789</t>
  </si>
  <si>
    <t>CUST67387</t>
  </si>
  <si>
    <t>ORD-03113</t>
  </si>
  <si>
    <t>CUST73185</t>
  </si>
  <si>
    <t>Amit Mishra</t>
  </si>
  <si>
    <t>ORD-03918</t>
  </si>
  <si>
    <t>CUST09195</t>
  </si>
  <si>
    <t>Ritu Singh</t>
  </si>
  <si>
    <t>ORD-00952</t>
  </si>
  <si>
    <t>CUST97126</t>
  </si>
  <si>
    <t>ORD-00512</t>
  </si>
  <si>
    <t>CUST98505</t>
  </si>
  <si>
    <t>ORD-01236</t>
  </si>
  <si>
    <t>CUST30009</t>
  </si>
  <si>
    <t>ORD-01618</t>
  </si>
  <si>
    <t>CUST82777</t>
  </si>
  <si>
    <t>ORD-03286</t>
  </si>
  <si>
    <t>CUST81972</t>
  </si>
  <si>
    <t>ORD-02164</t>
  </si>
  <si>
    <t>CUST84076</t>
  </si>
  <si>
    <t>ORD-03645</t>
  </si>
  <si>
    <t>CUST40711</t>
  </si>
  <si>
    <t>ORD-01602</t>
  </si>
  <si>
    <t>CUST98061</t>
  </si>
  <si>
    <t>ORD-02308</t>
  </si>
  <si>
    <t>CUST13492</t>
  </si>
  <si>
    <t>ORD-03457</t>
  </si>
  <si>
    <t>CUST62784</t>
  </si>
  <si>
    <t>ORD-03725</t>
  </si>
  <si>
    <t>CUST34762</t>
  </si>
  <si>
    <t>ORD-00240</t>
  </si>
  <si>
    <t>CUST66088</t>
  </si>
  <si>
    <t>ORD-01538</t>
  </si>
  <si>
    <t>CUST30276</t>
  </si>
  <si>
    <t>ORD-00246</t>
  </si>
  <si>
    <t>CUST40327</t>
  </si>
  <si>
    <t>ORD-01653</t>
  </si>
  <si>
    <t>CUST39228</t>
  </si>
  <si>
    <t>ORD-00549</t>
  </si>
  <si>
    <t>CUST39184</t>
  </si>
  <si>
    <t>Arjun Nair</t>
  </si>
  <si>
    <t>ORD-02531</t>
  </si>
  <si>
    <t>CUST65173</t>
  </si>
  <si>
    <t>ORD-01426</t>
  </si>
  <si>
    <t>CUST08147</t>
  </si>
  <si>
    <t>ORD-03686</t>
  </si>
  <si>
    <t>CUST39920</t>
  </si>
  <si>
    <t>Rahul Pillai</t>
  </si>
  <si>
    <t>ORD-01694</t>
  </si>
  <si>
    <t>CUST30040</t>
  </si>
  <si>
    <t>ORD-01035</t>
  </si>
  <si>
    <t>CUST49938</t>
  </si>
  <si>
    <t>ORD-02114</t>
  </si>
  <si>
    <t>CUST71584</t>
  </si>
  <si>
    <t>ORD-03137</t>
  </si>
  <si>
    <t>CUST53427</t>
  </si>
  <si>
    <t>ORD-01438</t>
  </si>
  <si>
    <t>CUST54455</t>
  </si>
  <si>
    <t>ORD-02064</t>
  </si>
  <si>
    <t>CUST47972</t>
  </si>
  <si>
    <t>ORD-02545</t>
  </si>
  <si>
    <t>CUST44757</t>
  </si>
  <si>
    <t>ORD-01051</t>
  </si>
  <si>
    <t>CUST83773</t>
  </si>
  <si>
    <t>ORD-02111</t>
  </si>
  <si>
    <t>CUST33335</t>
  </si>
  <si>
    <t>ORD-00109</t>
  </si>
  <si>
    <t>CUST69131</t>
  </si>
  <si>
    <t>ORD-00580</t>
  </si>
  <si>
    <t>CUST77116</t>
  </si>
  <si>
    <t>ORD-01507</t>
  </si>
  <si>
    <t>CUST40530</t>
  </si>
  <si>
    <t>ORD-00547</t>
  </si>
  <si>
    <t>CUST60580</t>
  </si>
  <si>
    <t>ORD-00924</t>
  </si>
  <si>
    <t>CUST61112</t>
  </si>
  <si>
    <t>ORD-01081</t>
  </si>
  <si>
    <t>CUST44184</t>
  </si>
  <si>
    <t>ORD-00275</t>
  </si>
  <si>
    <t>CUST24667</t>
  </si>
  <si>
    <t>ORD-03517</t>
  </si>
  <si>
    <t>CUST27360</t>
  </si>
  <si>
    <t>ORD-01472</t>
  </si>
  <si>
    <t>CUST26553</t>
  </si>
  <si>
    <t>ORD-01299</t>
  </si>
  <si>
    <t>CUST07041</t>
  </si>
  <si>
    <t>ORD-00951</t>
  </si>
  <si>
    <t>CUST39186</t>
  </si>
  <si>
    <t>ORD-03695</t>
  </si>
  <si>
    <t>CUST26394</t>
  </si>
  <si>
    <t>ORD-01830</t>
  </si>
  <si>
    <t>CUST13979</t>
  </si>
  <si>
    <t>ORD-01148</t>
  </si>
  <si>
    <t>CUST00645</t>
  </si>
  <si>
    <t>ORD-01953</t>
  </si>
  <si>
    <t>CUST12422</t>
  </si>
  <si>
    <t>ORD-01811</t>
  </si>
  <si>
    <t>CUST60426</t>
  </si>
  <si>
    <t>ORD-03384</t>
  </si>
  <si>
    <t>CUST17189</t>
  </si>
  <si>
    <t>ORD-01217</t>
  </si>
  <si>
    <t>CUST73651</t>
  </si>
  <si>
    <t>ORD-02217</t>
  </si>
  <si>
    <t>CUST06113</t>
  </si>
  <si>
    <t>ORD-01503</t>
  </si>
  <si>
    <t>CUST60626</t>
  </si>
  <si>
    <t>ORD-01415</t>
  </si>
  <si>
    <t>CUST50601</t>
  </si>
  <si>
    <t>ORD-02994</t>
  </si>
  <si>
    <t>CUST67685</t>
  </si>
  <si>
    <t>ORD-01140</t>
  </si>
  <si>
    <t>CUST57705</t>
  </si>
  <si>
    <t>ORD-03069</t>
  </si>
  <si>
    <t>CUST13129</t>
  </si>
  <si>
    <t>ORD-02668</t>
  </si>
  <si>
    <t>CUST00301</t>
  </si>
  <si>
    <t>ORD-00995</t>
  </si>
  <si>
    <t>CUST31960</t>
  </si>
  <si>
    <t>ORD-02617</t>
  </si>
  <si>
    <t>CUST17877</t>
  </si>
  <si>
    <t>Priya Iyer</t>
  </si>
  <si>
    <t>ORD-00850</t>
  </si>
  <si>
    <t>CUST69680</t>
  </si>
  <si>
    <t>Nisha Pillai</t>
  </si>
  <si>
    <t>ORD-03153</t>
  </si>
  <si>
    <t>CUST93955</t>
  </si>
  <si>
    <t>ORD-02808</t>
  </si>
  <si>
    <t>CUST74228</t>
  </si>
  <si>
    <t>ORD-01127</t>
  </si>
  <si>
    <t>CUST44836</t>
  </si>
  <si>
    <t>ORD-00464</t>
  </si>
  <si>
    <t>CUST22675</t>
  </si>
  <si>
    <t>ORD-00898</t>
  </si>
  <si>
    <t>CUST48501</t>
  </si>
  <si>
    <t>ORD-00642</t>
  </si>
  <si>
    <t>CUST75414</t>
  </si>
  <si>
    <t>Arjun Mishra</t>
  </si>
  <si>
    <t>ORD-00639</t>
  </si>
  <si>
    <t>CUST32361</t>
  </si>
  <si>
    <t>ORD-00330</t>
  </si>
  <si>
    <t>CUST60862</t>
  </si>
  <si>
    <t>ORD-00919</t>
  </si>
  <si>
    <t>CUST83261</t>
  </si>
  <si>
    <t>Ritu Mehta</t>
  </si>
  <si>
    <t>ORD-03509</t>
  </si>
  <si>
    <t>CUST87841</t>
  </si>
  <si>
    <t>ORD-00643</t>
  </si>
  <si>
    <t>CUST54148</t>
  </si>
  <si>
    <t>ORD-00218</t>
  </si>
  <si>
    <t>CUST80333</t>
  </si>
  <si>
    <t>ORD-00135</t>
  </si>
  <si>
    <t>CUST09673</t>
  </si>
  <si>
    <t>ORD-02572</t>
  </si>
  <si>
    <t>CUST19082</t>
  </si>
  <si>
    <t>ORD-02527</t>
  </si>
  <si>
    <t>CUST06675</t>
  </si>
  <si>
    <t>ORD-00705</t>
  </si>
  <si>
    <t>CUST82661</t>
  </si>
  <si>
    <t>ORD-01488</t>
  </si>
  <si>
    <t>CUST63879</t>
  </si>
  <si>
    <t>ORD-03808</t>
  </si>
  <si>
    <t>CUST03800</t>
  </si>
  <si>
    <t>ORD-00133</t>
  </si>
  <si>
    <t>CUST06416</t>
  </si>
  <si>
    <t>ORD-02267</t>
  </si>
  <si>
    <t>CUST18261</t>
  </si>
  <si>
    <t>ORD-03854</t>
  </si>
  <si>
    <t>CUST17266</t>
  </si>
  <si>
    <t>ORD-02441</t>
  </si>
  <si>
    <t>CUST43234</t>
  </si>
  <si>
    <t>ORD-00675</t>
  </si>
  <si>
    <t>CUST59612</t>
  </si>
  <si>
    <t>ORD-04167</t>
  </si>
  <si>
    <t>CUST06213</t>
  </si>
  <si>
    <t>ORD-03855</t>
  </si>
  <si>
    <t>CUST83631</t>
  </si>
  <si>
    <t>ORD-03190</t>
  </si>
  <si>
    <t>CUST24234</t>
  </si>
  <si>
    <t>ORD-03757</t>
  </si>
  <si>
    <t>CUST96410</t>
  </si>
  <si>
    <t>ORD-02500</t>
  </si>
  <si>
    <t>CUST39273</t>
  </si>
  <si>
    <t>ORD-02344</t>
  </si>
  <si>
    <t>CUST14351</t>
  </si>
  <si>
    <t>ORD-03341</t>
  </si>
  <si>
    <t>CUST62991</t>
  </si>
  <si>
    <t>ORD-03571</t>
  </si>
  <si>
    <t>CUST52512</t>
  </si>
  <si>
    <t>ORD-01181</t>
  </si>
  <si>
    <t>CUST78578</t>
  </si>
  <si>
    <t>Vikram Reddy</t>
  </si>
  <si>
    <t>ORD-01135</t>
  </si>
  <si>
    <t>CUST96639</t>
  </si>
  <si>
    <t>ORD-01837</t>
  </si>
  <si>
    <t>CUST54771</t>
  </si>
  <si>
    <t>ORD-03375</t>
  </si>
  <si>
    <t>CUST69853</t>
  </si>
  <si>
    <t>ORD-00352</t>
  </si>
  <si>
    <t>CUST23957</t>
  </si>
  <si>
    <t>Aditya Joshi</t>
  </si>
  <si>
    <t>ORD-03565</t>
  </si>
  <si>
    <t>CUST40074</t>
  </si>
  <si>
    <t>ORD-03987</t>
  </si>
  <si>
    <t>CUST84905</t>
  </si>
  <si>
    <t>ORD-03045</t>
  </si>
  <si>
    <t>CUST54485</t>
  </si>
  <si>
    <t>ORD-03187</t>
  </si>
  <si>
    <t>CUST63003</t>
  </si>
  <si>
    <t>ORD-02112</t>
  </si>
  <si>
    <t>CUST60338</t>
  </si>
  <si>
    <t>ORD-03828</t>
  </si>
  <si>
    <t>CUST16772</t>
  </si>
  <si>
    <t>ORD-00769</t>
  </si>
  <si>
    <t>CUST22535</t>
  </si>
  <si>
    <t>ORD-01203</t>
  </si>
  <si>
    <t>CUST20494</t>
  </si>
  <si>
    <t>ORD-03754</t>
  </si>
  <si>
    <t>CUST83515</t>
  </si>
  <si>
    <t>ORD-01404</t>
  </si>
  <si>
    <t>CUST34886</t>
  </si>
  <si>
    <t>ORD-00023</t>
  </si>
  <si>
    <t>CUST78914</t>
  </si>
  <si>
    <t>Ritu Rao</t>
  </si>
  <si>
    <t>ORD-03438</t>
  </si>
  <si>
    <t>CUST66705</t>
  </si>
  <si>
    <t>Sunita Shah</t>
  </si>
  <si>
    <t>ORD-02818</t>
  </si>
  <si>
    <t>CUST11582</t>
  </si>
  <si>
    <t>ORD-03416</t>
  </si>
  <si>
    <t>CUST98563</t>
  </si>
  <si>
    <t>Ananya Pillai</t>
  </si>
  <si>
    <t>ORD-00351</t>
  </si>
  <si>
    <t>CUST05560</t>
  </si>
  <si>
    <t>ORD-02653</t>
  </si>
  <si>
    <t>CUST19008</t>
  </si>
  <si>
    <t>ORD-00604</t>
  </si>
  <si>
    <t>CUST47446</t>
  </si>
  <si>
    <t>ORD-00768</t>
  </si>
  <si>
    <t>CUST47322</t>
  </si>
  <si>
    <t>ORD-00596</t>
  </si>
  <si>
    <t>CUST30793</t>
  </si>
  <si>
    <t>ORD-02256</t>
  </si>
  <si>
    <t>CUST76072</t>
  </si>
  <si>
    <t>Karan Pillai</t>
  </si>
  <si>
    <t>ORD-01241</t>
  </si>
  <si>
    <t>CUST61863</t>
  </si>
  <si>
    <t>Shreya Joshi</t>
  </si>
  <si>
    <t>ORD-01000</t>
  </si>
  <si>
    <t>CUST98974</t>
  </si>
  <si>
    <t>ORD-02229</t>
  </si>
  <si>
    <t>CUST82156</t>
  </si>
  <si>
    <t>ORD-03572</t>
  </si>
  <si>
    <t>CUST95134</t>
  </si>
  <si>
    <t>Aarav Kumar</t>
  </si>
  <si>
    <t>ORD-03892</t>
  </si>
  <si>
    <t>CUST28116</t>
  </si>
  <si>
    <t>Pooja Bose</t>
  </si>
  <si>
    <t>ORD-00499</t>
  </si>
  <si>
    <t>CUST68621</t>
  </si>
  <si>
    <t>Sunita Nair</t>
  </si>
  <si>
    <t>ORD-00756</t>
  </si>
  <si>
    <t>CUST60860</t>
  </si>
  <si>
    <t>ORD-02357</t>
  </si>
  <si>
    <t>CUST17365</t>
  </si>
  <si>
    <t>ORD-02897</t>
  </si>
  <si>
    <t>CUST64599</t>
  </si>
  <si>
    <t>ORD-02629</t>
  </si>
  <si>
    <t>CUST23638</t>
  </si>
  <si>
    <t>ORD-01317</t>
  </si>
  <si>
    <t>CUST37544</t>
  </si>
  <si>
    <t>ORD-03043</t>
  </si>
  <si>
    <t>CUST77236</t>
  </si>
  <si>
    <t>ORD-04152</t>
  </si>
  <si>
    <t>CUST27678</t>
  </si>
  <si>
    <t>ORD-00084</t>
  </si>
  <si>
    <t>CUST43984</t>
  </si>
  <si>
    <t>ORD-00539</t>
  </si>
  <si>
    <t>CUST19345</t>
  </si>
  <si>
    <t>ORD-01926</t>
  </si>
  <si>
    <t>CUST98569</t>
  </si>
  <si>
    <t>Amit Joshi</t>
  </si>
  <si>
    <t>ORD-03361</t>
  </si>
  <si>
    <t>CUST86557</t>
  </si>
  <si>
    <t>ORD-01785</t>
  </si>
  <si>
    <t>CUST57566</t>
  </si>
  <si>
    <t>ORD-02197</t>
  </si>
  <si>
    <t>CUST78749</t>
  </si>
  <si>
    <t>ORD-01722</t>
  </si>
  <si>
    <t>CUST63028</t>
  </si>
  <si>
    <t>Deepa Mishra</t>
  </si>
  <si>
    <t>ORD-01626</t>
  </si>
  <si>
    <t>CUST71913</t>
  </si>
  <si>
    <t>ORD-04025</t>
  </si>
  <si>
    <t>CUST94922</t>
  </si>
  <si>
    <t>ORD-02917</t>
  </si>
  <si>
    <t>CUST53514</t>
  </si>
  <si>
    <t>ORD-00220</t>
  </si>
  <si>
    <t>CUST34125</t>
  </si>
  <si>
    <t>ORD-00188</t>
  </si>
  <si>
    <t>CUST84898</t>
  </si>
  <si>
    <t>ORD-03444</t>
  </si>
  <si>
    <t>CUST31786</t>
  </si>
  <si>
    <t>ORD-01673</t>
  </si>
  <si>
    <t>CUST61953</t>
  </si>
  <si>
    <t>ORD-00645</t>
  </si>
  <si>
    <t>CUST20584</t>
  </si>
  <si>
    <t>ORD-01025</t>
  </si>
  <si>
    <t>CUST16923</t>
  </si>
  <si>
    <t>ORD-01835</t>
  </si>
  <si>
    <t>CUST19761</t>
  </si>
  <si>
    <t>ORD-03501</t>
  </si>
  <si>
    <t>CUST99295</t>
  </si>
  <si>
    <t>ORD-01836</t>
  </si>
  <si>
    <t>CUST59858</t>
  </si>
  <si>
    <t>ORD-02683</t>
  </si>
  <si>
    <t>CUST18854</t>
  </si>
  <si>
    <t>ORD-04039</t>
  </si>
  <si>
    <t>CUST38048</t>
  </si>
  <si>
    <t>ORD-01471</t>
  </si>
  <si>
    <t>CUST70306</t>
  </si>
  <si>
    <t>ORD-02561</t>
  </si>
  <si>
    <t>CUST34744</t>
  </si>
  <si>
    <t>ORD-02297</t>
  </si>
  <si>
    <t>CUST42672</t>
  </si>
  <si>
    <t>ORD-03108</t>
  </si>
  <si>
    <t>CUST73404</t>
  </si>
  <si>
    <t>Ritu Patel</t>
  </si>
  <si>
    <t>ORD-01121</t>
  </si>
  <si>
    <t>CUST42961</t>
  </si>
  <si>
    <t>Rahul Reddy</t>
  </si>
  <si>
    <t>ORD-04059</t>
  </si>
  <si>
    <t>CUST50161</t>
  </si>
  <si>
    <t>ORD-03548</t>
  </si>
  <si>
    <t>CUST66417</t>
  </si>
  <si>
    <t>ORD-02642</t>
  </si>
  <si>
    <t>CUST28950</t>
  </si>
  <si>
    <t>ORD-01743</t>
  </si>
  <si>
    <t>CUST21723</t>
  </si>
  <si>
    <t>ORD-03587</t>
  </si>
  <si>
    <t>CUST49861</t>
  </si>
  <si>
    <t>ORD-02306</t>
  </si>
  <si>
    <t>CUST12892</t>
  </si>
  <si>
    <t>ORD-02019</t>
  </si>
  <si>
    <t>CUST93903</t>
  </si>
  <si>
    <t>ORD-01432</t>
  </si>
  <si>
    <t>CUST02652</t>
  </si>
  <si>
    <t>ORD-02901</t>
  </si>
  <si>
    <t>CUST57226</t>
  </si>
  <si>
    <t>ORD-01156</t>
  </si>
  <si>
    <t>CUST97655</t>
  </si>
  <si>
    <t>ORD-02148</t>
  </si>
  <si>
    <t>CUST63511</t>
  </si>
  <si>
    <t>ORD-02168</t>
  </si>
  <si>
    <t>CUST41061</t>
  </si>
  <si>
    <t>ORD-03098</t>
  </si>
  <si>
    <t>CUST98755</t>
  </si>
  <si>
    <t>ORD-04021</t>
  </si>
  <si>
    <t>CUST14904</t>
  </si>
  <si>
    <t>ORD-01075</t>
  </si>
  <si>
    <t>CUST51934</t>
  </si>
  <si>
    <t>ORD-01935</t>
  </si>
  <si>
    <t>CUST62118</t>
  </si>
  <si>
    <t>ORD-02195</t>
  </si>
  <si>
    <t>CUST93002</t>
  </si>
  <si>
    <t>Rahul Mehta</t>
  </si>
  <si>
    <t>ORD-03623</t>
  </si>
  <si>
    <t>CUST36037</t>
  </si>
  <si>
    <t>ORD-02082</t>
  </si>
  <si>
    <t>CUST70646</t>
  </si>
  <si>
    <t>ORD-02286</t>
  </si>
  <si>
    <t>CUST95250</t>
  </si>
  <si>
    <t>ORD-01748</t>
  </si>
  <si>
    <t>CUST68997</t>
  </si>
  <si>
    <t>ORD-01860</t>
  </si>
  <si>
    <t>CUST41096</t>
  </si>
  <si>
    <t>ORD-01169</t>
  </si>
  <si>
    <t>CUST81880</t>
  </si>
  <si>
    <t>ORD-00369</t>
  </si>
  <si>
    <t>CUST07373</t>
  </si>
  <si>
    <t>ORD-01979</t>
  </si>
  <si>
    <t>CUST52587</t>
  </si>
  <si>
    <t>Rohan Das</t>
  </si>
  <si>
    <t>ORD-00853</t>
  </si>
  <si>
    <t>CUST13945</t>
  </si>
  <si>
    <t>ORD-03677</t>
  </si>
  <si>
    <t>CUST13845</t>
  </si>
  <si>
    <t>ORD-00342</t>
  </si>
  <si>
    <t>CUST87199</t>
  </si>
  <si>
    <t>ORD-03227</t>
  </si>
  <si>
    <t>CUST26871</t>
  </si>
  <si>
    <t>ORD-03009</t>
  </si>
  <si>
    <t>CUST37112</t>
  </si>
  <si>
    <t>ORD-00286</t>
  </si>
  <si>
    <t>CUST11198</t>
  </si>
  <si>
    <t>ORD-01757</t>
  </si>
  <si>
    <t>CUST67988</t>
  </si>
  <si>
    <t>ORD-02392</t>
  </si>
  <si>
    <t>CUST20067</t>
  </si>
  <si>
    <t>Priya Bhat</t>
  </si>
  <si>
    <t>ORD-01863</t>
  </si>
  <si>
    <t>CUST08965</t>
  </si>
  <si>
    <t>ORD-01011</t>
  </si>
  <si>
    <t>CUST27445</t>
  </si>
  <si>
    <t>ORD-00798</t>
  </si>
  <si>
    <t>CUST23116</t>
  </si>
  <si>
    <t>ORD-04051</t>
  </si>
  <si>
    <t>CUST81236</t>
  </si>
  <si>
    <t>ORD-01842</t>
  </si>
  <si>
    <t>CUST29238</t>
  </si>
  <si>
    <t>ORD-02516</t>
  </si>
  <si>
    <t>CUST04115</t>
  </si>
  <si>
    <t>ORD-03304</t>
  </si>
  <si>
    <t>CUST38933</t>
  </si>
  <si>
    <t>ORD-02928</t>
  </si>
  <si>
    <t>CUST17827</t>
  </si>
  <si>
    <t>ORD-01965</t>
  </si>
  <si>
    <t>CUST41329</t>
  </si>
  <si>
    <t>ORD-02573</t>
  </si>
  <si>
    <t>CUST56165</t>
  </si>
  <si>
    <t>ORD-00524</t>
  </si>
  <si>
    <t>CUST71429</t>
  </si>
  <si>
    <t>ORD-01244</t>
  </si>
  <si>
    <t>CUST02216</t>
  </si>
  <si>
    <t>ORD-02410</t>
  </si>
  <si>
    <t>CUST42492</t>
  </si>
  <si>
    <t>ORD-00411</t>
  </si>
  <si>
    <t>CUST25002</t>
  </si>
  <si>
    <t>ORD-02285</t>
  </si>
  <si>
    <t>CUST27442</t>
  </si>
  <si>
    <t>ORD-00443</t>
  </si>
  <si>
    <t>CUST99270</t>
  </si>
  <si>
    <t>ORD-00359</t>
  </si>
  <si>
    <t>CUST46631</t>
  </si>
  <si>
    <t>ORD-01204</t>
  </si>
  <si>
    <t>CUST58365</t>
  </si>
  <si>
    <t>Karan Mehta</t>
  </si>
  <si>
    <t>ORD-00315</t>
  </si>
  <si>
    <t>CUST62709</t>
  </si>
  <si>
    <t>ORD-02014</t>
  </si>
  <si>
    <t>CUST26242</t>
  </si>
  <si>
    <t>ORD-02679</t>
  </si>
  <si>
    <t>CUST93760</t>
  </si>
  <si>
    <t>ORD-00035</t>
  </si>
  <si>
    <t>CUST07419</t>
  </si>
  <si>
    <t>ORD-01207</t>
  </si>
  <si>
    <t>CUST44749</t>
  </si>
  <si>
    <t>ORD-03186</t>
  </si>
  <si>
    <t>CUST37684</t>
  </si>
  <si>
    <t>ORD-03315</t>
  </si>
  <si>
    <t>CUST93902</t>
  </si>
  <si>
    <t>ORD-03706</t>
  </si>
  <si>
    <t>CUST22929</t>
  </si>
  <si>
    <t>ORD-00026</t>
  </si>
  <si>
    <t>CUST14542</t>
  </si>
  <si>
    <t>Kavya Chatterjee</t>
  </si>
  <si>
    <t>ORD-04150</t>
  </si>
  <si>
    <t>CUST41606</t>
  </si>
  <si>
    <t>ORD-02234</t>
  </si>
  <si>
    <t>CUST98675</t>
  </si>
  <si>
    <t>ORD-01311</t>
  </si>
  <si>
    <t>CUST00450</t>
  </si>
  <si>
    <t>ORD-00314</t>
  </si>
  <si>
    <t>CUST45424</t>
  </si>
  <si>
    <t>ORD-02156</t>
  </si>
  <si>
    <t>CUST99111</t>
  </si>
  <si>
    <t>ORD-02101</t>
  </si>
  <si>
    <t>CUST17742</t>
  </si>
  <si>
    <t>ORD-00733</t>
  </si>
  <si>
    <t>CUST15499</t>
  </si>
  <si>
    <t>ORD-01641</t>
  </si>
  <si>
    <t>CUST87800</t>
  </si>
  <si>
    <t>ORD-00406</t>
  </si>
  <si>
    <t>CUST55912</t>
  </si>
  <si>
    <t>ORD-00419</t>
  </si>
  <si>
    <t>CUST41041</t>
  </si>
  <si>
    <t>ORD-01329</t>
  </si>
  <si>
    <t>CUST48811</t>
  </si>
  <si>
    <t>Ananya Kapoor</t>
  </si>
  <si>
    <t>ORD-01219</t>
  </si>
  <si>
    <t>CUST74829</t>
  </si>
  <si>
    <t>ORD-03413</t>
  </si>
  <si>
    <t>CUST01012</t>
  </si>
  <si>
    <t>ORD-03002</t>
  </si>
  <si>
    <t>CUST83812</t>
  </si>
  <si>
    <t>Karan Chatterjee</t>
  </si>
  <si>
    <t>ORD-03159</t>
  </si>
  <si>
    <t>CUST24304</t>
  </si>
  <si>
    <t>ORD-03450</t>
  </si>
  <si>
    <t>CUST80072</t>
  </si>
  <si>
    <t>ORD-02992</t>
  </si>
  <si>
    <t>CUST09576</t>
  </si>
  <si>
    <t>ORD-01298</t>
  </si>
  <si>
    <t>CUST05275</t>
  </si>
  <si>
    <t>ORD-00747</t>
  </si>
  <si>
    <t>CUST87215</t>
  </si>
  <si>
    <t>ORD-01120</t>
  </si>
  <si>
    <t>CUST83419</t>
  </si>
  <si>
    <t>ORD-02912</t>
  </si>
  <si>
    <t>CUST85957</t>
  </si>
  <si>
    <t>ORD-01957</t>
  </si>
  <si>
    <t>CUST64737</t>
  </si>
  <si>
    <t>ORD-01288</t>
  </si>
  <si>
    <t>CUST52141</t>
  </si>
  <si>
    <t>ORD-02581</t>
  </si>
  <si>
    <t>CUST31891</t>
  </si>
  <si>
    <t>ORD-00773</t>
  </si>
  <si>
    <t>CUST43341</t>
  </si>
  <si>
    <t>ORD-00682</t>
  </si>
  <si>
    <t>CUST98255</t>
  </si>
  <si>
    <t>ORD-00092</t>
  </si>
  <si>
    <t>CUST33858</t>
  </si>
  <si>
    <t>ORD-02172</t>
  </si>
  <si>
    <t>CUST49313</t>
  </si>
  <si>
    <t>ORD-00897</t>
  </si>
  <si>
    <t>CUST66586</t>
  </si>
  <si>
    <t>ORD-03312</t>
  </si>
  <si>
    <t>CUST71934</t>
  </si>
  <si>
    <t>ORD-01844</t>
  </si>
  <si>
    <t>CUST38409</t>
  </si>
  <si>
    <t>ORD-04034</t>
  </si>
  <si>
    <t>CUST75503</t>
  </si>
  <si>
    <t>ORD-01608</t>
  </si>
  <si>
    <t>CUST49887</t>
  </si>
  <si>
    <t>ORD-00585</t>
  </si>
  <si>
    <t>CUST92797</t>
  </si>
  <si>
    <t>ORD-02293</t>
  </si>
  <si>
    <t>CUST83140</t>
  </si>
  <si>
    <t>ORD-03389</t>
  </si>
  <si>
    <t>CUST12949</t>
  </si>
  <si>
    <t>ORD-04106</t>
  </si>
  <si>
    <t>CUST44096</t>
  </si>
  <si>
    <t>ORD-02488</t>
  </si>
  <si>
    <t>CUST92446</t>
  </si>
  <si>
    <t>ORD-02468</t>
  </si>
  <si>
    <t>CUST62783</t>
  </si>
  <si>
    <t>ORD-03872</t>
  </si>
  <si>
    <t>CUST05197</t>
  </si>
  <si>
    <t>ORD-01927</t>
  </si>
  <si>
    <t>CUST95099</t>
  </si>
  <si>
    <t>Nisha Verma</t>
  </si>
  <si>
    <t>ORD-03251</t>
  </si>
  <si>
    <t>CUST86211</t>
  </si>
  <si>
    <t>ORD-00430</t>
  </si>
  <si>
    <t>CUST04699</t>
  </si>
  <si>
    <t>ORD-03805</t>
  </si>
  <si>
    <t>CUST88017</t>
  </si>
  <si>
    <t>ORD-03311</t>
  </si>
  <si>
    <t>CUST69847</t>
  </si>
  <si>
    <t>Nikhil Rao</t>
  </si>
  <si>
    <t>ORD-04002</t>
  </si>
  <si>
    <t>CUST44623</t>
  </si>
  <si>
    <t>ORD-02860</t>
  </si>
  <si>
    <t>CUST89287</t>
  </si>
  <si>
    <t>ORD-00441</t>
  </si>
  <si>
    <t>CUST63862</t>
  </si>
  <si>
    <t>Sunita Kapoor</t>
  </si>
  <si>
    <t>ORD-01942</t>
  </si>
  <si>
    <t>CUST68557</t>
  </si>
  <si>
    <t>ORD-03242</t>
  </si>
  <si>
    <t>CUST97241</t>
  </si>
  <si>
    <t>ORD-03782</t>
  </si>
  <si>
    <t>CUST04568</t>
  </si>
  <si>
    <t>Rohan Joshi</t>
  </si>
  <si>
    <t>ORD-03175</t>
  </si>
  <si>
    <t>CUST40113</t>
  </si>
  <si>
    <t>ORD-00112</t>
  </si>
  <si>
    <t>CUST64249</t>
  </si>
  <si>
    <t>ORD-03914</t>
  </si>
  <si>
    <t>CUST37605</t>
  </si>
  <si>
    <t>ORD-02035</t>
  </si>
  <si>
    <t>CUST24912</t>
  </si>
  <si>
    <t>ORD-03656</t>
  </si>
  <si>
    <t>CUST68462</t>
  </si>
  <si>
    <t>ORD-01623</t>
  </si>
  <si>
    <t>CUST05179</t>
  </si>
  <si>
    <t>ORD-01251</t>
  </si>
  <si>
    <t>CUST66419</t>
  </si>
  <si>
    <t>ORD-00089</t>
  </si>
  <si>
    <t>CUST25767</t>
  </si>
  <si>
    <t>ORD-00531</t>
  </si>
  <si>
    <t>CUST56061</t>
  </si>
  <si>
    <t>Aarav Iyer</t>
  </si>
  <si>
    <t>ORD-01371</t>
  </si>
  <si>
    <t>CUST72149</t>
  </si>
  <si>
    <t>ORD-03061</t>
  </si>
  <si>
    <t>CUST33333</t>
  </si>
  <si>
    <t>ORD-03799</t>
  </si>
  <si>
    <t>CUST47925</t>
  </si>
  <si>
    <t>ORD-00794</t>
  </si>
  <si>
    <t>CUST66490</t>
  </si>
  <si>
    <t>Arjun Singh</t>
  </si>
  <si>
    <t>ORD-01291</t>
  </si>
  <si>
    <t>CUST96686</t>
  </si>
  <si>
    <t>ORD-02252</t>
  </si>
  <si>
    <t>CUST72140</t>
  </si>
  <si>
    <t>ORD-00042</t>
  </si>
  <si>
    <t>CUST56144</t>
  </si>
  <si>
    <t>ORD-02881</t>
  </si>
  <si>
    <t>CUST20568</t>
  </si>
  <si>
    <t>ORD-02822</t>
  </si>
  <si>
    <t>CUST92489</t>
  </si>
  <si>
    <t>ORD-03751</t>
  </si>
  <si>
    <t>CUST80011</t>
  </si>
  <si>
    <t>ORD-01046</t>
  </si>
  <si>
    <t>CUST00053</t>
  </si>
  <si>
    <t>ORD-01873</t>
  </si>
  <si>
    <t>CUST87809</t>
  </si>
  <si>
    <t>ORD-01680</t>
  </si>
  <si>
    <t>CUST80666</t>
  </si>
  <si>
    <t>ORD-02521</t>
  </si>
  <si>
    <t>CUST93392</t>
  </si>
  <si>
    <t>ORD-02666</t>
  </si>
  <si>
    <t>CUST26826</t>
  </si>
  <si>
    <t>ORD-02924</t>
  </si>
  <si>
    <t>CUST46273</t>
  </si>
  <si>
    <t>ORD-01692</t>
  </si>
  <si>
    <t>CUST69225</t>
  </si>
  <si>
    <t>ORD-01325</t>
  </si>
  <si>
    <t>CUST05247</t>
  </si>
  <si>
    <t>ORD-01030</t>
  </si>
  <si>
    <t>CUST27078</t>
  </si>
  <si>
    <t>ORD-04196</t>
  </si>
  <si>
    <t>CUST70995</t>
  </si>
  <si>
    <t>ORD-03121</t>
  </si>
  <si>
    <t>CUST63009</t>
  </si>
  <si>
    <t>ORD-00581</t>
  </si>
  <si>
    <t>CUST52841</t>
  </si>
  <si>
    <t>Priya Rao</t>
  </si>
  <si>
    <t>ORD-02207</t>
  </si>
  <si>
    <t>CUST52808</t>
  </si>
  <si>
    <t>ORD-00120</t>
  </si>
  <si>
    <t>CUST90788</t>
  </si>
  <si>
    <t>ORD-01647</t>
  </si>
  <si>
    <t>CUST89140</t>
  </si>
  <si>
    <t>ORD-02033</t>
  </si>
  <si>
    <t>CUST51814</t>
  </si>
  <si>
    <t>ORD-02302</t>
  </si>
  <si>
    <t>CUST57376</t>
  </si>
  <si>
    <t>ORD-04136</t>
  </si>
  <si>
    <t>CUST52875</t>
  </si>
  <si>
    <t>ORD-01685</t>
  </si>
  <si>
    <t>CUST87567</t>
  </si>
  <si>
    <t>Rahul Shah</t>
  </si>
  <si>
    <t>ORD-00808</t>
  </si>
  <si>
    <t>CUST38701</t>
  </si>
  <si>
    <t>Meera Sharma</t>
  </si>
  <si>
    <t>ORD-02227</t>
  </si>
  <si>
    <t>CUST03537</t>
  </si>
  <si>
    <t>ORD-02880</t>
  </si>
  <si>
    <t>CUST70204</t>
  </si>
  <si>
    <t>ORD-01460</t>
  </si>
  <si>
    <t>CUST92264</t>
  </si>
  <si>
    <t>ORD-00068</t>
  </si>
  <si>
    <t>CUST52906</t>
  </si>
  <si>
    <t>Rohan Bose</t>
  </si>
  <si>
    <t>ORD-01981</t>
  </si>
  <si>
    <t>CUST59895</t>
  </si>
  <si>
    <t>ORD-01376</t>
  </si>
  <si>
    <t>CUST33017</t>
  </si>
  <si>
    <t>ORD-01105</t>
  </si>
  <si>
    <t>CUST80204</t>
  </si>
  <si>
    <t>Vikram Patel</t>
  </si>
  <si>
    <t>ORD-00113</t>
  </si>
  <si>
    <t>CUST93734</t>
  </si>
  <si>
    <t>ORD-03368</t>
  </si>
  <si>
    <t>CUST21747</t>
  </si>
  <si>
    <t>ORD-01783</t>
  </si>
  <si>
    <t>CUST27111</t>
  </si>
  <si>
    <t>ORD-02280</t>
  </si>
  <si>
    <t>CUST85697</t>
  </si>
  <si>
    <t>ORD-03216</t>
  </si>
  <si>
    <t>CUST32134</t>
  </si>
  <si>
    <t>ORD-01898</t>
  </si>
  <si>
    <t>CUST93402</t>
  </si>
  <si>
    <t>ORD-00988</t>
  </si>
  <si>
    <t>CUST03932</t>
  </si>
  <si>
    <t>ORD-03593</t>
  </si>
  <si>
    <t>CUST55992</t>
  </si>
  <si>
    <t>ORD-02551</t>
  </si>
  <si>
    <t>CUST18241</t>
  </si>
  <si>
    <t>ORD-01050</t>
  </si>
  <si>
    <t>CUST80824</t>
  </si>
  <si>
    <t>Arjun Mehta</t>
  </si>
  <si>
    <t>ORD-03839</t>
  </si>
  <si>
    <t>CUST67708</t>
  </si>
  <si>
    <t>ORD-03826</t>
  </si>
  <si>
    <t>CUST11947</t>
  </si>
  <si>
    <t>ORD-02794</t>
  </si>
  <si>
    <t>CUST50448</t>
  </si>
  <si>
    <t>ORD-01822</t>
  </si>
  <si>
    <t>CUST25475</t>
  </si>
  <si>
    <t>ORD-02486</t>
  </si>
  <si>
    <t>CUST08668</t>
  </si>
  <si>
    <t>ORD-03654</t>
  </si>
  <si>
    <t>CUST00096</t>
  </si>
  <si>
    <t>ORD-02789</t>
  </si>
  <si>
    <t>CUST60012</t>
  </si>
  <si>
    <t>ORD-02310</t>
  </si>
  <si>
    <t>CUST33052</t>
  </si>
  <si>
    <t>ORD-03019</t>
  </si>
  <si>
    <t>CUST46142</t>
  </si>
  <si>
    <t>ORD-02018</t>
  </si>
  <si>
    <t>CUST30360</t>
  </si>
  <si>
    <t>Deepa Patel</t>
  </si>
  <si>
    <t>ORD-02728</t>
  </si>
  <si>
    <t>CUST26931</t>
  </si>
  <si>
    <t>ORD-00946</t>
  </si>
  <si>
    <t>CUST66962</t>
  </si>
  <si>
    <t>ORD-02702</t>
  </si>
  <si>
    <t>CUST41199</t>
  </si>
  <si>
    <t>ORD-03056</t>
  </si>
  <si>
    <t>CUST57382</t>
  </si>
  <si>
    <t>ORD-01259</t>
  </si>
  <si>
    <t>CUST98747</t>
  </si>
  <si>
    <t>ORD-01168</t>
  </si>
  <si>
    <t>CUST35029</t>
  </si>
  <si>
    <t>ORD-03894</t>
  </si>
  <si>
    <t>CUST65883</t>
  </si>
  <si>
    <t>ORD-01171</t>
  </si>
  <si>
    <t>CUST15457</t>
  </si>
  <si>
    <t>ORD-03735</t>
  </si>
  <si>
    <t>CUST24467</t>
  </si>
  <si>
    <t>Aditya Mishra</t>
  </si>
  <si>
    <t>ORD-02716</t>
  </si>
  <si>
    <t>CUST34371</t>
  </si>
  <si>
    <t>Deepa Singh</t>
  </si>
  <si>
    <t>ORD-04198</t>
  </si>
  <si>
    <t>CUST54617</t>
  </si>
  <si>
    <t>ORD-03300</t>
  </si>
  <si>
    <t>CUST46539</t>
  </si>
  <si>
    <t>ORD-02819</t>
  </si>
  <si>
    <t>CUST12681</t>
  </si>
  <si>
    <t>ORD-03025</t>
  </si>
  <si>
    <t>CUST12807</t>
  </si>
  <si>
    <t>ORD-00299</t>
  </si>
  <si>
    <t>CUST26567</t>
  </si>
  <si>
    <t>Pooja Pillai</t>
  </si>
  <si>
    <t>ORD-01123</t>
  </si>
  <si>
    <t>CUST18686</t>
  </si>
  <si>
    <t>ORD-00075</t>
  </si>
  <si>
    <t>CUST92174</t>
  </si>
  <si>
    <t>ORD-00041</t>
  </si>
  <si>
    <t>CUST87348</t>
  </si>
  <si>
    <t>ORD-00599</t>
  </si>
  <si>
    <t>CUST89927</t>
  </si>
  <si>
    <t>ORD-01875</t>
  </si>
  <si>
    <t>CUST64095</t>
  </si>
  <si>
    <t>ORD-01665</t>
  </si>
  <si>
    <t>CUST72087</t>
  </si>
  <si>
    <t>ORD-03188</t>
  </si>
  <si>
    <t>CUST87675</t>
  </si>
  <si>
    <t>ORD-03469</t>
  </si>
  <si>
    <t>CUST84032</t>
  </si>
  <si>
    <t>ORD-01387</t>
  </si>
  <si>
    <t>CUST58789</t>
  </si>
  <si>
    <t>ORD-01369</t>
  </si>
  <si>
    <t>CUST31474</t>
  </si>
  <si>
    <t>ORD-02786</t>
  </si>
  <si>
    <t>CUST59888</t>
  </si>
  <si>
    <t>ORD-01667</t>
  </si>
  <si>
    <t>CUST51290</t>
  </si>
  <si>
    <t>ORD-02562</t>
  </si>
  <si>
    <t>CUST95323</t>
  </si>
  <si>
    <t>ORD-04018</t>
  </si>
  <si>
    <t>CUST05715</t>
  </si>
  <si>
    <t>ORD-01015</t>
  </si>
  <si>
    <t>CUST48355</t>
  </si>
  <si>
    <t>ORD-00770</t>
  </si>
  <si>
    <t>CUST84428</t>
  </si>
  <si>
    <t>ORD-02317</t>
  </si>
  <si>
    <t>CUST47149</t>
  </si>
  <si>
    <t>ORD-04047</t>
  </si>
  <si>
    <t>CUST94569</t>
  </si>
  <si>
    <t>ORD-02877</t>
  </si>
  <si>
    <t>CUST52099</t>
  </si>
  <si>
    <t>ORD-01323</t>
  </si>
  <si>
    <t>CUST78691</t>
  </si>
  <si>
    <t>ORD-02645</t>
  </si>
  <si>
    <t>CUST11538</t>
  </si>
  <si>
    <t>ORD-03853</t>
  </si>
  <si>
    <t>CUST55701</t>
  </si>
  <si>
    <t>ORD-03024</t>
  </si>
  <si>
    <t>CUST08460</t>
  </si>
  <si>
    <t>ORD-01609</t>
  </si>
  <si>
    <t>CUST09235</t>
  </si>
  <si>
    <t>ORD-00870</t>
  </si>
  <si>
    <t>CUST22353</t>
  </si>
  <si>
    <t>ORD-04089</t>
  </si>
  <si>
    <t>CUST65407</t>
  </si>
  <si>
    <t>ORD-03631</t>
  </si>
  <si>
    <t>CUST36710</t>
  </si>
  <si>
    <t>ORD-01594</t>
  </si>
  <si>
    <t>CUST74210</t>
  </si>
  <si>
    <t>Ananya Iyer</t>
  </si>
  <si>
    <t>ORD-02450</t>
  </si>
  <si>
    <t>CUST85866</t>
  </si>
  <si>
    <t>ORD-01729</t>
  </si>
  <si>
    <t>CUST21576</t>
  </si>
  <si>
    <t>ORD-00334</t>
  </si>
  <si>
    <t>CUST45698</t>
  </si>
  <si>
    <t>ORD-02841</t>
  </si>
  <si>
    <t>CUST62482</t>
  </si>
  <si>
    <t>ORD-00613</t>
  </si>
  <si>
    <t>CUST52615</t>
  </si>
  <si>
    <t>ORD-00728</t>
  </si>
  <si>
    <t>CUST89689</t>
  </si>
  <si>
    <t>ORD-01326</t>
  </si>
  <si>
    <t>CUST15556</t>
  </si>
  <si>
    <t>ORD-03070</t>
  </si>
  <si>
    <t>CUST29394</t>
  </si>
  <si>
    <t>ORD-01765</t>
  </si>
  <si>
    <t>CUST28045</t>
  </si>
  <si>
    <t>ORD-04014</t>
  </si>
  <si>
    <t>CUST71983</t>
  </si>
  <si>
    <t>ORD-04079</t>
  </si>
  <si>
    <t>CUST85445</t>
  </si>
  <si>
    <t>ORD-01322</t>
  </si>
  <si>
    <t>CUST89590</t>
  </si>
  <si>
    <t>ORD-00964</t>
  </si>
  <si>
    <t>CUST62220</t>
  </si>
  <si>
    <t>Deepa Reddy</t>
  </si>
  <si>
    <t>ORD-01452</t>
  </si>
  <si>
    <t>CUST49495</t>
  </si>
  <si>
    <t>ORD-03037</t>
  </si>
  <si>
    <t>CUST23747</t>
  </si>
  <si>
    <t>ORD-00233</t>
  </si>
  <si>
    <t>CUST32440</t>
  </si>
  <si>
    <t>ORD-01302</t>
  </si>
  <si>
    <t>CUST86947</t>
  </si>
  <si>
    <t>ORD-01767</t>
  </si>
  <si>
    <t>CUST86434</t>
  </si>
  <si>
    <t>ORD-02761</t>
  </si>
  <si>
    <t>CUST40656</t>
  </si>
  <si>
    <t>ORD-03277</t>
  </si>
  <si>
    <t>CUST00162</t>
  </si>
  <si>
    <t>ORD-00077</t>
  </si>
  <si>
    <t>CUST29476</t>
  </si>
  <si>
    <t>ORD-03707</t>
  </si>
  <si>
    <t>CUST19426</t>
  </si>
  <si>
    <t>ORD-00234</t>
  </si>
  <si>
    <t>CUST16850</t>
  </si>
  <si>
    <t>ORD-01782</t>
  </si>
  <si>
    <t>CUST00399</t>
  </si>
  <si>
    <t>ORD-00257</t>
  </si>
  <si>
    <t>CUST54277</t>
  </si>
  <si>
    <t>ORD-02393</t>
  </si>
  <si>
    <t>CUST36476</t>
  </si>
  <si>
    <t>ORD-03551</t>
  </si>
  <si>
    <t>CUST00900</t>
  </si>
  <si>
    <t>ORD-02243</t>
  </si>
  <si>
    <t>CUST19197</t>
  </si>
  <si>
    <t>ORD-04175</t>
  </si>
  <si>
    <t>CUST38221</t>
  </si>
  <si>
    <t>ORD-01079</t>
  </si>
  <si>
    <t>CUST14896</t>
  </si>
  <si>
    <t>ORD-00155</t>
  </si>
  <si>
    <t>CUST46589</t>
  </si>
  <si>
    <t>ORD-02829</t>
  </si>
  <si>
    <t>CUST25805</t>
  </si>
  <si>
    <t>ORD-02443</t>
  </si>
  <si>
    <t>CUST14094</t>
  </si>
  <si>
    <t>Ananya Bose</t>
  </si>
  <si>
    <t>ORD-00154</t>
  </si>
  <si>
    <t>CUST48876</t>
  </si>
  <si>
    <t>ORD-03429</t>
  </si>
  <si>
    <t>CUST09088</t>
  </si>
  <si>
    <t>ORD-03908</t>
  </si>
  <si>
    <t>CUST32213</t>
  </si>
  <si>
    <t>ORD-01433</t>
  </si>
  <si>
    <t>CUST83420</t>
  </si>
  <si>
    <t>ORD-02966</t>
  </si>
  <si>
    <t>CUST38879</t>
  </si>
  <si>
    <t>ORD-01393</t>
  </si>
  <si>
    <t>CUST82169</t>
  </si>
  <si>
    <t>ORD-04050</t>
  </si>
  <si>
    <t>CUST03944</t>
  </si>
  <si>
    <t>ORD-02331</t>
  </si>
  <si>
    <t>CUST06489</t>
  </si>
  <si>
    <t>ORD-03927</t>
  </si>
  <si>
    <t>CUST77199</t>
  </si>
  <si>
    <t>ORD-01629</t>
  </si>
  <si>
    <t>CUST37392</t>
  </si>
  <si>
    <t>ORD-01895</t>
  </si>
  <si>
    <t>CUST07132</t>
  </si>
  <si>
    <t>ORD-01406</t>
  </si>
  <si>
    <t>CUST72539</t>
  </si>
  <si>
    <t>ORD-00780</t>
  </si>
  <si>
    <t>CUST96960</t>
  </si>
  <si>
    <t>ORD-03581</t>
  </si>
  <si>
    <t>CUST67732</t>
  </si>
  <si>
    <t>ORD-02763</t>
  </si>
  <si>
    <t>CUST85402</t>
  </si>
  <si>
    <t>ORD-00977</t>
  </si>
  <si>
    <t>CUST76218</t>
  </si>
  <si>
    <t>ORD-02887</t>
  </si>
  <si>
    <t>CUST19802</t>
  </si>
  <si>
    <t>ORD-01400</t>
  </si>
  <si>
    <t>CUST47772</t>
  </si>
  <si>
    <t>ORD-00175</t>
  </si>
  <si>
    <t>CUST47786</t>
  </si>
  <si>
    <t>ORD-00002</t>
  </si>
  <si>
    <t>CUST51802</t>
  </si>
  <si>
    <t>ORD-04135</t>
  </si>
  <si>
    <t>CUST23239</t>
  </si>
  <si>
    <t>ORD-02590</t>
  </si>
  <si>
    <t>CUST47612</t>
  </si>
  <si>
    <t>ORD-01899</t>
  </si>
  <si>
    <t>CUST81485</t>
  </si>
  <si>
    <t>ORD-02691</t>
  </si>
  <si>
    <t>CUST42275</t>
  </si>
  <si>
    <t>ORD-03337</t>
  </si>
  <si>
    <t>CUST12631</t>
  </si>
  <si>
    <t>ORD-00996</t>
  </si>
  <si>
    <t>CUST03526</t>
  </si>
  <si>
    <t>ORD-02783</t>
  </si>
  <si>
    <t>CUST75727</t>
  </si>
  <si>
    <t>ORD-02049</t>
  </si>
  <si>
    <t>CUST42115</t>
  </si>
  <si>
    <t>ORD-00410</t>
  </si>
  <si>
    <t>CUST64583</t>
  </si>
  <si>
    <t>ORD-00804</t>
  </si>
  <si>
    <t>CUST33294</t>
  </si>
  <si>
    <t>ORD-01545</t>
  </si>
  <si>
    <t>CUST15680</t>
  </si>
  <si>
    <t>ORD-03516</t>
  </si>
  <si>
    <t>CUST15414</t>
  </si>
  <si>
    <t>ORD-01587</t>
  </si>
  <si>
    <t>CUST32752</t>
  </si>
  <si>
    <t>ORD-02475</t>
  </si>
  <si>
    <t>CUST99227</t>
  </si>
  <si>
    <t>ORD-02216</t>
  </si>
  <si>
    <t>CUST38823</t>
  </si>
  <si>
    <t>ORD-02081</t>
  </si>
  <si>
    <t>CUST66488</t>
  </si>
  <si>
    <t>ORD-02161</t>
  </si>
  <si>
    <t>CUST39402</t>
  </si>
  <si>
    <t>ORD-02209</t>
  </si>
  <si>
    <t>CUST97691</t>
  </si>
  <si>
    <t>Aarav Reddy</t>
  </si>
  <si>
    <t>ORD-03815</t>
  </si>
  <si>
    <t>CUST41610</t>
  </si>
  <si>
    <t>ORD-00256</t>
  </si>
  <si>
    <t>CUST86402</t>
  </si>
  <si>
    <t>Rohan Sharma</t>
  </si>
  <si>
    <t>ORD-04054</t>
  </si>
  <si>
    <t>CUST37273</t>
  </si>
  <si>
    <t>ORD-02337</t>
  </si>
  <si>
    <t>CUST50406</t>
  </si>
  <si>
    <t>ORD-00704</t>
  </si>
  <si>
    <t>CUST63229</t>
  </si>
  <si>
    <t>ORD-02869</t>
  </si>
  <si>
    <t>CUST19907</t>
  </si>
  <si>
    <t>ORD-01871</t>
  </si>
  <si>
    <t>CUST74013</t>
  </si>
  <si>
    <t>ORD-02664</t>
  </si>
  <si>
    <t>CUST91653</t>
  </si>
  <si>
    <t>ORD-00532</t>
  </si>
  <si>
    <t>CUST60381</t>
  </si>
  <si>
    <t>Vikram Mishra</t>
  </si>
  <si>
    <t>ORD-03582</t>
  </si>
  <si>
    <t>CUST09968</t>
  </si>
  <si>
    <t>ORD-00247</t>
  </si>
  <si>
    <t>CUST50948</t>
  </si>
  <si>
    <t>ORD-01777</t>
  </si>
  <si>
    <t>CUST89073</t>
  </si>
  <si>
    <t>ORD-00103</t>
  </si>
  <si>
    <t>CUST60692</t>
  </si>
  <si>
    <t>ORD-00070</t>
  </si>
  <si>
    <t>CUST26658</t>
  </si>
  <si>
    <t>ORD-00389</t>
  </si>
  <si>
    <t>CUST75682</t>
  </si>
  <si>
    <t>ORD-04011</t>
  </si>
  <si>
    <t>CUST75729</t>
  </si>
  <si>
    <t>ORD-02415</t>
  </si>
  <si>
    <t>CUST74245</t>
  </si>
  <si>
    <t>ORD-01885</t>
  </si>
  <si>
    <t>CUST27246</t>
  </si>
  <si>
    <t>ORD-03606</t>
  </si>
  <si>
    <t>CUST74320</t>
  </si>
  <si>
    <t>ORD-00748</t>
  </si>
  <si>
    <t>CUST08513</t>
  </si>
  <si>
    <t>ORD-03171</t>
  </si>
  <si>
    <t>CUST77683</t>
  </si>
  <si>
    <t>ORD-02291</t>
  </si>
  <si>
    <t>CUST86351</t>
  </si>
  <si>
    <t>ORD-02137</t>
  </si>
  <si>
    <t>CUST01916</t>
  </si>
  <si>
    <t>ORD-01730</t>
  </si>
  <si>
    <t>CUST08530</t>
  </si>
  <si>
    <t>ORD-03602</t>
  </si>
  <si>
    <t>CUST90978</t>
  </si>
  <si>
    <t>ORD-00228</t>
  </si>
  <si>
    <t>CUST20422</t>
  </si>
  <si>
    <t>ORD-01036</t>
  </si>
  <si>
    <t>CUST48956</t>
  </si>
  <si>
    <t>ORD-01194</t>
  </si>
  <si>
    <t>CUST42289</t>
  </si>
  <si>
    <t>ORD-01096</t>
  </si>
  <si>
    <t>CUST64848</t>
  </si>
  <si>
    <t>ORD-01984</t>
  </si>
  <si>
    <t>CUST04061</t>
  </si>
  <si>
    <t>ORD-01365</t>
  </si>
  <si>
    <t>CUST34491</t>
  </si>
  <si>
    <t>ORD-02190</t>
  </si>
  <si>
    <t>CUST31810</t>
  </si>
  <si>
    <t>ORD-01466</t>
  </si>
  <si>
    <t>CUST22468</t>
  </si>
  <si>
    <t>ORD-04178</t>
  </si>
  <si>
    <t>CUST11016</t>
  </si>
  <si>
    <t>ORD-00726</t>
  </si>
  <si>
    <t>CUST02385</t>
  </si>
  <si>
    <t>ORD-03264</t>
  </si>
  <si>
    <t>CUST84619</t>
  </si>
  <si>
    <t>ORD-00892</t>
  </si>
  <si>
    <t>CUST40329</t>
  </si>
  <si>
    <t>ORD-00947</t>
  </si>
  <si>
    <t>CUST36851</t>
  </si>
  <si>
    <t>ORD-01055</t>
  </si>
  <si>
    <t>CUST95496</t>
  </si>
  <si>
    <t>ORD-03424</t>
  </si>
  <si>
    <t>CUST78421</t>
  </si>
  <si>
    <t>ORD-03802</t>
  </si>
  <si>
    <t>CUST44356</t>
  </si>
  <si>
    <t>ORD-00173</t>
  </si>
  <si>
    <t>CUST46878</t>
  </si>
  <si>
    <t>ORD-02895</t>
  </si>
  <si>
    <t>CUST35710</t>
  </si>
  <si>
    <t>ORD-02625</t>
  </si>
  <si>
    <t>CUST78576</t>
  </si>
  <si>
    <t>ORD-01661</t>
  </si>
  <si>
    <t>ORD-00208</t>
  </si>
  <si>
    <t>CUST69756</t>
  </si>
  <si>
    <t>ORD-02546</t>
  </si>
  <si>
    <t>CUST96368</t>
  </si>
  <si>
    <t>ORD-04010</t>
  </si>
  <si>
    <t>CUST04352</t>
  </si>
  <si>
    <t>ORD-02830</t>
  </si>
  <si>
    <t>CUST23051</t>
  </si>
  <si>
    <t>ORD-03136</t>
  </si>
  <si>
    <t>CUST92424</t>
  </si>
  <si>
    <t>ORD-00361</t>
  </si>
  <si>
    <t>CUST34273</t>
  </si>
  <si>
    <t>ORD-00178</t>
  </si>
  <si>
    <t>CUST56675</t>
  </si>
  <si>
    <t>ORD-03759</t>
  </si>
  <si>
    <t>CUST16441</t>
  </si>
  <si>
    <t>ORD-01724</t>
  </si>
  <si>
    <t>CUST56841</t>
  </si>
  <si>
    <t>ORD-00873</t>
  </si>
  <si>
    <t>CUST74542</t>
  </si>
  <si>
    <t>ORD-03197</t>
  </si>
  <si>
    <t>CUST33951</t>
  </si>
  <si>
    <t>ORD-00929</t>
  </si>
  <si>
    <t>CUST75952</t>
  </si>
  <si>
    <t>ORD-03836</t>
  </si>
  <si>
    <t>CUST17574</t>
  </si>
  <si>
    <t>ORD-03158</t>
  </si>
  <si>
    <t>CUST54265</t>
  </si>
  <si>
    <t>ORD-02765</t>
  </si>
  <si>
    <t>CUST09924</t>
  </si>
  <si>
    <t>ORD-00778</t>
  </si>
  <si>
    <t>CUST98642</t>
  </si>
  <si>
    <t>ORD-03353</t>
  </si>
  <si>
    <t>CUST13354</t>
  </si>
  <si>
    <t>ORD-00863</t>
  </si>
  <si>
    <t>CUST78361</t>
  </si>
  <si>
    <t>ORD-03986</t>
  </si>
  <si>
    <t>CUST02647</t>
  </si>
  <si>
    <t>ORD-01945</t>
  </si>
  <si>
    <t>CUST15198</t>
  </si>
  <si>
    <t>Aarav Bhat</t>
  </si>
  <si>
    <t>ORD-03665</t>
  </si>
  <si>
    <t>CUST12838</t>
  </si>
  <si>
    <t>Sanjay Pillai</t>
  </si>
  <si>
    <t>ORD-01149</t>
  </si>
  <si>
    <t>CUST17159</t>
  </si>
  <si>
    <t>ORD-02749</t>
  </si>
  <si>
    <t>CUST37997</t>
  </si>
  <si>
    <t>ORD-00787</t>
  </si>
  <si>
    <t>CUST40665</t>
  </si>
  <si>
    <t>ORD-01614</t>
  </si>
  <si>
    <t>CUST91726</t>
  </si>
  <si>
    <t>ORD-01328</t>
  </si>
  <si>
    <t>CUST77757</t>
  </si>
  <si>
    <t>ORD-01880</t>
  </si>
  <si>
    <t>CUST68733</t>
  </si>
  <si>
    <t>ORD-00565</t>
  </si>
  <si>
    <t>CUST05627</t>
  </si>
  <si>
    <t>ORD-03634</t>
  </si>
  <si>
    <t>CUST10137</t>
  </si>
  <si>
    <t>ORD-00222</t>
  </si>
  <si>
    <t>CUST35116</t>
  </si>
  <si>
    <t>ORD-01354</t>
  </si>
  <si>
    <t>CUST77279</t>
  </si>
  <si>
    <t>ORD-01890</t>
  </si>
  <si>
    <t>CUST59516</t>
  </si>
  <si>
    <t>ORD-02160</t>
  </si>
  <si>
    <t>CUST01889</t>
  </si>
  <si>
    <t>ORD-03021</t>
  </si>
  <si>
    <t>CUST66733</t>
  </si>
  <si>
    <t>ORD-03326</t>
  </si>
  <si>
    <t>CUST35382</t>
  </si>
  <si>
    <t>ORD-02513</t>
  </si>
  <si>
    <t>CUST10153</t>
  </si>
  <si>
    <t>ORD-00805</t>
  </si>
  <si>
    <t>CUST38399</t>
  </si>
  <si>
    <t>ORD-00838</t>
  </si>
  <si>
    <t>CUST92341</t>
  </si>
  <si>
    <t>ORD-00433</t>
  </si>
  <si>
    <t>CUST34701</t>
  </si>
  <si>
    <t>ORD-03453</t>
  </si>
  <si>
    <t>CUST73572</t>
  </si>
  <si>
    <t>ORD-02906</t>
  </si>
  <si>
    <t>CUST43728</t>
  </si>
  <si>
    <t>ORD-02700</t>
  </si>
  <si>
    <t>CUST26383</t>
  </si>
  <si>
    <t>ORD-03679</t>
  </si>
  <si>
    <t>CUST33255</t>
  </si>
  <si>
    <t>ORD-03397</t>
  </si>
  <si>
    <t>CUST80323</t>
  </si>
  <si>
    <t>ORD-00623</t>
  </si>
  <si>
    <t>CUST24662</t>
  </si>
  <si>
    <t>ORD-00417</t>
  </si>
  <si>
    <t>CUST24241</t>
  </si>
  <si>
    <t>ORD-03426</t>
  </si>
  <si>
    <t>CUST99964</t>
  </si>
  <si>
    <t>ORD-00125</t>
  </si>
  <si>
    <t>CUST87260</t>
  </si>
  <si>
    <t>ORD-00577</t>
  </si>
  <si>
    <t>CUST53381</t>
  </si>
  <si>
    <t>ORD-01444</t>
  </si>
  <si>
    <t>CUST08288</t>
  </si>
  <si>
    <t>ORD-03182</t>
  </si>
  <si>
    <t>CUST49514</t>
  </si>
  <si>
    <t>ORD-00496</t>
  </si>
  <si>
    <t>CUST35738</t>
  </si>
  <si>
    <t>ORD-00271</t>
  </si>
  <si>
    <t>ORD-00615</t>
  </si>
  <si>
    <t>CUST47101</t>
  </si>
  <si>
    <t>ORD-03685</t>
  </si>
  <si>
    <t>CUST54368</t>
  </si>
  <si>
    <t>ORD-02233</t>
  </si>
  <si>
    <t>CUST53670</t>
  </si>
  <si>
    <t>ORD-00958</t>
  </si>
  <si>
    <t>CUST07589</t>
  </si>
  <si>
    <t>ORD-02135</t>
  </si>
  <si>
    <t>CUST59057</t>
  </si>
  <si>
    <t>ORD-00681</t>
  </si>
  <si>
    <t>CUST25326</t>
  </si>
  <si>
    <t>ORD-02649</t>
  </si>
  <si>
    <t>CUST25132</t>
  </si>
  <si>
    <t>ORD-00814</t>
  </si>
  <si>
    <t>CUST27919</t>
  </si>
  <si>
    <t>ORD-03156</t>
  </si>
  <si>
    <t>CUST34657</t>
  </si>
  <si>
    <t>ORD-01658</t>
  </si>
  <si>
    <t>CUST14731</t>
  </si>
  <si>
    <t>ORD-00587</t>
  </si>
  <si>
    <t>CUST69337</t>
  </si>
  <si>
    <t>ORD-02543</t>
  </si>
  <si>
    <t>CUST35512</t>
  </si>
  <si>
    <t>ORD-00940</t>
  </si>
  <si>
    <t>CUST20288</t>
  </si>
  <si>
    <t>ORD-03709</t>
  </si>
  <si>
    <t>CUST34494</t>
  </si>
  <si>
    <t>ORD-01178</t>
  </si>
  <si>
    <t>CUST90166</t>
  </si>
  <si>
    <t>ORD-02130</t>
  </si>
  <si>
    <t>CUST23716</t>
  </si>
  <si>
    <t>ORD-02092</t>
  </si>
  <si>
    <t>CUST11724</t>
  </si>
  <si>
    <t>ORD-02330</t>
  </si>
  <si>
    <t>CUST47001</t>
  </si>
  <si>
    <t>ORD-02454</t>
  </si>
  <si>
    <t>CUST09118</t>
  </si>
  <si>
    <t>ORD-03101</t>
  </si>
  <si>
    <t>CUST69379</t>
  </si>
  <si>
    <t>ORD-02839</t>
  </si>
  <si>
    <t>CUST65852</t>
  </si>
  <si>
    <t>ORD-01511</t>
  </si>
  <si>
    <t>CUST08590</t>
  </si>
  <si>
    <t>ORD-00504</t>
  </si>
  <si>
    <t>CUST76030</t>
  </si>
  <si>
    <t>ORD-03891</t>
  </si>
  <si>
    <t>CUST84613</t>
  </si>
  <si>
    <t>ORD-01941</t>
  </si>
  <si>
    <t>CUST72548</t>
  </si>
  <si>
    <t>ORD-02073</t>
  </si>
  <si>
    <t>CUST56467</t>
  </si>
  <si>
    <t>ORD-02253</t>
  </si>
  <si>
    <t>CUST22702</t>
  </si>
  <si>
    <t>ORD-04062</t>
  </si>
  <si>
    <t>CUST68176</t>
  </si>
  <si>
    <t>ORD-03967</t>
  </si>
  <si>
    <t>CUST37272</t>
  </si>
  <si>
    <t>ORD-03269</t>
  </si>
  <si>
    <t>CUST63780</t>
  </si>
  <si>
    <t>ORD-01600</t>
  </si>
  <si>
    <t>ORD-01003</t>
  </si>
  <si>
    <t>CUST87374</t>
  </si>
  <si>
    <t>ORD-00840</t>
  </si>
  <si>
    <t>CUST21706</t>
  </si>
  <si>
    <t>ORD-02591</t>
  </si>
  <si>
    <t>CUST31554</t>
  </si>
  <si>
    <t>ORD-02071</t>
  </si>
  <si>
    <t>CUST84689</t>
  </si>
  <si>
    <t>ORD-01919</t>
  </si>
  <si>
    <t>CUST47510</t>
  </si>
  <si>
    <t>ORD-03702</t>
  </si>
  <si>
    <t>CUST35943</t>
  </si>
  <si>
    <t>ORD-00108</t>
  </si>
  <si>
    <t>CUST71620</t>
  </si>
  <si>
    <t>ORD-02438</t>
  </si>
  <si>
    <t>CUST92064</t>
  </si>
  <si>
    <t>ORD-03363</t>
  </si>
  <si>
    <t>CUST98456</t>
  </si>
  <si>
    <t>ORD-01678</t>
  </si>
  <si>
    <t>CUST69653</t>
  </si>
  <si>
    <t>ORD-01163</t>
  </si>
  <si>
    <t>CUST43541</t>
  </si>
  <si>
    <t>ORD-02426</t>
  </si>
  <si>
    <t>CUST17865</t>
  </si>
  <si>
    <t>ORD-03152</t>
  </si>
  <si>
    <t>CUST23783</t>
  </si>
  <si>
    <t>ORD-01874</t>
  </si>
  <si>
    <t>CUST43568</t>
  </si>
  <si>
    <t>ORD-03082</t>
  </si>
  <si>
    <t>CUST93135</t>
  </si>
  <si>
    <t>ORD-02336</t>
  </si>
  <si>
    <t>CUST70109</t>
  </si>
  <si>
    <t>ORD-03941</t>
  </si>
  <si>
    <t>CUST54628</t>
  </si>
  <si>
    <t>ORD-02699</t>
  </si>
  <si>
    <t>CUST30292</t>
  </si>
  <si>
    <t>ORD-03348</t>
  </si>
  <si>
    <t>CUST22988</t>
  </si>
  <si>
    <t>ORD-01072</t>
  </si>
  <si>
    <t>CUST97294</t>
  </si>
  <si>
    <t>ORD-03476</t>
  </si>
  <si>
    <t>CUST72336</t>
  </si>
  <si>
    <t>ORD-02102</t>
  </si>
  <si>
    <t>CUST33411</t>
  </si>
  <si>
    <t>ORD-01099</t>
  </si>
  <si>
    <t>CUST12441</t>
  </si>
  <si>
    <t>ORD-02387</t>
  </si>
  <si>
    <t>CUST50482</t>
  </si>
  <si>
    <t>ORD-00046</t>
  </si>
  <si>
    <t>CUST01705</t>
  </si>
  <si>
    <t>ORD-03443</t>
  </si>
  <si>
    <t>CUST29477</t>
  </si>
  <si>
    <t>ORD-03335</t>
  </si>
  <si>
    <t>CUST09205</t>
  </si>
  <si>
    <t>ORD-01985</t>
  </si>
  <si>
    <t>CUST62252</t>
  </si>
  <si>
    <t>ORD-03651</t>
  </si>
  <si>
    <t>CUST95089</t>
  </si>
  <si>
    <t>ORD-00855</t>
  </si>
  <si>
    <t>CUST20377</t>
  </si>
  <si>
    <t>ORD-02036</t>
  </si>
  <si>
    <t>CUST01271</t>
  </si>
  <si>
    <t>ORD-02142</t>
  </si>
  <si>
    <t>CUST09685</t>
  </si>
  <si>
    <t>ORD-00033</t>
  </si>
  <si>
    <t>CUST74345</t>
  </si>
  <si>
    <t>ORD-00019</t>
  </si>
  <si>
    <t>CUST27279</t>
  </si>
  <si>
    <t>ORD-00248</t>
  </si>
  <si>
    <t>ORD-02489</t>
  </si>
  <si>
    <t>CUST09533</t>
  </si>
  <si>
    <t>ORD-01253</t>
  </si>
  <si>
    <t>CUST22505</t>
  </si>
  <si>
    <t>Shreya Chatterjee</t>
  </si>
  <si>
    <t>ORD-00196</t>
  </si>
  <si>
    <t>CUST37557</t>
  </si>
  <si>
    <t>ORD-02698</t>
  </si>
  <si>
    <t>CUST60455</t>
  </si>
  <si>
    <t>ORD-01346</t>
  </si>
  <si>
    <t>CUST63670</t>
  </si>
  <si>
    <t>ORD-00114</t>
  </si>
  <si>
    <t>CUST09240</t>
  </si>
  <si>
    <t>ORD-01751</t>
  </si>
  <si>
    <t>CUST01506</t>
  </si>
  <si>
    <t>ORD-03697</t>
  </si>
  <si>
    <t>CUST35363</t>
  </si>
  <si>
    <t>ORD-02056</t>
  </si>
  <si>
    <t>CUST33480</t>
  </si>
  <si>
    <t>ORD-03879</t>
  </si>
  <si>
    <t>CUST22795</t>
  </si>
  <si>
    <t>ORD-03514</t>
  </si>
  <si>
    <t>CUST77487</t>
  </si>
  <si>
    <t>ORD-03201</t>
  </si>
  <si>
    <t>CUST99262</t>
  </si>
  <si>
    <t>ORD-03641</t>
  </si>
  <si>
    <t>CUST69845</t>
  </si>
  <si>
    <t>ORD-00005</t>
  </si>
  <si>
    <t>CUST66045</t>
  </si>
  <si>
    <t>ORD-00413</t>
  </si>
  <si>
    <t>CUST24888</t>
  </si>
  <si>
    <t>ORD-02231</t>
  </si>
  <si>
    <t>CUST06734</t>
  </si>
  <si>
    <t>ORD-01431</t>
  </si>
  <si>
    <t>CUST03275</t>
  </si>
  <si>
    <t>ORD-03100</t>
  </si>
  <si>
    <t>CUST55749</t>
  </si>
  <si>
    <t>ORD-00024</t>
  </si>
  <si>
    <t>ORD-03041</t>
  </si>
  <si>
    <t>CUST35537</t>
  </si>
  <si>
    <t>ORD-02422</t>
  </si>
  <si>
    <t>CUST80806</t>
  </si>
  <si>
    <t>ORD-02615</t>
  </si>
  <si>
    <t>CUST36242</t>
  </si>
  <si>
    <t>ORD-04133</t>
  </si>
  <si>
    <t>CUST61673</t>
  </si>
  <si>
    <t>ORD-00027</t>
  </si>
  <si>
    <t>CUST34383</t>
  </si>
  <si>
    <t>ORD-00421</t>
  </si>
  <si>
    <t>CUST80414</t>
  </si>
  <si>
    <t>ORD-00603</t>
  </si>
  <si>
    <t>CUST11712</t>
  </si>
  <si>
    <t>ORD-03058</t>
  </si>
  <si>
    <t>CUST75687</t>
  </si>
  <si>
    <t>ORD-00830</t>
  </si>
  <si>
    <t>CUST61741</t>
  </si>
  <si>
    <t>ORD-00516</t>
  </si>
  <si>
    <t>CUST07356</t>
  </si>
  <si>
    <t>ORD-03673</t>
  </si>
  <si>
    <t>CUST42403</t>
  </si>
  <si>
    <t>ORD-04052</t>
  </si>
  <si>
    <t>CUST70027</t>
  </si>
  <si>
    <t>ORD-03481</t>
  </si>
  <si>
    <t>CUST77456</t>
  </si>
  <si>
    <t>ORD-01128</t>
  </si>
  <si>
    <t>CUST64957</t>
  </si>
  <si>
    <t>ORD-02681</t>
  </si>
  <si>
    <t>CUST22232</t>
  </si>
  <si>
    <t>ORD-00885</t>
  </si>
  <si>
    <t>CUST26006</t>
  </si>
  <si>
    <t>ORD-03276</t>
  </si>
  <si>
    <t>CUST08733</t>
  </si>
  <si>
    <t>ORD-01577</t>
  </si>
  <si>
    <t>CUST22334</t>
  </si>
  <si>
    <t>ORD-00583</t>
  </si>
  <si>
    <t>CUST16103</t>
  </si>
  <si>
    <t>ORD-03374</t>
  </si>
  <si>
    <t>CUST19728</t>
  </si>
  <si>
    <t>ORD-03590</t>
  </si>
  <si>
    <t>CUST88984</t>
  </si>
  <si>
    <t>ORD-02341</t>
  </si>
  <si>
    <t>CUST63955</t>
  </si>
  <si>
    <t>ORD-02009</t>
  </si>
  <si>
    <t>CUST02356</t>
  </si>
  <si>
    <t>ORD-03864</t>
  </si>
  <si>
    <t>CUST15933</t>
  </si>
  <si>
    <t>ORD-02569</t>
  </si>
  <si>
    <t>CUST55735</t>
  </si>
  <si>
    <t>ORD-00455</t>
  </si>
  <si>
    <t>CUST20908</t>
  </si>
  <si>
    <t>ORD-03302</t>
  </si>
  <si>
    <t>CUST00808</t>
  </si>
  <si>
    <t>ORD-00276</t>
  </si>
  <si>
    <t>CUST77008</t>
  </si>
  <si>
    <t>ORD-00082</t>
  </si>
  <si>
    <t>CUST20826</t>
  </si>
  <si>
    <t>ORD-01677</t>
  </si>
  <si>
    <t>CUST23764</t>
  </si>
  <si>
    <t>ORD-02651</t>
  </si>
  <si>
    <t>CUST11133</t>
  </si>
  <si>
    <t>ORD-00862</t>
  </si>
  <si>
    <t>CUST25585</t>
  </si>
  <si>
    <t>ORD-00502</t>
  </si>
  <si>
    <t>CUST52899</t>
  </si>
  <si>
    <t>ORD-03847</t>
  </si>
  <si>
    <t>CUST01197</t>
  </si>
  <si>
    <t>ORD-03372</t>
  </si>
  <si>
    <t>CUST23507</t>
  </si>
  <si>
    <t>ORD-02183</t>
  </si>
  <si>
    <t>CUST73899</t>
  </si>
  <si>
    <t>ORD-01801</t>
  </si>
  <si>
    <t>CUST42354</t>
  </si>
  <si>
    <t>ORD-01191</t>
  </si>
  <si>
    <t>CUST42018</t>
  </si>
  <si>
    <t>ORD-01367</t>
  </si>
  <si>
    <t>CUST32462</t>
  </si>
  <si>
    <t>ORD-00321</t>
  </si>
  <si>
    <t>CUST74301</t>
  </si>
  <si>
    <t>ORD-03973</t>
  </si>
  <si>
    <t>CUST60649</t>
  </si>
  <si>
    <t>ORD-00259</t>
  </si>
  <si>
    <t>CUST68265</t>
  </si>
  <si>
    <t>ORD-01295</t>
  </si>
  <si>
    <t>CUST43573</t>
  </si>
  <si>
    <t>ORD-04037</t>
  </si>
  <si>
    <t>CUST70226</t>
  </si>
  <si>
    <t>ORD-03087</t>
  </si>
  <si>
    <t>CUST32672</t>
  </si>
  <si>
    <t>ORD-01162</t>
  </si>
  <si>
    <t>CUST45949</t>
  </si>
  <si>
    <t>ORD-01742</t>
  </si>
  <si>
    <t>CUST91415</t>
  </si>
  <si>
    <t>ORD-01933</t>
  </si>
  <si>
    <t>CUST20246</t>
  </si>
  <si>
    <t>ORD-03355</t>
  </si>
  <si>
    <t>CUST79039</t>
  </si>
  <si>
    <t>ORD-00546</t>
  </si>
  <si>
    <t>CUST11171</t>
  </si>
  <si>
    <t>ORD-02123</t>
  </si>
  <si>
    <t>CUST62186</t>
  </si>
  <si>
    <t>ORD-04085</t>
  </si>
  <si>
    <t>CUST20306</t>
  </si>
  <si>
    <t>ORD-01794</t>
  </si>
  <si>
    <t>CUST42681</t>
  </si>
  <si>
    <t>ORD-00473</t>
  </si>
  <si>
    <t>CUST19554</t>
  </si>
  <si>
    <t>ORD-01652</t>
  </si>
  <si>
    <t>CUST31119</t>
  </si>
  <si>
    <t>ORD-00310</t>
  </si>
  <si>
    <t>CUST01960</t>
  </si>
  <si>
    <t>Sunita Rao</t>
  </si>
  <si>
    <t>ORD-00847</t>
  </si>
  <si>
    <t>CUST36203</t>
  </si>
  <si>
    <t>ORD-01549</t>
  </si>
  <si>
    <t>CUST76040</t>
  </si>
  <si>
    <t>ORD-02314</t>
  </si>
  <si>
    <t>CUST99949</t>
  </si>
  <si>
    <t>ORD-00308</t>
  </si>
  <si>
    <t>CUST07042</t>
  </si>
  <si>
    <t>ORD-00887</t>
  </si>
  <si>
    <t>CUST50884</t>
  </si>
  <si>
    <t>ORD-00397</t>
  </si>
  <si>
    <t>CUST17107</t>
  </si>
  <si>
    <t>ORD-00955</t>
  </si>
  <si>
    <t>CUST63974</t>
  </si>
  <si>
    <t>ORD-01740</t>
  </si>
  <si>
    <t>CUST21895</t>
  </si>
  <si>
    <t>ORD-00169</t>
  </si>
  <si>
    <t>CUST14141</t>
  </si>
  <si>
    <t>Nikhil Das</t>
  </si>
  <si>
    <t>ORD-00626</t>
  </si>
  <si>
    <t>CUST10712</t>
  </si>
  <si>
    <t>ORD-02077</t>
  </si>
  <si>
    <t>CUST06928</t>
  </si>
  <si>
    <t>ORD-02987</t>
  </si>
  <si>
    <t>CUST78771</t>
  </si>
  <si>
    <t>ORD-03554</t>
  </si>
  <si>
    <t>CUST02299</t>
  </si>
  <si>
    <t>ORD-03655</t>
  </si>
  <si>
    <t>CUST44723</t>
  </si>
  <si>
    <t>ORD-00094</t>
  </si>
  <si>
    <t>CUST12581</t>
  </si>
  <si>
    <t>ORD-03410</t>
  </si>
  <si>
    <t>CUST69094</t>
  </si>
  <si>
    <t>ORD-01482</t>
  </si>
  <si>
    <t>CUST43427</t>
  </si>
  <si>
    <t>ORD-02055</t>
  </si>
  <si>
    <t>CUST92237</t>
  </si>
  <si>
    <t>ORD-03552</t>
  </si>
  <si>
    <t>CUST47390</t>
  </si>
  <si>
    <t>ORD-03721</t>
  </si>
  <si>
    <t>CUST98311</t>
  </si>
  <si>
    <t>ORD-02238</t>
  </si>
  <si>
    <t>CUST61636</t>
  </si>
  <si>
    <t>ORD-00193</t>
  </si>
  <si>
    <t>CUST20505</t>
  </si>
  <si>
    <t>ORD-00722</t>
  </si>
  <si>
    <t>CUST22239</t>
  </si>
  <si>
    <t>ORD-03234</t>
  </si>
  <si>
    <t>CUST23301</t>
  </si>
  <si>
    <t>ORD-00363</t>
  </si>
  <si>
    <t>CUST26055</t>
  </si>
  <si>
    <t>ORD-03203</t>
  </si>
  <si>
    <t>CUST79007</t>
  </si>
  <si>
    <t>ORD-00442</t>
  </si>
  <si>
    <t>CUST98850</t>
  </si>
  <si>
    <t>ORD-01892</t>
  </si>
  <si>
    <t>CUST98022</t>
  </si>
  <si>
    <t>ORD-01362</t>
  </si>
  <si>
    <t>CUST75771</t>
  </si>
  <si>
    <t>ORD-01581</t>
  </si>
  <si>
    <t>CUST13351</t>
  </si>
  <si>
    <t>ORD-00152</t>
  </si>
  <si>
    <t>CUST55982</t>
  </si>
  <si>
    <t>Meera Bose</t>
  </si>
  <si>
    <t>ORD-03040</t>
  </si>
  <si>
    <t>CUST92392</t>
  </si>
  <si>
    <t>ORD-01709</t>
  </si>
  <si>
    <t>CUST24292</t>
  </si>
  <si>
    <t>ORD-04130</t>
  </si>
  <si>
    <t>CUST33881</t>
  </si>
  <si>
    <t>ORD-02290</t>
  </si>
  <si>
    <t>CUST57859</t>
  </si>
  <si>
    <t>ORD-03083</t>
  </si>
  <si>
    <t>CUST78430</t>
  </si>
  <si>
    <t>ORD-01556</t>
  </si>
  <si>
    <t>CUST84287</t>
  </si>
  <si>
    <t>ORD-03820</t>
  </si>
  <si>
    <t>CUST00780</t>
  </si>
  <si>
    <t>ORD-00360</t>
  </si>
  <si>
    <t>CUST65000</t>
  </si>
  <si>
    <t>ORD-02864</t>
  </si>
  <si>
    <t>CUST39044</t>
  </si>
  <si>
    <t>ORD-02366</t>
  </si>
  <si>
    <t>CUST55712</t>
  </si>
  <si>
    <t>ORD-01368</t>
  </si>
  <si>
    <t>CUST02383</t>
  </si>
  <si>
    <t>ORD-04112</t>
  </si>
  <si>
    <t>CUST28483</t>
  </si>
  <si>
    <t>ORD-02943</t>
  </si>
  <si>
    <t>CUST64972</t>
  </si>
  <si>
    <t>ORD-00353</t>
  </si>
  <si>
    <t>CUST09451</t>
  </si>
  <si>
    <t>ORD-00520</t>
  </si>
  <si>
    <t>CUST37089</t>
  </si>
  <si>
    <t>ORD-00930</t>
  </si>
  <si>
    <t>CUST93704</t>
  </si>
  <si>
    <t>ORD-01710</t>
  </si>
  <si>
    <t>CUST45078</t>
  </si>
  <si>
    <t>ORD-02303</t>
  </si>
  <si>
    <t>CUST73687</t>
  </si>
  <si>
    <t>ORD-02596</t>
  </si>
  <si>
    <t>CUST81623</t>
  </si>
  <si>
    <t>ORD-01373</t>
  </si>
  <si>
    <t>CUST56843</t>
  </si>
  <si>
    <t>ORD-02472</t>
  </si>
  <si>
    <t>CUST85179</t>
  </si>
  <si>
    <t>ORD-02435</t>
  </si>
  <si>
    <t>CUST20967</t>
  </si>
  <si>
    <t>ORD-02722</t>
  </si>
  <si>
    <t>CUST57029</t>
  </si>
  <si>
    <t>ORD-01260</t>
  </si>
  <si>
    <t>CUST55880</t>
  </si>
  <si>
    <t>ORD-03688</t>
  </si>
  <si>
    <t>CUST87861</t>
  </si>
  <si>
    <t>ORD-03284</t>
  </si>
  <si>
    <t>CUST26543</t>
  </si>
  <si>
    <t>ORD-03833</t>
  </si>
  <si>
    <t>CUST19407</t>
  </si>
  <si>
    <t>ORD-02225</t>
  </si>
  <si>
    <t>CUST76092</t>
  </si>
  <si>
    <t>ORD-01943</t>
  </si>
  <si>
    <t>CUST27635</t>
  </si>
  <si>
    <t>ORD-02312</t>
  </si>
  <si>
    <t>CUST81714</t>
  </si>
  <si>
    <t>ORD-01416</t>
  </si>
  <si>
    <t>ORD-03584</t>
  </si>
  <si>
    <t>CUST44948</t>
  </si>
  <si>
    <t>ORD-02320</t>
  </si>
  <si>
    <t>CUST01629</t>
  </si>
  <si>
    <t>ORD-02902</t>
  </si>
  <si>
    <t>CUST92378</t>
  </si>
  <si>
    <t>ORD-02493</t>
  </si>
  <si>
    <t>CUST53174</t>
  </si>
  <si>
    <t>ORD-01625</t>
  </si>
  <si>
    <t>CUST55070</t>
  </si>
  <si>
    <t>ORD-00641</t>
  </si>
  <si>
    <t>CUST42461</t>
  </si>
  <si>
    <t>ORD-01828</t>
  </si>
  <si>
    <t>CUST21183</t>
  </si>
  <si>
    <t>ORD-00380</t>
  </si>
  <si>
    <t>CUST14649</t>
  </si>
  <si>
    <t>ORD-04024</t>
  </si>
  <si>
    <t>CUST40456</t>
  </si>
  <si>
    <t>ORD-02964</t>
  </si>
  <si>
    <t>CUST46382</t>
  </si>
  <si>
    <t>ORD-00899</t>
  </si>
  <si>
    <t>CUST12934</t>
  </si>
  <si>
    <t>ORD-01931</t>
  </si>
  <si>
    <t>CUST56329</t>
  </si>
  <si>
    <t>ORD-01271</t>
  </si>
  <si>
    <t>CUST89833</t>
  </si>
  <si>
    <t>ORD-02502</t>
  </si>
  <si>
    <t>CUST57769</t>
  </si>
  <si>
    <t>ORD-02471</t>
  </si>
  <si>
    <t>CUST13297</t>
  </si>
  <si>
    <t>ORD-00278</t>
  </si>
  <si>
    <t>CUST14008</t>
  </si>
  <si>
    <t>ORD-01585</t>
  </si>
  <si>
    <t>CUST80517</t>
  </si>
  <si>
    <t>ORD-03822</t>
  </si>
  <si>
    <t>CUST66429</t>
  </si>
  <si>
    <t>ORD-01043</t>
  </si>
  <si>
    <t>CUST85718</t>
  </si>
  <si>
    <t>ORD-03219</t>
  </si>
  <si>
    <t>CUST75320</t>
  </si>
  <si>
    <t>ORD-01774</t>
  </si>
  <si>
    <t>CUST82194</t>
  </si>
  <si>
    <t>ORD-00137</t>
  </si>
  <si>
    <t>CUST00764</t>
  </si>
  <si>
    <t>ORD-02072</t>
  </si>
  <si>
    <t>CUST80210</t>
  </si>
  <si>
    <t>ORD-00212</t>
  </si>
  <si>
    <t>CUST28918</t>
  </si>
  <si>
    <t>ORD-00984</t>
  </si>
  <si>
    <t>CUST55320</t>
  </si>
  <si>
    <t>ORD-03746</t>
  </si>
  <si>
    <t>CUST06683</t>
  </si>
  <si>
    <t>ORD-03546</t>
  </si>
  <si>
    <t>CUST33381</t>
  </si>
  <si>
    <t>ORD-03786</t>
  </si>
  <si>
    <t>CUST30148</t>
  </si>
  <si>
    <t>ORD-03662</t>
  </si>
  <si>
    <t>CUST72198</t>
  </si>
  <si>
    <t>ORD-03377</t>
  </si>
  <si>
    <t>CUST63612</t>
  </si>
  <si>
    <t>ORD-04064</t>
  </si>
  <si>
    <t>CUST01728</t>
  </si>
  <si>
    <t>ORD-00792</t>
  </si>
  <si>
    <t>Rohan Reddy</t>
  </si>
  <si>
    <t>ORD-01760</t>
  </si>
  <si>
    <t>CUST10245</t>
  </si>
  <si>
    <t>ORD-01846</t>
  </si>
  <si>
    <t>CUST07057</t>
  </si>
  <si>
    <t>ORD-03700</t>
  </si>
  <si>
    <t>CUST90578</t>
  </si>
  <si>
    <t>ORD-03617</t>
  </si>
  <si>
    <t>CUST82513</t>
  </si>
  <si>
    <t>ORD-02962</t>
  </si>
  <si>
    <t>CUST66452</t>
  </si>
  <si>
    <t>ORD-01791</t>
  </si>
  <si>
    <t>CUST01822</t>
  </si>
  <si>
    <t>ORD-01806</t>
  </si>
  <si>
    <t>CUST55100</t>
  </si>
  <si>
    <t>ORD-01817</t>
  </si>
  <si>
    <t>CUST33739</t>
  </si>
  <si>
    <t>ORD-02608</t>
  </si>
  <si>
    <t>CUST97191</t>
  </si>
  <si>
    <t>ORD-00825</t>
  </si>
  <si>
    <t>CUST51985</t>
  </si>
  <si>
    <t>ORD-02399</t>
  </si>
  <si>
    <t>CUST55942</t>
  </si>
  <si>
    <t>ORD-03915</t>
  </si>
  <si>
    <t>CUST79020</t>
  </si>
  <si>
    <t>ORD-00818</t>
  </si>
  <si>
    <t>CUST07023</t>
  </si>
  <si>
    <t>ORD-00937</t>
  </si>
  <si>
    <t>CUST46314</t>
  </si>
  <si>
    <t>ORD-01069</t>
  </si>
  <si>
    <t>CUST92885</t>
  </si>
  <si>
    <t>ORD-03613</t>
  </si>
  <si>
    <t>CUST46029</t>
  </si>
  <si>
    <t>ORD-03744</t>
  </si>
  <si>
    <t>CUST99332</t>
  </si>
  <si>
    <t>ORD-01018</t>
  </si>
  <si>
    <t>CUST44454</t>
  </si>
  <si>
    <t>ORD-02461</t>
  </si>
  <si>
    <t>CUST40699</t>
  </si>
  <si>
    <t>ORD-03162</t>
  </si>
  <si>
    <t>CUST64139</t>
  </si>
  <si>
    <t>ORD-00408</t>
  </si>
  <si>
    <t>CUST53614</t>
  </si>
  <si>
    <t>Aditya Bhat</t>
  </si>
  <si>
    <t>ORD-03936</t>
  </si>
  <si>
    <t>CUST41339</t>
  </si>
  <si>
    <t>ORD-03979</t>
  </si>
  <si>
    <t>CUST11949</t>
  </si>
  <si>
    <t>ORD-02583</t>
  </si>
  <si>
    <t>CUST12302</t>
  </si>
  <si>
    <t>ORD-00168</t>
  </si>
  <si>
    <t>CUST93790</t>
  </si>
  <si>
    <t>ORD-03568</t>
  </si>
  <si>
    <t>CUST25934</t>
  </si>
  <si>
    <t>ORD-03574</t>
  </si>
  <si>
    <t>CUST89268</t>
  </si>
  <si>
    <t>ORD-00297</t>
  </si>
  <si>
    <t>CUST79842</t>
  </si>
  <si>
    <t>ORD-00576</t>
  </si>
  <si>
    <t>CUST60901</t>
  </si>
  <si>
    <t>ORD-04068</t>
  </si>
  <si>
    <t>CUST38940</t>
  </si>
  <si>
    <t>ORD-00831</t>
  </si>
  <si>
    <t>CUST89108</t>
  </si>
  <si>
    <t>ORD-00663</t>
  </si>
  <si>
    <t>CUST83467</t>
  </si>
  <si>
    <t>ORD-01197</t>
  </si>
  <si>
    <t>CUST79216</t>
  </si>
  <si>
    <t>ORD-03301</t>
  </si>
  <si>
    <t>CUST23165</t>
  </si>
  <si>
    <t>ORD-01301</t>
  </si>
  <si>
    <t>CUST03306</t>
  </si>
  <si>
    <t>ORD-02652</t>
  </si>
  <si>
    <t>CUST68660</t>
  </si>
  <si>
    <t>ORD-03334</t>
  </si>
  <si>
    <t>CUST68810</t>
  </si>
  <si>
    <t>ORD-03776</t>
  </si>
  <si>
    <t>CUST73430</t>
  </si>
  <si>
    <t>ORD-00536</t>
  </si>
  <si>
    <t>CUST36425</t>
  </si>
  <si>
    <t>ORD-02061</t>
  </si>
  <si>
    <t>CUST88965</t>
  </si>
  <si>
    <t>Nisha Nair</t>
  </si>
  <si>
    <t>ORD-01588</t>
  </si>
  <si>
    <t>CUST52878</t>
  </si>
  <si>
    <t>ORD-00333</t>
  </si>
  <si>
    <t>CUST88068</t>
  </si>
  <si>
    <t>ORD-02953</t>
  </si>
  <si>
    <t>CUST69533</t>
  </si>
  <si>
    <t>ORD-02904</t>
  </si>
  <si>
    <t>CUST88828</t>
  </si>
  <si>
    <t>ORD-02919</t>
  </si>
  <si>
    <t>CUST99491</t>
  </si>
  <si>
    <t>Deepa Shah</t>
  </si>
  <si>
    <t>ORD-00938</t>
  </si>
  <si>
    <t>CUST93635</t>
  </si>
  <si>
    <t>ORD-04097</t>
  </si>
  <si>
    <t>CUST91716</t>
  </si>
  <si>
    <t>ORD-02257</t>
  </si>
  <si>
    <t>CUST98457</t>
  </si>
  <si>
    <t>ORD-00561</t>
  </si>
  <si>
    <t>CUST12729</t>
  </si>
  <si>
    <t>ORD-04197</t>
  </si>
  <si>
    <t>CUST98908</t>
  </si>
  <si>
    <t>ORD-02512</t>
  </si>
  <si>
    <t>CUST90307</t>
  </si>
  <si>
    <t>ORD-00961</t>
  </si>
  <si>
    <t>CUST15494</t>
  </si>
  <si>
    <t>ORD-01776</t>
  </si>
  <si>
    <t>CUST91761</t>
  </si>
  <si>
    <t>ORD-02954</t>
  </si>
  <si>
    <t>CUST48148</t>
  </si>
  <si>
    <t>ORD-01442</t>
  </si>
  <si>
    <t>CUST07818</t>
  </si>
  <si>
    <t>ORD-02480</t>
  </si>
  <si>
    <t>CUST00142</t>
  </si>
  <si>
    <t>ORD-03130</t>
  </si>
  <si>
    <t>CUST42331</t>
  </si>
  <si>
    <t>ORD-01332</t>
  </si>
  <si>
    <t>CUST68136</t>
  </si>
  <si>
    <t>ORD-02126</t>
  </si>
  <si>
    <t>CUST82300</t>
  </si>
  <si>
    <t>Aditya Verma</t>
  </si>
  <si>
    <t>ORD-00017</t>
  </si>
  <si>
    <t>CUST24691</t>
  </si>
  <si>
    <t>ORD-03471</t>
  </si>
  <si>
    <t>CUST34890</t>
  </si>
  <si>
    <t>ORD-01132</t>
  </si>
  <si>
    <t>CUST78632</t>
  </si>
  <si>
    <t>ORD-04116</t>
  </si>
  <si>
    <t>CUST40250</t>
  </si>
  <si>
    <t>ORD-00658</t>
  </si>
  <si>
    <t>CUST16403</t>
  </si>
  <si>
    <t>ORD-01656</t>
  </si>
  <si>
    <t>CUST94727</t>
  </si>
  <si>
    <t>ORD-03442</t>
  </si>
  <si>
    <t>CUST90404</t>
  </si>
  <si>
    <t>ORD-03180</t>
  </si>
  <si>
    <t>CUST65855</t>
  </si>
  <si>
    <t>ORD-00393</t>
  </si>
  <si>
    <t>CUST84712</t>
  </si>
  <si>
    <t>ORD-01696</t>
  </si>
  <si>
    <t>CUST42627</t>
  </si>
  <si>
    <t>ORD-01296</t>
  </si>
  <si>
    <t>CUST28222</t>
  </si>
  <si>
    <t>ORD-00844</t>
  </si>
  <si>
    <t>CUST33448</t>
  </si>
  <si>
    <t>ORD-01428</t>
  </si>
  <si>
    <t>CUST77645</t>
  </si>
  <si>
    <t>ORD-01590</t>
  </si>
  <si>
    <t>CUST86639</t>
  </si>
  <si>
    <t>ORD-00181</t>
  </si>
  <si>
    <t>CUST09112</t>
  </si>
  <si>
    <t>ORD-01632</t>
  </si>
  <si>
    <t>CUST95874</t>
  </si>
  <si>
    <t>ORD-02271</t>
  </si>
  <si>
    <t>CUST64969</t>
  </si>
  <si>
    <t>ORD-03525</t>
  </si>
  <si>
    <t>CUST05396</t>
  </si>
  <si>
    <t>ORD-03683</t>
  </si>
  <si>
    <t>CUST23854</t>
  </si>
  <si>
    <t>ORD-00555</t>
  </si>
  <si>
    <t>CUST68739</t>
  </si>
  <si>
    <t>ORD-02284</t>
  </si>
  <si>
    <t>CUST37893</t>
  </si>
  <si>
    <t>ORD-03157</t>
  </si>
  <si>
    <t>CUST79492</t>
  </si>
  <si>
    <t>ORD-03392</t>
  </si>
  <si>
    <t>CUST98375</t>
  </si>
  <si>
    <t>ORD-02810</t>
  </si>
  <si>
    <t>CUST60489</t>
  </si>
  <si>
    <t>ORD-03359</t>
  </si>
  <si>
    <t>CUST32879</t>
  </si>
  <si>
    <t>ORD-02602</t>
  </si>
  <si>
    <t>CUST51085</t>
  </si>
  <si>
    <t>ORD-00687</t>
  </si>
  <si>
    <t>CUST92441</t>
  </si>
  <si>
    <t>ORD-02294</t>
  </si>
  <si>
    <t>CUST45988</t>
  </si>
  <si>
    <t>ORD-02358</t>
  </si>
  <si>
    <t>CUST18994</t>
  </si>
  <si>
    <t>ORD-03005</t>
  </si>
  <si>
    <t>CUST48500</t>
  </si>
  <si>
    <t>ORD-03696</t>
  </si>
  <si>
    <t>CUST19992</t>
  </si>
  <si>
    <t>ORD-00720</t>
  </si>
  <si>
    <t>CUST10417</t>
  </si>
  <si>
    <t>ORD-00670</t>
  </si>
  <si>
    <t>CUST29205</t>
  </si>
  <si>
    <t>ORD-03328</t>
  </si>
  <si>
    <t>CUST92130</t>
  </si>
  <si>
    <t>ORD-02597</t>
  </si>
  <si>
    <t>CUST48131</t>
  </si>
  <si>
    <t>ORD-00999</t>
  </si>
  <si>
    <t>CUST40323</t>
  </si>
  <si>
    <t>ORD-03827</t>
  </si>
  <si>
    <t>CUST03364</t>
  </si>
  <si>
    <t>ORD-03474</t>
  </si>
  <si>
    <t>CUST68381</t>
  </si>
  <si>
    <t>ORD-02421</t>
  </si>
  <si>
    <t>CUST94458</t>
  </si>
  <si>
    <t>ORD-00054</t>
  </si>
  <si>
    <t>CUST65539</t>
  </si>
  <si>
    <t>ORD-02745</t>
  </si>
  <si>
    <t>CUST89552</t>
  </si>
  <si>
    <t>ORD-03803</t>
  </si>
  <si>
    <t>CUST18219</t>
  </si>
  <si>
    <t>ORD-02587</t>
  </si>
  <si>
    <t>CUST42705</t>
  </si>
  <si>
    <t>ORD-03614</t>
  </si>
  <si>
    <t>CUST04682</t>
  </si>
  <si>
    <t>ORD-03494</t>
  </si>
  <si>
    <t>CUST06002</t>
  </si>
  <si>
    <t>ORD-03161</t>
  </si>
  <si>
    <t>CUST77629</t>
  </si>
  <si>
    <t>ORD-01193</t>
  </si>
  <si>
    <t>CUST13957</t>
  </si>
  <si>
    <t>ORD-02875</t>
  </si>
  <si>
    <t>CUST97371</t>
  </si>
  <si>
    <t>ORD-01889</t>
  </si>
  <si>
    <t>CUST95351</t>
  </si>
  <si>
    <t>ORD-03814</t>
  </si>
  <si>
    <t>CUST84704</t>
  </si>
  <si>
    <t>ORD-03899</t>
  </si>
  <si>
    <t>CUST68293</t>
  </si>
  <si>
    <t>ORD-02859</t>
  </si>
  <si>
    <t>CUST98103</t>
  </si>
  <si>
    <t>ORD-03258</t>
  </si>
  <si>
    <t>CUST96311</t>
  </si>
  <si>
    <t>ORD-03938</t>
  </si>
  <si>
    <t>CUST11052</t>
  </si>
  <si>
    <t>ORD-01276</t>
  </si>
  <si>
    <t>CUST57127</t>
  </si>
  <si>
    <t>ORD-00739</t>
  </si>
  <si>
    <t>CUST79943</t>
  </si>
  <si>
    <t>ORD-03845</t>
  </si>
  <si>
    <t>CUST16479</t>
  </si>
  <si>
    <t>ORD-00992</t>
  </si>
  <si>
    <t>CUST50288</t>
  </si>
  <si>
    <t>ORD-02051</t>
  </si>
  <si>
    <t>CUST76675</t>
  </si>
  <si>
    <t>ORD-03996</t>
  </si>
  <si>
    <t>CUST21024</t>
  </si>
  <si>
    <t>ORD-00048</t>
  </si>
  <si>
    <t>CUST66040</t>
  </si>
  <si>
    <t>ORD-03994</t>
  </si>
  <si>
    <t>CUST52703</t>
  </si>
  <si>
    <t>ORD-00673</t>
  </si>
  <si>
    <t>CUST95082</t>
  </si>
  <si>
    <t>ORD-02840</t>
  </si>
  <si>
    <t>CUST58515</t>
  </si>
  <si>
    <t>ORD-03537</t>
  </si>
  <si>
    <t>CUST44168</t>
  </si>
  <si>
    <t>ORD-02383</t>
  </si>
  <si>
    <t>CUST86276</t>
  </si>
  <si>
    <t>ORD-03183</t>
  </si>
  <si>
    <t>CUST13349</t>
  </si>
  <si>
    <t>ORD-02855</t>
  </si>
  <si>
    <t>CUST40126</t>
  </si>
  <si>
    <t>ORD-03256</t>
  </si>
  <si>
    <t>CUST28145</t>
  </si>
  <si>
    <t>ORD-00107</t>
  </si>
  <si>
    <t>CUST65665</t>
  </si>
  <si>
    <t>ORD-02533</t>
  </si>
  <si>
    <t>CUST12043</t>
  </si>
  <si>
    <t>ORD-03974</t>
  </si>
  <si>
    <t>CUST86540</t>
  </si>
  <si>
    <t>ORD-03165</t>
  </si>
  <si>
    <t>CUST41533</t>
  </si>
  <si>
    <t>ORD-00079</t>
  </si>
  <si>
    <t>CUST80503</t>
  </si>
  <si>
    <t>ORD-00032</t>
  </si>
  <si>
    <t>CUST11636</t>
  </si>
  <si>
    <t>ORD-03946</t>
  </si>
  <si>
    <t>CUST42531</t>
  </si>
  <si>
    <t>ORD-01735</t>
  </si>
  <si>
    <t>CUST25514</t>
  </si>
  <si>
    <t>ORD-02136</t>
  </si>
  <si>
    <t>CUST11127</t>
  </si>
  <si>
    <t>ORD-00045</t>
  </si>
  <si>
    <t>CUST28149</t>
  </si>
  <si>
    <t>ORD-01988</t>
  </si>
  <si>
    <t>CUST56529</t>
  </si>
  <si>
    <t>ORD-01960</t>
  </si>
  <si>
    <t>CUST87825</t>
  </si>
  <si>
    <t>ORD-02327</t>
  </si>
  <si>
    <t>CUST19975</t>
  </si>
  <si>
    <t>ORD-03030</t>
  </si>
  <si>
    <t>CUST86844</t>
  </si>
  <si>
    <t>ORD-03531</t>
  </si>
  <si>
    <t>CUST79922</t>
  </si>
  <si>
    <t>Arjun Joshi</t>
  </si>
  <si>
    <t>ORD-00708</t>
  </si>
  <si>
    <t>CUST56942</t>
  </si>
  <si>
    <t>ORD-00811</t>
  </si>
  <si>
    <t>CUST59025</t>
  </si>
  <si>
    <t>ORD-03666</t>
  </si>
  <si>
    <t>CUST44030</t>
  </si>
  <si>
    <t>ORD-03215</t>
  </si>
  <si>
    <t>CUST12249</t>
  </si>
  <si>
    <t>ORD-03132</t>
  </si>
  <si>
    <t>CUST70495</t>
  </si>
  <si>
    <t>ORD-04103</t>
  </si>
  <si>
    <t>CUST86891</t>
  </si>
  <si>
    <t>ORD-00851</t>
  </si>
  <si>
    <t>CUST39419</t>
  </si>
  <si>
    <t>ORD-01297</t>
  </si>
  <si>
    <t>CUST93424</t>
  </si>
  <si>
    <t>Aditya Kapoor</t>
  </si>
  <si>
    <t>ORD-01732</t>
  </si>
  <si>
    <t>CUST51801</t>
  </si>
  <si>
    <t>ORD-03737</t>
  </si>
  <si>
    <t>CUST37666</t>
  </si>
  <si>
    <t>ORD-01067</t>
  </si>
  <si>
    <t>CUST21073</t>
  </si>
  <si>
    <t>ORD-02419</t>
  </si>
  <si>
    <t>CUST71186</t>
  </si>
  <si>
    <t>Ananya Chatterjee</t>
  </si>
  <si>
    <t>ORD-01646</t>
  </si>
  <si>
    <t>CUST16475</t>
  </si>
  <si>
    <t>ORD-02927</t>
  </si>
  <si>
    <t>CUST53444</t>
  </si>
  <si>
    <t>ORD-00703</t>
  </si>
  <si>
    <t>CUST23905</t>
  </si>
  <si>
    <t>ORD-00719</t>
  </si>
  <si>
    <t>CUST77326</t>
  </si>
  <si>
    <t>ORD-02689</t>
  </si>
  <si>
    <t>CUST30478</t>
  </si>
  <si>
    <t>ORD-03076</t>
  </si>
  <si>
    <t>CUST49954</t>
  </si>
  <si>
    <t>ORD-02882</t>
  </si>
  <si>
    <t>CUST50309</t>
  </si>
  <si>
    <t>ORD-04023</t>
  </si>
  <si>
    <t>CUST25803</t>
  </si>
  <si>
    <t>ORD-03957</t>
  </si>
  <si>
    <t>CUST42062</t>
  </si>
  <si>
    <t>ORD-00972</t>
  </si>
  <si>
    <t>CUST58228</t>
  </si>
  <si>
    <t>ORD-03460</t>
  </si>
  <si>
    <t>CUST25321</t>
  </si>
  <si>
    <t>ORD-02189</t>
  </si>
  <si>
    <t>CUST72195</t>
  </si>
  <si>
    <t>ORD-00231</t>
  </si>
  <si>
    <t>CUST27455</t>
  </si>
  <si>
    <t>ORD-03591</t>
  </si>
  <si>
    <t>CUST08962</t>
  </si>
  <si>
    <t>ORD-00954</t>
  </si>
  <si>
    <t>CUST75813</t>
  </si>
  <si>
    <t>ORD-02240</t>
  </si>
  <si>
    <t>CUST70797</t>
  </si>
  <si>
    <t>ORD-03889</t>
  </si>
  <si>
    <t>CUST81355</t>
  </si>
  <si>
    <t>ORD-01543</t>
  </si>
  <si>
    <t>CUST69055</t>
  </si>
  <si>
    <t>ORD-01216</t>
  </si>
  <si>
    <t>CUST87398</t>
  </si>
  <si>
    <t>Rahul Rao</t>
  </si>
  <si>
    <t>ORD-01621</t>
  </si>
  <si>
    <t>CUST91294</t>
  </si>
  <si>
    <t>ORD-00821</t>
  </si>
  <si>
    <t>CUST07868</t>
  </si>
  <si>
    <t>ORD-00282</t>
  </si>
  <si>
    <t>CUST51993</t>
  </si>
  <si>
    <t>ORD-01982</t>
  </si>
  <si>
    <t>CUST60037</t>
  </si>
  <si>
    <t>ORD-01249</t>
  </si>
  <si>
    <t>CUST24069</t>
  </si>
  <si>
    <t>ORD-01494</t>
  </si>
  <si>
    <t>CUST49312</t>
  </si>
  <si>
    <t>ORD-03255</t>
  </si>
  <si>
    <t>CUST68003</t>
  </si>
  <si>
    <t>ORD-02372</t>
  </si>
  <si>
    <t>CUST49286</t>
  </si>
  <si>
    <t>ORD-01210</t>
  </si>
  <si>
    <t>CUST18457</t>
  </si>
  <si>
    <t>ORD-03956</t>
  </si>
  <si>
    <t>CUST78830</t>
  </si>
  <si>
    <t>ORD-01136</t>
  </si>
  <si>
    <t>CUST75145</t>
  </si>
  <si>
    <t>ORD-03127</t>
  </si>
  <si>
    <t>CUST95818</t>
  </si>
  <si>
    <t>ORD-03245</t>
  </si>
  <si>
    <t>CUST51623</t>
  </si>
  <si>
    <t>ORD-02263</t>
  </si>
  <si>
    <t>CUST80227</t>
  </si>
  <si>
    <t>ORD-00852</t>
  </si>
  <si>
    <t>CUST80007</t>
  </si>
  <si>
    <t>ORD-04027</t>
  </si>
  <si>
    <t>CUST22444</t>
  </si>
  <si>
    <t>ORD-00884</t>
  </si>
  <si>
    <t>CUST13555</t>
  </si>
  <si>
    <t>ORD-01962</t>
  </si>
  <si>
    <t>CUST39536</t>
  </si>
  <si>
    <t>ORD-03308</t>
  </si>
  <si>
    <t>CUST41593</t>
  </si>
  <si>
    <t>ORD-00980</t>
  </si>
  <si>
    <t>CUST55402</t>
  </si>
  <si>
    <t>ORD-02627</t>
  </si>
  <si>
    <t>CUST23490</t>
  </si>
  <si>
    <t>ORD-02553</t>
  </si>
  <si>
    <t>CUST10304</t>
  </si>
  <si>
    <t>ORD-00216</t>
  </si>
  <si>
    <t>CUST86362</t>
  </si>
  <si>
    <t>ORD-03247</t>
  </si>
  <si>
    <t>CUST92610</t>
  </si>
  <si>
    <t>ORD-00839</t>
  </si>
  <si>
    <t>CUST85913</t>
  </si>
  <si>
    <t>ORD-03985</t>
  </si>
  <si>
    <t>CUST56825</t>
  </si>
  <si>
    <t>ORD-01915</t>
  </si>
  <si>
    <t>CUST50959</t>
  </si>
  <si>
    <t>ORD-02706</t>
  </si>
  <si>
    <t>CUST55586</t>
  </si>
  <si>
    <t>ORD-01687</t>
  </si>
  <si>
    <t>CUST88552</t>
  </si>
  <si>
    <t>ORD-03561</t>
  </si>
  <si>
    <t>CUST09606</t>
  </si>
  <si>
    <t>ORD-03475</t>
  </si>
  <si>
    <t>CUST36492</t>
  </si>
  <si>
    <t>ORD-03639</t>
  </si>
  <si>
    <t>CUST46406</t>
  </si>
  <si>
    <t>ORD-04067</t>
  </si>
  <si>
    <t>CUST49069</t>
  </si>
  <si>
    <t>ORD-01539</t>
  </si>
  <si>
    <t>CUST68441</t>
  </si>
  <si>
    <t>ORD-01254</t>
  </si>
  <si>
    <t>CUST21375</t>
  </si>
  <si>
    <t>ORD-00426</t>
  </si>
  <si>
    <t>CUST45896</t>
  </si>
  <si>
    <t>ORD-03000</t>
  </si>
  <si>
    <t>CUST14868</t>
  </si>
  <si>
    <t>ORD-00230</t>
  </si>
  <si>
    <t>CUST62810</t>
  </si>
  <si>
    <t>ORD-02318</t>
  </si>
  <si>
    <t>CUST67509</t>
  </si>
  <si>
    <t>ORD-01327</t>
  </si>
  <si>
    <t>CUST26929</t>
  </si>
  <si>
    <t>ORD-03569</t>
  </si>
  <si>
    <t>CUST54474</t>
  </si>
  <si>
    <t>ORD-00877</t>
  </si>
  <si>
    <t>CUST26337</t>
  </si>
  <si>
    <t>ORD-00475</t>
  </si>
  <si>
    <t>CUST88974</t>
  </si>
  <si>
    <t>ORD-01480</t>
  </si>
  <si>
    <t>CUST85847</t>
  </si>
  <si>
    <t>ORD-01053</t>
  </si>
  <si>
    <t>CUST27057</t>
  </si>
  <si>
    <t>ORD-00570</t>
  </si>
  <si>
    <t>CUST24704</t>
  </si>
  <si>
    <t>ORD-00106</t>
  </si>
  <si>
    <t>CUST55820</t>
  </si>
  <si>
    <t>ORD-02202</t>
  </si>
  <si>
    <t>CUST31801</t>
  </si>
  <si>
    <t>ORD-00254</t>
  </si>
  <si>
    <t>CUST17284</t>
  </si>
  <si>
    <t>ORD-01972</t>
  </si>
  <si>
    <t>CUST38989</t>
  </si>
  <si>
    <t>ORD-01423</t>
  </si>
  <si>
    <t>CUST36676</t>
  </si>
  <si>
    <t>ORD-01287</t>
  </si>
  <si>
    <t>CUST98013</t>
  </si>
  <si>
    <t>ORD-02196</t>
  </si>
  <si>
    <t>CUST89124</t>
  </si>
  <si>
    <t>ORD-03462</t>
  </si>
  <si>
    <t>CUST54484</t>
  </si>
  <si>
    <t>ORD-01764</t>
  </si>
  <si>
    <t>CUST85243</t>
  </si>
  <si>
    <t>ORD-02436</t>
  </si>
  <si>
    <t>CUST21059</t>
  </si>
  <si>
    <t>ORD-01313</t>
  </si>
  <si>
    <t>CUST70748</t>
  </si>
  <si>
    <t>ORD-03681</t>
  </si>
  <si>
    <t>CUST54460</t>
  </si>
  <si>
    <t>ORD-03671</t>
  </si>
  <si>
    <t>CUST25446</t>
  </si>
  <si>
    <t>ORD-02564</t>
  </si>
  <si>
    <t>CUST30884</t>
  </si>
  <si>
    <t>ORD-02405</t>
  </si>
  <si>
    <t>CUST00698</t>
  </si>
  <si>
    <t>ORD-00391</t>
  </si>
  <si>
    <t>CUST29649</t>
  </si>
  <si>
    <t>ORD-03835</t>
  </si>
  <si>
    <t>CUST19222</t>
  </si>
  <si>
    <t>ORD-00007</t>
  </si>
  <si>
    <t>CUST36722</t>
  </si>
  <si>
    <t>ORD-02298</t>
  </si>
  <si>
    <t>CUST36266</t>
  </si>
  <si>
    <t>ORD-03553</t>
  </si>
  <si>
    <t>CUST14583</t>
  </si>
  <si>
    <t>ORD-03950</t>
  </si>
  <si>
    <t>CUST58511</t>
  </si>
  <si>
    <t>ORD-02353</t>
  </si>
  <si>
    <t>CUST90384</t>
  </si>
  <si>
    <t>ORD-00185</t>
  </si>
  <si>
    <t>CUST40829</t>
  </si>
  <si>
    <t>ORD-02549</t>
  </si>
  <si>
    <t>CUST27551</t>
  </si>
  <si>
    <t>ORD-02351</t>
  </si>
  <si>
    <t>CUST84589</t>
  </si>
  <si>
    <t>ORD-01202</t>
  </si>
  <si>
    <t>CUST40333</t>
  </si>
  <si>
    <t>ORD-03380</t>
  </si>
  <si>
    <t>CUST31806</t>
  </si>
  <si>
    <t>ORD-00274</t>
  </si>
  <si>
    <t>CUST60735</t>
  </si>
  <si>
    <t>Aditya Reddy</t>
  </si>
  <si>
    <t>ORD-01689</t>
  </si>
  <si>
    <t>CUST51141</t>
  </si>
  <si>
    <t>ORD-01424</t>
  </si>
  <si>
    <t>CUST12417</t>
  </si>
  <si>
    <t>ORD-02165</t>
  </si>
  <si>
    <t>CUST76665</t>
  </si>
  <si>
    <t>ORD-01284</t>
  </si>
  <si>
    <t>CUST80616</t>
  </si>
  <si>
    <t>ORD-01768</t>
  </si>
  <si>
    <t>CUST56693</t>
  </si>
  <si>
    <t>ORD-02936</t>
  </si>
  <si>
    <t>CUST18941</t>
  </si>
  <si>
    <t>ORD-03817</t>
  </si>
  <si>
    <t>CUST73190</t>
  </si>
  <si>
    <t>ORD-02169</t>
  </si>
  <si>
    <t>CUST26086</t>
  </si>
  <si>
    <t>ORD-02309</t>
  </si>
  <si>
    <t>CUST06929</t>
  </si>
  <si>
    <t>ORD-01056</t>
  </si>
  <si>
    <t>CUST25647</t>
  </si>
  <si>
    <t>ORD-00981</t>
  </si>
  <si>
    <t>CUST13256</t>
  </si>
  <si>
    <t>ORD-03778</t>
  </si>
  <si>
    <t>CUST84717</t>
  </si>
  <si>
    <t>ORD-04186</t>
  </si>
  <si>
    <t>CUST56795</t>
  </si>
  <si>
    <t>ORD-02967</t>
  </si>
  <si>
    <t>CUST52334</t>
  </si>
  <si>
    <t>ORD-02790</t>
  </si>
  <si>
    <t>CUST65266</t>
  </si>
  <si>
    <t>ORD-00721</t>
  </si>
  <si>
    <t>CUST21865</t>
  </si>
  <si>
    <t>ORD-00469</t>
  </si>
  <si>
    <t>CUST18174</t>
  </si>
  <si>
    <t>ORD-01859</t>
  </si>
  <si>
    <t>CUST93119</t>
  </si>
  <si>
    <t>ORD-02093</t>
  </si>
  <si>
    <t>CUST94639</t>
  </si>
  <si>
    <t>ORD-01778</t>
  </si>
  <si>
    <t>CUST75473</t>
  </si>
  <si>
    <t>ORD-03046</t>
  </si>
  <si>
    <t>CUST98613</t>
  </si>
  <si>
    <t>ORD-00127</t>
  </si>
  <si>
    <t>CUST88548</t>
  </si>
  <si>
    <t>ORD-01987</t>
  </si>
  <si>
    <t>CUST54169</t>
  </si>
  <si>
    <t>ORD-00652</t>
  </si>
  <si>
    <t>CUST29202</t>
  </si>
  <si>
    <t>ORD-01405</t>
  </si>
  <si>
    <t>CUST15111</t>
  </si>
  <si>
    <t>ORD-03407</t>
  </si>
  <si>
    <t>CUST97699</t>
  </si>
  <si>
    <t>ORD-03850</t>
  </si>
  <si>
    <t>CUST65624</t>
  </si>
  <si>
    <t>ORD-03865</t>
  </si>
  <si>
    <t>CUST15771</t>
  </si>
  <si>
    <t>ORD-03810</t>
  </si>
  <si>
    <t>CUST08609</t>
  </si>
  <si>
    <t>ORD-01098</t>
  </si>
  <si>
    <t>CUST73609</t>
  </si>
  <si>
    <t>ORD-02186</t>
  </si>
  <si>
    <t>CUST37457</t>
  </si>
  <si>
    <t>ORD-02455</t>
  </si>
  <si>
    <t>CUST78730</t>
  </si>
  <si>
    <t>ORD-01364</t>
  </si>
  <si>
    <t>CUST64778</t>
  </si>
  <si>
    <t>ORD-00694</t>
  </si>
  <si>
    <t>CUST85469</t>
  </si>
  <si>
    <t>ORD-03055</t>
  </si>
  <si>
    <t>CUST44516</t>
  </si>
  <si>
    <t>ORD-00043</t>
  </si>
  <si>
    <t>CUST34094</t>
  </si>
  <si>
    <t>ORD-03051</t>
  </si>
  <si>
    <t>CUST77025</t>
  </si>
  <si>
    <t>ORD-00249</t>
  </si>
  <si>
    <t>CUST09291</t>
  </si>
  <si>
    <t>ORD-01180</t>
  </si>
  <si>
    <t>ORD-03451</t>
  </si>
  <si>
    <t>CUST41962</t>
  </si>
  <si>
    <t>ORD-02127</t>
  </si>
  <si>
    <t>CUST94881</t>
  </si>
  <si>
    <t>ORD-01450</t>
  </si>
  <si>
    <t>CUST04445</t>
  </si>
  <si>
    <t>ORD-03628</t>
  </si>
  <si>
    <t>CUST29710</t>
  </si>
  <si>
    <t>ORD-02448</t>
  </si>
  <si>
    <t>CUST48568</t>
  </si>
  <si>
    <t>ORD-00224</t>
  </si>
  <si>
    <t>ORD-00665</t>
  </si>
  <si>
    <t>CUST66018</t>
  </si>
  <si>
    <t>ORD-01877</t>
  </si>
  <si>
    <t>CUST48958</t>
  </si>
  <si>
    <t>ORD-03189</t>
  </si>
  <si>
    <t>CUST05334</t>
  </si>
  <si>
    <t>ORD-03345</t>
  </si>
  <si>
    <t>CUST37057</t>
  </si>
  <si>
    <t>ORD-03173</t>
  </si>
  <si>
    <t>CUST89046</t>
  </si>
  <si>
    <t>ORD-02074</t>
  </si>
  <si>
    <t>CUST45847</t>
  </si>
  <si>
    <t>ORD-02623</t>
  </si>
  <si>
    <t>CUST26102</t>
  </si>
  <si>
    <t>ORD-01963</t>
  </si>
  <si>
    <t>CUST48981</t>
  </si>
  <si>
    <t>ORD-02140</t>
  </si>
  <si>
    <t>CUST21643</t>
  </si>
  <si>
    <t>ORD-01017</t>
  </si>
  <si>
    <t>CUST14507</t>
  </si>
  <si>
    <t>ORD-02277</t>
  </si>
  <si>
    <t>CUST41635</t>
  </si>
  <si>
    <t>ORD-02675</t>
  </si>
  <si>
    <t>CUST02795</t>
  </si>
  <si>
    <t>ORD-02920</t>
  </si>
  <si>
    <t>CUST13418</t>
  </si>
  <si>
    <t>ORD-01726</t>
  </si>
  <si>
    <t>CUST66954</t>
  </si>
  <si>
    <t>ORD-03498</t>
  </si>
  <si>
    <t>CUST03536</t>
  </si>
  <si>
    <t>ORD-00588</t>
  </si>
  <si>
    <t>CUST24071</t>
  </si>
  <si>
    <t>ORD-00667</t>
  </si>
  <si>
    <t>CUST93755</t>
  </si>
  <si>
    <t>ORD-02708</t>
  </si>
  <si>
    <t>CUST34073</t>
  </si>
  <si>
    <t>ORD-01956</t>
  </si>
  <si>
    <t>CUST35857</t>
  </si>
  <si>
    <t>ORD-02113</t>
  </si>
  <si>
    <t>CUST19165</t>
  </si>
  <si>
    <t>ORD-01255</t>
  </si>
  <si>
    <t>CUST86441</t>
  </si>
  <si>
    <t>ORD-03575</t>
  </si>
  <si>
    <t>CUST61605</t>
  </si>
  <si>
    <t>ORD-03837</t>
  </si>
  <si>
    <t>CUST54910</t>
  </si>
  <si>
    <t>ORD-01498</t>
  </si>
  <si>
    <t>CUST49593</t>
  </si>
  <si>
    <t>ORD-01344</t>
  </si>
  <si>
    <t>CUST50875</t>
  </si>
  <si>
    <t>ORD-02414</t>
  </si>
  <si>
    <t>CUST28757</t>
  </si>
  <si>
    <t>ORD-00646</t>
  </si>
  <si>
    <t>CUST29116</t>
  </si>
  <si>
    <t>ORD-00457</t>
  </si>
  <si>
    <t>CUST62741</t>
  </si>
  <si>
    <t>ORD-02034</t>
  </si>
  <si>
    <t>CUST52824</t>
  </si>
  <si>
    <t>ORD-01319</t>
  </si>
  <si>
    <t>CUST97277</t>
  </si>
  <si>
    <t>ORD-03381</t>
  </si>
  <si>
    <t>CUST00337</t>
  </si>
  <si>
    <t>ORD-00813</t>
  </si>
  <si>
    <t>CUST99023</t>
  </si>
  <si>
    <t>ORD-00309</t>
  </si>
  <si>
    <t>CUST17538</t>
  </si>
  <si>
    <t>ORD-03273</t>
  </si>
  <si>
    <t>CUST10941</t>
  </si>
  <si>
    <t>ORD-04066</t>
  </si>
  <si>
    <t>CUST43387</t>
  </si>
  <si>
    <t>ORD-04013</t>
  </si>
  <si>
    <t>CUST80488</t>
  </si>
  <si>
    <t>ORD-01218</t>
  </si>
  <si>
    <t>CUST69231</t>
  </si>
  <si>
    <t>ORD-03199</t>
  </si>
  <si>
    <t>CUST93632</t>
  </si>
  <si>
    <t>ORD-03446</t>
  </si>
  <si>
    <t>CUST54039</t>
  </si>
  <si>
    <t>ORD-01886</t>
  </si>
  <si>
    <t>CUST07676</t>
  </si>
  <si>
    <t>ORD-03026</t>
  </si>
  <si>
    <t>CUST65223</t>
  </si>
  <si>
    <t>ORD-02957</t>
  </si>
  <si>
    <t>CUST77083</t>
  </si>
  <si>
    <t>ORD-03687</t>
  </si>
  <si>
    <t>CUST45246</t>
  </si>
  <si>
    <t>ORD-01226</t>
  </si>
  <si>
    <t>CUST93943</t>
  </si>
  <si>
    <t>ORD-02385</t>
  </si>
  <si>
    <t>CUST01228</t>
  </si>
  <si>
    <t>ORD-00085</t>
  </si>
  <si>
    <t>CUST18248</t>
  </si>
  <si>
    <t>ORD-02824</t>
  </si>
  <si>
    <t>CUST94776</t>
  </si>
  <si>
    <t>ORD-03338</t>
  </si>
  <si>
    <t>CUST84437</t>
  </si>
  <si>
    <t>ORD-04084</t>
  </si>
  <si>
    <t>CUST03465</t>
  </si>
  <si>
    <t>ORD-02733</t>
  </si>
  <si>
    <t>CUST12771</t>
  </si>
  <si>
    <t>ORD-04080</t>
  </si>
  <si>
    <t>CUST09163</t>
  </si>
  <si>
    <t>ORD-01089</t>
  </si>
  <si>
    <t>CUST29692</t>
  </si>
  <si>
    <t>ORD-00620</t>
  </si>
  <si>
    <t>ORD-02960</t>
  </si>
  <si>
    <t>CUST73492</t>
  </si>
  <si>
    <t>ORD-01215</t>
  </si>
  <si>
    <t>CUST92946</t>
  </si>
  <si>
    <t>ORD-01703</t>
  </si>
  <si>
    <t>CUST78614</t>
  </si>
  <si>
    <t>ORD-02066</t>
  </si>
  <si>
    <t>CUST80371</t>
  </si>
  <si>
    <t>ORD-03278</t>
  </si>
  <si>
    <t>CUST28845</t>
  </si>
  <si>
    <t>ORD-02693</t>
  </si>
  <si>
    <t>CUST31367</t>
  </si>
  <si>
    <t>ORD-02996</t>
  </si>
  <si>
    <t>CUST44301</t>
  </si>
  <si>
    <t>ORD-01580</t>
  </si>
  <si>
    <t>CUST43143</t>
  </si>
  <si>
    <t>ORD-03204</t>
  </si>
  <si>
    <t>CUST20726</t>
  </si>
  <si>
    <t>ORD-04102</t>
  </si>
  <si>
    <t>CUST19687</t>
  </si>
  <si>
    <t>ORD-02995</t>
  </si>
  <si>
    <t>CUST01120</t>
  </si>
  <si>
    <t>ORD-02396</t>
  </si>
  <si>
    <t>CUST15736</t>
  </si>
  <si>
    <t>ORD-01366</t>
  </si>
  <si>
    <t>CUST19666</t>
  </si>
  <si>
    <t>ORD-02221</t>
  </si>
  <si>
    <t>CUST03778</t>
  </si>
  <si>
    <t>ORD-02182</t>
  </si>
  <si>
    <t>CUST10127</t>
  </si>
  <si>
    <t>ORD-02893</t>
  </si>
  <si>
    <t>CUST15263</t>
  </si>
  <si>
    <t>ORD-03643</t>
  </si>
  <si>
    <t>CUST93078</t>
  </si>
  <si>
    <t>ORD-00355</t>
  </si>
  <si>
    <t>CUST29275</t>
  </si>
  <si>
    <t>ORD-02634</t>
  </si>
  <si>
    <t>CUST87463</t>
  </si>
  <si>
    <t>ORD-01268</t>
  </si>
  <si>
    <t>CUST13250</t>
  </si>
  <si>
    <t>ORD-03154</t>
  </si>
  <si>
    <t>CUST59117</t>
  </si>
  <si>
    <t>ORD-00459</t>
  </si>
  <si>
    <t>CUST05833</t>
  </si>
  <si>
    <t>ORD-00009</t>
  </si>
  <si>
    <t>CUST92855</t>
  </si>
  <si>
    <t>ORD-03848</t>
  </si>
  <si>
    <t>CUST92309</t>
  </si>
  <si>
    <t>ORD-02898</t>
  </si>
  <si>
    <t>ORD-01542</t>
  </si>
  <si>
    <t>CUST20530</t>
  </si>
  <si>
    <t>ORD-02431</t>
  </si>
  <si>
    <t>CUST33602</t>
  </si>
  <si>
    <t>ORD-00716</t>
  </si>
  <si>
    <t>CUST94113</t>
  </si>
  <si>
    <t>ORD-00444</t>
  </si>
  <si>
    <t>CUST81670</t>
  </si>
  <si>
    <t>ORD-02815</t>
  </si>
  <si>
    <t>CUST75268</t>
  </si>
  <si>
    <t>ORD-04069</t>
  </si>
  <si>
    <t>CUST61722</t>
  </si>
  <si>
    <t>ORD-03630</t>
  </si>
  <si>
    <t>CUST62637</t>
  </si>
  <si>
    <t>ORD-02063</t>
  </si>
  <si>
    <t>CUST13406</t>
  </si>
  <si>
    <t>ORD-00425</t>
  </si>
  <si>
    <t>CUST69172</t>
  </si>
  <si>
    <t>ORD-01073</t>
  </si>
  <si>
    <t>CUST74821</t>
  </si>
  <si>
    <t>ORD-01644</t>
  </si>
  <si>
    <t>CUST20877</t>
  </si>
  <si>
    <t>ORD-00182</t>
  </si>
  <si>
    <t>CUST63049</t>
  </si>
  <si>
    <t>ORD-01681</t>
  </si>
  <si>
    <t>CUST96522</t>
  </si>
  <si>
    <t>ORD-03369</t>
  </si>
  <si>
    <t>CUST12624</t>
  </si>
  <si>
    <t>ORD-00788</t>
  </si>
  <si>
    <t>CUST62453</t>
  </si>
  <si>
    <t>ORD-01351</t>
  </si>
  <si>
    <t>CUST05251</t>
  </si>
  <si>
    <t>ORD-01491</t>
  </si>
  <si>
    <t>CUST70333</t>
  </si>
  <si>
    <t>ORD-04153</t>
  </si>
  <si>
    <t>CUST73466</t>
  </si>
  <si>
    <t>ORD-01601</t>
  </si>
  <si>
    <t>CUST25228</t>
  </si>
  <si>
    <t>ORD-04193</t>
  </si>
  <si>
    <t>CUST18192</t>
  </si>
  <si>
    <t>ORD-01901</t>
  </si>
  <si>
    <t>CUST72800</t>
  </si>
  <si>
    <t>ORD-04180</t>
  </si>
  <si>
    <t>CUST01003</t>
  </si>
  <si>
    <t>ORD-02827</t>
  </si>
  <si>
    <t>CUST71925</t>
  </si>
  <si>
    <t>ORD-03493</t>
  </si>
  <si>
    <t>CUST44061</t>
  </si>
  <si>
    <t>ORD-03484</t>
  </si>
  <si>
    <t>CUST42985</t>
  </si>
  <si>
    <t>ORD-01002</t>
  </si>
  <si>
    <t>CUST22154</t>
  </si>
  <si>
    <t>ORD-00827</t>
  </si>
  <si>
    <t>CUST71416</t>
  </si>
  <si>
    <t>ORD-00527</t>
  </si>
  <si>
    <t>CUST81582</t>
  </si>
  <si>
    <t>ORD-02002</t>
  </si>
  <si>
    <t>CUST93495</t>
  </si>
  <si>
    <t>ORD-01547</t>
  </si>
  <si>
    <t>CUST82417</t>
  </si>
  <si>
    <t>ORD-02671</t>
  </si>
  <si>
    <t>CUST19942</t>
  </si>
  <si>
    <t>ORD-02688</t>
  </si>
  <si>
    <t>CUST01507</t>
  </si>
  <si>
    <t>ORD-03878</t>
  </si>
  <si>
    <t>CUST09035</t>
  </si>
  <si>
    <t>ORD-00279</t>
  </si>
  <si>
    <t>CUST43418</t>
  </si>
  <si>
    <t>ORD-02890</t>
  </si>
  <si>
    <t>CUST22330</t>
  </si>
  <si>
    <t>ORD-00883</t>
  </si>
  <si>
    <t>CUST25736</t>
  </si>
  <si>
    <t>ORD-00738</t>
  </si>
  <si>
    <t>CUST90925</t>
  </si>
  <si>
    <t>ORD-03295</t>
  </si>
  <si>
    <t>CUST19218</t>
  </si>
  <si>
    <t>ORD-00505</t>
  </si>
  <si>
    <t>CUST37735</t>
  </si>
  <si>
    <t>ORD-01660</t>
  </si>
  <si>
    <t>CUST07883</t>
  </si>
  <si>
    <t>ORD-02120</t>
  </si>
  <si>
    <t>CUST74638</t>
  </si>
  <si>
    <t>ORD-01718</t>
  </si>
  <si>
    <t>CUST91928</t>
  </si>
  <si>
    <t>ORD-00548</t>
  </si>
  <si>
    <t>CUST25946</t>
  </si>
  <si>
    <t>ORD-00004</t>
  </si>
  <si>
    <t>CUST59539</t>
  </si>
  <si>
    <t>ORD-00979</t>
  </si>
  <si>
    <t>CUST08503</t>
  </si>
  <si>
    <t>ORD-04114</t>
  </si>
  <si>
    <t>CUST90879</t>
  </si>
  <si>
    <t>ORD-03044</t>
  </si>
  <si>
    <t>CUST65535</t>
  </si>
  <si>
    <t>ORD-02571</t>
  </si>
  <si>
    <t>CUST27786</t>
  </si>
  <si>
    <t>ORD-03212</t>
  </si>
  <si>
    <t>CUST59899</t>
  </si>
  <si>
    <t>ORD-00836</t>
  </si>
  <si>
    <t>CUST64754</t>
  </si>
  <si>
    <t>ORD-00198</t>
  </si>
  <si>
    <t>CUST42117</t>
  </si>
  <si>
    <t>ORD-00612</t>
  </si>
  <si>
    <t>CUST14600</t>
  </si>
  <si>
    <t>ORD-02525</t>
  </si>
  <si>
    <t>CUST46864</t>
  </si>
  <si>
    <t>ORD-02913</t>
  </si>
  <si>
    <t>CUST21693</t>
  </si>
  <si>
    <t>ORD-01803</t>
  </si>
  <si>
    <t>CUST75917</t>
  </si>
  <si>
    <t>ORD-01141</t>
  </si>
  <si>
    <t>CUST04487</t>
  </si>
  <si>
    <t>ORD-01022</t>
  </si>
  <si>
    <t>CUST91541</t>
  </si>
  <si>
    <t>ORD-03638</t>
  </si>
  <si>
    <t>CUST06952</t>
  </si>
  <si>
    <t>ORD-03505</t>
  </si>
  <si>
    <t>CUST59852</t>
  </si>
  <si>
    <t>ORD-02440</t>
  </si>
  <si>
    <t>CUST91846</t>
  </si>
  <si>
    <t>ORD-01819</t>
  </si>
  <si>
    <t>CUST63222</t>
  </si>
  <si>
    <t>ORD-03793</t>
  </si>
  <si>
    <t>CUST34536</t>
  </si>
  <si>
    <t>ORD-03507</t>
  </si>
  <si>
    <t>CUST15344</t>
  </si>
  <si>
    <t>ORD-02636</t>
  </si>
  <si>
    <t>CUST87391</t>
  </si>
  <si>
    <t>ORD-03103</t>
  </si>
  <si>
    <t>CUST01278</t>
  </si>
  <si>
    <t>ORD-03650</t>
  </si>
  <si>
    <t>CUST58829</t>
  </si>
  <si>
    <t>ORD-02696</t>
  </si>
  <si>
    <t>CUST64855</t>
  </si>
  <si>
    <t>ORD-00714</t>
  </si>
  <si>
    <t>CUST61590</t>
  </si>
  <si>
    <t>ORD-00753</t>
  </si>
  <si>
    <t>CUST57450</t>
  </si>
  <si>
    <t>ORD-01223</t>
  </si>
  <si>
    <t>CUST92686</t>
  </si>
  <si>
    <t>ORD-03378</t>
  </si>
  <si>
    <t>CUST54270</t>
  </si>
  <si>
    <t>ORD-00809</t>
  </si>
  <si>
    <t>CUST99388</t>
  </si>
  <si>
    <t>ORD-02106</t>
  </si>
  <si>
    <t>CUST15065</t>
  </si>
  <si>
    <t>ORD-01928</t>
  </si>
  <si>
    <t>CUST06307</t>
  </si>
  <si>
    <t>ORD-01189</t>
  </si>
  <si>
    <t>CUST03077</t>
  </si>
  <si>
    <t>ORD-01971</t>
  </si>
  <si>
    <t>CUST35736</t>
  </si>
  <si>
    <t>ORD-01447</t>
  </si>
  <si>
    <t>CUST92723</t>
  </si>
  <si>
    <t>ORD-00717</t>
  </si>
  <si>
    <t>CUST23500</t>
  </si>
  <si>
    <t>ORD-01883</t>
  </si>
  <si>
    <t>CUST03672</t>
  </si>
  <si>
    <t>ORD-01300</t>
  </si>
  <si>
    <t>CUST98101</t>
  </si>
  <si>
    <t>ORD-01676</t>
  </si>
  <si>
    <t>CUST65261</t>
  </si>
  <si>
    <t>ORD-00987</t>
  </si>
  <si>
    <t>CUST04483</t>
  </si>
  <si>
    <t>ORD-00141</t>
  </si>
  <si>
    <t>CUST83686</t>
  </si>
  <si>
    <t>ORD-01924</t>
  </si>
  <si>
    <t>CUST39294</t>
  </si>
  <si>
    <t>ORD-03134</t>
  </si>
  <si>
    <t>CUST94057</t>
  </si>
  <si>
    <t>ORD-01800</t>
  </si>
  <si>
    <t>CUST93477</t>
  </si>
  <si>
    <t>ORD-01637</t>
  </si>
  <si>
    <t>CUST05372</t>
  </si>
  <si>
    <t>ORD-00500</t>
  </si>
  <si>
    <t>CUST80941</t>
  </si>
  <si>
    <t>ORD-02067</t>
  </si>
  <si>
    <t>CUST70593</t>
  </si>
  <si>
    <t>ORD-01280</t>
  </si>
  <si>
    <t>CUST18652</t>
  </si>
  <si>
    <t>ORD-00145</t>
  </si>
  <si>
    <t>CUST49284</t>
  </si>
  <si>
    <t>ORD-03921</t>
  </si>
  <si>
    <t>CUST65997</t>
  </si>
  <si>
    <t>ORD-02335</t>
  </si>
  <si>
    <t>CUST67913</t>
  </si>
  <si>
    <t>ORD-00367</t>
  </si>
  <si>
    <t>CUST80217</t>
  </si>
  <si>
    <t>ORD-03343</t>
  </si>
  <si>
    <t>CUST67045</t>
  </si>
  <si>
    <t>ORD-01675</t>
  </si>
  <si>
    <t>CUST33813</t>
  </si>
  <si>
    <t>ORD-02430</t>
  </si>
  <si>
    <t>CUST93527</t>
  </si>
  <si>
    <t>ORD-02619</t>
  </si>
  <si>
    <t>CUST88761</t>
  </si>
  <si>
    <t>ORD-00967</t>
  </si>
  <si>
    <t>CUST90596</t>
  </si>
  <si>
    <t>ORD-02226</t>
  </si>
  <si>
    <t>CUST46124</t>
  </si>
  <si>
    <t>ORD-02599</t>
  </si>
  <si>
    <t>CUST92468</t>
  </si>
  <si>
    <t>ORD-04127</t>
  </si>
  <si>
    <t>CUST07792</t>
  </si>
  <si>
    <t>ORD-02334</t>
  </si>
  <si>
    <t>CUST20367</t>
  </si>
  <si>
    <t>ORD-01019</t>
  </si>
  <si>
    <t>CUST72581</t>
  </si>
  <si>
    <t>ORD-03762</t>
  </si>
  <si>
    <t>CUST95973</t>
  </si>
  <si>
    <t>ORD-01146</t>
  </si>
  <si>
    <t>CUST14306</t>
  </si>
  <si>
    <t>ORD-03466</t>
  </si>
  <si>
    <t>CUST49074</t>
  </si>
  <si>
    <t>ORD-00306</t>
  </si>
  <si>
    <t>CUST49089</t>
  </si>
  <si>
    <t>ORD-04001</t>
  </si>
  <si>
    <t>CUST65012</t>
  </si>
  <si>
    <t>ORD-01454</t>
  </si>
  <si>
    <t>CUST23242</t>
  </si>
  <si>
    <t>ORD-02968</t>
  </si>
  <si>
    <t>CUST30076</t>
  </si>
  <si>
    <t>ORD-04121</t>
  </si>
  <si>
    <t>CUST46430</t>
  </si>
  <si>
    <t>ORD-01496</t>
  </si>
  <si>
    <t>CUST57725</t>
  </si>
  <si>
    <t>ORD-00890</t>
  </si>
  <si>
    <t>CUST21364</t>
  </si>
  <si>
    <t>ORD-03736</t>
  </si>
  <si>
    <t>CUST82654</t>
  </si>
  <si>
    <t>ORD-02939</t>
  </si>
  <si>
    <t>CUST99269</t>
  </si>
  <si>
    <t>ORD-01427</t>
  </si>
  <si>
    <t>CUST62447</t>
  </si>
  <si>
    <t>ORD-00654</t>
  </si>
  <si>
    <t>CUST92572</t>
  </si>
  <si>
    <t>ORD-01501</t>
  </si>
  <si>
    <t>CUST09268</t>
  </si>
  <si>
    <t>ORD-00631</t>
  </si>
  <si>
    <t>CUST25609</t>
  </si>
  <si>
    <t>ORD-01235</t>
  </si>
  <si>
    <t>CUST68009</t>
  </si>
  <si>
    <t>ORD-03504</t>
  </si>
  <si>
    <t>CUST34451</t>
  </si>
  <si>
    <t>ORD-04190</t>
  </si>
  <si>
    <t>CUST01943</t>
  </si>
  <si>
    <t>ORD-01804</t>
  </si>
  <si>
    <t>CUST98137</t>
  </si>
  <si>
    <t>ORD-03541</t>
  </si>
  <si>
    <t>CUST20196</t>
  </si>
  <si>
    <t>ORD-03750</t>
  </si>
  <si>
    <t>CUST58867</t>
  </si>
  <si>
    <t>ORD-01104</t>
  </si>
  <si>
    <t>CUST46318</t>
  </si>
  <si>
    <t>ORD-00567</t>
  </si>
  <si>
    <t>CUST22945</t>
  </si>
  <si>
    <t>ORD-01662</t>
  </si>
  <si>
    <t>CUST29153</t>
  </si>
  <si>
    <t>ORD-03139</t>
  </si>
  <si>
    <t>CUST16592</t>
  </si>
  <si>
    <t>ORD-03409</t>
  </si>
  <si>
    <t>CUST78204</t>
  </si>
  <si>
    <t>ORD-01612</t>
  </si>
  <si>
    <t>CUST27676</t>
  </si>
  <si>
    <t>ORD-03761</t>
  </si>
  <si>
    <t>CUST71732</t>
  </si>
  <si>
    <t>ORD-00569</t>
  </si>
  <si>
    <t>CUST30901</t>
  </si>
  <si>
    <t>ORD-02038</t>
  </si>
  <si>
    <t>CUST04354</t>
  </si>
  <si>
    <t>ORD-01570</t>
  </si>
  <si>
    <t>CUST84183</t>
  </si>
  <si>
    <t>ORD-03115</t>
  </si>
  <si>
    <t>CUST63946</t>
  </si>
  <si>
    <t>ORD-00826</t>
  </si>
  <si>
    <t>CUST30306</t>
  </si>
  <si>
    <t>ORD-01160</t>
  </si>
  <si>
    <t>ORD-04043</t>
  </si>
  <si>
    <t>CUST23084</t>
  </si>
  <si>
    <t>ORD-01352</t>
  </si>
  <si>
    <t>CUST17309</t>
  </si>
  <si>
    <t>ORD-01797</t>
  </si>
  <si>
    <t>CUST91049</t>
  </si>
  <si>
    <t>ORD-01143</t>
  </si>
  <si>
    <t>CUST25482</t>
  </si>
  <si>
    <t>ORD-03370</t>
  </si>
  <si>
    <t>CUST29187</t>
  </si>
  <si>
    <t>ORD-03176</t>
  </si>
  <si>
    <t>CUST24094</t>
  </si>
  <si>
    <t>ORD-00965</t>
  </si>
  <si>
    <t>CUST01123</t>
  </si>
  <si>
    <t>ORD-00900</t>
  </si>
  <si>
    <t>CUST52346</t>
  </si>
  <si>
    <t>ORD-00250</t>
  </si>
  <si>
    <t>CUST60360</t>
  </si>
  <si>
    <t>ORD-01805</t>
  </si>
  <si>
    <t>CUST13304</t>
  </si>
  <si>
    <t>ORD-03206</t>
  </si>
  <si>
    <t>CUST74267</t>
  </si>
  <si>
    <t>ORD-03680</t>
  </si>
  <si>
    <t>CUST34978</t>
  </si>
  <si>
    <t>ORD-03072</t>
  </si>
  <si>
    <t>CUST71775</t>
  </si>
  <si>
    <t>ORD-01964</t>
  </si>
  <si>
    <t>CUST41576</t>
  </si>
  <si>
    <t>ORD-00889</t>
  </si>
  <si>
    <t>CUST13240</t>
  </si>
  <si>
    <t>ORD-02845</t>
  </si>
  <si>
    <t>CUST08284</t>
  </si>
  <si>
    <t>ORD-00492</t>
  </si>
  <si>
    <t>CUST93700</t>
  </si>
  <si>
    <t>ORD-00124</t>
  </si>
  <si>
    <t>CUST06506</t>
  </si>
  <si>
    <t>ORD-00618</t>
  </si>
  <si>
    <t>CUST23090</t>
  </si>
  <si>
    <t>ORD-01562</t>
  </si>
  <si>
    <t>CUST52989</t>
  </si>
  <si>
    <t>ORD-01977</t>
  </si>
  <si>
    <t>CUST02433</t>
  </si>
  <si>
    <t>ORD-00562</t>
  </si>
  <si>
    <t>CUST35414</t>
  </si>
  <si>
    <t>ORD-01698</t>
  </si>
  <si>
    <t>CUST81725</t>
  </si>
  <si>
    <t>ORD-00765</t>
  </si>
  <si>
    <t>CUST44683</t>
  </si>
  <si>
    <t>ORD-02155</t>
  </si>
  <si>
    <t>CUST14965</t>
  </si>
  <si>
    <t>ORD-01267</t>
  </si>
  <si>
    <t>CUST48930</t>
  </si>
  <si>
    <t>ORD-01951</t>
  </si>
  <si>
    <t>CUST38752</t>
  </si>
  <si>
    <t>ORD-02802</t>
  </si>
  <si>
    <t>CUST45496</t>
  </si>
  <si>
    <t>ORD-03202</t>
  </si>
  <si>
    <t>CUST22113</t>
  </si>
  <si>
    <t>ORD-02299</t>
  </si>
  <si>
    <t>CUST52655</t>
  </si>
  <si>
    <t>ORD-02020</t>
  </si>
  <si>
    <t>CUST31285</t>
  </si>
  <si>
    <t>ORD-02729</t>
  </si>
  <si>
    <t>CUST02485</t>
  </si>
  <si>
    <t>ORD-03881</t>
  </si>
  <si>
    <t>CUST11708</t>
  </si>
  <si>
    <t>ORD-00358</t>
  </si>
  <si>
    <t>CUST25786</t>
  </si>
  <si>
    <t>ORD-03032</t>
  </si>
  <si>
    <t>CUST90825</t>
  </si>
  <si>
    <t>ORD-03074</t>
  </si>
  <si>
    <t>CUST55244</t>
  </si>
  <si>
    <t>ORD-03580</t>
  </si>
  <si>
    <t>CUST38004</t>
  </si>
  <si>
    <t>ORD-01308</t>
  </si>
  <si>
    <t>CUST81370</t>
  </si>
  <si>
    <t>ORD-03477</t>
  </si>
  <si>
    <t>CUST49962</t>
  </si>
  <si>
    <t>ORD-03785</t>
  </si>
  <si>
    <t>CUST16284</t>
  </si>
  <si>
    <t>ORD-00660</t>
  </si>
  <si>
    <t>CUST65041</t>
  </si>
  <si>
    <t>ORD-02979</t>
  </si>
  <si>
    <t>CUST09411</t>
  </si>
  <si>
    <t>ORD-01674</t>
  </si>
  <si>
    <t>CUST09628</t>
  </si>
  <si>
    <t>ORD-03129</t>
  </si>
  <si>
    <t>CUST31428</t>
  </si>
  <si>
    <t>ORD-01531</t>
  </si>
  <si>
    <t>CUST67021</t>
  </si>
  <si>
    <t>ORD-02713</t>
  </si>
  <si>
    <t>CUST44605</t>
  </si>
  <si>
    <t>ORD-00044</t>
  </si>
  <si>
    <t>CUST88344</t>
  </si>
  <si>
    <t>ORD-02505</t>
  </si>
  <si>
    <t>CUST69354</t>
  </si>
  <si>
    <t>ORD-03756</t>
  </si>
  <si>
    <t>CUST46771</t>
  </si>
  <si>
    <t>ORD-04093</t>
  </si>
  <si>
    <t>CUST78809</t>
  </si>
  <si>
    <t>ORD-01793</t>
  </si>
  <si>
    <t>CUST72099</t>
  </si>
  <si>
    <t>ORD-01741</t>
  </si>
  <si>
    <t>CUST77934</t>
  </si>
  <si>
    <t>ORD-01546</t>
  </si>
  <si>
    <t>CUST16135</t>
  </si>
  <si>
    <t>ORD-02539</t>
  </si>
  <si>
    <t>CUST20162</t>
  </si>
  <si>
    <t>ORD-02364</t>
  </si>
  <si>
    <t>CUST13899</t>
  </si>
  <si>
    <t>ORD-01004</t>
  </si>
  <si>
    <t>CUST99373</t>
  </si>
  <si>
    <t>ORD-04020</t>
  </si>
  <si>
    <t>CUST94098</t>
  </si>
  <si>
    <t>ORD-02496</t>
  </si>
  <si>
    <t>CUST46384</t>
  </si>
  <si>
    <t>ORD-01843</t>
  </si>
  <si>
    <t>CUST28515</t>
  </si>
  <si>
    <t>ORD-03784</t>
  </si>
  <si>
    <t>CUST30184</t>
  </si>
  <si>
    <t>ORD-02042</t>
  </si>
  <si>
    <t>CUST37864</t>
  </si>
  <si>
    <t>ORD-00366</t>
  </si>
  <si>
    <t>CUST37493</t>
  </si>
  <si>
    <t>ORD-04105</t>
  </si>
  <si>
    <t>CUST23063</t>
  </si>
  <si>
    <t>ORD-03807</t>
  </si>
  <si>
    <t>CUST40435</t>
  </si>
  <si>
    <t>ORD-02692</t>
  </si>
  <si>
    <t>CUST16083</t>
  </si>
  <si>
    <t>ORD-02324</t>
  </si>
  <si>
    <t>CUST50408</t>
  </si>
  <si>
    <t>ORD-01917</t>
  </si>
  <si>
    <t>CUST61040</t>
  </si>
  <si>
    <t>ORD-01495</t>
  </si>
  <si>
    <t>CUST79339</t>
  </si>
  <si>
    <t>ORD-01756</t>
  </si>
  <si>
    <t>CUST12665</t>
  </si>
  <si>
    <t>ORD-01151</t>
  </si>
  <si>
    <t>CUST42604</t>
  </si>
  <si>
    <t>ORD-01599</t>
  </si>
  <si>
    <t>CUST93504</t>
  </si>
  <si>
    <t>ORD-01314</t>
  </si>
  <si>
    <t>CUST47839</t>
  </si>
  <si>
    <t>ORD-03944</t>
  </si>
  <si>
    <t>CUST94187</t>
  </si>
  <si>
    <t>ORD-01959</t>
  </si>
  <si>
    <t>CUST38124</t>
  </si>
  <si>
    <t>ORD-00483</t>
  </si>
  <si>
    <t>CUST65437</t>
  </si>
  <si>
    <t>ORD-02595</t>
  </si>
  <si>
    <t>CUST96722</t>
  </si>
  <si>
    <t>ORD-03386</t>
  </si>
  <si>
    <t>CUST80775</t>
  </si>
  <si>
    <t>ORD-02283</t>
  </si>
  <si>
    <t>CUST06888</t>
  </si>
  <si>
    <t>ORD-00903</t>
  </si>
  <si>
    <t>CUST30562</t>
  </si>
  <si>
    <t>ORD-03047</t>
  </si>
  <si>
    <t>CUST16193</t>
  </si>
  <si>
    <t>ORD-02998</t>
  </si>
  <si>
    <t>CUST44251</t>
  </si>
  <si>
    <t>ORD-00832</t>
  </si>
  <si>
    <t>CUST36178</t>
  </si>
  <si>
    <t>ORD-02180</t>
  </si>
  <si>
    <t>CUST97256</t>
  </si>
  <si>
    <t>ORD-03884</t>
  </si>
  <si>
    <t>CUST63006</t>
  </si>
  <si>
    <t>ORD-00328</t>
  </si>
  <si>
    <t>CUST60147</t>
  </si>
  <si>
    <t>ORD-02273</t>
  </si>
  <si>
    <t>CUST71816</t>
  </si>
  <si>
    <t>ORD-01865</t>
  </si>
  <si>
    <t>CUST36542</t>
  </si>
  <si>
    <t>ORD-03447</t>
  </si>
  <si>
    <t>CUST05925</t>
  </si>
  <si>
    <t>ORD-01126</t>
  </si>
  <si>
    <t>CUST35386</t>
  </si>
  <si>
    <t>ORD-01509</t>
  </si>
  <si>
    <t>CUST01750</t>
  </si>
  <si>
    <t>ORD-00301</t>
  </si>
  <si>
    <t>CUST15889</t>
  </si>
  <si>
    <t>ORD-01048</t>
  </si>
  <si>
    <t>CUST60742</t>
  </si>
  <si>
    <t>ORD-02272</t>
  </si>
  <si>
    <t>CUST73221</t>
  </si>
  <si>
    <t>ORD-03533</t>
  </si>
  <si>
    <t>CUST80821</t>
  </si>
  <si>
    <t>ORD-01909</t>
  </si>
  <si>
    <t>CUST04537</t>
  </si>
  <si>
    <t>ORD-01080</t>
  </si>
  <si>
    <t>CUST75006</t>
  </si>
  <si>
    <t>ORD-00480</t>
  </si>
  <si>
    <t>CUST64893</t>
  </si>
  <si>
    <t>ORD-03883</t>
  </si>
  <si>
    <t>CUST62193</t>
  </si>
  <si>
    <t>ORD-01340</t>
  </si>
  <si>
    <t>CUST16922</t>
  </si>
  <si>
    <t>ORD-00513</t>
  </si>
  <si>
    <t>CUST92623</t>
  </si>
  <si>
    <t>ORD-00871</t>
  </si>
  <si>
    <t>CUST03293</t>
  </si>
  <si>
    <t>ORD-02460</t>
  </si>
  <si>
    <t>CUST99353</t>
  </si>
  <si>
    <t>ORD-03672</t>
  </si>
  <si>
    <t>CUST50417</t>
  </si>
  <si>
    <t>ORD-01401</t>
  </si>
  <si>
    <t>CUST40146</t>
  </si>
  <si>
    <t>ORD-02311</t>
  </si>
  <si>
    <t>CUST01001</t>
  </si>
  <si>
    <t>ORD-01062</t>
  </si>
  <si>
    <t>CUST17327</t>
  </si>
  <si>
    <t>ORD-03523</t>
  </si>
  <si>
    <t>CUST64913</t>
  </si>
  <si>
    <t>ORD-01134</t>
  </si>
  <si>
    <t>CUST08345</t>
  </si>
  <si>
    <t>ORD-00802</t>
  </si>
  <si>
    <t>CUST38432</t>
  </si>
  <si>
    <t>ORD-02178</t>
  </si>
  <si>
    <t>CUST85408</t>
  </si>
  <si>
    <t>ORD-01815</t>
  </si>
  <si>
    <t>CUST92618</t>
  </si>
  <si>
    <t>ORD-00510</t>
  </si>
  <si>
    <t>CUST90008</t>
  </si>
  <si>
    <t>ORD-02457</t>
  </si>
  <si>
    <t>CUST32217</t>
  </si>
  <si>
    <t>ORD-03632</t>
  </si>
  <si>
    <t>CUST07289</t>
  </si>
  <si>
    <t>ORD-00725</t>
  </si>
  <si>
    <t>CUST53613</t>
  </si>
  <si>
    <t>ORD-03726</t>
  </si>
  <si>
    <t>CUST30497</t>
  </si>
  <si>
    <t>ORD-01856</t>
  </si>
  <si>
    <t>CUST17816</t>
  </si>
  <si>
    <t>ORD-03831</t>
  </si>
  <si>
    <t>CUST20981</t>
  </si>
  <si>
    <t>ORD-00761</t>
  </si>
  <si>
    <t>CUST55772</t>
  </si>
  <si>
    <t>ORD-01622</t>
  </si>
  <si>
    <t>CUST32470</t>
  </si>
  <si>
    <t>ORD-00611</t>
  </si>
  <si>
    <t>CUST98921</t>
  </si>
  <si>
    <t>ORD-02788</t>
  </si>
  <si>
    <t>CUST95526</t>
  </si>
  <si>
    <t>ORD-02159</t>
  </si>
  <si>
    <t>CUST82127</t>
  </si>
  <si>
    <t>ORD-02125</t>
  </si>
  <si>
    <t>CUST56134</t>
  </si>
  <si>
    <t>ORD-03360</t>
  </si>
  <si>
    <t>CUST69375</t>
  </si>
  <si>
    <t>ORD-02119</t>
  </si>
  <si>
    <t>CUST07014</t>
  </si>
  <si>
    <t>ORD-02350</t>
  </si>
  <si>
    <t>CUST49485</t>
  </si>
  <si>
    <t>ORD-01153</t>
  </si>
  <si>
    <t>CUST24181</t>
  </si>
  <si>
    <t>ORD-01716</t>
  </si>
  <si>
    <t>CUST37025</t>
  </si>
  <si>
    <t>ORD-00243</t>
  </si>
  <si>
    <t>CUST09436</t>
  </si>
  <si>
    <t>ORD-00215</t>
  </si>
  <si>
    <t>CUST24370</t>
  </si>
  <si>
    <t>ORD-02213</t>
  </si>
  <si>
    <t>CUST26490</t>
  </si>
  <si>
    <t>ORD-01380</t>
  </si>
  <si>
    <t>CUST11106</t>
  </si>
  <si>
    <t>ORD-02865</t>
  </si>
  <si>
    <t>CUST23967</t>
  </si>
  <si>
    <t>ORD-00424</t>
  </si>
  <si>
    <t>CUST80538</t>
  </si>
  <si>
    <t>ORD-01333</t>
  </si>
  <si>
    <t>CUST98551</t>
  </si>
  <si>
    <t>ORD-02981</t>
  </si>
  <si>
    <t>CUST16972</t>
  </si>
  <si>
    <t>ORD-02677</t>
  </si>
  <si>
    <t>CUST29585</t>
  </si>
  <si>
    <t>ORD-01720</t>
  </si>
  <si>
    <t>CUST86385</t>
  </si>
  <si>
    <t>ORD-01918</t>
  </si>
  <si>
    <t>CUST04256</t>
  </si>
  <si>
    <t>ORD-01679</t>
  </si>
  <si>
    <t>CUST27192</t>
  </si>
  <si>
    <t>ORD-00684</t>
  </si>
  <si>
    <t>CUST61978</t>
  </si>
  <si>
    <t>ORD-01786</t>
  </si>
  <si>
    <t>CUST84190</t>
  </si>
  <si>
    <t>ORD-03011</t>
  </si>
  <si>
    <t>CUST93010</t>
  </si>
  <si>
    <t>ORD-01092</t>
  </si>
  <si>
    <t>CUST67703</t>
  </si>
  <si>
    <t>ORD-03226</t>
  </si>
  <si>
    <t>CUST57729</t>
  </si>
  <si>
    <t>ORD-00935</t>
  </si>
  <si>
    <t>CUST09173</t>
  </si>
  <si>
    <t>ORD-01506</t>
  </si>
  <si>
    <t>CUST86212</t>
  </si>
  <si>
    <t>ORD-01833</t>
  </si>
  <si>
    <t>CUST97409</t>
  </si>
  <si>
    <t>ORD-02086</t>
  </si>
  <si>
    <t>CUST76981</t>
  </si>
  <si>
    <t>ORD-00666</t>
  </si>
  <si>
    <t>CUST11287</t>
  </si>
  <si>
    <t>ORD-01573</t>
  </si>
  <si>
    <t>CUST89799</t>
  </si>
  <si>
    <t>ORD-02177</t>
  </si>
  <si>
    <t>CUST13161</t>
  </si>
  <si>
    <t>ORD-01231</t>
  </si>
  <si>
    <t>CUST41296</t>
  </si>
  <si>
    <t>ORD-02969</t>
  </si>
  <si>
    <t>CUST90919</t>
  </si>
  <si>
    <t>ORD-02219</t>
  </si>
  <si>
    <t>CUST79612</t>
  </si>
  <si>
    <t>ORD-00356</t>
  </si>
  <si>
    <t>CUST08599</t>
  </si>
  <si>
    <t>ORD-01691</t>
  </si>
  <si>
    <t>CUST25926</t>
  </si>
  <si>
    <t>ORD-01320</t>
  </si>
  <si>
    <t>CUST49427</t>
  </si>
  <si>
    <t>ORD-03846</t>
  </si>
  <si>
    <t>CUST69930</t>
  </si>
  <si>
    <t>ORD-02738</t>
  </si>
  <si>
    <t>CUST25037</t>
  </si>
  <si>
    <t>ORD-00448</t>
  </si>
  <si>
    <t>CUST82556</t>
  </si>
  <si>
    <t>ORD-02008</t>
  </si>
  <si>
    <t>CUST38535</t>
  </si>
  <si>
    <t>ORD-03723</t>
  </si>
  <si>
    <t>CUST40746</t>
  </si>
  <si>
    <t>ORD-02685</t>
  </si>
  <si>
    <t>CUST44671</t>
  </si>
  <si>
    <t>ORD-00856</t>
  </si>
  <si>
    <t>CUST85777</t>
  </si>
  <si>
    <t>ORD-03730</t>
  </si>
  <si>
    <t>CUST49008</t>
  </si>
  <si>
    <t>ORD-03393</t>
  </si>
  <si>
    <t>CUST78516</t>
  </si>
  <si>
    <t>ORD-04140</t>
  </si>
  <si>
    <t>CUST10076</t>
  </si>
  <si>
    <t>ORD-03991</t>
  </si>
  <si>
    <t>CUST26095</t>
  </si>
  <si>
    <t>ORD-02080</t>
  </si>
  <si>
    <t>CUST66538</t>
  </si>
  <si>
    <t>ORD-01603</t>
  </si>
  <si>
    <t>CUST45758</t>
  </si>
  <si>
    <t>ORD-02170</t>
  </si>
  <si>
    <t>CUST83068</t>
  </si>
  <si>
    <t>ORD-03095</t>
  </si>
  <si>
    <t>CUST91267</t>
  </si>
  <si>
    <t>ORD-02886</t>
  </si>
  <si>
    <t>CUST25210</t>
  </si>
  <si>
    <t>ORD-01510</t>
  </si>
  <si>
    <t>CUST71235</t>
  </si>
  <si>
    <t>ORD-00878</t>
  </si>
  <si>
    <t>CUST74864</t>
  </si>
  <si>
    <t>ORD-00381</t>
  </si>
  <si>
    <t>CUST02130</t>
  </si>
  <si>
    <t>ORD-02628</t>
  </si>
  <si>
    <t>CUST48700</t>
  </si>
  <si>
    <t>ORD-03708</t>
  </si>
  <si>
    <t>CUST22717</t>
  </si>
  <si>
    <t>ORD-02585</t>
  </si>
  <si>
    <t>CUST32210</t>
  </si>
  <si>
    <t>ORD-01884</t>
  </si>
  <si>
    <t>CUST42306</t>
  </si>
  <si>
    <t>ORD-02534</t>
  </si>
  <si>
    <t>CUST25928</t>
  </si>
  <si>
    <t>ORD-00829</t>
  </si>
  <si>
    <t>CUST78751</t>
  </si>
  <si>
    <t>ORD-01220</t>
  </si>
  <si>
    <t>CUST25349</t>
  </si>
  <si>
    <t>ORD-03491</t>
  </si>
  <si>
    <t>CUST43868</t>
  </si>
  <si>
    <t>ORD-00307</t>
  </si>
  <si>
    <t>CUST09307</t>
  </si>
  <si>
    <t>ORD-03600</t>
  </si>
  <si>
    <t>CUST20450</t>
  </si>
  <si>
    <t>ORD-03857</t>
  </si>
  <si>
    <t>CUST13391</t>
  </si>
  <si>
    <t>ORD-00507</t>
  </si>
  <si>
    <t>CUST46786</t>
  </si>
  <si>
    <t>ORD-03454</t>
  </si>
  <si>
    <t>CUST89953</t>
  </si>
  <si>
    <t>ORD-00481</t>
  </si>
  <si>
    <t>CUST68644</t>
  </si>
  <si>
    <t>ORD-00609</t>
  </si>
  <si>
    <t>CUST16346</t>
  </si>
  <si>
    <t>ORD-01411</t>
  </si>
  <si>
    <t>CUST46708</t>
  </si>
  <si>
    <t>ORD-01282</t>
  </si>
  <si>
    <t>CUST23140</t>
  </si>
  <si>
    <t>ORD-01240</t>
  </si>
  <si>
    <t>CUST02075</t>
  </si>
  <si>
    <t>ORD-03971</t>
  </si>
  <si>
    <t>CUST63045</t>
  </si>
  <si>
    <t>ORD-04179</t>
  </si>
  <si>
    <t>CUST52695</t>
  </si>
  <si>
    <t>ORD-04081</t>
  </si>
  <si>
    <t>CUST07666</t>
  </si>
  <si>
    <t>ORD-03733</t>
  </si>
  <si>
    <t>CUST26791</t>
  </si>
  <si>
    <t>ORD-03421</t>
  </si>
  <si>
    <t>CUST55778</t>
  </si>
  <si>
    <t>ORD-03292</t>
  </si>
  <si>
    <t>CUST35522</t>
  </si>
  <si>
    <t>ORD-00037</t>
  </si>
  <si>
    <t>CUST89513</t>
  </si>
  <si>
    <t>ORD-00454</t>
  </si>
  <si>
    <t>CUST32184</t>
  </si>
  <si>
    <t>ORD-01617</t>
  </si>
  <si>
    <t>ORD-03567</t>
  </si>
  <si>
    <t>CUST78044</t>
  </si>
  <si>
    <t>ORD-02129</t>
  </si>
  <si>
    <t>CUST19983</t>
  </si>
  <si>
    <t>ORD-03128</t>
  </si>
  <si>
    <t>CUST69119</t>
  </si>
  <si>
    <t>ORD-01707</t>
  </si>
  <si>
    <t>CUST39127</t>
  </si>
  <si>
    <t>ORD-03511</t>
  </si>
  <si>
    <t>CUST39314</t>
  </si>
  <si>
    <t>ORD-02492</t>
  </si>
  <si>
    <t>CUST41637</t>
  </si>
  <si>
    <t>ORD-03742</t>
  </si>
  <si>
    <t>CUST49165</t>
  </si>
  <si>
    <t>ORD-01044</t>
  </si>
  <si>
    <t>CUST46334</t>
  </si>
  <si>
    <t>ORD-02107</t>
  </si>
  <si>
    <t>CUST39752</t>
  </si>
  <si>
    <t>ORD-02043</t>
  </si>
  <si>
    <t>CUST44040</t>
  </si>
  <si>
    <t>ORD-03875</t>
  </si>
  <si>
    <t>CUST84781</t>
  </si>
  <si>
    <t>ORD-00451</t>
  </si>
  <si>
    <t>CUST68161</t>
  </si>
  <si>
    <t>ORD-02614</t>
  </si>
  <si>
    <t>CUST00081</t>
  </si>
  <si>
    <t>ORD-03520</t>
  </si>
  <si>
    <t>CUST13260</t>
  </si>
  <si>
    <t>ORD-00869</t>
  </si>
  <si>
    <t>CUST63354</t>
  </si>
  <si>
    <t>ORD-00255</t>
  </si>
  <si>
    <t>CUST21352</t>
  </si>
  <si>
    <t>ORD-03989</t>
  </si>
  <si>
    <t>CUST67629</t>
  </si>
  <si>
    <t>ORD-02053</t>
  </si>
  <si>
    <t>CUST33570</t>
  </si>
  <si>
    <t>ORD-03430</t>
  </si>
  <si>
    <t>CUST08360</t>
  </si>
  <si>
    <t>ORD-02027</t>
  </si>
  <si>
    <t>CUST24879</t>
  </si>
  <si>
    <t>ORD-00100</t>
  </si>
  <si>
    <t>CUST38913</t>
  </si>
  <si>
    <t>ORD-02054</t>
  </si>
  <si>
    <t>CUST61332</t>
  </si>
  <si>
    <t>ORD-03065</t>
  </si>
  <si>
    <t>CUST41118</t>
  </si>
  <si>
    <t>ORD-02085</t>
  </si>
  <si>
    <t>CUST42353</t>
  </si>
  <si>
    <t>ORD-02145</t>
  </si>
  <si>
    <t>CUST18861</t>
  </si>
  <si>
    <t>ORD-02402</t>
  </si>
  <si>
    <t>CUST72572</t>
  </si>
  <si>
    <t>ORD-03562</t>
  </si>
  <si>
    <t>CUST05923</t>
  </si>
  <si>
    <t>ORD-02598</t>
  </si>
  <si>
    <t>CUST07029</t>
  </si>
  <si>
    <t>ORD-01932</t>
  </si>
  <si>
    <t>CUST81283</t>
  </si>
  <si>
    <t>ORD-00241</t>
  </si>
  <si>
    <t>CUST62809</t>
  </si>
  <si>
    <t>ORD-01976</t>
  </si>
  <si>
    <t>CUST97057</t>
  </si>
  <si>
    <t>ORD-03470</t>
  </si>
  <si>
    <t>CUST49992</t>
  </si>
  <si>
    <t>ORD-01923</t>
  </si>
  <si>
    <t>CUST85826</t>
  </si>
  <si>
    <t>ORD-02896</t>
  </si>
  <si>
    <t>CUST37393</t>
  </si>
  <si>
    <t>ORD-03536</t>
  </si>
  <si>
    <t>CUST42326</t>
  </si>
  <si>
    <t>ORD-03975</t>
  </si>
  <si>
    <t>CUST61274</t>
  </si>
  <si>
    <t>ORD-00908</t>
  </si>
  <si>
    <t>CUST33667</t>
  </si>
  <si>
    <t>ORD-03755</t>
  </si>
  <si>
    <t>CUST69679</t>
  </si>
  <si>
    <t>ORD-02343</t>
  </si>
  <si>
    <t>CUST93661</t>
  </si>
  <si>
    <t>ORD-00394</t>
  </si>
  <si>
    <t>CUST71699</t>
  </si>
  <si>
    <t>ORD-03062</t>
  </si>
  <si>
    <t>CUST25706</t>
  </si>
  <si>
    <t>ORD-00401</t>
  </si>
  <si>
    <t>CUST43114</t>
  </si>
  <si>
    <t>ORD-03644</t>
  </si>
  <si>
    <t>CUST85909</t>
  </si>
  <si>
    <t>ORD-00600</t>
  </si>
  <si>
    <t>CUST85593</t>
  </si>
  <si>
    <t>ORD-01537</t>
  </si>
  <si>
    <t>CUST39925</t>
  </si>
  <si>
    <t>ORD-00616</t>
  </si>
  <si>
    <t>CUST54063</t>
  </si>
  <si>
    <t>ORD-00370</t>
  </si>
  <si>
    <t>CUST93153</t>
  </si>
  <si>
    <t>ORD-00680</t>
  </si>
  <si>
    <t>CUST60413</t>
  </si>
  <si>
    <t>ORD-02248</t>
  </si>
  <si>
    <t>CUST63445</t>
  </si>
  <si>
    <t>ORD-03093</t>
  </si>
  <si>
    <t>CUST63058</t>
  </si>
  <si>
    <t>ORD-01117</t>
  </si>
  <si>
    <t>CUST87893</t>
  </si>
  <si>
    <t>ORD-03890</t>
  </si>
  <si>
    <t>CUST03009</t>
  </si>
  <si>
    <t>ORD-02704</t>
  </si>
  <si>
    <t>CUST96458</t>
  </si>
  <si>
    <t>ORD-02952</t>
  </si>
  <si>
    <t>CUST41320</t>
  </si>
  <si>
    <t>ORD-02003</t>
  </si>
  <si>
    <t>CUST91911</t>
  </si>
  <si>
    <t>ORD-01402</t>
  </si>
  <si>
    <t>CUST90375</t>
  </si>
  <si>
    <t>ORD-01882</t>
  </si>
  <si>
    <t>CUST32524</t>
  </si>
  <si>
    <t>ORD-03246</t>
  </si>
  <si>
    <t>CUST96426</t>
  </si>
  <si>
    <t>ORD-00323</t>
  </si>
  <si>
    <t>CUST57259</t>
  </si>
  <si>
    <t>ORD-01878</t>
  </si>
  <si>
    <t>CUST99942</t>
  </si>
  <si>
    <t>ORD-00226</t>
  </si>
  <si>
    <t>CUST29979</t>
  </si>
  <si>
    <t>ORD-00535</t>
  </si>
  <si>
    <t>CUST13641</t>
  </si>
  <si>
    <t>ORD-02832</t>
  </si>
  <si>
    <t>CUST08322</t>
  </si>
  <si>
    <t>ORD-01642</t>
  </si>
  <si>
    <t>CUST25067</t>
  </si>
  <si>
    <t>ORD-02842</t>
  </si>
  <si>
    <t>CUST23282</t>
  </si>
  <si>
    <t>ORD-02133</t>
  </si>
  <si>
    <t>CUST89826</t>
  </si>
  <si>
    <t>ORD-02809</t>
  </si>
  <si>
    <t>CUST04249</t>
  </si>
  <si>
    <t>ORD-01074</t>
  </si>
  <si>
    <t>CUST36338</t>
  </si>
  <si>
    <t>ORD-01413</t>
  </si>
  <si>
    <t>CUST43662</t>
  </si>
  <si>
    <t>ORD-01628</t>
  </si>
  <si>
    <t>CUST55053</t>
  </si>
  <si>
    <t>ORD-02866</t>
  </si>
  <si>
    <t>CUST40473</t>
  </si>
  <si>
    <t>ORD-01478</t>
  </si>
  <si>
    <t>CUST16528</t>
  </si>
  <si>
    <t>ORD-04166</t>
  </si>
  <si>
    <t>CUST73620</t>
  </si>
  <si>
    <t>ORD-00978</t>
  </si>
  <si>
    <t>CUST97561</t>
  </si>
  <si>
    <t>ORD-02389</t>
  </si>
  <si>
    <t>CUST27494</t>
  </si>
  <si>
    <t>ORD-01504</t>
  </si>
  <si>
    <t>CUST34606</t>
  </si>
  <si>
    <t>ORD-03576</t>
  </si>
  <si>
    <t>CUST88667</t>
  </si>
  <si>
    <t>ORD-03821</t>
  </si>
  <si>
    <t>CUST35476</t>
  </si>
  <si>
    <t>ORD-00214</t>
  </si>
  <si>
    <t>CUST08244</t>
  </si>
  <si>
    <t>ORD-01032</t>
  </si>
  <si>
    <t>CUST73196</t>
  </si>
  <si>
    <t>ORD-00803</t>
  </si>
  <si>
    <t>CUST99060</t>
  </si>
  <si>
    <t>ORD-02146</t>
  </si>
  <si>
    <t>CUST25921</t>
  </si>
  <si>
    <t>ORD-01517</t>
  </si>
  <si>
    <t>CUST63383</t>
  </si>
  <si>
    <t>ORD-00560</t>
  </si>
  <si>
    <t>CUST38172</t>
  </si>
  <si>
    <t>ORD-01638</t>
  </si>
  <si>
    <t>CUST98630</t>
  </si>
  <si>
    <t>ORD-02045</t>
  </si>
  <si>
    <t>CUST85893</t>
  </si>
  <si>
    <t>ORD-00697</t>
  </si>
  <si>
    <t>CUST94502</t>
  </si>
  <si>
    <t>ORD-03249</t>
  </si>
  <si>
    <t>CUST78428</t>
  </si>
  <si>
    <t>ORD-01970</t>
  </si>
  <si>
    <t>CUST49802</t>
  </si>
  <si>
    <t>ORD-03866</t>
  </si>
  <si>
    <t>CUST04103</t>
  </si>
  <si>
    <t>ORD-01528</t>
  </si>
  <si>
    <t>CUST17627</t>
  </si>
  <si>
    <t>ORD-01715</t>
  </si>
  <si>
    <t>CUST08565</t>
  </si>
  <si>
    <t>ORD-03775</t>
  </si>
  <si>
    <t>CUST11643</t>
  </si>
  <si>
    <t>ORD-03518</t>
  </si>
  <si>
    <t>ORD-01708</t>
  </si>
  <si>
    <t>CUST87498</t>
  </si>
  <si>
    <t>ORD-03320</t>
  </si>
  <si>
    <t>CUST53965</t>
  </si>
  <si>
    <t>ORD-00407</t>
  </si>
  <si>
    <t>CUST62236</t>
  </si>
  <si>
    <t>ORD-00180</t>
  </si>
  <si>
    <t>CUST29334</t>
  </si>
  <si>
    <t>ORD-00579</t>
  </si>
  <si>
    <t>CUST24871</t>
  </si>
  <si>
    <t>ORD-01133</t>
  </si>
  <si>
    <t>CUST54577</t>
  </si>
  <si>
    <t>ORD-01758</t>
  </si>
  <si>
    <t>CUST87654</t>
  </si>
  <si>
    <t>ORD-00819</t>
  </si>
  <si>
    <t>CUST63893</t>
  </si>
  <si>
    <t>ORD-02878</t>
  </si>
  <si>
    <t>CUST98432</t>
  </si>
  <si>
    <t>ORD-03595</t>
  </si>
  <si>
    <t>CUST20736</t>
  </si>
  <si>
    <t>ORD-00368</t>
  </si>
  <si>
    <t>CUST91300</t>
  </si>
  <si>
    <t>ORD-02348</t>
  </si>
  <si>
    <t>ORD-00647</t>
  </si>
  <si>
    <t>CUST97230</t>
  </si>
  <si>
    <t>ORD-02001</t>
  </si>
  <si>
    <t>CUST78982</t>
  </si>
  <si>
    <t>ORD-02427</t>
  </si>
  <si>
    <t>CUST68738</t>
  </si>
  <si>
    <t>ORD-04117</t>
  </si>
  <si>
    <t>CUST68421</t>
  </si>
  <si>
    <t>ORD-00194</t>
  </si>
  <si>
    <t>CUST96692</t>
  </si>
  <si>
    <t>ORD-01944</t>
  </si>
  <si>
    <t>CUST18548</t>
  </si>
  <si>
    <t>ORD-00939</t>
  </si>
  <si>
    <t>CUST44415</t>
  </si>
  <si>
    <t>ORD-00167</t>
  </si>
  <si>
    <t>CUST51864</t>
  </si>
  <si>
    <t>ORD-00649</t>
  </si>
  <si>
    <t>CUST22604</t>
  </si>
  <si>
    <t>ORD-00905</t>
  </si>
  <si>
    <t>CUST96177</t>
  </si>
  <si>
    <t>ORD-01967</t>
  </si>
  <si>
    <t>CUST03799</t>
  </si>
  <si>
    <t>ORD-03510</t>
  </si>
  <si>
    <t>CUST79584</t>
  </si>
  <si>
    <t>ORD-04189</t>
  </si>
  <si>
    <t>CUST28178</t>
  </si>
  <si>
    <t>ORD-01102</t>
  </si>
  <si>
    <t>CUST55287</t>
  </si>
  <si>
    <t>ORD-02678</t>
  </si>
  <si>
    <t>CUST87936</t>
  </si>
  <si>
    <t>ORD-00586</t>
  </si>
  <si>
    <t>CUST86530</t>
  </si>
  <si>
    <t>ORD-02766</t>
  </si>
  <si>
    <t>CUST55726</t>
  </si>
  <si>
    <t>ORD-03588</t>
  </si>
  <si>
    <t>CUST83899</t>
  </si>
  <si>
    <t>ORD-01281</t>
  </si>
  <si>
    <t>CUST14797</t>
  </si>
  <si>
    <t>ORD-00372</t>
  </si>
  <si>
    <t>ORD-01561</t>
  </si>
  <si>
    <t>CUST70340</t>
  </si>
  <si>
    <t>ORD-04154</t>
  </si>
  <si>
    <t>CUST34894</t>
  </si>
  <si>
    <t>ORD-01553</t>
  </si>
  <si>
    <t>CUST29230</t>
  </si>
  <si>
    <t>ORD-03982</t>
  </si>
  <si>
    <t>CUST97439</t>
  </si>
  <si>
    <t>ORD-01754</t>
  </si>
  <si>
    <t>CUST11385</t>
  </si>
  <si>
    <t>ORD-01272</t>
  </si>
  <si>
    <t>CUST56172</t>
  </si>
  <si>
    <t>ORD-01165</t>
  </si>
  <si>
    <t>CUST76012</t>
  </si>
  <si>
    <t>ORD-04000</t>
  </si>
  <si>
    <t>CUST53861</t>
  </si>
  <si>
    <t>ORD-00290</t>
  </si>
  <si>
    <t>CUST46482</t>
  </si>
  <si>
    <t>ORD-02514</t>
  </si>
  <si>
    <t>CUST29286</t>
  </si>
  <si>
    <t>ORD-02211</t>
  </si>
  <si>
    <t>CUST05906</t>
  </si>
  <si>
    <t>ORD-02526</t>
  </si>
  <si>
    <t>CUST11998</t>
  </si>
  <si>
    <t>ORD-02768</t>
  </si>
  <si>
    <t>CUST12098</t>
  </si>
  <si>
    <t>ORD-00904</t>
  </si>
  <si>
    <t>CUST76121</t>
  </si>
  <si>
    <t>ORD-00326</t>
  </si>
  <si>
    <t>CUST34992</t>
  </si>
  <si>
    <t>ORD-03852</t>
  </si>
  <si>
    <t>CUST08935</t>
  </si>
  <si>
    <t>ORD-02852</t>
  </si>
  <si>
    <t>CUST37103</t>
  </si>
  <si>
    <t>ORD-01854</t>
  </si>
  <si>
    <t>CUST02552</t>
  </si>
  <si>
    <t>ORD-03556</t>
  </si>
  <si>
    <t>CUST47056</t>
  </si>
  <si>
    <t>ORD-01650</t>
  </si>
  <si>
    <t>CUST51192</t>
  </si>
  <si>
    <t>ORD-00284</t>
  </si>
  <si>
    <t>CUST68796</t>
  </si>
  <si>
    <t>ORD-00006</t>
  </si>
  <si>
    <t>CUST13639</t>
  </si>
  <si>
    <t>ORD-02374</t>
  </si>
  <si>
    <t>CUST40049</t>
  </si>
  <si>
    <t>ORD-01445</t>
  </si>
  <si>
    <t>CUST58478</t>
  </si>
  <si>
    <t>ORD-02660</t>
  </si>
  <si>
    <t>CUST97483</t>
  </si>
  <si>
    <t>ORD-04100</t>
  </si>
  <si>
    <t>CUST32922</t>
  </si>
  <si>
    <t>ORD-02017</t>
  </si>
  <si>
    <t>CUST95440</t>
  </si>
  <si>
    <t>ORD-01394</t>
  </si>
  <si>
    <t>CUST91444</t>
  </si>
  <si>
    <t>ORD-00676</t>
  </si>
  <si>
    <t>CUST84441</t>
  </si>
  <si>
    <t>ORD-03500</t>
  </si>
  <si>
    <t>CUST22955</t>
  </si>
  <si>
    <t>ORD-01294</t>
  </si>
  <si>
    <t>CUST87248</t>
  </si>
  <si>
    <t>ORD-03319</t>
  </si>
  <si>
    <t>CUST70804</t>
  </si>
  <si>
    <t>ORD-01378</t>
  </si>
  <si>
    <t>CUST96105</t>
  </si>
  <si>
    <t>ORD-01948</t>
  </si>
  <si>
    <t>CUST73300</t>
  </si>
  <si>
    <t>ORD-01350</t>
  </si>
  <si>
    <t>CUST96166</t>
  </si>
  <si>
    <t>ORD-03753</t>
  </si>
  <si>
    <t>CUST16098</t>
  </si>
  <si>
    <t>ORD-00843</t>
  </si>
  <si>
    <t>CUST07824</t>
  </si>
  <si>
    <t>ORD-00071</t>
  </si>
  <si>
    <t>CUST06330</t>
  </si>
  <si>
    <t>ORD-00467</t>
  </si>
  <si>
    <t>CUST24562</t>
  </si>
  <si>
    <t>ORD-00047</t>
  </si>
  <si>
    <t>CUST03104</t>
  </si>
  <si>
    <t>ORD-01164</t>
  </si>
  <si>
    <t>CUST06311</t>
  </si>
  <si>
    <t>ORD-00398</t>
  </si>
  <si>
    <t>CUST35407</t>
  </si>
  <si>
    <t>ORD-00785</t>
  </si>
  <si>
    <t>CUST18574</t>
  </si>
  <si>
    <t>ORD-01564</t>
  </si>
  <si>
    <t>CUST24016</t>
  </si>
  <si>
    <t>ORD-00702</t>
  </si>
  <si>
    <t>CUST28491</t>
  </si>
  <si>
    <t>ORD-00423</t>
  </si>
  <si>
    <t>CUST04728</t>
  </si>
  <si>
    <t>ORD-01176</t>
  </si>
  <si>
    <t>CUST37244</t>
  </si>
  <si>
    <t>ORD-03897</t>
  </si>
  <si>
    <t>CUST40736</t>
  </si>
  <si>
    <t>ORD-01695</t>
  </si>
  <si>
    <t>CUST18018</t>
  </si>
  <si>
    <t>ORD-00817</t>
  </si>
  <si>
    <t>CUST03410</t>
  </si>
  <si>
    <t>ORD-00518</t>
  </si>
  <si>
    <t>CUST53973</t>
  </si>
  <si>
    <t>ORD-03809</t>
  </si>
  <si>
    <t>CUST76945</t>
  </si>
  <si>
    <t>ORD-02109</t>
  </si>
  <si>
    <t>CUST39644</t>
  </si>
  <si>
    <t>ORD-03291</t>
  </si>
  <si>
    <t>CUST41602</t>
  </si>
  <si>
    <t>ORD-03608</t>
  </si>
  <si>
    <t>CUST01140</t>
  </si>
  <si>
    <t>ORD-02743</t>
  </si>
  <si>
    <t>CUST97838</t>
  </si>
  <si>
    <t>ORD-02523</t>
  </si>
  <si>
    <t>CUST28943</t>
  </si>
  <si>
    <t>ORD-01598</t>
  </si>
  <si>
    <t>CUST10754</t>
  </si>
  <si>
    <t>ORD-01100</t>
  </si>
  <si>
    <t>CUST70498</t>
  </si>
  <si>
    <t>ORD-02084</t>
  </si>
  <si>
    <t>CUST67930</t>
  </si>
  <si>
    <t>ORD-02407</t>
  </si>
  <si>
    <t>CUST82035</t>
  </si>
  <si>
    <t>ORD-01459</t>
  </si>
  <si>
    <t>CUST85012</t>
  </si>
  <si>
    <t>ORD-01379</t>
  </si>
  <si>
    <t>CUST23044</t>
  </si>
  <si>
    <t>ORD-03272</t>
  </si>
  <si>
    <t>CUST57589</t>
  </si>
  <si>
    <t>ORD-00989</t>
  </si>
  <si>
    <t>CUST63010</t>
  </si>
  <si>
    <t>ORD-01118</t>
  </si>
  <si>
    <t>CUST77399</t>
  </si>
  <si>
    <t>ORD-02078</t>
  </si>
  <si>
    <t>CUST50258</t>
  </si>
  <si>
    <t>ORD-01484</t>
  </si>
  <si>
    <t>CUST77114</t>
  </si>
  <si>
    <t>ORD-03615</t>
  </si>
  <si>
    <t>ORD-03763</t>
  </si>
  <si>
    <t>CUST66505</t>
  </si>
  <si>
    <t>ORD-00344</t>
  </si>
  <si>
    <t>CUST09269</t>
  </si>
  <si>
    <t>ORD-00008</t>
  </si>
  <si>
    <t>CUST27101</t>
  </si>
  <si>
    <t>ORD-00760</t>
  </si>
  <si>
    <t>CUST23262</t>
  </si>
  <si>
    <t>ORD-02062</t>
  </si>
  <si>
    <t>CUST44853</t>
  </si>
  <si>
    <t>ORD-03834</t>
  </si>
  <si>
    <t>CUST62488</t>
  </si>
  <si>
    <t>ORD-02158</t>
  </si>
  <si>
    <t>CUST11487</t>
  </si>
  <si>
    <t>ORD-01449</t>
  </si>
  <si>
    <t>CUST79698</t>
  </si>
  <si>
    <t>ORD-01097</t>
  </si>
  <si>
    <t>CUST63448</t>
  </si>
  <si>
    <t>ORD-00055</t>
  </si>
  <si>
    <t>CUST98423</t>
  </si>
  <si>
    <t>ORD-04044</t>
  </si>
  <si>
    <t>CUST43452</t>
  </si>
  <si>
    <t>ORD-03362</t>
  </si>
  <si>
    <t>CUST63701</t>
  </si>
  <si>
    <t>ORD-02764</t>
  </si>
  <si>
    <t>CUST82237</t>
  </si>
  <si>
    <t>ORD-01946</t>
  </si>
  <si>
    <t>CUST58038</t>
  </si>
  <si>
    <t>ORD-03870</t>
  </si>
  <si>
    <t>CUST69875</t>
  </si>
  <si>
    <t>ORD-01052</t>
  </si>
  <si>
    <t>CUST46428</t>
  </si>
  <si>
    <t>ORD-03411</t>
  </si>
  <si>
    <t>CUST62485</t>
  </si>
  <si>
    <t>ORD-02279</t>
  </si>
  <si>
    <t>CUST11155</t>
  </si>
  <si>
    <t>ORD-02655</t>
  </si>
  <si>
    <t>CUST25325</t>
  </si>
  <si>
    <t>ORD-02464</t>
  </si>
  <si>
    <t>CUST86293</t>
  </si>
  <si>
    <t>ORD-03125</t>
  </si>
  <si>
    <t>CUST63392</t>
  </si>
  <si>
    <t>ORD-02541</t>
  </si>
  <si>
    <t>CUST26316</t>
  </si>
  <si>
    <t>ORD-02857</t>
  </si>
  <si>
    <t>CUST81300</t>
  </si>
  <si>
    <t>ORD-01648</t>
  </si>
  <si>
    <t>CUST42883</t>
  </si>
  <si>
    <t>ORD-00882</t>
  </si>
  <si>
    <t>CUST46121</t>
  </si>
  <si>
    <t>ORD-01611</t>
  </si>
  <si>
    <t>CUST14221</t>
  </si>
  <si>
    <t>ORD-03545</t>
  </si>
  <si>
    <t>CUST48258</t>
  </si>
  <si>
    <t>ORD-02012</t>
  </si>
  <si>
    <t>CUST50838</t>
  </si>
  <si>
    <t>ORD-00376</t>
  </si>
  <si>
    <t>CUST08639</t>
  </si>
  <si>
    <t>ORD-01802</t>
  </si>
  <si>
    <t>CUST29312</t>
  </si>
  <si>
    <t>ORD-04040</t>
  </si>
  <si>
    <t>CUST65904</t>
  </si>
  <si>
    <t>ORD-01337</t>
  </si>
  <si>
    <t>CUST96224</t>
  </si>
  <si>
    <t>ORD-02032</t>
  </si>
  <si>
    <t>CUST87100</t>
  </si>
  <si>
    <t>ORD-01663</t>
  </si>
  <si>
    <t>CUST47721</t>
  </si>
  <si>
    <t>ORD-04032</t>
  </si>
  <si>
    <t>CUST20384</t>
  </si>
  <si>
    <t>ORD-00065</t>
  </si>
  <si>
    <t>CUST46511</t>
  </si>
  <si>
    <t>ORD-01211</t>
  </si>
  <si>
    <t>CUST89209</t>
  </si>
  <si>
    <t>ORD-04028</t>
  </si>
  <si>
    <t>CUST55623</t>
  </si>
  <si>
    <t>ORD-03168</t>
  </si>
  <si>
    <t>CUST99426</t>
  </si>
  <si>
    <t>ORD-02377</t>
  </si>
  <si>
    <t>CUST98234</t>
  </si>
  <si>
    <t>ORD-03977</t>
  </si>
  <si>
    <t>CUST09103</t>
  </si>
  <si>
    <t>ORD-03020</t>
  </si>
  <si>
    <t>CUST84225</t>
  </si>
  <si>
    <t>ORD-01487</t>
  </si>
  <si>
    <t>CUST74622</t>
  </si>
  <si>
    <t>ORD-00683</t>
  </si>
  <si>
    <t>CUST71427</t>
  </si>
  <si>
    <t>ORD-01462</t>
  </si>
  <si>
    <t>CUST48119</t>
  </si>
  <si>
    <t>ORD-00484</t>
  </si>
  <si>
    <t>CUST47442</t>
  </si>
  <si>
    <t>ORD-03279</t>
  </si>
  <si>
    <t>CUST55124</t>
  </si>
  <si>
    <t>ORD-00236</t>
  </si>
  <si>
    <t>CUST00024</t>
  </si>
  <si>
    <t>ORD-02214</t>
  </si>
  <si>
    <t>CUST69266</t>
  </si>
  <si>
    <t>ORD-01812</t>
  </si>
  <si>
    <t>CUST87331</t>
  </si>
  <si>
    <t>ORD-02835</t>
  </si>
  <si>
    <t>CUST93185</t>
  </si>
  <si>
    <t>ORD-02005</t>
  </si>
  <si>
    <t>CUST62519</t>
  </si>
  <si>
    <t>ORD-03293</t>
  </si>
  <si>
    <t>CUST17652</t>
  </si>
  <si>
    <t>ORD-03717</t>
  </si>
  <si>
    <t>CUST54594</t>
  </si>
  <si>
    <t>ORD-02395</t>
  </si>
  <si>
    <t>CUST38435</t>
  </si>
  <si>
    <t>ORD-03610</t>
  </si>
  <si>
    <t>CUST71966</t>
  </si>
  <si>
    <t>ORD-02433</t>
  </si>
  <si>
    <t>CUST52680</t>
  </si>
  <si>
    <t>ORD-02752</t>
  </si>
  <si>
    <t>CUST77977</t>
  </si>
  <si>
    <t>ORD-01125</t>
  </si>
  <si>
    <t>CUST04001</t>
  </si>
  <si>
    <t>ORD-02639</t>
  </si>
  <si>
    <t>ORD-01357</t>
  </si>
  <si>
    <t>CUST15011</t>
  </si>
  <si>
    <t>ORD-02224</t>
  </si>
  <si>
    <t>CUST30540</t>
  </si>
  <si>
    <t>ORD-01631</t>
  </si>
  <si>
    <t>CUST37296</t>
  </si>
  <si>
    <t>ORD-02484</t>
  </si>
  <si>
    <t>CUST16309</t>
  </si>
  <si>
    <t>ORD-00823</t>
  </si>
  <si>
    <t>CUST48473</t>
  </si>
  <si>
    <t>ORD-00375</t>
  </si>
  <si>
    <t>CUST69130</t>
  </si>
  <si>
    <t>ORD-04142</t>
  </si>
  <si>
    <t>CUST18673</t>
  </si>
  <si>
    <t>ORD-02851</t>
  </si>
  <si>
    <t>CUST69918</t>
  </si>
  <si>
    <t>ORD-03449</t>
  </si>
  <si>
    <t>CUST23951</t>
  </si>
  <si>
    <t>ORD-00083</t>
  </si>
  <si>
    <t>CUST84754</t>
  </si>
  <si>
    <t>ORD-03262</t>
  </si>
  <si>
    <t>CUST82303</t>
  </si>
  <si>
    <t>ORD-00438</t>
  </si>
  <si>
    <t>CUST95274</t>
  </si>
  <si>
    <t>ORD-03145</t>
  </si>
  <si>
    <t>CUST35682</t>
  </si>
  <si>
    <t>ORD-03488</t>
  </si>
  <si>
    <t>CUST31348</t>
  </si>
  <si>
    <t>ORD-01109</t>
  </si>
  <si>
    <t>CUST81233</t>
  </si>
  <si>
    <t>ORD-01845</t>
  </si>
  <si>
    <t>CUST10325</t>
  </si>
  <si>
    <t>ORD-01396</t>
  </si>
  <si>
    <t>CUST86234</t>
  </si>
  <si>
    <t>ORD-01252</t>
  </si>
  <si>
    <t>CUST60840</t>
  </si>
  <si>
    <t>ORD-01532</t>
  </si>
  <si>
    <t>CUST78938</t>
  </si>
  <si>
    <t>ORD-01616</t>
  </si>
  <si>
    <t>CUST87932</t>
  </si>
  <si>
    <t>ORD-00156</t>
  </si>
  <si>
    <t>CUST57074</t>
  </si>
  <si>
    <t>ORD-00140</t>
  </si>
  <si>
    <t>CUST51057</t>
  </si>
  <si>
    <t>ORD-00187</t>
  </si>
  <si>
    <t>CUST95299</t>
  </si>
  <si>
    <t>ORD-02417</t>
  </si>
  <si>
    <t>CUST65187</t>
  </si>
  <si>
    <t>ORD-02499</t>
  </si>
  <si>
    <t>CUST68941</t>
  </si>
  <si>
    <t>ORD-02326</t>
  </si>
  <si>
    <t>CUST89114</t>
  </si>
  <si>
    <t>ORD-03862</t>
  </si>
  <si>
    <t>CUST25303</t>
  </si>
  <si>
    <t>ORD-03396</t>
  </si>
  <si>
    <t>CUST18308</t>
  </si>
  <si>
    <t>ORD-02620</t>
  </si>
  <si>
    <t>CUST23456</t>
  </si>
  <si>
    <t>ORD-02725</t>
  </si>
  <si>
    <t>CUST39987</t>
  </si>
  <si>
    <t>ORD-03534</t>
  </si>
  <si>
    <t>CUST18961</t>
  </si>
  <si>
    <t>ORD-00872</t>
  </si>
  <si>
    <t>CUST37369</t>
  </si>
  <si>
    <t>ORD-01739</t>
  </si>
  <si>
    <t>CUST00395</t>
  </si>
  <si>
    <t>ORD-02015</t>
  </si>
  <si>
    <t>CUST43193</t>
  </si>
  <si>
    <t>ORD-00715</t>
  </si>
  <si>
    <t>CUST92335</t>
  </si>
  <si>
    <t>ORD-01157</t>
  </si>
  <si>
    <t>CUST28445</t>
  </si>
  <si>
    <t>ORD-01759</t>
  </si>
  <si>
    <t>CUST59330</t>
  </si>
  <si>
    <t>ORD-03164</t>
  </si>
  <si>
    <t>CUST04219</t>
  </si>
  <si>
    <t>ORD-02016</t>
  </si>
  <si>
    <t>CUST87101</t>
  </si>
  <si>
    <t>ORD-04078</t>
  </si>
  <si>
    <t>CUST54593</t>
  </si>
  <si>
    <t>ORD-00594</t>
  </si>
  <si>
    <t>CUST06050</t>
  </si>
  <si>
    <t>ORD-02883</t>
  </si>
  <si>
    <t>CUST72686</t>
  </si>
  <si>
    <t>ORD-02676</t>
  </si>
  <si>
    <t>CUST24131</t>
  </si>
  <si>
    <t>ORD-02477</t>
  </si>
  <si>
    <t>CUST10191</t>
  </si>
  <si>
    <t>ORD-03383</t>
  </si>
  <si>
    <t>CUST88781</t>
  </si>
  <si>
    <t>ORD-01033</t>
  </si>
  <si>
    <t>CUST75013</t>
  </si>
  <si>
    <t>ORD-00345</t>
  </si>
  <si>
    <t>CUST34954</t>
  </si>
  <si>
    <t>ORD-03739</t>
  </si>
  <si>
    <t>CUST32885</t>
  </si>
  <si>
    <t>ORD-04200</t>
  </si>
  <si>
    <t>CUST38440</t>
  </si>
  <si>
    <t>ORD-03549</t>
  </si>
  <si>
    <t>CUST48871</t>
  </si>
  <si>
    <t>ORD-01085</t>
  </si>
  <si>
    <t>CUST96129</t>
  </si>
  <si>
    <t>ORD-00052</t>
  </si>
  <si>
    <t>CUST08694</t>
  </si>
  <si>
    <t>ORD-03253</t>
  </si>
  <si>
    <t>CUST40202</t>
  </si>
  <si>
    <t>ORD-01864</t>
  </si>
  <si>
    <t>CUST09459</t>
  </si>
  <si>
    <t>ORD-03635</t>
  </si>
  <si>
    <t>CUST69253</t>
  </si>
  <si>
    <t>ORD-00974</t>
  </si>
  <si>
    <t>CUST42500</t>
  </si>
  <si>
    <t>ORD-02741</t>
  </si>
  <si>
    <t>CUST45274</t>
  </si>
  <si>
    <t>ORD-03179</t>
  </si>
  <si>
    <t>CUST04408</t>
  </si>
  <si>
    <t>ORD-00519</t>
  </si>
  <si>
    <t>CUST46240</t>
  </si>
  <si>
    <t>ORD-03408</t>
  </si>
  <si>
    <t>CUST53254</t>
  </si>
  <si>
    <t>ORD-03906</t>
  </si>
  <si>
    <t>CUST36432</t>
  </si>
  <si>
    <t>ORD-00880</t>
  </si>
  <si>
    <t>CUST93518</t>
  </si>
  <si>
    <t>ORD-01651</t>
  </si>
  <si>
    <t>CUST43881</t>
  </si>
  <si>
    <t>ORD-02265</t>
  </si>
  <si>
    <t>CUST40896</t>
  </si>
  <si>
    <t>ORD-04143</t>
  </si>
  <si>
    <t>CUST39988</t>
  </si>
  <si>
    <t>ORD-00953</t>
  </si>
  <si>
    <t>CUST31395</t>
  </si>
  <si>
    <t>ORD-03208</t>
  </si>
  <si>
    <t>CUST07878</t>
  </si>
  <si>
    <t>ORD-03099</t>
  </si>
  <si>
    <t>CUST54403</t>
  </si>
  <si>
    <t>ORD-02910</t>
  </si>
  <si>
    <t>CUST60967</t>
  </si>
  <si>
    <t>ORD-03547</t>
  </si>
  <si>
    <t>CUST38738</t>
  </si>
  <si>
    <t>ORD-01190</t>
  </si>
  <si>
    <t>CUST89428</t>
  </si>
  <si>
    <t>ORD-03625</t>
  </si>
  <si>
    <t>CUST51053</t>
  </si>
  <si>
    <t>ORD-01054</t>
  </si>
  <si>
    <t>CUST25910</t>
  </si>
  <si>
    <t>ORD-04122</t>
  </si>
  <si>
    <t>CUST89767</t>
  </si>
  <si>
    <t>ORD-02394</t>
  </si>
  <si>
    <t>CUST48987</t>
  </si>
  <si>
    <t>ORD-00998</t>
  </si>
  <si>
    <t>CUST74848</t>
  </si>
  <si>
    <t>ORD-01257</t>
  </si>
  <si>
    <t>CUST58111</t>
  </si>
  <si>
    <t>ORD-01359</t>
  </si>
  <si>
    <t>CUST02336</t>
  </si>
  <si>
    <t>ORD-01490</t>
  </si>
  <si>
    <t>CUST68846</t>
  </si>
  <si>
    <t>ORD-01565</t>
  </si>
  <si>
    <t>CUST50049</t>
  </si>
  <si>
    <t>ORD-02744</t>
  </si>
  <si>
    <t>CUST66758</t>
  </si>
  <si>
    <t>ORD-03693</t>
  </si>
  <si>
    <t>CUST04664</t>
  </si>
  <si>
    <t>ORD-00289</t>
  </si>
  <si>
    <t>CUST73246</t>
  </si>
  <si>
    <t>ORD-01021</t>
  </si>
  <si>
    <t>CUST46097</t>
  </si>
  <si>
    <t>ORD-02519</t>
  </si>
  <si>
    <t>CUST63560</t>
  </si>
  <si>
    <t>ORD-01103</t>
  </si>
  <si>
    <t>CUST68761</t>
  </si>
  <si>
    <t>ORD-03896</t>
  </si>
  <si>
    <t>CUST78041</t>
  </si>
  <si>
    <t>ORD-01526</t>
  </si>
  <si>
    <t>CUST64362</t>
  </si>
  <si>
    <t>ORD-02352</t>
  </si>
  <si>
    <t>CUST89546</t>
  </si>
  <si>
    <t>ORD-02347</t>
  </si>
  <si>
    <t>CUST24182</t>
  </si>
  <si>
    <t>ORD-02576</t>
  </si>
  <si>
    <t>ORD-01246</t>
  </si>
  <si>
    <t>CUST93346</t>
  </si>
  <si>
    <t>ORD-01060</t>
  </si>
  <si>
    <t>CUST46841</t>
  </si>
  <si>
    <t>ORD-04120</t>
  </si>
  <si>
    <t>CUST60757</t>
  </si>
  <si>
    <t>ORD-00589</t>
  </si>
  <si>
    <t>CUST18414</t>
  </si>
  <si>
    <t>ORD-01686</t>
  </si>
  <si>
    <t>CUST44944</t>
  </si>
  <si>
    <t>ORD-02548</t>
  </si>
  <si>
    <t>CUST41169</t>
  </si>
  <si>
    <t>ORD-01989</t>
  </si>
  <si>
    <t>CUST57444</t>
  </si>
  <si>
    <t>ORD-01306</t>
  </si>
  <si>
    <t>CUST62979</t>
  </si>
  <si>
    <t>ORD-01823</t>
  </si>
  <si>
    <t>CUST35405</t>
  </si>
  <si>
    <t>ORD-03110</t>
  </si>
  <si>
    <t>CUST38634</t>
  </si>
  <si>
    <t>ORD-02755</t>
  </si>
  <si>
    <t>CUST20559</t>
  </si>
  <si>
    <t>ORD-04088</t>
  </si>
  <si>
    <t>CUST96195</t>
  </si>
  <si>
    <t>ORD-01513</t>
  </si>
  <si>
    <t>CUST81406</t>
  </si>
  <si>
    <t>ORD-03252</t>
  </si>
  <si>
    <t>CUST39721</t>
  </si>
  <si>
    <t>ORD-02695</t>
  </si>
  <si>
    <t>CUST36599</t>
  </si>
  <si>
    <t>ORD-03336</t>
  </si>
  <si>
    <t>CUST95363</t>
  </si>
  <si>
    <t>ORD-02782</t>
  </si>
  <si>
    <t>CUST50156</t>
  </si>
  <si>
    <t>ORD-04124</t>
  </si>
  <si>
    <t>CUST93821</t>
  </si>
  <si>
    <t>ORD-01578</t>
  </si>
  <si>
    <t>CUST75792</t>
  </si>
  <si>
    <t>ORD-03133</t>
  </si>
  <si>
    <t>CUST10354</t>
  </si>
  <si>
    <t>ORD-03659</t>
  </si>
  <si>
    <t>CUST21485</t>
  </si>
  <si>
    <t>ORD-00162</t>
  </si>
  <si>
    <t>ORD-02908</t>
  </si>
  <si>
    <t>CUST54563</t>
  </si>
  <si>
    <t>ORD-04026</t>
  </si>
  <si>
    <t>CUST78408</t>
  </si>
  <si>
    <t>ORD-03059</t>
  </si>
  <si>
    <t>CUST05600</t>
  </si>
  <si>
    <t>ORD-01736</t>
  </si>
  <si>
    <t>CUST73835</t>
  </si>
  <si>
    <t>ORD-00478</t>
  </si>
  <si>
    <t>CUST17040</t>
  </si>
  <si>
    <t>ORD-01798</t>
  </si>
  <si>
    <t>CUST89556</t>
  </si>
  <si>
    <t>ORD-01006</t>
  </si>
  <si>
    <t>CUST48859</t>
  </si>
  <si>
    <t>ORD-01398</t>
  </si>
  <si>
    <t>CUST54951</t>
  </si>
  <si>
    <t>ORD-00632</t>
  </si>
  <si>
    <t>CUST42307</t>
  </si>
  <si>
    <t>ORD-02026</t>
  </si>
  <si>
    <t>CUST80310</t>
  </si>
  <si>
    <t>ORD-03540</t>
  </si>
  <si>
    <t>CUST79303</t>
  </si>
  <si>
    <t>ORD-03972</t>
  </si>
  <si>
    <t>CUST81553</t>
  </si>
  <si>
    <t>ORD-01521</t>
  </si>
  <si>
    <t>CUST18819</t>
  </si>
  <si>
    <t>ORD-02772</t>
  </si>
  <si>
    <t>CUST77009</t>
  </si>
  <si>
    <t>ORD-01016</t>
  </si>
  <si>
    <t>CUST99742</t>
  </si>
  <si>
    <t>ORD-00494</t>
  </si>
  <si>
    <t>CUST45768</t>
  </si>
  <si>
    <t>ORD-03483</t>
  </si>
  <si>
    <t>CUST88764</t>
  </si>
  <si>
    <t>ORD-03710</t>
  </si>
  <si>
    <t>CUST62728</t>
  </si>
  <si>
    <t>ORD-00119</t>
  </si>
  <si>
    <t>CUST18259</t>
  </si>
  <si>
    <t>ORD-02329</t>
  </si>
  <si>
    <t>CUST96865</t>
  </si>
  <si>
    <t>ORD-03529</t>
  </si>
  <si>
    <t>CUST50939</t>
  </si>
  <si>
    <t>ORD-03532</t>
  </si>
  <si>
    <t>CUST84608</t>
  </si>
  <si>
    <t>ORD-00771</t>
  </si>
  <si>
    <t>CUST07234</t>
  </si>
  <si>
    <t>ORD-02853</t>
  </si>
  <si>
    <t>CUST40777</t>
  </si>
  <si>
    <t>ORD-02997</t>
  </si>
  <si>
    <t>CUST61924</t>
  </si>
  <si>
    <t>ORD-02918</t>
  </si>
  <si>
    <t>CUST30053</t>
  </si>
  <si>
    <t>ORD-03324</t>
  </si>
  <si>
    <t>CUST12209</t>
  </si>
  <si>
    <t>ORD-02621</t>
  </si>
  <si>
    <t>CUST65834</t>
  </si>
  <si>
    <t>ORD-00206</t>
  </si>
  <si>
    <t>CUST71469</t>
  </si>
  <si>
    <t>ORD-03978</t>
  </si>
  <si>
    <t>CUST67871</t>
  </si>
  <si>
    <t>ORD-02721</t>
  </si>
  <si>
    <t>CUST62341</t>
  </si>
  <si>
    <t>ORD-01807</t>
  </si>
  <si>
    <t>CUST23271</t>
  </si>
  <si>
    <t>ORD-01576</t>
  </si>
  <si>
    <t>CUST61202</t>
  </si>
  <si>
    <t>ORD-02600</t>
  </si>
  <si>
    <t>CUST31208</t>
  </si>
  <si>
    <t>ORD-01199</t>
  </si>
  <si>
    <t>CUST74206</t>
  </si>
  <si>
    <t>ORD-00470</t>
  </si>
  <si>
    <t>CUST56203</t>
  </si>
  <si>
    <t>ORD-04008</t>
  </si>
  <si>
    <t>CUST62705</t>
  </si>
  <si>
    <t>ORD-00861</t>
  </si>
  <si>
    <t>CUST71748</t>
  </si>
  <si>
    <t>ORD-00080</t>
  </si>
  <si>
    <t>CUST06153</t>
  </si>
  <si>
    <t>ORD-02506</t>
  </si>
  <si>
    <t>CUST74062</t>
  </si>
  <si>
    <t>ORD-02339</t>
  </si>
  <si>
    <t>CUST12046</t>
  </si>
  <si>
    <t>ORD-03898</t>
  </si>
  <si>
    <t>CUST55482</t>
  </si>
  <si>
    <t>ORD-00371</t>
  </si>
  <si>
    <t>CUST29938</t>
  </si>
  <si>
    <t>ORD-01613</t>
  </si>
  <si>
    <t>CUST60005</t>
  </si>
  <si>
    <t>ORD-01502</t>
  </si>
  <si>
    <t>CUST74727</t>
  </si>
  <si>
    <t>ORD-00165</t>
  </si>
  <si>
    <t>CUST08515</t>
  </si>
  <si>
    <t>ORD-03718</t>
  </si>
  <si>
    <t>CUST79815</t>
  </si>
  <si>
    <t>ORD-03924</t>
  </si>
  <si>
    <t>CUST08990</t>
  </si>
  <si>
    <t>ORD-00876</t>
  </si>
  <si>
    <t>CUST71642</t>
  </si>
  <si>
    <t>ORD-02246</t>
  </si>
  <si>
    <t>CUST14634</t>
  </si>
  <si>
    <t>ORD-00186</t>
  </si>
  <si>
    <t>CUST86352</t>
  </si>
  <si>
    <t>ORD-02166</t>
  </si>
  <si>
    <t>CUST56943</t>
  </si>
  <si>
    <t>ORD-02470</t>
  </si>
  <si>
    <t>CUST80242</t>
  </si>
  <si>
    <t>ORD-01476</t>
  </si>
  <si>
    <t>CUST09863</t>
  </si>
  <si>
    <t>ORD-02305</t>
  </si>
  <si>
    <t>CUST86884</t>
  </si>
  <si>
    <t>ORD-03611</t>
  </si>
  <si>
    <t>CUST86007</t>
  </si>
  <si>
    <t>ORD-03760</t>
  </si>
  <si>
    <t>CUST08262</t>
  </si>
  <si>
    <t>ORD-03124</t>
  </si>
  <si>
    <t>CUST75413</t>
  </si>
  <si>
    <t>ORD-01855</t>
  </si>
  <si>
    <t>CUST85967</t>
  </si>
  <si>
    <t>ORD-00327</t>
  </si>
  <si>
    <t>CUST35881</t>
  </si>
  <si>
    <t>ORD-02915</t>
  </si>
  <si>
    <t>CUST11665</t>
  </si>
  <si>
    <t>ORD-00319</t>
  </si>
  <si>
    <t>CUST05463</t>
  </si>
  <si>
    <t>ORD-02323</t>
  </si>
  <si>
    <t>CUST41015</t>
  </si>
  <si>
    <t>ORD-03086</t>
  </si>
  <si>
    <t>CUST94691</t>
  </si>
  <si>
    <t>ORD-02892</t>
  </si>
  <si>
    <t>CUST72155</t>
  </si>
  <si>
    <t>ORD-02098</t>
  </si>
  <si>
    <t>CUST81045</t>
  </si>
  <si>
    <t>ORD-03647</t>
  </si>
  <si>
    <t>CUST04161</t>
  </si>
  <si>
    <t>ORD-02575</t>
  </si>
  <si>
    <t>CUST52736</t>
  </si>
  <si>
    <t>ORD-02501</t>
  </si>
  <si>
    <t>CUST59835</t>
  </si>
  <si>
    <t>ORD-02731</t>
  </si>
  <si>
    <t>CUST76690</t>
  </si>
  <si>
    <t>ORD-00463</t>
  </si>
  <si>
    <t>CUST44133</t>
  </si>
  <si>
    <t>ORD-01229</t>
  </si>
  <si>
    <t>CUST65693</t>
  </si>
  <si>
    <t>ORD-01372</t>
  </si>
  <si>
    <t>CUST56280</t>
  </si>
  <si>
    <t>ORD-01493</t>
  </si>
  <si>
    <t>CUST68139</t>
  </si>
  <si>
    <t>ORD-00648</t>
  </si>
  <si>
    <t>CUST23342</t>
  </si>
  <si>
    <t>ORD-03922</t>
  </si>
  <si>
    <t>CUST63576</t>
  </si>
  <si>
    <t>ORD-03106</t>
  </si>
  <si>
    <t>CUST23467</t>
  </si>
  <si>
    <t>ORD-00860</t>
  </si>
  <si>
    <t>CUST94205</t>
  </si>
  <si>
    <t>ORD-02296</t>
  </si>
  <si>
    <t>CUST31681</t>
  </si>
  <si>
    <t>ORD-03039</t>
  </si>
  <si>
    <t>CUST18530</t>
  </si>
  <si>
    <t>ORD-03228</t>
  </si>
  <si>
    <t>CUST27405</t>
  </si>
  <si>
    <t>ORD-01464</t>
  </si>
  <si>
    <t>CUST32032</t>
  </si>
  <si>
    <t>ORD-04183</t>
  </si>
  <si>
    <t>CUST82683</t>
  </si>
  <si>
    <t>ORD-01582</t>
  </si>
  <si>
    <t>CUST72045</t>
  </si>
  <si>
    <t>ORD-02029</t>
  </si>
  <si>
    <t>CUST10164</t>
  </si>
  <si>
    <t>ORD-00217</t>
  </si>
  <si>
    <t>CUST42012</t>
  </si>
  <si>
    <t>ORD-02759</t>
  </si>
  <si>
    <t>CUST42106</t>
  </si>
  <si>
    <t>ORD-03566</t>
  </si>
  <si>
    <t>CUST08471</t>
  </si>
  <si>
    <t>ORD-02046</t>
  </si>
  <si>
    <t>CUST75262</t>
  </si>
  <si>
    <t>ORD-01683</t>
  </si>
  <si>
    <t>CUST56977</t>
  </si>
  <si>
    <t>ORD-02487</t>
  </si>
  <si>
    <t>CUST10552</t>
  </si>
  <si>
    <t>ORD-01986</t>
  </si>
  <si>
    <t>CUST51062</t>
  </si>
  <si>
    <t>ORD-01269</t>
  </si>
  <si>
    <t>CUST63654</t>
  </si>
  <si>
    <t>ORD-02909</t>
  </si>
  <si>
    <t>CUST79344</t>
  </si>
  <si>
    <t>ORD-02999</t>
  </si>
  <si>
    <t>CUST67583</t>
  </si>
  <si>
    <t>ORD-03538</t>
  </si>
  <si>
    <t>ORD-00554</t>
  </si>
  <si>
    <t>CUST69638</t>
  </si>
  <si>
    <t>ORD-00062</t>
  </si>
  <si>
    <t>CUST64715</t>
  </si>
  <si>
    <t>ORD-02933</t>
  </si>
  <si>
    <t>CUST17587</t>
  </si>
  <si>
    <t>ORD-01443</t>
  </si>
  <si>
    <t>CUST23949</t>
  </si>
  <si>
    <t>ORD-03901</t>
  </si>
  <si>
    <t>CUST08531</t>
  </si>
  <si>
    <t>ORD-02060</t>
  </si>
  <si>
    <t>CUST37656</t>
  </si>
  <si>
    <t>ORD-02204</t>
  </si>
  <si>
    <t>CUST80382</t>
  </si>
  <si>
    <t>ORD-04074</t>
  </si>
  <si>
    <t>CUST06369</t>
  </si>
  <si>
    <t>ORD-03947</t>
  </si>
  <si>
    <t>CUST85906</t>
  </si>
  <si>
    <t>ORD-01840</t>
  </si>
  <si>
    <t>CUST17949</t>
  </si>
  <si>
    <t>ORD-04071</t>
  </si>
  <si>
    <t>CUST56219</t>
  </si>
  <si>
    <t>ORD-04107</t>
  </si>
  <si>
    <t>CUST81738</t>
  </si>
  <si>
    <t>ORD-03652</t>
  </si>
  <si>
    <t>CUST85147</t>
  </si>
  <si>
    <t>ORD-03439</t>
  </si>
  <si>
    <t>CUST18731</t>
  </si>
  <si>
    <t>ORD-01636</t>
  </si>
  <si>
    <t>CUST55664</t>
  </si>
  <si>
    <t>ORD-01575</t>
  </si>
  <si>
    <t>CUST95435</t>
  </si>
  <si>
    <t>ORD-00298</t>
  </si>
  <si>
    <t>CUST02510</t>
  </si>
  <si>
    <t>ORD-02215</t>
  </si>
  <si>
    <t>CUST27310</t>
  </si>
  <si>
    <t>ORD-03970</t>
  </si>
  <si>
    <t>CUST76992</t>
  </si>
  <si>
    <t>ORD-00205</t>
  </si>
  <si>
    <t>CUST44095</t>
  </si>
  <si>
    <t>ORD-03618</t>
  </si>
  <si>
    <t>CUST86304</t>
  </si>
  <si>
    <t>ORD-00907</t>
  </si>
  <si>
    <t>CUST43384</t>
  </si>
  <si>
    <t>ORD-00914</t>
  </si>
  <si>
    <t>CUST19648</t>
  </si>
  <si>
    <t>ORD-02403</t>
  </si>
  <si>
    <t>CUST08149</t>
  </si>
  <si>
    <t>ORD-02648</t>
  </si>
  <si>
    <t>CUST20141</t>
  </si>
  <si>
    <t>ORD-01034</t>
  </si>
  <si>
    <t>CUST31839</t>
  </si>
  <si>
    <t>ORD-02059</t>
  </si>
  <si>
    <t>CUST09208</t>
  </si>
  <si>
    <t>ORD-01305</t>
  </si>
  <si>
    <t>CUST05596</t>
  </si>
  <si>
    <t>ORD-01234</t>
  </si>
  <si>
    <t>CUST39513</t>
  </si>
  <si>
    <t>ORD-04077</t>
  </si>
  <si>
    <t>CUST21632</t>
  </si>
  <si>
    <t>ORD-02338</t>
  </si>
  <si>
    <t>CUST94097</t>
  </si>
  <si>
    <t>ORD-02476</t>
  </si>
  <si>
    <t>CUST15322</t>
  </si>
  <si>
    <t>ORD-01586</t>
  </si>
  <si>
    <t>CUST03363</t>
  </si>
  <si>
    <t>ORD-01818</t>
  </si>
  <si>
    <t>CUST25648</t>
  </si>
  <si>
    <t>ORD-01947</t>
  </si>
  <si>
    <t>CUST34455</t>
  </si>
  <si>
    <t>ORD-02138</t>
  </si>
  <si>
    <t>CUST43306</t>
  </si>
  <si>
    <t>ORD-03371</t>
  </si>
  <si>
    <t>CUST02058</t>
  </si>
  <si>
    <t>ORD-01592</t>
  </si>
  <si>
    <t>CUST98096</t>
  </si>
  <si>
    <t>ORD-03787</t>
  </si>
  <si>
    <t>CUST66442</t>
  </si>
  <si>
    <t>ORD-01792</t>
  </si>
  <si>
    <t>CUST77726</t>
  </si>
  <si>
    <t>ORD-02200</t>
  </si>
  <si>
    <t>CUST75677</t>
  </si>
  <si>
    <t>ORD-04155</t>
  </si>
  <si>
    <t>CUST98534</t>
  </si>
  <si>
    <t>ORD-03185</t>
  </si>
  <si>
    <t>CUST29728</t>
  </si>
  <si>
    <t>ORD-02108</t>
  </si>
  <si>
    <t>CUST78376</t>
  </si>
  <si>
    <t>ORD-01897</t>
  </si>
  <si>
    <t>ORD-03559</t>
  </si>
  <si>
    <t>CUST69010</t>
  </si>
  <si>
    <t>ORD-00131</t>
  </si>
  <si>
    <t>CUST95462</t>
  </si>
  <si>
    <t>ORD-01723</t>
  </si>
  <si>
    <t>CUST24447</t>
  </si>
  <si>
    <t>ORD-02899</t>
  </si>
  <si>
    <t>CUST41852</t>
  </si>
  <si>
    <t>ORD-00134</t>
  </si>
  <si>
    <t>CUST26802</t>
  </si>
  <si>
    <t>ORD-00001</t>
  </si>
  <si>
    <t>CUST20767</t>
  </si>
  <si>
    <t>ORD-02520</t>
  </si>
  <si>
    <t>CUST01597</t>
  </si>
  <si>
    <t>ORD-00252</t>
  </si>
  <si>
    <t>CUST23212</t>
  </si>
  <si>
    <t>ORD-01888</t>
  </si>
  <si>
    <t>CUST48280</t>
  </si>
  <si>
    <t>ORD-03792</t>
  </si>
  <si>
    <t>CUST55522</t>
  </si>
  <si>
    <t>ORD-03144</t>
  </si>
  <si>
    <t>CUST69784</t>
  </si>
  <si>
    <t>ORD-00239</t>
  </si>
  <si>
    <t>CUST33340</t>
  </si>
  <si>
    <t>ORD-01436</t>
  </si>
  <si>
    <t>CUST45016</t>
  </si>
  <si>
    <t>ORD-02371</t>
  </si>
  <si>
    <t>CUST84615</t>
  </si>
  <si>
    <t>ORD-02050</t>
  </si>
  <si>
    <t>CUST02327</t>
  </si>
  <si>
    <t>ORD-03508</t>
  </si>
  <si>
    <t>CUST35702</t>
  </si>
  <si>
    <t>ORD-00957</t>
  </si>
  <si>
    <t>CUST38291</t>
  </si>
  <si>
    <t>ORD-01477</t>
  </si>
  <si>
    <t>CUST96715</t>
  </si>
  <si>
    <t>ORD-01063</t>
  </si>
  <si>
    <t>CUST94026</t>
  </si>
  <si>
    <t>ORD-02232</t>
  </si>
  <si>
    <t>CUST33157</t>
  </si>
  <si>
    <t>ORD-01954</t>
  </si>
  <si>
    <t>CUST34853</t>
  </si>
  <si>
    <t>ORD-01904</t>
  </si>
  <si>
    <t>CUST84621</t>
  </si>
  <si>
    <t>ORD-03290</t>
  </si>
  <si>
    <t>CUST79601</t>
  </si>
  <si>
    <t>ORD-03722</t>
  </si>
  <si>
    <t>CUST72927</t>
  </si>
  <si>
    <t>ORD-03949</t>
  </si>
  <si>
    <t>CUST95140</t>
  </si>
  <si>
    <t>ORD-01879</t>
  </si>
  <si>
    <t>CUST41248</t>
  </si>
  <si>
    <t>ORD-02355</t>
  </si>
  <si>
    <t>CUST25582</t>
  </si>
  <si>
    <t>ORD-00730</t>
  </si>
  <si>
    <t>CUST84330</t>
  </si>
  <si>
    <t>ORD-01465</t>
  </si>
  <si>
    <t>CUST31162</t>
  </si>
  <si>
    <t>ORD-01010</t>
  </si>
  <si>
    <t>CUST49434</t>
  </si>
  <si>
    <t>ORD-00550</t>
  </si>
  <si>
    <t>CUST21538</t>
  </si>
  <si>
    <t>ORD-01338</t>
  </si>
  <si>
    <t>CUST96831</t>
  </si>
  <si>
    <t>ORD-00970</t>
  </si>
  <si>
    <t>CUST04940</t>
  </si>
  <si>
    <t>ORD-01360</t>
  </si>
  <si>
    <t>CUST90904</t>
  </si>
  <si>
    <t>ORD-03404</t>
  </si>
  <si>
    <t>CUST89207</t>
  </si>
  <si>
    <t>ORD-03109</t>
  </si>
  <si>
    <t>CUST93512</t>
  </si>
  <si>
    <t>ORD-00160</t>
  </si>
  <si>
    <t>CUST53976</t>
  </si>
  <si>
    <t>ORD-02937</t>
  </si>
  <si>
    <t>CUST46894</t>
  </si>
  <si>
    <t>ORD-00610</t>
  </si>
  <si>
    <t>CUST16419</t>
  </si>
  <si>
    <t>ORD-00916</t>
  </si>
  <si>
    <t>ORD-00292</t>
  </si>
  <si>
    <t>CUST37047</t>
  </si>
  <si>
    <t>ORD-02975</t>
  </si>
  <si>
    <t>CUST47576</t>
  </si>
  <si>
    <t>ORD-00746</t>
  </si>
  <si>
    <t>CUST77230</t>
  </si>
  <si>
    <t>ORD-03832</t>
  </si>
  <si>
    <t>CUST67339</t>
  </si>
  <si>
    <t>ORD-03789</t>
  </si>
  <si>
    <t>CUST30468</t>
  </si>
  <si>
    <t>ORD-03071</t>
  </si>
  <si>
    <t>ORD-01458</t>
  </si>
  <si>
    <t>CUST39952</t>
  </si>
  <si>
    <t>ORD-03236</t>
  </si>
  <si>
    <t>CUST98300</t>
  </si>
  <si>
    <t>ORD-01256</t>
  </si>
  <si>
    <t>CUST36428</t>
  </si>
  <si>
    <t>ORD-00303</t>
  </si>
  <si>
    <t>CUST62197</t>
  </si>
  <si>
    <t>ORD-01772</t>
  </si>
  <si>
    <t>ORD-01200</t>
  </si>
  <si>
    <t>CUST04926</t>
  </si>
  <si>
    <t>ORD-00150</t>
  </si>
  <si>
    <t>ORD-03495</t>
  </si>
  <si>
    <t>CUST83702</t>
  </si>
  <si>
    <t>ORD-00815</t>
  </si>
  <si>
    <t>CUST16348</t>
  </si>
  <si>
    <t>ORD-00072</t>
  </si>
  <si>
    <t>CUST86139</t>
  </si>
  <si>
    <t>ORD-02504</t>
  </si>
  <si>
    <t>CUST98767</t>
  </si>
  <si>
    <t>ORD-00118</t>
  </si>
  <si>
    <t>CUST27542</t>
  </si>
  <si>
    <t>ORD-01512</t>
  </si>
  <si>
    <t>CUST69324</t>
  </si>
  <si>
    <t>ORD-02370</t>
  </si>
  <si>
    <t>CUST09289</t>
  </si>
  <si>
    <t>ORD-04173</t>
  </si>
  <si>
    <t>CUST95025</t>
  </si>
  <si>
    <t>ORD-00460</t>
  </si>
  <si>
    <t>CUST75610</t>
  </si>
  <si>
    <t>ORD-02218</t>
  </si>
  <si>
    <t>CUST37517</t>
  </si>
  <si>
    <t>ORD-03885</t>
  </si>
  <si>
    <t>CUST10547</t>
  </si>
  <si>
    <t>ORD-03646</t>
  </si>
  <si>
    <t>CUST63505</t>
  </si>
  <si>
    <t>ORD-00242</t>
  </si>
  <si>
    <t>CUST17001</t>
  </si>
  <si>
    <t>ORD-02747</t>
  </si>
  <si>
    <t>CUST34843</t>
  </si>
  <si>
    <t>ORD-00842</t>
  </si>
  <si>
    <t>CUST65032</t>
  </si>
  <si>
    <t>ORD-01938</t>
  </si>
  <si>
    <t>CUST09891</t>
  </si>
  <si>
    <t>ORD-00745</t>
  </si>
  <si>
    <t>CUST39674</t>
  </si>
  <si>
    <t>ORD-02751</t>
  </si>
  <si>
    <t>CUST41956</t>
  </si>
  <si>
    <t>ORD-03004</t>
  </si>
  <si>
    <t>CUST37873</t>
  </si>
  <si>
    <t>ORD-03028</t>
  </si>
  <si>
    <t>CUST60297</t>
  </si>
  <si>
    <t>ORD-02319</t>
  </si>
  <si>
    <t>CUST10347</t>
  </si>
  <si>
    <t>ORD-03184</t>
  </si>
  <si>
    <t>CUST43954</t>
  </si>
  <si>
    <t>ORD-02644</t>
  </si>
  <si>
    <t>CUST02050</t>
  </si>
  <si>
    <t>ORD-00786</t>
  </si>
  <si>
    <t>CUST94074</t>
  </si>
  <si>
    <t>ORD-03589</t>
  </si>
  <si>
    <t>CUST32659</t>
  </si>
  <si>
    <t>ORD-00497</t>
  </si>
  <si>
    <t>CUST61540</t>
  </si>
  <si>
    <t>ORD-01866</t>
  </si>
  <si>
    <t>CUST49530</t>
  </si>
  <si>
    <t>ORD-00221</t>
  </si>
  <si>
    <t>CUST73936</t>
  </si>
  <si>
    <t>ORD-00405</t>
  </si>
  <si>
    <t>CUST07439</t>
  </si>
  <si>
    <t>ORD-02926</t>
  </si>
  <si>
    <t>CUST07282</t>
  </si>
  <si>
    <t>ORD-04146</t>
  </si>
  <si>
    <t>CUST52053</t>
  </si>
  <si>
    <t>ORD-03965</t>
  </si>
  <si>
    <t>CUST16673</t>
  </si>
  <si>
    <t>ORD-01916</t>
  </si>
  <si>
    <t>CUST40084</t>
  </si>
  <si>
    <t>ORD-03210</t>
  </si>
  <si>
    <t>CUST36370</t>
  </si>
  <si>
    <t>ORD-00313</t>
  </si>
  <si>
    <t>CUST46769</t>
  </si>
  <si>
    <t>ORD-02556</t>
  </si>
  <si>
    <t>CUST44541</t>
  </si>
  <si>
    <t>ORD-03214</t>
  </si>
  <si>
    <t>CUST26653</t>
  </si>
  <si>
    <t>ORD-02442</t>
  </si>
  <si>
    <t>CUST44235</t>
  </si>
  <si>
    <t>ORD-03455</t>
  </si>
  <si>
    <t>CUST85337</t>
  </si>
  <si>
    <t>ORD-03294</t>
  </si>
  <si>
    <t>CUST10406</t>
  </si>
  <si>
    <t>ORD-00678</t>
  </si>
  <si>
    <t>CUST41806</t>
  </si>
  <si>
    <t>ORD-03001</t>
  </si>
  <si>
    <t>CUST72975</t>
  </si>
  <si>
    <t>ORD-00329</t>
  </si>
  <si>
    <t>CUST33284</t>
  </si>
  <si>
    <t>ORD-02134</t>
  </si>
  <si>
    <t>CUST70079</t>
  </si>
  <si>
    <t>ORD-02132</t>
  </si>
  <si>
    <t>CUST62399</t>
  </si>
  <si>
    <t>ORD-02255</t>
  </si>
  <si>
    <t>CUST86286</t>
  </si>
  <si>
    <t>ORD-00104</t>
  </si>
  <si>
    <t>CUST30691</t>
  </si>
  <si>
    <t>ORD-03382</t>
  </si>
  <si>
    <t>CUST08459</t>
  </si>
  <si>
    <t>ORD-03267</t>
  </si>
  <si>
    <t>CUST39102</t>
  </si>
  <si>
    <t>ORD-00735</t>
  </si>
  <si>
    <t>CUST45620</t>
  </si>
  <si>
    <t>ORD-03738</t>
  </si>
  <si>
    <t>CUST81515</t>
  </si>
  <si>
    <t>ORD-01205</t>
  </si>
  <si>
    <t>CUST52200</t>
  </si>
  <si>
    <t>ORD-00695</t>
  </si>
  <si>
    <t>CUST09687</t>
  </si>
  <si>
    <t>ORD-03238</t>
  </si>
  <si>
    <t>CUST14045</t>
  </si>
  <si>
    <t>ORD-00498</t>
  </si>
  <si>
    <t>CUST22854</t>
  </si>
  <si>
    <t>ORD-01341</t>
  </si>
  <si>
    <t>CUST78913</t>
  </si>
  <si>
    <t>ORD-01166</t>
  </si>
  <si>
    <t>CUST18237</t>
  </si>
  <si>
    <t>ORD-01349</t>
  </si>
  <si>
    <t>CUST06490</t>
  </si>
  <si>
    <t>ORD-02376</t>
  </si>
  <si>
    <t>CUST02576</t>
  </si>
  <si>
    <t>ORD-01853</t>
  </si>
  <si>
    <t>CUST27427</t>
  </si>
  <si>
    <t>ORD-02259</t>
  </si>
  <si>
    <t>CUST42519</t>
  </si>
  <si>
    <t>ORD-02191</t>
  </si>
  <si>
    <t>CUST30252</t>
  </si>
  <si>
    <t>ORD-00515</t>
  </si>
  <si>
    <t>CUST29764</t>
  </si>
  <si>
    <t>ORD-00865</t>
  </si>
  <si>
    <t>CUST81979</t>
  </si>
  <si>
    <t>ORD-03354</t>
  </si>
  <si>
    <t>CUST67353</t>
  </si>
  <si>
    <t>ORD-02940</t>
  </si>
  <si>
    <t>CUST98397</t>
  </si>
  <si>
    <t>ORD-02863</t>
  </si>
  <si>
    <t>CUST63160</t>
  </si>
  <si>
    <t>ORD-03937</t>
  </si>
  <si>
    <t>CUST26174</t>
  </si>
  <si>
    <t>ORD-03431</t>
  </si>
  <si>
    <t>CUST60027</t>
  </si>
  <si>
    <t>ORD-00564</t>
  </si>
  <si>
    <t>CUST18845</t>
  </si>
  <si>
    <t>ORD-03849</t>
  </si>
  <si>
    <t>CUST29433</t>
  </si>
  <si>
    <t>ORD-03230</t>
  </si>
  <si>
    <t>CUST12331</t>
  </si>
  <si>
    <t>ORD-01012</t>
  </si>
  <si>
    <t>CUST71352</t>
  </si>
  <si>
    <t>ORD-01304</t>
  </si>
  <si>
    <t>CUST66175</t>
  </si>
  <si>
    <t>ORD-00891</t>
  </si>
  <si>
    <t>CUST89847</t>
  </si>
  <si>
    <t>ORD-01262</t>
  </si>
  <si>
    <t>CUST53403</t>
  </si>
  <si>
    <t>ORD-02732</t>
  </si>
  <si>
    <t>CUST23366</t>
  </si>
  <si>
    <t>ORD-03461</t>
  </si>
  <si>
    <t>CUST10511</t>
  </si>
  <si>
    <t>ORD-00633</t>
  </si>
  <si>
    <t>CUST53440</t>
  </si>
  <si>
    <t>ORD-00195</t>
  </si>
  <si>
    <t>CUST10870</t>
  </si>
  <si>
    <t>ORD-00514</t>
  </si>
  <si>
    <t>CUST86166</t>
  </si>
  <si>
    <t>ORD-01639</t>
  </si>
  <si>
    <t>CUST37611</t>
  </si>
  <si>
    <t>ORD-03747</t>
  </si>
  <si>
    <t>CUST30878</t>
  </si>
  <si>
    <t>ORD-03842</t>
  </si>
  <si>
    <t>CUST75870</t>
  </si>
  <si>
    <t>ORD-00210</t>
  </si>
  <si>
    <t>CUST41794</t>
  </si>
  <si>
    <t>ORD-03049</t>
  </si>
  <si>
    <t>CUST94965</t>
  </si>
  <si>
    <t>ORD-01187</t>
  </si>
  <si>
    <t>CUST93071</t>
  </si>
  <si>
    <t>ORD-00088</t>
  </si>
  <si>
    <t>CUST25625</t>
  </si>
  <si>
    <t>ORD-01370</t>
  </si>
  <si>
    <t>CUST44583</t>
  </si>
  <si>
    <t>ORD-02958</t>
  </si>
  <si>
    <t>CUST02784</t>
  </si>
  <si>
    <t>ORD-00191</t>
  </si>
  <si>
    <t>CUST37196</t>
  </si>
  <si>
    <t>ORD-03825</t>
  </si>
  <si>
    <t>CUST88226</t>
  </si>
  <si>
    <t>ORD-00179</t>
  </si>
  <si>
    <t>CUST72035</t>
  </si>
  <si>
    <t>ORD-03841</t>
  </si>
  <si>
    <t>CUST55175</t>
  </si>
  <si>
    <t>ORD-02605</t>
  </si>
  <si>
    <t>CUST70348</t>
  </si>
  <si>
    <t>ORD-03465</t>
  </si>
  <si>
    <t>CUST56248</t>
  </si>
  <si>
    <t>ORD-02104</t>
  </si>
  <si>
    <t>CUST15485</t>
  </si>
  <si>
    <t>ORD-03916</t>
  </si>
  <si>
    <t>CUST33656</t>
  </si>
  <si>
    <t>ORD-03322</t>
  </si>
  <si>
    <t>CUST90480</t>
  </si>
  <si>
    <t>ORD-03068</t>
  </si>
  <si>
    <t>CUST89345</t>
  </si>
  <si>
    <t>ORD-03146</t>
  </si>
  <si>
    <t>CUST78079</t>
  </si>
  <si>
    <t>ORD-01813</t>
  </si>
  <si>
    <t>CUST37116</t>
  </si>
  <si>
    <t>ORD-03512</t>
  </si>
  <si>
    <t>ORD-01024</t>
  </si>
  <si>
    <t>CUST22670</t>
  </si>
  <si>
    <t>ORD-00472</t>
  </si>
  <si>
    <t>CUST21284</t>
  </si>
  <si>
    <t>ORD-00399</t>
  </si>
  <si>
    <t>CUST01014</t>
  </si>
  <si>
    <t>ORD-03499</t>
  </si>
  <si>
    <t>CUST16184</t>
  </si>
  <si>
    <t>ORD-00036</t>
  </si>
  <si>
    <t>CUST38423</t>
  </si>
  <si>
    <t>ORD-02254</t>
  </si>
  <si>
    <t>CUST33459</t>
  </si>
  <si>
    <t>ORD-02657</t>
  </si>
  <si>
    <t>CUST66904</t>
  </si>
  <si>
    <t>ORD-00253</t>
  </si>
  <si>
    <t>CUST11397</t>
  </si>
  <si>
    <t>ORD-02656</t>
  </si>
  <si>
    <t>CUST34846</t>
  </si>
  <si>
    <t>ORD-01068</t>
  </si>
  <si>
    <t>CUST93899</t>
  </si>
  <si>
    <t>ORD-01286</t>
  </si>
  <si>
    <t>CUST73360</t>
  </si>
  <si>
    <t>ORD-03221</t>
  </si>
  <si>
    <t>CUST96034</t>
  </si>
  <si>
    <t>ORD-02478</t>
  </si>
  <si>
    <t>CUST02396</t>
  </si>
  <si>
    <t>ORD-02941</t>
  </si>
  <si>
    <t>CUST16576</t>
  </si>
  <si>
    <t>ORD-03052</t>
  </si>
  <si>
    <t>CUST62695</t>
  </si>
  <si>
    <t>ORD-03078</t>
  </si>
  <si>
    <t>CUST46478</t>
  </si>
  <si>
    <t>ORD-04194</t>
  </si>
  <si>
    <t>CUST18508</t>
  </si>
  <si>
    <t>ORD-01610</t>
  </si>
  <si>
    <t>CUST76313</t>
  </si>
  <si>
    <t>ORD-02367</t>
  </si>
  <si>
    <t>CUST71730</t>
  </si>
  <si>
    <t>ORD-00926</t>
  </si>
  <si>
    <t>CUST42894</t>
  </si>
  <si>
    <t>ORD-02942</t>
  </si>
  <si>
    <t>CUST41370</t>
  </si>
  <si>
    <t>ORD-02083</t>
  </si>
  <si>
    <t>CUST58154</t>
  </si>
  <si>
    <t>ORD-03385</t>
  </si>
  <si>
    <t>CUST57537</t>
  </si>
  <si>
    <t>ORD-02124</t>
  </si>
  <si>
    <t>CUST24923</t>
  </si>
  <si>
    <t>ORD-02222</t>
  </si>
  <si>
    <t>CUST57957</t>
  </si>
  <si>
    <t>ORD-01076</t>
  </si>
  <si>
    <t>CUST34738</t>
  </si>
  <si>
    <t>ORD-02950</t>
  </si>
  <si>
    <t>CUST02564</t>
  </si>
  <si>
    <t>ORD-03904</t>
  </si>
  <si>
    <t>CUST28988</t>
  </si>
  <si>
    <t>ORD-01850</t>
  </si>
  <si>
    <t>CUST64792</t>
  </si>
  <si>
    <t>ORD-02796</t>
  </si>
  <si>
    <t>CUST56780</t>
  </si>
  <si>
    <t>ORD-01245</t>
  </si>
  <si>
    <t>CUST94664</t>
  </si>
  <si>
    <t>ORD-03321</t>
  </si>
  <si>
    <t>CUST48101</t>
  </si>
  <si>
    <t>ORD-00509</t>
  </si>
  <si>
    <t>CUST37820</t>
  </si>
  <si>
    <t>ORD-00711</t>
  </si>
  <si>
    <t>CUST81896</t>
  </si>
  <si>
    <t>ORD-01145</t>
  </si>
  <si>
    <t>CUST43834</t>
  </si>
  <si>
    <t>ORD-00608</t>
  </si>
  <si>
    <t>CUST06194</t>
  </si>
  <si>
    <t>ORD-03166</t>
  </si>
  <si>
    <t>CUST06674</t>
  </si>
  <si>
    <t>ORD-00868</t>
  </si>
  <si>
    <t>ORD-00912</t>
  </si>
  <si>
    <t>CUST49621</t>
  </si>
  <si>
    <t>ORD-01922</t>
  </si>
  <si>
    <t>CUST64561</t>
  </si>
  <si>
    <t>ORD-03724</t>
  </si>
  <si>
    <t>CUST07562</t>
  </si>
  <si>
    <t>ORD-00149</t>
  </si>
  <si>
    <t>CUST13333</t>
  </si>
  <si>
    <t>ORD-00754</t>
  </si>
  <si>
    <t>CUST33308</t>
  </si>
  <si>
    <t>ORD-03555</t>
  </si>
  <si>
    <t>CUST21921</t>
  </si>
  <si>
    <t>ORD-02451</t>
  </si>
  <si>
    <t>ORD-01274</t>
  </si>
  <si>
    <t>CUST42513</t>
  </si>
  <si>
    <t>ORD-00341</t>
  </si>
  <si>
    <t>CUST77930</t>
  </si>
  <si>
    <t>ORD-04110</t>
  </si>
  <si>
    <t>CUST48614</t>
  </si>
  <si>
    <t>ORD-03036</t>
  </si>
  <si>
    <t>CUST13591</t>
  </si>
  <si>
    <t>ORD-02249</t>
  </si>
  <si>
    <t>CUST22912</t>
  </si>
  <si>
    <t>ORD-02781</t>
  </si>
  <si>
    <t>CUST33751</t>
  </si>
  <si>
    <t>ORD-02740</t>
  </si>
  <si>
    <t>CUST90154</t>
  </si>
  <si>
    <t>ORD-03657</t>
  </si>
  <si>
    <t>CUST04582</t>
  </si>
  <si>
    <t>ORD-01467</t>
  </si>
  <si>
    <t>CUST97904</t>
  </si>
  <si>
    <t>ORD-02658</t>
  </si>
  <si>
    <t>CUST50190</t>
  </si>
  <si>
    <t>ORD-00956</t>
  </si>
  <si>
    <t>CUST26332</t>
  </si>
  <si>
    <t>ORD-02459</t>
  </si>
  <si>
    <t>CUST97641</t>
  </si>
  <si>
    <t>ORD-02650</t>
  </si>
  <si>
    <t>CUST24055</t>
  </si>
  <si>
    <t>ORD-01593</t>
  </si>
  <si>
    <t>CUST14125</t>
  </si>
  <si>
    <t>ORD-02606</t>
  </si>
  <si>
    <t>CUST20519</t>
  </si>
  <si>
    <t>ORD-03767</t>
  </si>
  <si>
    <t>CUST10979</t>
  </si>
  <si>
    <t>ORD-01515</t>
  </si>
  <si>
    <t>CUST36636</t>
  </si>
  <si>
    <t>ORD-00688</t>
  </si>
  <si>
    <t>ORD-00336</t>
  </si>
  <si>
    <t>CUST51371</t>
  </si>
  <si>
    <t>ORD-02363</t>
  </si>
  <si>
    <t>CUST91997</t>
  </si>
  <si>
    <t>ORD-02028</t>
  </si>
  <si>
    <t>CUST57353</t>
  </si>
  <si>
    <t>ORD-00783</t>
  </si>
  <si>
    <t>CUST34065</t>
  </si>
  <si>
    <t>ORD-04016</t>
  </si>
  <si>
    <t>CUST07018</t>
  </si>
  <si>
    <t>ORD-00622</t>
  </si>
  <si>
    <t>CUST27267</t>
  </si>
  <si>
    <t>ORD-03579</t>
  </si>
  <si>
    <t>CUST20050</t>
  </si>
  <si>
    <t>ORD-03323</t>
  </si>
  <si>
    <t>CUST01601</t>
  </si>
  <si>
    <t>ORD-01158</t>
  </si>
  <si>
    <t>CUST43022</t>
  </si>
  <si>
    <t>ORD-02141</t>
  </si>
  <si>
    <t>CUST81398</t>
  </si>
  <si>
    <t>ORD-00835</t>
  </si>
  <si>
    <t>CUST51769</t>
  </si>
  <si>
    <t>ORD-02641</t>
  </si>
  <si>
    <t>CUST93173</t>
  </si>
  <si>
    <t>ORD-02580</t>
  </si>
  <si>
    <t>CUST20280</t>
  </si>
  <si>
    <t>ORD-02044</t>
  </si>
  <si>
    <t>CUST01603</t>
  </si>
  <si>
    <t>ORD-01451</t>
  </si>
  <si>
    <t>CUST83181</t>
  </si>
  <si>
    <t>ORD-00846</t>
  </si>
  <si>
    <t>CUST86953</t>
  </si>
  <si>
    <t>ORD-03118</t>
  </si>
  <si>
    <t>CUST99970</t>
  </si>
  <si>
    <t>ORD-02624</t>
  </si>
  <si>
    <t>CUST85938</t>
  </si>
  <si>
    <t>ORD-02784</t>
  </si>
  <si>
    <t>CUST25444</t>
  </si>
  <si>
    <t>ORD-00950</t>
  </si>
  <si>
    <t>CUST77157</t>
  </si>
  <si>
    <t>ORD-01762</t>
  </si>
  <si>
    <t>CUST02740</t>
  </si>
  <si>
    <t>ORD-02328</t>
  </si>
  <si>
    <t>CUST09166</t>
  </si>
  <si>
    <t>ORD-02276</t>
  </si>
  <si>
    <t>CUST27939</t>
  </si>
  <si>
    <t>ORD-03771</t>
  </si>
  <si>
    <t>CUST79702</t>
  </si>
  <si>
    <t>ORD-02057</t>
  </si>
  <si>
    <t>CUST88172</t>
  </si>
  <si>
    <t>ORD-01110</t>
  </si>
  <si>
    <t>CUST00210</t>
  </si>
  <si>
    <t>ORD-04156</t>
  </si>
  <si>
    <t>CUST37501</t>
  </si>
  <si>
    <t>ORD-00294</t>
  </si>
  <si>
    <t>CUST22246</t>
  </si>
  <si>
    <t>ORD-03169</t>
  </si>
  <si>
    <t>CUST57585</t>
  </si>
  <si>
    <t>ORD-03414</t>
  </si>
  <si>
    <t>CUST92259</t>
  </si>
  <si>
    <t>ORD-03194</t>
  </si>
  <si>
    <t>CUST46133</t>
  </si>
  <si>
    <t>ORD-02594</t>
  </si>
  <si>
    <t>CUST20482</t>
  </si>
  <si>
    <t>ORD-02682</t>
  </si>
  <si>
    <t>CUST50033</t>
  </si>
  <si>
    <t>ORD-00471</t>
  </si>
  <si>
    <t>CUST70383</t>
  </si>
  <si>
    <t>ORD-00558</t>
  </si>
  <si>
    <t>CUST39230</t>
  </si>
  <si>
    <t>ORD-02039</t>
  </si>
  <si>
    <t>CUST14314</t>
  </si>
  <si>
    <t>ORD-03796</t>
  </si>
  <si>
    <t>CUST82853</t>
  </si>
  <si>
    <t>ORD-02342</t>
  </si>
  <si>
    <t>CUST03284</t>
  </si>
  <si>
    <t>ORD-02821</t>
  </si>
  <si>
    <t>CUST76939</t>
  </si>
  <si>
    <t>ORD-01439</t>
  </si>
  <si>
    <t>CUST93212</t>
  </si>
  <si>
    <t>ORD-01263</t>
  </si>
  <si>
    <t>CUST75667</t>
  </si>
  <si>
    <t>ORD-03237</t>
  </si>
  <si>
    <t>ORD-01023</t>
  </si>
  <si>
    <t>CUST74961</t>
  </si>
  <si>
    <t>ORD-00121</t>
  </si>
  <si>
    <t>CUST87494</t>
  </si>
  <si>
    <t>ORD-00906</t>
  </si>
  <si>
    <t>CUST56644</t>
  </si>
  <si>
    <t>ORD-03769</t>
  </si>
  <si>
    <t>CUST52834</t>
  </si>
  <si>
    <t>ORD-01307</t>
  </si>
  <si>
    <t>CUST83913</t>
  </si>
  <si>
    <t>ORD-01389</t>
  </si>
  <si>
    <t>CUST70094</t>
  </si>
  <si>
    <t>ORD-03819</t>
  </si>
  <si>
    <t>CUST71900</t>
  </si>
  <si>
    <t>ORD-01335</t>
  </si>
  <si>
    <t>CUST27800</t>
  </si>
  <si>
    <t>ORD-02559</t>
  </si>
  <si>
    <t>CUST02955</t>
  </si>
  <si>
    <t>ORD-02228</t>
  </si>
  <si>
    <t>CUST45867</t>
  </si>
  <si>
    <t>ORD-01936</t>
  </si>
  <si>
    <t>CUST63093</t>
  </si>
  <si>
    <t>ORD-03882</t>
  </si>
  <si>
    <t>CUST84457</t>
  </si>
  <si>
    <t>ORD-01094</t>
  </si>
  <si>
    <t>CUST74740</t>
  </si>
  <si>
    <t>ORD-01560</t>
  </si>
  <si>
    <t>CUST99753</t>
  </si>
  <si>
    <t>ORD-03877</t>
  </si>
  <si>
    <t>CUST87297</t>
  </si>
  <si>
    <t>ORD-00816</t>
  </si>
  <si>
    <t>CUST98871</t>
  </si>
  <si>
    <t>ORD-01083</t>
  </si>
  <si>
    <t>CUST10450</t>
  </si>
  <si>
    <t>ORD-01209</t>
  </si>
  <si>
    <t>CUST12905</t>
  </si>
  <si>
    <t>ORD-00096</t>
  </si>
  <si>
    <t>CUST66932</t>
  </si>
  <si>
    <t>ORD-04184</t>
  </si>
  <si>
    <t>CUST57246</t>
  </si>
  <si>
    <t>ORD-02429</t>
  </si>
  <si>
    <t>CUST34276</t>
  </si>
  <si>
    <t>ORD-00605</t>
  </si>
  <si>
    <t>CUST07202</t>
  </si>
  <si>
    <t>ORD-03112</t>
  </si>
  <si>
    <t>CUST75819</t>
  </si>
  <si>
    <t>ORD-02115</t>
  </si>
  <si>
    <t>CUST34821</t>
  </si>
  <si>
    <t>ORD-03220</t>
  </si>
  <si>
    <t>CUST05571</t>
  </si>
  <si>
    <t>ORD-00476</t>
  </si>
  <si>
    <t>CUST99185</t>
  </si>
  <si>
    <t>ORD-00213</t>
  </si>
  <si>
    <t>CUST16925</t>
  </si>
  <si>
    <t>ORD-03513</t>
  </si>
  <si>
    <t>CUST75619</t>
  </si>
  <si>
    <t>ORD-01589</t>
  </si>
  <si>
    <t>CUST24981</t>
  </si>
  <si>
    <t>ORD-02481</t>
  </si>
  <si>
    <t>CUST18007</t>
  </si>
  <si>
    <t>ORD-00277</t>
  </si>
  <si>
    <t>CUST65185</t>
  </si>
  <si>
    <t>ORD-00506</t>
  </si>
  <si>
    <t>CUST53218</t>
  </si>
  <si>
    <t>ORD-01336</t>
  </si>
  <si>
    <t>CUST25698</t>
  </si>
  <si>
    <t>ORD-02340</t>
  </si>
  <si>
    <t>CUST46573</t>
  </si>
  <si>
    <t>ORD-00902</t>
  </si>
  <si>
    <t>CUST55154</t>
  </si>
  <si>
    <t>ORD-00449</t>
  </si>
  <si>
    <t>CUST70202</t>
  </si>
  <si>
    <t>ORD-01410</t>
  </si>
  <si>
    <t>CUST74811</t>
  </si>
  <si>
    <t>ORD-02535</t>
  </si>
  <si>
    <t>CUST40704</t>
  </si>
  <si>
    <t>ORD-03597</t>
  </si>
  <si>
    <t>CUST83582</t>
  </si>
  <si>
    <t>ORD-00304</t>
  </si>
  <si>
    <t>CUST28932</t>
  </si>
  <si>
    <t>ORD-04148</t>
  </si>
  <si>
    <t>CUST97586</t>
  </si>
  <si>
    <t>ORD-00824</t>
  </si>
  <si>
    <t>CUST93771</t>
  </si>
  <si>
    <t>ORD-02989</t>
  </si>
  <si>
    <t>CUST00835</t>
  </si>
  <si>
    <t>ORD-01997</t>
  </si>
  <si>
    <t>CUST56393</t>
  </si>
  <si>
    <t>ORD-02068</t>
  </si>
  <si>
    <t>CUST60687</t>
  </si>
  <si>
    <t>ORD-01902</t>
  </si>
  <si>
    <t>CUST14081</t>
  </si>
  <si>
    <t>ORD-00325</t>
  </si>
  <si>
    <t>CUST90197</t>
  </si>
  <si>
    <t>ORD-03333</t>
  </si>
  <si>
    <t>CUST27128</t>
  </si>
  <si>
    <t>ORD-01155</t>
  </si>
  <si>
    <t>CUST00350</t>
  </si>
  <si>
    <t>ORD-01434</t>
  </si>
  <si>
    <t>CUST32355</t>
  </si>
  <si>
    <t>ORD-01474</t>
  </si>
  <si>
    <t>CUST18611</t>
  </si>
  <si>
    <t>ORD-02103</t>
  </si>
  <si>
    <t>CUST67925</t>
  </si>
  <si>
    <t>ORD-03012</t>
  </si>
  <si>
    <t>CUST28387</t>
  </si>
  <si>
    <t>ORD-02980</t>
  </si>
  <si>
    <t>ORD-00151</t>
  </si>
  <si>
    <t>CUST17244</t>
  </si>
  <si>
    <t>ORD-04118</t>
  </si>
  <si>
    <t>CUST48264</t>
  </si>
  <si>
    <t>ORD-01697</t>
  </si>
  <si>
    <t>CUST17647</t>
  </si>
  <si>
    <t>ORD-01122</t>
  </si>
  <si>
    <t>CUST22847</t>
  </si>
  <si>
    <t>ORD-02798</t>
  </si>
  <si>
    <t>CUST05716</t>
  </si>
  <si>
    <t>ORD-01049</t>
  </si>
  <si>
    <t>CUST90241</t>
  </si>
  <si>
    <t>ORD-00812</t>
  </si>
  <si>
    <t>CUST90877</t>
  </si>
  <si>
    <t>ORD-02710</t>
  </si>
  <si>
    <t>CUST02291</t>
  </si>
  <si>
    <t>ORD-03911</t>
  </si>
  <si>
    <t>CUST56239</t>
  </si>
  <si>
    <t>ORD-01558</t>
  </si>
  <si>
    <t>CUST50687</t>
  </si>
  <si>
    <t>ORD-01064</t>
  </si>
  <si>
    <t>CUST14319</t>
  </si>
  <si>
    <t>ORD-03155</t>
  </si>
  <si>
    <t>CUST59557</t>
  </si>
  <si>
    <t>ORD-02304</t>
  </si>
  <si>
    <t>CUST81774</t>
  </si>
  <si>
    <t>ORD-00893</t>
  </si>
  <si>
    <t>ORD-01101</t>
  </si>
  <si>
    <t>CUST25632</t>
  </si>
  <si>
    <t>ORD-02985</t>
  </si>
  <si>
    <t>CUST52758</t>
  </si>
  <si>
    <t>ORD-01649</t>
  </si>
  <si>
    <t>CUST44360</t>
  </si>
  <si>
    <t>ORD-03104</t>
  </si>
  <si>
    <t>CUST21518</t>
  </si>
  <si>
    <t>ORD-00796</t>
  </si>
  <si>
    <t>CUST33825</t>
  </si>
  <si>
    <t>ORD-00074</t>
  </si>
  <si>
    <t>CUST91087</t>
  </si>
  <si>
    <t>ORD-00461</t>
  </si>
  <si>
    <t>CUST87839</t>
  </si>
  <si>
    <t>ORD-00487</t>
  </si>
  <si>
    <t>CUST82166</t>
  </si>
  <si>
    <t>ORD-02139</t>
  </si>
  <si>
    <t>CUST46079</t>
  </si>
  <si>
    <t>ORD-00493</t>
  </si>
  <si>
    <t>CUST79400</t>
  </si>
  <si>
    <t>ORD-02105</t>
  </si>
  <si>
    <t>CUST23451</t>
  </si>
  <si>
    <t>ORD-03419</t>
  </si>
  <si>
    <t>CUST03566</t>
  </si>
  <si>
    <t>ORD-02528</t>
  </si>
  <si>
    <t>CUST85727</t>
  </si>
  <si>
    <t>ORD-01773</t>
  </si>
  <si>
    <t>CUST06303</t>
  </si>
  <si>
    <t>ORD-01468</t>
  </si>
  <si>
    <t>CUST62484</t>
  </si>
  <si>
    <t>ORD-01479</t>
  </si>
  <si>
    <t>CUST30026</t>
  </si>
  <si>
    <t>ORD-01891</t>
  </si>
  <si>
    <t>CUST26370</t>
  </si>
  <si>
    <t>ORD-03141</t>
  </si>
  <si>
    <t>CUST51444</t>
  </si>
  <si>
    <t>ORD-02345</t>
  </si>
  <si>
    <t>CUST71392</t>
  </si>
  <si>
    <t>ORD-02951</t>
  </si>
  <si>
    <t>CUST74188</t>
  </si>
  <si>
    <t>ORD-00602</t>
  </si>
  <si>
    <t>CUST38438</t>
  </si>
  <si>
    <t>ORD-03943</t>
  </si>
  <si>
    <t>CUST79156</t>
  </si>
  <si>
    <t>ORD-03222</t>
  </si>
  <si>
    <t>CUST90239</t>
  </si>
  <si>
    <t>ORD-00396</t>
  </si>
  <si>
    <t>CUST01484</t>
  </si>
  <si>
    <t>ORD-00427</t>
  </si>
  <si>
    <t>CUST70997</t>
  </si>
  <si>
    <t>ORD-00022</t>
  </si>
  <si>
    <t>CUST85754</t>
  </si>
  <si>
    <t>ORD-01039</t>
  </si>
  <si>
    <t>CUST90995</t>
  </si>
  <si>
    <t>ORD-02301</t>
  </si>
  <si>
    <t>CUST94749</t>
  </si>
  <si>
    <t>ORD-00845</t>
  </si>
  <si>
    <t>CUST66370</t>
  </si>
  <si>
    <t>ORD-02894</t>
  </si>
  <si>
    <t>CUST87652</t>
  </si>
  <si>
    <t>ORD-02603</t>
  </si>
  <si>
    <t>CUST47968</t>
  </si>
  <si>
    <t>ORD-03418</t>
  </si>
  <si>
    <t>CUST18997</t>
  </si>
  <si>
    <t>ORD-01670</t>
  </si>
  <si>
    <t>CUST23703</t>
  </si>
  <si>
    <t>ORD-01315</t>
  </si>
  <si>
    <t>CUST19293</t>
  </si>
  <si>
    <t>ORD-01847</t>
  </si>
  <si>
    <t>CUST23650</t>
  </si>
  <si>
    <t>ORD-03089</t>
  </si>
  <si>
    <t>CUST94322</t>
  </si>
  <si>
    <t>ORD-00244</t>
  </si>
  <si>
    <t>CUST99038</t>
  </si>
  <si>
    <t>ORD-00934</t>
  </si>
  <si>
    <t>CUST57153</t>
  </si>
  <si>
    <t>ORD-02408</t>
  </si>
  <si>
    <t>CUST35312</t>
  </si>
  <si>
    <t>ORD-02144</t>
  </si>
  <si>
    <t>CUST57185</t>
  </si>
  <si>
    <t>ORD-01497</t>
  </si>
  <si>
    <t>CUST49401</t>
  </si>
  <si>
    <t>ORD-02570</t>
  </si>
  <si>
    <t>CUST14169</t>
  </si>
  <si>
    <t>ORD-01555</t>
  </si>
  <si>
    <t>CUST84373</t>
  </si>
  <si>
    <t>ORD-03224</t>
  </si>
  <si>
    <t>CUST38211</t>
  </si>
  <si>
    <t>ORD-03400</t>
  </si>
  <si>
    <t>CUST16290</t>
  </si>
  <si>
    <t>ORD-03329</t>
  </si>
  <si>
    <t>CUST84812</t>
  </si>
  <si>
    <t>ORD-01809</t>
  </si>
  <si>
    <t>CUST33015</t>
  </si>
  <si>
    <t>ORD-02891</t>
  </si>
  <si>
    <t>CUST13778</t>
  </si>
  <si>
    <t>ORD-02507</t>
  </si>
  <si>
    <t>ORD-02388</t>
  </si>
  <si>
    <t>CUST96079</t>
  </si>
  <si>
    <t>ORD-02554</t>
  </si>
  <si>
    <t>CUST72987</t>
  </si>
  <si>
    <t>ORD-01761</t>
  </si>
  <si>
    <t>CUST42165</t>
  </si>
  <si>
    <t>ORD-03280</t>
  </si>
  <si>
    <t>CUST58917</t>
  </si>
  <si>
    <t>ORD-02949</t>
  </si>
  <si>
    <t>CUST29456</t>
  </si>
  <si>
    <t>ORD-03143</t>
  </si>
  <si>
    <t>CUST43908</t>
  </si>
  <si>
    <t>ORD-00445</t>
  </si>
  <si>
    <t>CUST52068</t>
  </si>
  <si>
    <t>ORD-02088</t>
  </si>
  <si>
    <t>CUST29896</t>
  </si>
  <si>
    <t>ORD-01265</t>
  </si>
  <si>
    <t>CUST61301</t>
  </si>
  <si>
    <t>ORD-02754</t>
  </si>
  <si>
    <t>CUST60353</t>
  </si>
  <si>
    <t>ORD-01077</t>
  </si>
  <si>
    <t>CUST86865</t>
  </si>
  <si>
    <t>ORD-02888</t>
  </si>
  <si>
    <t>CUST23652</t>
  </si>
  <si>
    <t>ORD-03271</t>
  </si>
  <si>
    <t>CUST54392</t>
  </si>
  <si>
    <t>ORD-01228</t>
  </si>
  <si>
    <t>CUST18110</t>
  </si>
  <si>
    <t>ORD-01152</t>
  </si>
  <si>
    <t>ORD-03728</t>
  </si>
  <si>
    <t>CUST36060</t>
  </si>
  <si>
    <t>ORD-04031</t>
  </si>
  <si>
    <t>CUST16901</t>
  </si>
  <si>
    <t>ORD-03935</t>
  </si>
  <si>
    <t>CUST84410</t>
  </si>
  <si>
    <t>ORD-01243</t>
  </si>
  <si>
    <t>CUST88419</t>
  </si>
  <si>
    <t>ORD-01867</t>
  </si>
  <si>
    <t>CUST11136</t>
  </si>
  <si>
    <t>ORD-03167</t>
  </si>
  <si>
    <t>CUST14358</t>
  </si>
  <si>
    <t>ORD-03664</t>
  </si>
  <si>
    <t>CUST92119</t>
  </si>
  <si>
    <t>ORD-02638</t>
  </si>
  <si>
    <t>CUST24560</t>
  </si>
  <si>
    <t>ORD-00621</t>
  </si>
  <si>
    <t>CUST05543</t>
  </si>
  <si>
    <t>ORD-02552</t>
  </si>
  <si>
    <t>CUST30853</t>
  </si>
  <si>
    <t>ORD-02971</t>
  </si>
  <si>
    <t>CUST11958</t>
  </si>
  <si>
    <t>ORD-02208</t>
  </si>
  <si>
    <t>CUST55072</t>
  </si>
  <si>
    <t>ORD-03467</t>
  </si>
  <si>
    <t>CUST83168</t>
  </si>
  <si>
    <t>ORD-00538</t>
  </si>
  <si>
    <t>CUST99927</t>
  </si>
  <si>
    <t>ORD-03768</t>
  </si>
  <si>
    <t>CUST05494</t>
  </si>
  <si>
    <t>ORD-02289</t>
  </si>
  <si>
    <t>CUST74884</t>
  </si>
  <si>
    <t>ORD-00014</t>
  </si>
  <si>
    <t>CUST18131</t>
  </si>
  <si>
    <t>ORD-00741</t>
  </si>
  <si>
    <t>CUST07400</t>
  </si>
  <si>
    <t>ORD-02977</t>
  </si>
  <si>
    <t>CUST30941</t>
  </si>
  <si>
    <t>ORD-03387</t>
  </si>
  <si>
    <t>ORD-01386</t>
  </si>
  <si>
    <t>CUST40254</t>
  </si>
  <si>
    <t>ORD-02844</t>
  </si>
  <si>
    <t>CUST72283</t>
  </si>
  <si>
    <t>ORD-02404</t>
  </si>
  <si>
    <t>CUST20182</t>
  </si>
  <si>
    <t>ORD-00335</t>
  </si>
  <si>
    <t>CUST11141</t>
  </si>
  <si>
    <t>ORD-02737</t>
  </si>
  <si>
    <t>CUST77328</t>
  </si>
  <si>
    <t>ORD-03496</t>
  </si>
  <si>
    <t>ORD-02990</t>
  </si>
  <si>
    <t>CUST58369</t>
  </si>
  <si>
    <t>ORD-03398</t>
  </si>
  <si>
    <t>CUST65122</t>
  </si>
  <si>
    <t>ORD-03050</t>
  </si>
  <si>
    <t>CUST75754</t>
  </si>
  <si>
    <t>ORD-02236</t>
  </si>
  <si>
    <t>CUST58809</t>
  </si>
  <si>
    <t>ORD-00942</t>
  </si>
  <si>
    <t>CUST93436</t>
  </si>
  <si>
    <t>ORD-02948</t>
  </si>
  <si>
    <t>CUST47347</t>
  </si>
  <si>
    <t>ORD-01185</t>
  </si>
  <si>
    <t>CUST20075</t>
  </si>
  <si>
    <t>ORD-02278</t>
  </si>
  <si>
    <t>CUST26869</t>
  </si>
  <si>
    <t>ORD-03932</t>
  </si>
  <si>
    <t>CUST12409</t>
  </si>
  <si>
    <t>ORD-01852</t>
  </si>
  <si>
    <t>CUST44543</t>
  </si>
  <si>
    <t>ORD-04138</t>
  </si>
  <si>
    <t>CUST97139</t>
  </si>
  <si>
    <t>ORD-02797</t>
  </si>
  <si>
    <t>CUST19934</t>
  </si>
  <si>
    <t>ORD-01887</t>
  </si>
  <si>
    <t>CUST32630</t>
  </si>
  <si>
    <t>ORD-03616</t>
  </si>
  <si>
    <t>CUST58545</t>
  </si>
  <si>
    <t>ORD-02398</t>
  </si>
  <si>
    <t>CUST32655</t>
  </si>
  <si>
    <t>ORD-02094</t>
  </si>
  <si>
    <t>CUST96963</t>
  </si>
  <si>
    <t>ORD-03690</t>
  </si>
  <si>
    <t>CUST65586</t>
  </si>
  <si>
    <t>ORD-00030</t>
  </si>
  <si>
    <t>CUST05185</t>
  </si>
  <si>
    <t>ORD-02670</t>
  </si>
  <si>
    <t>CUST97284</t>
  </si>
  <si>
    <t>ORD-04157</t>
  </si>
  <si>
    <t>CUST48612</t>
  </si>
  <si>
    <t>ORD-01108</t>
  </si>
  <si>
    <t>CUST42651</t>
  </si>
  <si>
    <t>ORD-00491</t>
  </si>
  <si>
    <t>CUST01461</t>
  </si>
  <si>
    <t>ORD-01475</t>
  </si>
  <si>
    <t>CUST99554</t>
  </si>
  <si>
    <t>ORD-00382</t>
  </si>
  <si>
    <t>CUST28553</t>
  </si>
  <si>
    <t>ORD-03596</t>
  </si>
  <si>
    <t>CUST47686</t>
  </si>
  <si>
    <t>ORD-00446</t>
  </si>
  <si>
    <t>CUST01334</t>
  </si>
  <si>
    <t>ORD-02828</t>
  </si>
  <si>
    <t>CUST68781</t>
  </si>
  <si>
    <t>ORD-01113</t>
  </si>
  <si>
    <t>CUST01886</t>
  </si>
  <si>
    <t>ORD-01485</t>
  </si>
  <si>
    <t>CUST30209</t>
  </si>
  <si>
    <t>ORD-02978</t>
  </si>
  <si>
    <t>CUST72850</t>
  </si>
  <si>
    <t>ORD-03196</t>
  </si>
  <si>
    <t>CUST46008</t>
  </si>
  <si>
    <t>ORD-03806</t>
  </si>
  <si>
    <t>CUST73502</t>
  </si>
  <si>
    <t>ORD-00012</t>
  </si>
  <si>
    <t>CUST61608</t>
  </si>
  <si>
    <t>ORD-01974</t>
  </si>
  <si>
    <t>CUST96684</t>
  </si>
  <si>
    <t>ORD-01789</t>
  </si>
  <si>
    <t>CUST43962</t>
  </si>
  <si>
    <t>ORD-02401</t>
  </si>
  <si>
    <t>ORD-02701</t>
  </si>
  <si>
    <t>CUST61925</t>
  </si>
  <si>
    <t>ORD-00774</t>
  </si>
  <si>
    <t>CUST03427</t>
  </si>
  <si>
    <t>ORD-00791</t>
  </si>
  <si>
    <t>CUST50607</t>
  </si>
  <si>
    <t>ORD-02916</t>
  </si>
  <si>
    <t>CUST68649</t>
  </si>
  <si>
    <t>ORD-02122</t>
  </si>
  <si>
    <t>CUST58669</t>
  </si>
  <si>
    <t>ORD-01554</t>
  </si>
  <si>
    <t>CUST42573</t>
  </si>
  <si>
    <t>ORD-03135</t>
  </si>
  <si>
    <t>CUST31542</t>
  </si>
  <si>
    <t>ORD-02879</t>
  </si>
  <si>
    <t>CUST55177</t>
  </si>
  <si>
    <t>ORD-02811</t>
  </si>
  <si>
    <t>CUST06279</t>
  </si>
  <si>
    <t>ORD-01045</t>
  </si>
  <si>
    <t>CUST27554</t>
  </si>
  <si>
    <t>ORD-00245</t>
  </si>
  <si>
    <t>CUST17070</t>
  </si>
  <si>
    <t>ORD-02023</t>
  </si>
  <si>
    <t>CUST72866</t>
  </si>
  <si>
    <t>ORD-00450</t>
  </si>
  <si>
    <t>CUST20483</t>
  </si>
  <si>
    <t>ORD-04082</t>
  </si>
  <si>
    <t>CUST72244</t>
  </si>
  <si>
    <t>ORD-03458</t>
  </si>
  <si>
    <t>CUST09746</t>
  </si>
  <si>
    <t>ORD-01738</t>
  </si>
  <si>
    <t>CUST50460</t>
  </si>
  <si>
    <t>ORD-03241</t>
  </si>
  <si>
    <t>CUST36164</t>
  </si>
  <si>
    <t>Grand Total</t>
  </si>
  <si>
    <t>Total Profit</t>
  </si>
  <si>
    <t>Total Orders</t>
  </si>
  <si>
    <t>Avg Customer Satisfaction</t>
  </si>
  <si>
    <t>Return Rate</t>
  </si>
  <si>
    <t>Sum of sales_amount</t>
  </si>
  <si>
    <t>Sum of profit</t>
  </si>
  <si>
    <t>Row Labels</t>
  </si>
  <si>
    <t>Count of payment_method</t>
  </si>
  <si>
    <t>Average of sales_amount</t>
  </si>
  <si>
    <t>Average of profit</t>
  </si>
  <si>
    <t>Average of customer_satisfaction</t>
  </si>
  <si>
    <t>FALSE</t>
  </si>
  <si>
    <t>TRUE</t>
  </si>
  <si>
    <t>Count of order_id</t>
  </si>
  <si>
    <t>age_group</t>
  </si>
  <si>
    <t>18-25</t>
  </si>
  <si>
    <t>26-35</t>
  </si>
  <si>
    <t>36-50</t>
  </si>
  <si>
    <t>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</si>
</sst>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09]\ #,##0"/>
    <numFmt numFmtId="165" formatCode="[$₹-4009]\ #,##0;[$₹-4009]\ \-#,##0"/>
    <numFmt numFmtId="166" formatCode="0.0"/>
    <numFmt numFmtId="167" formatCode="_(* #,##0_);_(* \(#,##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24">
    <xf numFmtId="0" fontId="0" fillId="0" borderId="0" xfId="0"/>
    <xf numFmtId="14" fontId="0" fillId="0" borderId="0" xfId="0" applyNumberFormat="1"/>
    <xf numFmtId="0" fontId="3" fillId="0" borderId="1" xfId="2"/>
    <xf numFmtId="14" fontId="3" fillId="0" borderId="1" xfId="2" applyNumberFormat="1"/>
    <xf numFmtId="0" fontId="3" fillId="0" borderId="1" xfId="2"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xf numFmtId="0" fontId="0" fillId="0" borderId="0" xfId="0" pivotButton="1"/>
    <xf numFmtId="0" fontId="0" fillId="0" borderId="0" xfId="0" applyAlignment="1">
      <alignment horizontal="left"/>
    </xf>
    <xf numFmtId="0" fontId="0" fillId="0" borderId="0" xfId="0" applyFont="1"/>
    <xf numFmtId="164" fontId="0" fillId="0" borderId="0" xfId="0" applyNumberFormat="1"/>
    <xf numFmtId="165" fontId="0" fillId="0" borderId="0" xfId="0" applyNumberFormat="1"/>
    <xf numFmtId="166" fontId="0" fillId="0" borderId="0" xfId="0" applyNumberFormat="1"/>
    <xf numFmtId="2" fontId="0" fillId="0" borderId="0" xfId="0" applyNumberFormat="1"/>
    <xf numFmtId="167" fontId="0" fillId="0" borderId="0" xfId="42" applyNumberFormat="1" applyFont="1"/>
    <xf numFmtId="9" fontId="0" fillId="0" borderId="0" xfId="43"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7">
    <dxf>
      <numFmt numFmtId="0" formatCode="General"/>
    </dxf>
    <dxf>
      <numFmt numFmtId="19" formatCode="m/d/yyyy"/>
    </dxf>
    <dxf>
      <border outline="0">
        <bottom style="thick">
          <color theme="4"/>
        </bottom>
      </border>
    </dxf>
    <dxf>
      <numFmt numFmtId="166" formatCode="0.0"/>
    </dxf>
    <dxf>
      <numFmt numFmtId="2" formatCode="0.00"/>
    </dxf>
    <dxf>
      <numFmt numFmtId="164" formatCode="[$₹-4009]\ #,##0"/>
    </dxf>
    <dxf>
      <font>
        <sz val="1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26224846894138"/>
          <c:y val="5.1342592592592592E-2"/>
          <c:w val="0.81773775153105865"/>
          <c:h val="0.77736111111111106"/>
        </c:manualLayout>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Tables'!$G$4:$G$11</c:f>
              <c:strCache>
                <c:ptCount val="7"/>
                <c:pt idx="0">
                  <c:v>Electronics</c:v>
                </c:pt>
                <c:pt idx="1">
                  <c:v>Furniture</c:v>
                </c:pt>
                <c:pt idx="2">
                  <c:v>Sports</c:v>
                </c:pt>
                <c:pt idx="3">
                  <c:v>Clothing</c:v>
                </c:pt>
                <c:pt idx="4">
                  <c:v>Beauty</c:v>
                </c:pt>
                <c:pt idx="5">
                  <c:v>Books</c:v>
                </c:pt>
                <c:pt idx="6">
                  <c:v>Groceries</c:v>
                </c:pt>
              </c:strCache>
            </c:strRef>
          </c:cat>
          <c:val>
            <c:numRef>
              <c:f>'Pivot Tables'!$H$4:$H$11</c:f>
              <c:numCache>
                <c:formatCode>[$₹-4009]\ #,##0</c:formatCode>
                <c:ptCount val="7"/>
                <c:pt idx="0">
                  <c:v>104715126.05999997</c:v>
                </c:pt>
                <c:pt idx="1">
                  <c:v>42338863.779999994</c:v>
                </c:pt>
                <c:pt idx="2">
                  <c:v>26526005.349999987</c:v>
                </c:pt>
                <c:pt idx="3">
                  <c:v>9919485.5500000063</c:v>
                </c:pt>
                <c:pt idx="4">
                  <c:v>2976249.8900000015</c:v>
                </c:pt>
                <c:pt idx="5">
                  <c:v>2378080.7500000005</c:v>
                </c:pt>
                <c:pt idx="6">
                  <c:v>708908.70000000019</c:v>
                </c:pt>
              </c:numCache>
            </c:numRef>
          </c:val>
          <c:extLst>
            <c:ext xmlns:c16="http://schemas.microsoft.com/office/drawing/2014/chart" uri="{C3380CC4-5D6E-409C-BE32-E72D297353CC}">
              <c16:uniqueId val="{00000000-5DB8-44D0-9D90-0726ED4F2D9E}"/>
            </c:ext>
          </c:extLst>
        </c:ser>
        <c:dLbls>
          <c:dLblPos val="outEnd"/>
          <c:showLegendKey val="0"/>
          <c:showVal val="1"/>
          <c:showCatName val="0"/>
          <c:showSerName val="0"/>
          <c:showPercent val="0"/>
          <c:showBubbleSize val="0"/>
        </c:dLbls>
        <c:gapWidth val="106"/>
        <c:axId val="375382112"/>
        <c:axId val="375382528"/>
      </c:barChart>
      <c:catAx>
        <c:axId val="37538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75382528"/>
        <c:crosses val="autoZero"/>
        <c:auto val="1"/>
        <c:lblAlgn val="ctr"/>
        <c:lblOffset val="100"/>
        <c:noMultiLvlLbl val="0"/>
      </c:catAx>
      <c:valAx>
        <c:axId val="375382528"/>
        <c:scaling>
          <c:orientation val="minMax"/>
        </c:scaling>
        <c:delete val="1"/>
        <c:axPos val="b"/>
        <c:numFmt formatCode="[$₹-4009]\ #,##0" sourceLinked="1"/>
        <c:majorTickMark val="none"/>
        <c:minorTickMark val="none"/>
        <c:tickLblPos val="nextTo"/>
        <c:crossAx val="375382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89892707760922"/>
          <c:y val="7.5197344211995254E-2"/>
          <c:w val="0.69375791715513713"/>
          <c:h val="0.88172043010752688"/>
        </c:manualLayout>
      </c:layout>
      <c:barChart>
        <c:barDir val="bar"/>
        <c:grouping val="clustered"/>
        <c:varyColors val="0"/>
        <c:ser>
          <c:idx val="0"/>
          <c:order val="0"/>
          <c:tx>
            <c:strRef>
              <c:f>'Pivot Tables'!$B$7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Tables'!$A$8:$A$28</c:f>
              <c:strCache>
                <c:ptCount val="20"/>
                <c:pt idx="0">
                  <c:v>Amritsar</c:v>
                </c:pt>
                <c:pt idx="1">
                  <c:v>Chennai</c:v>
                </c:pt>
                <c:pt idx="2">
                  <c:v>Mumbai</c:v>
                </c:pt>
                <c:pt idx="3">
                  <c:v>Kolkata</c:v>
                </c:pt>
                <c:pt idx="4">
                  <c:v>Ahmedabad</c:v>
                </c:pt>
                <c:pt idx="5">
                  <c:v>Hyderabad</c:v>
                </c:pt>
                <c:pt idx="6">
                  <c:v>Guwahati</c:v>
                </c:pt>
                <c:pt idx="7">
                  <c:v>Delhi</c:v>
                </c:pt>
                <c:pt idx="8">
                  <c:v>Bhubaneswar</c:v>
                </c:pt>
                <c:pt idx="9">
                  <c:v>Surat</c:v>
                </c:pt>
                <c:pt idx="10">
                  <c:v>Indore</c:v>
                </c:pt>
                <c:pt idx="11">
                  <c:v>Ludhiana</c:v>
                </c:pt>
                <c:pt idx="12">
                  <c:v>Bangalore</c:v>
                </c:pt>
                <c:pt idx="13">
                  <c:v>Nagpur</c:v>
                </c:pt>
                <c:pt idx="14">
                  <c:v>Pune</c:v>
                </c:pt>
                <c:pt idx="15">
                  <c:v>Kochi</c:v>
                </c:pt>
                <c:pt idx="16">
                  <c:v>Patna</c:v>
                </c:pt>
                <c:pt idx="17">
                  <c:v>Raipur</c:v>
                </c:pt>
                <c:pt idx="18">
                  <c:v>Chandigarh</c:v>
                </c:pt>
                <c:pt idx="19">
                  <c:v>Bhopal</c:v>
                </c:pt>
              </c:strCache>
            </c:strRef>
          </c:cat>
          <c:val>
            <c:numRef>
              <c:f>'Pivot Tables'!$B$8:$B$28</c:f>
              <c:numCache>
                <c:formatCode>[$₹-4009]\ #,##0</c:formatCode>
                <c:ptCount val="20"/>
                <c:pt idx="0">
                  <c:v>17887172.960000016</c:v>
                </c:pt>
                <c:pt idx="1">
                  <c:v>16092409.790000003</c:v>
                </c:pt>
                <c:pt idx="2">
                  <c:v>10725379.619999995</c:v>
                </c:pt>
                <c:pt idx="3">
                  <c:v>10205912.049999997</c:v>
                </c:pt>
                <c:pt idx="4">
                  <c:v>9964580.1700000018</c:v>
                </c:pt>
                <c:pt idx="5">
                  <c:v>9955325.6999999955</c:v>
                </c:pt>
                <c:pt idx="6">
                  <c:v>9436006.6899999958</c:v>
                </c:pt>
                <c:pt idx="7">
                  <c:v>9247498.1599999983</c:v>
                </c:pt>
                <c:pt idx="8">
                  <c:v>9218254.0000000056</c:v>
                </c:pt>
                <c:pt idx="9">
                  <c:v>9080556.6499999966</c:v>
                </c:pt>
                <c:pt idx="10">
                  <c:v>9075672.1799999997</c:v>
                </c:pt>
                <c:pt idx="11">
                  <c:v>8098094.7599999988</c:v>
                </c:pt>
                <c:pt idx="12">
                  <c:v>8077383.7999999961</c:v>
                </c:pt>
                <c:pt idx="13">
                  <c:v>8055542.9999999972</c:v>
                </c:pt>
                <c:pt idx="14">
                  <c:v>8049558.1499999994</c:v>
                </c:pt>
                <c:pt idx="15">
                  <c:v>8048985.9899999993</c:v>
                </c:pt>
                <c:pt idx="16">
                  <c:v>7350810.8099999968</c:v>
                </c:pt>
                <c:pt idx="17">
                  <c:v>7298295.5899999989</c:v>
                </c:pt>
                <c:pt idx="18">
                  <c:v>6917708.290000001</c:v>
                </c:pt>
                <c:pt idx="19">
                  <c:v>6777571.7200000025</c:v>
                </c:pt>
              </c:numCache>
            </c:numRef>
          </c:val>
          <c:extLst>
            <c:ext xmlns:c16="http://schemas.microsoft.com/office/drawing/2014/chart" uri="{C3380CC4-5D6E-409C-BE32-E72D297353CC}">
              <c16:uniqueId val="{00000000-4BDC-4449-BBE1-379AC724229C}"/>
            </c:ext>
          </c:extLst>
        </c:ser>
        <c:dLbls>
          <c:dLblPos val="outEnd"/>
          <c:showLegendKey val="0"/>
          <c:showVal val="1"/>
          <c:showCatName val="0"/>
          <c:showSerName val="0"/>
          <c:showPercent val="0"/>
          <c:showBubbleSize val="0"/>
        </c:dLbls>
        <c:gapWidth val="139"/>
        <c:axId val="443313824"/>
        <c:axId val="443318400"/>
      </c:barChart>
      <c:catAx>
        <c:axId val="443313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43318400"/>
        <c:crosses val="autoZero"/>
        <c:auto val="1"/>
        <c:lblAlgn val="ctr"/>
        <c:lblOffset val="100"/>
        <c:noMultiLvlLbl val="0"/>
      </c:catAx>
      <c:valAx>
        <c:axId val="443318400"/>
        <c:scaling>
          <c:orientation val="minMax"/>
        </c:scaling>
        <c:delete val="1"/>
        <c:axPos val="b"/>
        <c:numFmt formatCode="[$₹-4009]\ #,##0" sourceLinked="1"/>
        <c:majorTickMark val="none"/>
        <c:minorTickMark val="none"/>
        <c:tickLblPos val="nextTo"/>
        <c:crossAx val="443313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Tables!PivotTable5</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manualLayout>
          <c:layoutTarget val="inner"/>
          <c:xMode val="edge"/>
          <c:yMode val="edge"/>
          <c:x val="0.20742804024496936"/>
          <c:y val="0.11805550391272794"/>
          <c:w val="0.37638910761154853"/>
          <c:h val="0.75277788592393446"/>
        </c:manualLayout>
      </c:layout>
      <c:pieChart>
        <c:varyColors val="1"/>
        <c:ser>
          <c:idx val="0"/>
          <c:order val="0"/>
          <c:tx>
            <c:strRef>
              <c:f>'Pivot Tables'!$E$12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48-4110-82A1-9FB7A01F50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48-4110-82A1-9FB7A01F50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48-4110-82A1-9FB7A01F50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48-4110-82A1-9FB7A01F501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F48-4110-82A1-9FB7A01F501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F48-4110-82A1-9FB7A01F501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F48-4110-82A1-9FB7A01F501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F48-4110-82A1-9FB7A01F501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F48-4110-82A1-9FB7A01F501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F48-4110-82A1-9FB7A01F5016}"/>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Tables'!$D$13:$D$23</c:f>
              <c:strCache>
                <c:ptCount val="10"/>
                <c:pt idx="0">
                  <c:v>Nisha Bhat</c:v>
                </c:pt>
                <c:pt idx="1">
                  <c:v>Ritu Kapoor</c:v>
                </c:pt>
                <c:pt idx="2">
                  <c:v>Ananya Pillai</c:v>
                </c:pt>
                <c:pt idx="3">
                  <c:v>Rohan Mehta</c:v>
                </c:pt>
                <c:pt idx="4">
                  <c:v>Sanjay Rao</c:v>
                </c:pt>
                <c:pt idx="5">
                  <c:v>Arjun Rao</c:v>
                </c:pt>
                <c:pt idx="6">
                  <c:v>Ananya Gupta</c:v>
                </c:pt>
                <c:pt idx="7">
                  <c:v>Meera Shah</c:v>
                </c:pt>
                <c:pt idx="8">
                  <c:v>Nisha Joshi</c:v>
                </c:pt>
                <c:pt idx="9">
                  <c:v>Amit Shah</c:v>
                </c:pt>
              </c:strCache>
            </c:strRef>
          </c:cat>
          <c:val>
            <c:numRef>
              <c:f>'Pivot Tables'!$E$13:$E$23</c:f>
              <c:numCache>
                <c:formatCode>[$₹-4009]\ #,##0</c:formatCode>
                <c:ptCount val="10"/>
                <c:pt idx="0">
                  <c:v>7957283.330000001</c:v>
                </c:pt>
                <c:pt idx="1">
                  <c:v>2622213.61</c:v>
                </c:pt>
                <c:pt idx="2">
                  <c:v>2613173.5300000007</c:v>
                </c:pt>
                <c:pt idx="3">
                  <c:v>2031154.11</c:v>
                </c:pt>
                <c:pt idx="4">
                  <c:v>2023784.0000000002</c:v>
                </c:pt>
                <c:pt idx="5">
                  <c:v>1694577.43</c:v>
                </c:pt>
                <c:pt idx="6">
                  <c:v>1679643.53</c:v>
                </c:pt>
                <c:pt idx="7">
                  <c:v>1613930.31</c:v>
                </c:pt>
                <c:pt idx="8">
                  <c:v>1512960.9</c:v>
                </c:pt>
                <c:pt idx="9">
                  <c:v>1500739.6500000001</c:v>
                </c:pt>
              </c:numCache>
            </c:numRef>
          </c:val>
          <c:extLst>
            <c:ext xmlns:c16="http://schemas.microsoft.com/office/drawing/2014/chart" uri="{C3380CC4-5D6E-409C-BE32-E72D297353CC}">
              <c16:uniqueId val="{00000014-8F48-4110-82A1-9FB7A01F501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4577575342847498E-3"/>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308519400415536E-2"/>
          <c:y val="4.2698756096580769E-2"/>
          <c:w val="0.93888888888888888"/>
          <c:h val="0.75085280248927666"/>
        </c:manualLayout>
      </c:layout>
      <c:barChart>
        <c:barDir val="col"/>
        <c:grouping val="clustered"/>
        <c:varyColors val="0"/>
        <c:ser>
          <c:idx val="0"/>
          <c:order val="0"/>
          <c:tx>
            <c:strRef>
              <c:f>'Pivot Tables'!$H$13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447F-48D7-82A0-EC2F71892E18}"/>
              </c:ext>
            </c:extLst>
          </c:dPt>
          <c:dLbls>
            <c:dLbl>
              <c:idx val="0"/>
              <c:layout>
                <c:manualLayout>
                  <c:x val="2.457757534284749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47F-48D7-82A0-EC2F71892E18}"/>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Tables'!$G$14:$G$20</c:f>
              <c:strCache>
                <c:ptCount val="6"/>
                <c:pt idx="0">
                  <c:v>UPI</c:v>
                </c:pt>
                <c:pt idx="1">
                  <c:v>Credit Card</c:v>
                </c:pt>
                <c:pt idx="2">
                  <c:v>Debit Card</c:v>
                </c:pt>
                <c:pt idx="3">
                  <c:v>Cash on Delivery</c:v>
                </c:pt>
                <c:pt idx="4">
                  <c:v>EMI</c:v>
                </c:pt>
                <c:pt idx="5">
                  <c:v>Net Banking</c:v>
                </c:pt>
              </c:strCache>
            </c:strRef>
          </c:cat>
          <c:val>
            <c:numRef>
              <c:f>'Pivot Tables'!$H$14:$H$20</c:f>
              <c:numCache>
                <c:formatCode>General</c:formatCode>
                <c:ptCount val="6"/>
                <c:pt idx="0">
                  <c:v>570</c:v>
                </c:pt>
                <c:pt idx="1">
                  <c:v>556</c:v>
                </c:pt>
                <c:pt idx="2">
                  <c:v>523</c:v>
                </c:pt>
                <c:pt idx="3">
                  <c:v>513</c:v>
                </c:pt>
                <c:pt idx="4">
                  <c:v>506</c:v>
                </c:pt>
                <c:pt idx="5">
                  <c:v>475</c:v>
                </c:pt>
              </c:numCache>
            </c:numRef>
          </c:val>
          <c:extLst>
            <c:ext xmlns:c16="http://schemas.microsoft.com/office/drawing/2014/chart" uri="{C3380CC4-5D6E-409C-BE32-E72D297353CC}">
              <c16:uniqueId val="{00000000-447F-48D7-82A0-EC2F71892E18}"/>
            </c:ext>
          </c:extLst>
        </c:ser>
        <c:dLbls>
          <c:dLblPos val="outEnd"/>
          <c:showLegendKey val="0"/>
          <c:showVal val="1"/>
          <c:showCatName val="0"/>
          <c:showSerName val="0"/>
          <c:showPercent val="0"/>
          <c:showBubbleSize val="0"/>
        </c:dLbls>
        <c:gapWidth val="219"/>
        <c:overlap val="-27"/>
        <c:axId val="443300928"/>
        <c:axId val="443303008"/>
      </c:barChart>
      <c:catAx>
        <c:axId val="44330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43303008"/>
        <c:crosses val="autoZero"/>
        <c:auto val="1"/>
        <c:lblAlgn val="ctr"/>
        <c:lblOffset val="100"/>
        <c:noMultiLvlLbl val="0"/>
      </c:catAx>
      <c:valAx>
        <c:axId val="443303008"/>
        <c:scaling>
          <c:orientation val="minMax"/>
        </c:scaling>
        <c:delete val="1"/>
        <c:axPos val="l"/>
        <c:numFmt formatCode="General" sourceLinked="1"/>
        <c:majorTickMark val="none"/>
        <c:minorTickMark val="none"/>
        <c:tickLblPos val="nextTo"/>
        <c:crossAx val="44330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1426071741035"/>
          <c:y val="0.17171296296296298"/>
          <c:w val="0.49270975503062109"/>
          <c:h val="0.69790172061825606"/>
        </c:manualLayout>
      </c:layout>
      <c:lineChart>
        <c:grouping val="standard"/>
        <c:varyColors val="0"/>
        <c:ser>
          <c:idx val="0"/>
          <c:order val="0"/>
          <c:tx>
            <c:strRef>
              <c:f>'Pivot Tables'!$H$23</c:f>
              <c:strCache>
                <c:ptCount val="1"/>
                <c:pt idx="0">
                  <c:v>Average of sales_amount</c:v>
                </c:pt>
              </c:strCache>
            </c:strRef>
          </c:tx>
          <c:spPr>
            <a:ln w="28575" cap="rnd">
              <a:solidFill>
                <a:schemeClr val="accent1"/>
              </a:solidFill>
              <a:round/>
            </a:ln>
            <a:effectLst/>
          </c:spPr>
          <c:marker>
            <c:symbol val="none"/>
          </c:marker>
          <c:cat>
            <c:strRef>
              <c:f>'Pivot Tables'!$G$24:$G$65</c:f>
              <c:strCache>
                <c:ptCount val="41"/>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0.31</c:v>
                </c:pt>
                <c:pt idx="32">
                  <c:v>0.32</c:v>
                </c:pt>
                <c:pt idx="33">
                  <c:v>0.33</c:v>
                </c:pt>
                <c:pt idx="34">
                  <c:v>0.34</c:v>
                </c:pt>
                <c:pt idx="35">
                  <c:v>0.35</c:v>
                </c:pt>
                <c:pt idx="36">
                  <c:v>0.36</c:v>
                </c:pt>
                <c:pt idx="37">
                  <c:v>0.37</c:v>
                </c:pt>
                <c:pt idx="38">
                  <c:v>0.38</c:v>
                </c:pt>
                <c:pt idx="39">
                  <c:v>0.39</c:v>
                </c:pt>
                <c:pt idx="40">
                  <c:v>0.4</c:v>
                </c:pt>
              </c:strCache>
            </c:strRef>
          </c:cat>
          <c:val>
            <c:numRef>
              <c:f>'Pivot Tables'!$H$24:$H$65</c:f>
              <c:numCache>
                <c:formatCode>[$₹-4009]\ #,##0</c:formatCode>
                <c:ptCount val="41"/>
                <c:pt idx="0">
                  <c:v>114335.63187500001</c:v>
                </c:pt>
                <c:pt idx="1">
                  <c:v>56589.681038961047</c:v>
                </c:pt>
                <c:pt idx="2">
                  <c:v>66471.706219512198</c:v>
                </c:pt>
                <c:pt idx="3">
                  <c:v>76301.471627906983</c:v>
                </c:pt>
                <c:pt idx="4">
                  <c:v>60082.833333333314</c:v>
                </c:pt>
                <c:pt idx="5">
                  <c:v>62027.278874999996</c:v>
                </c:pt>
                <c:pt idx="6">
                  <c:v>84999.413846153824</c:v>
                </c:pt>
                <c:pt idx="7">
                  <c:v>48290.709870129853</c:v>
                </c:pt>
                <c:pt idx="8">
                  <c:v>68846.612535211287</c:v>
                </c:pt>
                <c:pt idx="9">
                  <c:v>57340.007654321009</c:v>
                </c:pt>
                <c:pt idx="10">
                  <c:v>59659.136545454567</c:v>
                </c:pt>
                <c:pt idx="11">
                  <c:v>92436.70790697675</c:v>
                </c:pt>
                <c:pt idx="12">
                  <c:v>67139.586790123474</c:v>
                </c:pt>
                <c:pt idx="13">
                  <c:v>58094.554225352098</c:v>
                </c:pt>
                <c:pt idx="14">
                  <c:v>83596.756625000009</c:v>
                </c:pt>
                <c:pt idx="15">
                  <c:v>60739.82039999999</c:v>
                </c:pt>
                <c:pt idx="16">
                  <c:v>59662.69044117647</c:v>
                </c:pt>
                <c:pt idx="17">
                  <c:v>63314.058933333319</c:v>
                </c:pt>
                <c:pt idx="18">
                  <c:v>54013.684218749993</c:v>
                </c:pt>
                <c:pt idx="19">
                  <c:v>67835.498243243201</c:v>
                </c:pt>
                <c:pt idx="20">
                  <c:v>52292.223684210541</c:v>
                </c:pt>
                <c:pt idx="21">
                  <c:v>57096.874606741585</c:v>
                </c:pt>
                <c:pt idx="22">
                  <c:v>79205.655393258407</c:v>
                </c:pt>
                <c:pt idx="23">
                  <c:v>53908.912371134</c:v>
                </c:pt>
                <c:pt idx="24">
                  <c:v>45054.507407407407</c:v>
                </c:pt>
                <c:pt idx="25">
                  <c:v>43899.244810126576</c:v>
                </c:pt>
                <c:pt idx="26">
                  <c:v>56735.491265822777</c:v>
                </c:pt>
                <c:pt idx="27">
                  <c:v>62712.658923076946</c:v>
                </c:pt>
                <c:pt idx="28">
                  <c:v>54866.519896907201</c:v>
                </c:pt>
                <c:pt idx="29">
                  <c:v>198754.45757575752</c:v>
                </c:pt>
                <c:pt idx="30">
                  <c:v>52816.893636363653</c:v>
                </c:pt>
                <c:pt idx="31">
                  <c:v>61237.212463768134</c:v>
                </c:pt>
                <c:pt idx="32">
                  <c:v>67310.059583333365</c:v>
                </c:pt>
                <c:pt idx="33">
                  <c:v>45893.839009900992</c:v>
                </c:pt>
                <c:pt idx="34">
                  <c:v>32481.329625000006</c:v>
                </c:pt>
                <c:pt idx="35">
                  <c:v>24599.065138888884</c:v>
                </c:pt>
                <c:pt idx="36">
                  <c:v>34854.73910112361</c:v>
                </c:pt>
                <c:pt idx="37">
                  <c:v>41992.726021505368</c:v>
                </c:pt>
                <c:pt idx="38">
                  <c:v>23299.618169014084</c:v>
                </c:pt>
                <c:pt idx="39">
                  <c:v>34446.686823529402</c:v>
                </c:pt>
                <c:pt idx="40">
                  <c:v>28817.78170731707</c:v>
                </c:pt>
              </c:numCache>
            </c:numRef>
          </c:val>
          <c:smooth val="0"/>
          <c:extLst>
            <c:ext xmlns:c16="http://schemas.microsoft.com/office/drawing/2014/chart" uri="{C3380CC4-5D6E-409C-BE32-E72D297353CC}">
              <c16:uniqueId val="{00000000-BCFB-4795-928A-27D9DFCB08E3}"/>
            </c:ext>
          </c:extLst>
        </c:ser>
        <c:ser>
          <c:idx val="1"/>
          <c:order val="1"/>
          <c:tx>
            <c:strRef>
              <c:f>'Pivot Tables'!$I$23</c:f>
              <c:strCache>
                <c:ptCount val="1"/>
                <c:pt idx="0">
                  <c:v>Average of profit</c:v>
                </c:pt>
              </c:strCache>
            </c:strRef>
          </c:tx>
          <c:spPr>
            <a:ln w="28575" cap="rnd">
              <a:solidFill>
                <a:schemeClr val="accent2"/>
              </a:solidFill>
              <a:round/>
            </a:ln>
            <a:effectLst/>
          </c:spPr>
          <c:marker>
            <c:symbol val="none"/>
          </c:marker>
          <c:cat>
            <c:strRef>
              <c:f>'Pivot Tables'!$G$24:$G$65</c:f>
              <c:strCache>
                <c:ptCount val="41"/>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0.31</c:v>
                </c:pt>
                <c:pt idx="32">
                  <c:v>0.32</c:v>
                </c:pt>
                <c:pt idx="33">
                  <c:v>0.33</c:v>
                </c:pt>
                <c:pt idx="34">
                  <c:v>0.34</c:v>
                </c:pt>
                <c:pt idx="35">
                  <c:v>0.35</c:v>
                </c:pt>
                <c:pt idx="36">
                  <c:v>0.36</c:v>
                </c:pt>
                <c:pt idx="37">
                  <c:v>0.37</c:v>
                </c:pt>
                <c:pt idx="38">
                  <c:v>0.38</c:v>
                </c:pt>
                <c:pt idx="39">
                  <c:v>0.39</c:v>
                </c:pt>
                <c:pt idx="40">
                  <c:v>0.4</c:v>
                </c:pt>
              </c:strCache>
            </c:strRef>
          </c:cat>
          <c:val>
            <c:numRef>
              <c:f>'Pivot Tables'!$I$24:$I$65</c:f>
              <c:numCache>
                <c:formatCode>[$₹-4009]\ #,##0</c:formatCode>
                <c:ptCount val="41"/>
                <c:pt idx="0">
                  <c:v>18760.670000000002</c:v>
                </c:pt>
                <c:pt idx="1">
                  <c:v>9854.1350649350661</c:v>
                </c:pt>
                <c:pt idx="2">
                  <c:v>10759.711829268294</c:v>
                </c:pt>
                <c:pt idx="3">
                  <c:v>20978.38546511628</c:v>
                </c:pt>
                <c:pt idx="4">
                  <c:v>11876.916451612902</c:v>
                </c:pt>
                <c:pt idx="5">
                  <c:v>12544.417124999998</c:v>
                </c:pt>
                <c:pt idx="6">
                  <c:v>14453.823846153853</c:v>
                </c:pt>
                <c:pt idx="7">
                  <c:v>9071.2289610389598</c:v>
                </c:pt>
                <c:pt idx="8">
                  <c:v>11343.881830985913</c:v>
                </c:pt>
                <c:pt idx="9">
                  <c:v>9960.1412345679018</c:v>
                </c:pt>
                <c:pt idx="10">
                  <c:v>11817.056545454545</c:v>
                </c:pt>
                <c:pt idx="11">
                  <c:v>17696.364883720933</c:v>
                </c:pt>
                <c:pt idx="12">
                  <c:v>11416.302222222223</c:v>
                </c:pt>
                <c:pt idx="13">
                  <c:v>10193.675070422532</c:v>
                </c:pt>
                <c:pt idx="14">
                  <c:v>15584.313874999998</c:v>
                </c:pt>
                <c:pt idx="15">
                  <c:v>12067.948799999996</c:v>
                </c:pt>
                <c:pt idx="16">
                  <c:v>10436.507941176471</c:v>
                </c:pt>
                <c:pt idx="17">
                  <c:v>11759.213866666671</c:v>
                </c:pt>
                <c:pt idx="18">
                  <c:v>11892.536250000001</c:v>
                </c:pt>
                <c:pt idx="19">
                  <c:v>12917.790945945942</c:v>
                </c:pt>
                <c:pt idx="20">
                  <c:v>10814.553157894738</c:v>
                </c:pt>
                <c:pt idx="21">
                  <c:v>10557.487303370786</c:v>
                </c:pt>
                <c:pt idx="22">
                  <c:v>14636.845280898877</c:v>
                </c:pt>
                <c:pt idx="23">
                  <c:v>10047.967628865978</c:v>
                </c:pt>
                <c:pt idx="24">
                  <c:v>8213.4037037037033</c:v>
                </c:pt>
                <c:pt idx="25">
                  <c:v>8966.1153164556981</c:v>
                </c:pt>
                <c:pt idx="26">
                  <c:v>9988.0611392405062</c:v>
                </c:pt>
                <c:pt idx="27">
                  <c:v>11668.352769230771</c:v>
                </c:pt>
                <c:pt idx="28">
                  <c:v>9878.5242268041202</c:v>
                </c:pt>
                <c:pt idx="29">
                  <c:v>39014.609999999986</c:v>
                </c:pt>
                <c:pt idx="30">
                  <c:v>10044.173181818185</c:v>
                </c:pt>
                <c:pt idx="31">
                  <c:v>20040.666376811598</c:v>
                </c:pt>
                <c:pt idx="32">
                  <c:v>10789.872499999998</c:v>
                </c:pt>
                <c:pt idx="33">
                  <c:v>8647.9207920792087</c:v>
                </c:pt>
                <c:pt idx="34">
                  <c:v>5820.4162500000011</c:v>
                </c:pt>
                <c:pt idx="35">
                  <c:v>5508.3556944444463</c:v>
                </c:pt>
                <c:pt idx="36">
                  <c:v>7099.2235955056194</c:v>
                </c:pt>
                <c:pt idx="37">
                  <c:v>8062.442258064516</c:v>
                </c:pt>
                <c:pt idx="38">
                  <c:v>3949.4314084507041</c:v>
                </c:pt>
                <c:pt idx="39">
                  <c:v>6215.7464705882348</c:v>
                </c:pt>
                <c:pt idx="40">
                  <c:v>5524.3539024390257</c:v>
                </c:pt>
              </c:numCache>
            </c:numRef>
          </c:val>
          <c:smooth val="0"/>
          <c:extLst>
            <c:ext xmlns:c16="http://schemas.microsoft.com/office/drawing/2014/chart" uri="{C3380CC4-5D6E-409C-BE32-E72D297353CC}">
              <c16:uniqueId val="{00000001-BCFB-4795-928A-27D9DFCB08E3}"/>
            </c:ext>
          </c:extLst>
        </c:ser>
        <c:dLbls>
          <c:showLegendKey val="0"/>
          <c:showVal val="0"/>
          <c:showCatName val="0"/>
          <c:showSerName val="0"/>
          <c:showPercent val="0"/>
          <c:showBubbleSize val="0"/>
        </c:dLbls>
        <c:smooth val="0"/>
        <c:axId val="449869456"/>
        <c:axId val="449869872"/>
      </c:lineChart>
      <c:catAx>
        <c:axId val="44986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49869872"/>
        <c:crosses val="autoZero"/>
        <c:auto val="1"/>
        <c:lblAlgn val="ctr"/>
        <c:lblOffset val="100"/>
        <c:noMultiLvlLbl val="0"/>
      </c:catAx>
      <c:valAx>
        <c:axId val="449869872"/>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US"/>
          </a:p>
        </c:txPr>
        <c:crossAx val="449869456"/>
        <c:crosses val="autoZero"/>
        <c:crossBetween val="between"/>
      </c:valAx>
      <c:spPr>
        <a:noFill/>
        <a:ln>
          <a:noFill/>
        </a:ln>
        <a:effectLst/>
      </c:spPr>
    </c:plotArea>
    <c:legend>
      <c:legendPos val="r"/>
      <c:layout>
        <c:manualLayout>
          <c:xMode val="edge"/>
          <c:yMode val="edge"/>
          <c:x val="0.6567351268591427"/>
          <c:y val="0.43597149314668998"/>
          <c:w val="0.34048709536307964"/>
          <c:h val="0.1562510936132983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Tables!PivotTable12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5000000000000001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99999999999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33333333333333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166666666666667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4999999999999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66666666666667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33333333333333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2.5000000000000001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4999999999999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166666666666667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333333333333333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7.2222222222222215E-2"/>
              <c:y val="-0.1302070924604407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162926509186353"/>
          <c:y val="0.14732640876884204"/>
          <c:w val="0.40535411198600174"/>
          <c:h val="0.67559018664333625"/>
        </c:manualLayout>
      </c:layout>
      <c:doughnutChart>
        <c:varyColors val="1"/>
        <c:ser>
          <c:idx val="0"/>
          <c:order val="0"/>
          <c:tx>
            <c:strRef>
              <c:f>'Pivot Tables'!$E$31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67-454B-8950-EEAC9FF4DA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67-454B-8950-EEAC9FF4DA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67-454B-8950-EEAC9FF4DA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67-454B-8950-EEAC9FF4DA7D}"/>
              </c:ext>
            </c:extLst>
          </c:dPt>
          <c:dLbls>
            <c:dLbl>
              <c:idx val="0"/>
              <c:layout>
                <c:manualLayout>
                  <c:x val="0.1249999999999999"/>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67-454B-8950-EEAC9FF4DA7D}"/>
                </c:ext>
              </c:extLst>
            </c:dLbl>
            <c:dLbl>
              <c:idx val="1"/>
              <c:layout>
                <c:manualLayout>
                  <c:x val="-0.1166666666666667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67-454B-8950-EEAC9FF4DA7D}"/>
                </c:ext>
              </c:extLst>
            </c:dLbl>
            <c:dLbl>
              <c:idx val="2"/>
              <c:layout>
                <c:manualLayout>
                  <c:x val="-0.13333333333333333"/>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67-454B-8950-EEAC9FF4DA7D}"/>
                </c:ext>
              </c:extLst>
            </c:dLbl>
            <c:dLbl>
              <c:idx val="3"/>
              <c:layout>
                <c:manualLayout>
                  <c:x val="-7.2222222222222215E-2"/>
                  <c:y val="-0.130207092460440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167-454B-8950-EEAC9FF4DA7D}"/>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Tables'!$D$32:$D$36</c:f>
              <c:strCache>
                <c:ptCount val="4"/>
                <c:pt idx="0">
                  <c:v>36-50</c:v>
                </c:pt>
                <c:pt idx="1">
                  <c:v>26-35</c:v>
                </c:pt>
                <c:pt idx="2">
                  <c:v>18-25</c:v>
                </c:pt>
                <c:pt idx="3">
                  <c:v>51+</c:v>
                </c:pt>
              </c:strCache>
            </c:strRef>
          </c:cat>
          <c:val>
            <c:numRef>
              <c:f>'Pivot Tables'!$E$32:$E$36</c:f>
              <c:numCache>
                <c:formatCode>[$₹-4009]\ #,##0;[$₹-4009]\ \-#,##0</c:formatCode>
                <c:ptCount val="4"/>
                <c:pt idx="0">
                  <c:v>77543562.070000187</c:v>
                </c:pt>
                <c:pt idx="1">
                  <c:v>63579802.050000019</c:v>
                </c:pt>
                <c:pt idx="2">
                  <c:v>30606360.190000024</c:v>
                </c:pt>
                <c:pt idx="3">
                  <c:v>17832995.770000007</c:v>
                </c:pt>
              </c:numCache>
            </c:numRef>
          </c:val>
          <c:extLst>
            <c:ext xmlns:c16="http://schemas.microsoft.com/office/drawing/2014/chart" uri="{C3380CC4-5D6E-409C-BE32-E72D297353CC}">
              <c16:uniqueId val="{00000008-8167-454B-8950-EEAC9FF4DA7D}"/>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Tables!PivotTable10</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Tables'!$E$70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Tables'!$D$71:$D$76</c:f>
              <c:strCache>
                <c:ptCount val="5"/>
                <c:pt idx="0">
                  <c:v>Central</c:v>
                </c:pt>
                <c:pt idx="1">
                  <c:v>East</c:v>
                </c:pt>
                <c:pt idx="2">
                  <c:v>North</c:v>
                </c:pt>
                <c:pt idx="3">
                  <c:v>South</c:v>
                </c:pt>
                <c:pt idx="4">
                  <c:v>West</c:v>
                </c:pt>
              </c:strCache>
            </c:strRef>
          </c:cat>
          <c:val>
            <c:numRef>
              <c:f>'Pivot Tables'!$E$71:$E$76</c:f>
              <c:numCache>
                <c:formatCode>0.0</c:formatCode>
                <c:ptCount val="5"/>
                <c:pt idx="0">
                  <c:v>2.9589743589743591</c:v>
                </c:pt>
                <c:pt idx="1">
                  <c:v>3.0854838709677419</c:v>
                </c:pt>
                <c:pt idx="2">
                  <c:v>3.0415999999999999</c:v>
                </c:pt>
                <c:pt idx="3">
                  <c:v>3.0866141732283463</c:v>
                </c:pt>
                <c:pt idx="4">
                  <c:v>2.9380530973451329</c:v>
                </c:pt>
              </c:numCache>
            </c:numRef>
          </c:val>
          <c:smooth val="0"/>
          <c:extLst>
            <c:ext xmlns:c16="http://schemas.microsoft.com/office/drawing/2014/chart" uri="{C3380CC4-5D6E-409C-BE32-E72D297353CC}">
              <c16:uniqueId val="{00000000-92E8-4A8C-B70F-794AB16C8FDB}"/>
            </c:ext>
          </c:extLst>
        </c:ser>
        <c:dLbls>
          <c:showLegendKey val="0"/>
          <c:showVal val="0"/>
          <c:showCatName val="0"/>
          <c:showSerName val="0"/>
          <c:showPercent val="0"/>
          <c:showBubbleSize val="0"/>
        </c:dLbls>
        <c:marker val="1"/>
        <c:smooth val="0"/>
        <c:axId val="461033952"/>
        <c:axId val="461011488"/>
      </c:lineChart>
      <c:catAx>
        <c:axId val="46103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61011488"/>
        <c:crosses val="autoZero"/>
        <c:auto val="1"/>
        <c:lblAlgn val="ctr"/>
        <c:lblOffset val="100"/>
        <c:noMultiLvlLbl val="0"/>
      </c:catAx>
      <c:valAx>
        <c:axId val="4610114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US"/>
          </a:p>
        </c:txPr>
        <c:crossAx val="46103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5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7222222222222224E-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944444444444448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222222222222225"/>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555555555555561"/>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5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7222222222222224E-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944444444444448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222222222222225"/>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555555555555561"/>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5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9.7222222222222224E-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6.944444444444448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2222222222222225"/>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0555555555555561"/>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39-43A4-8129-AD0CCDB6E5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39-43A4-8129-AD0CCDB6E5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39-43A4-8129-AD0CCDB6E5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139-43A4-8129-AD0CCDB6E53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139-43A4-8129-AD0CCDB6E53E}"/>
              </c:ext>
            </c:extLst>
          </c:dPt>
          <c:dLbls>
            <c:dLbl>
              <c:idx val="0"/>
              <c:layout>
                <c:manualLayout>
                  <c:x val="0.10555555555555556"/>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39-43A4-8129-AD0CCDB6E53E}"/>
                </c:ext>
              </c:extLst>
            </c:dLbl>
            <c:dLbl>
              <c:idx val="1"/>
              <c:layout>
                <c:manualLayout>
                  <c:x val="9.7222222222222224E-2"/>
                  <c:y val="5.5555555555555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39-43A4-8129-AD0CCDB6E53E}"/>
                </c:ext>
              </c:extLst>
            </c:dLbl>
            <c:dLbl>
              <c:idx val="2"/>
              <c:layout>
                <c:manualLayout>
                  <c:x val="-6.9444444444444489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139-43A4-8129-AD0CCDB6E53E}"/>
                </c:ext>
              </c:extLst>
            </c:dLbl>
            <c:dLbl>
              <c:idx val="3"/>
              <c:layout>
                <c:manualLayout>
                  <c:x val="-0.1222222222222222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139-43A4-8129-AD0CCDB6E53E}"/>
                </c:ext>
              </c:extLst>
            </c:dLbl>
            <c:dLbl>
              <c:idx val="4"/>
              <c:layout>
                <c:manualLayout>
                  <c:x val="-0.10555555555555561"/>
                  <c:y val="-6.48148148148148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139-43A4-8129-AD0CCDB6E53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Tables'!$D$4:$D$9</c:f>
              <c:strCache>
                <c:ptCount val="5"/>
                <c:pt idx="0">
                  <c:v>South</c:v>
                </c:pt>
                <c:pt idx="1">
                  <c:v>North</c:v>
                </c:pt>
                <c:pt idx="2">
                  <c:v>West</c:v>
                </c:pt>
                <c:pt idx="3">
                  <c:v>East</c:v>
                </c:pt>
                <c:pt idx="4">
                  <c:v>Central</c:v>
                </c:pt>
              </c:strCache>
            </c:strRef>
          </c:cat>
          <c:val>
            <c:numRef>
              <c:f>'Pivot Tables'!$E$4:$E$9</c:f>
              <c:numCache>
                <c:formatCode>[$₹-4009]\ #,##0</c:formatCode>
                <c:ptCount val="5"/>
                <c:pt idx="0">
                  <c:v>42174105.279999949</c:v>
                </c:pt>
                <c:pt idx="1">
                  <c:v>42150474.169999987</c:v>
                </c:pt>
                <c:pt idx="2">
                  <c:v>37820074.590000011</c:v>
                </c:pt>
                <c:pt idx="3">
                  <c:v>36210983.54999999</c:v>
                </c:pt>
                <c:pt idx="4">
                  <c:v>31207082.490000036</c:v>
                </c:pt>
              </c:numCache>
            </c:numRef>
          </c:val>
          <c:extLst>
            <c:ext xmlns:c16="http://schemas.microsoft.com/office/drawing/2014/chart" uri="{C3380CC4-5D6E-409C-BE32-E72D297353CC}">
              <c16:uniqueId val="{0000000A-E139-43A4-8129-AD0CCDB6E53E}"/>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55555555555555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7222222222222224E-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944444444444448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222222222222225"/>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555555555555561"/>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B87-4699-A641-34AC961667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87-4699-A641-34AC961667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DB87-4699-A641-34AC961667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DB87-4699-A641-34AC9616678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DB87-4699-A641-34AC96166782}"/>
              </c:ext>
            </c:extLst>
          </c:dPt>
          <c:dLbls>
            <c:dLbl>
              <c:idx val="0"/>
              <c:layout>
                <c:manualLayout>
                  <c:x val="0.10555555555555556"/>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B87-4699-A641-34AC96166782}"/>
                </c:ext>
              </c:extLst>
            </c:dLbl>
            <c:dLbl>
              <c:idx val="1"/>
              <c:layout>
                <c:manualLayout>
                  <c:x val="9.7222222222222224E-2"/>
                  <c:y val="5.5555555555555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87-4699-A641-34AC96166782}"/>
                </c:ext>
              </c:extLst>
            </c:dLbl>
            <c:dLbl>
              <c:idx val="2"/>
              <c:layout>
                <c:manualLayout>
                  <c:x val="-6.9444444444444489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B87-4699-A641-34AC96166782}"/>
                </c:ext>
              </c:extLst>
            </c:dLbl>
            <c:dLbl>
              <c:idx val="3"/>
              <c:layout>
                <c:manualLayout>
                  <c:x val="-0.1222222222222222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B87-4699-A641-34AC96166782}"/>
                </c:ext>
              </c:extLst>
            </c:dLbl>
            <c:dLbl>
              <c:idx val="4"/>
              <c:layout>
                <c:manualLayout>
                  <c:x val="-0.10555555555555561"/>
                  <c:y val="-6.48148148148148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B87-4699-A641-34AC96166782}"/>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Tables'!$D$4:$D$9</c:f>
              <c:strCache>
                <c:ptCount val="5"/>
                <c:pt idx="0">
                  <c:v>South</c:v>
                </c:pt>
                <c:pt idx="1">
                  <c:v>North</c:v>
                </c:pt>
                <c:pt idx="2">
                  <c:v>West</c:v>
                </c:pt>
                <c:pt idx="3">
                  <c:v>East</c:v>
                </c:pt>
                <c:pt idx="4">
                  <c:v>Central</c:v>
                </c:pt>
              </c:strCache>
            </c:strRef>
          </c:cat>
          <c:val>
            <c:numRef>
              <c:f>'Pivot Tables'!$E$4:$E$9</c:f>
              <c:numCache>
                <c:formatCode>[$₹-4009]\ #,##0</c:formatCode>
                <c:ptCount val="5"/>
                <c:pt idx="0">
                  <c:v>42174105.279999949</c:v>
                </c:pt>
                <c:pt idx="1">
                  <c:v>42150474.169999987</c:v>
                </c:pt>
                <c:pt idx="2">
                  <c:v>37820074.590000011</c:v>
                </c:pt>
                <c:pt idx="3">
                  <c:v>36210983.54999999</c:v>
                </c:pt>
                <c:pt idx="4">
                  <c:v>31207082.490000036</c:v>
                </c:pt>
              </c:numCache>
            </c:numRef>
          </c:val>
          <c:extLst>
            <c:ext xmlns:c16="http://schemas.microsoft.com/office/drawing/2014/chart" uri="{C3380CC4-5D6E-409C-BE32-E72D297353CC}">
              <c16:uniqueId val="{00000000-DB87-4699-A641-34AC96166782}"/>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26224846894138"/>
          <c:y val="0.13467592592592592"/>
          <c:w val="0.81773775153105865"/>
          <c:h val="0.77736111111111106"/>
        </c:manualLayout>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Tables'!$G$4:$G$11</c:f>
              <c:strCache>
                <c:ptCount val="7"/>
                <c:pt idx="0">
                  <c:v>Electronics</c:v>
                </c:pt>
                <c:pt idx="1">
                  <c:v>Furniture</c:v>
                </c:pt>
                <c:pt idx="2">
                  <c:v>Sports</c:v>
                </c:pt>
                <c:pt idx="3">
                  <c:v>Clothing</c:v>
                </c:pt>
                <c:pt idx="4">
                  <c:v>Beauty</c:v>
                </c:pt>
                <c:pt idx="5">
                  <c:v>Books</c:v>
                </c:pt>
                <c:pt idx="6">
                  <c:v>Groceries</c:v>
                </c:pt>
              </c:strCache>
            </c:strRef>
          </c:cat>
          <c:val>
            <c:numRef>
              <c:f>'Pivot Tables'!$H$4:$H$11</c:f>
              <c:numCache>
                <c:formatCode>[$₹-4009]\ #,##0</c:formatCode>
                <c:ptCount val="7"/>
                <c:pt idx="0">
                  <c:v>104715126.05999997</c:v>
                </c:pt>
                <c:pt idx="1">
                  <c:v>42338863.779999994</c:v>
                </c:pt>
                <c:pt idx="2">
                  <c:v>26526005.349999987</c:v>
                </c:pt>
                <c:pt idx="3">
                  <c:v>9919485.5500000063</c:v>
                </c:pt>
                <c:pt idx="4">
                  <c:v>2976249.8900000015</c:v>
                </c:pt>
                <c:pt idx="5">
                  <c:v>2378080.7500000005</c:v>
                </c:pt>
                <c:pt idx="6">
                  <c:v>708908.70000000019</c:v>
                </c:pt>
              </c:numCache>
            </c:numRef>
          </c:val>
          <c:extLst>
            <c:ext xmlns:c16="http://schemas.microsoft.com/office/drawing/2014/chart" uri="{C3380CC4-5D6E-409C-BE32-E72D297353CC}">
              <c16:uniqueId val="{00000000-22DB-4395-9C12-4F6A058CE670}"/>
            </c:ext>
          </c:extLst>
        </c:ser>
        <c:dLbls>
          <c:dLblPos val="outEnd"/>
          <c:showLegendKey val="0"/>
          <c:showVal val="1"/>
          <c:showCatName val="0"/>
          <c:showSerName val="0"/>
          <c:showPercent val="0"/>
          <c:showBubbleSize val="0"/>
        </c:dLbls>
        <c:gapWidth val="106"/>
        <c:axId val="375382112"/>
        <c:axId val="375382528"/>
      </c:barChart>
      <c:catAx>
        <c:axId val="37538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75382528"/>
        <c:crosses val="autoZero"/>
        <c:auto val="1"/>
        <c:lblAlgn val="ctr"/>
        <c:lblOffset val="100"/>
        <c:noMultiLvlLbl val="0"/>
      </c:catAx>
      <c:valAx>
        <c:axId val="375382528"/>
        <c:scaling>
          <c:orientation val="minMax"/>
        </c:scaling>
        <c:delete val="1"/>
        <c:axPos val="b"/>
        <c:numFmt formatCode="[$₹-4009]\ #,##0" sourceLinked="1"/>
        <c:majorTickMark val="none"/>
        <c:minorTickMark val="none"/>
        <c:tickLblPos val="nextTo"/>
        <c:crossAx val="375382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Tables'!$A$8:$A$28</c:f>
              <c:strCache>
                <c:ptCount val="20"/>
                <c:pt idx="0">
                  <c:v>Amritsar</c:v>
                </c:pt>
                <c:pt idx="1">
                  <c:v>Chennai</c:v>
                </c:pt>
                <c:pt idx="2">
                  <c:v>Mumbai</c:v>
                </c:pt>
                <c:pt idx="3">
                  <c:v>Kolkata</c:v>
                </c:pt>
                <c:pt idx="4">
                  <c:v>Ahmedabad</c:v>
                </c:pt>
                <c:pt idx="5">
                  <c:v>Hyderabad</c:v>
                </c:pt>
                <c:pt idx="6">
                  <c:v>Guwahati</c:v>
                </c:pt>
                <c:pt idx="7">
                  <c:v>Delhi</c:v>
                </c:pt>
                <c:pt idx="8">
                  <c:v>Bhubaneswar</c:v>
                </c:pt>
                <c:pt idx="9">
                  <c:v>Surat</c:v>
                </c:pt>
                <c:pt idx="10">
                  <c:v>Indore</c:v>
                </c:pt>
                <c:pt idx="11">
                  <c:v>Ludhiana</c:v>
                </c:pt>
                <c:pt idx="12">
                  <c:v>Bangalore</c:v>
                </c:pt>
                <c:pt idx="13">
                  <c:v>Nagpur</c:v>
                </c:pt>
                <c:pt idx="14">
                  <c:v>Pune</c:v>
                </c:pt>
                <c:pt idx="15">
                  <c:v>Kochi</c:v>
                </c:pt>
                <c:pt idx="16">
                  <c:v>Patna</c:v>
                </c:pt>
                <c:pt idx="17">
                  <c:v>Raipur</c:v>
                </c:pt>
                <c:pt idx="18">
                  <c:v>Chandigarh</c:v>
                </c:pt>
                <c:pt idx="19">
                  <c:v>Bhopal</c:v>
                </c:pt>
              </c:strCache>
            </c:strRef>
          </c:cat>
          <c:val>
            <c:numRef>
              <c:f>'Pivot Tables'!$B$8:$B$28</c:f>
              <c:numCache>
                <c:formatCode>[$₹-4009]\ #,##0</c:formatCode>
                <c:ptCount val="20"/>
                <c:pt idx="0">
                  <c:v>17887172.960000016</c:v>
                </c:pt>
                <c:pt idx="1">
                  <c:v>16092409.790000003</c:v>
                </c:pt>
                <c:pt idx="2">
                  <c:v>10725379.619999995</c:v>
                </c:pt>
                <c:pt idx="3">
                  <c:v>10205912.049999997</c:v>
                </c:pt>
                <c:pt idx="4">
                  <c:v>9964580.1700000018</c:v>
                </c:pt>
                <c:pt idx="5">
                  <c:v>9955325.6999999955</c:v>
                </c:pt>
                <c:pt idx="6">
                  <c:v>9436006.6899999958</c:v>
                </c:pt>
                <c:pt idx="7">
                  <c:v>9247498.1599999983</c:v>
                </c:pt>
                <c:pt idx="8">
                  <c:v>9218254.0000000056</c:v>
                </c:pt>
                <c:pt idx="9">
                  <c:v>9080556.6499999966</c:v>
                </c:pt>
                <c:pt idx="10">
                  <c:v>9075672.1799999997</c:v>
                </c:pt>
                <c:pt idx="11">
                  <c:v>8098094.7599999988</c:v>
                </c:pt>
                <c:pt idx="12">
                  <c:v>8077383.7999999961</c:v>
                </c:pt>
                <c:pt idx="13">
                  <c:v>8055542.9999999972</c:v>
                </c:pt>
                <c:pt idx="14">
                  <c:v>8049558.1499999994</c:v>
                </c:pt>
                <c:pt idx="15">
                  <c:v>8048985.9899999993</c:v>
                </c:pt>
                <c:pt idx="16">
                  <c:v>7350810.8099999968</c:v>
                </c:pt>
                <c:pt idx="17">
                  <c:v>7298295.5899999989</c:v>
                </c:pt>
                <c:pt idx="18">
                  <c:v>6917708.290000001</c:v>
                </c:pt>
                <c:pt idx="19">
                  <c:v>6777571.7200000025</c:v>
                </c:pt>
              </c:numCache>
            </c:numRef>
          </c:val>
          <c:extLst>
            <c:ext xmlns:c16="http://schemas.microsoft.com/office/drawing/2014/chart" uri="{C3380CC4-5D6E-409C-BE32-E72D297353CC}">
              <c16:uniqueId val="{00000000-F5C9-47DE-80DC-1E4802930B7B}"/>
            </c:ext>
          </c:extLst>
        </c:ser>
        <c:dLbls>
          <c:dLblPos val="outEnd"/>
          <c:showLegendKey val="0"/>
          <c:showVal val="1"/>
          <c:showCatName val="0"/>
          <c:showSerName val="0"/>
          <c:showPercent val="0"/>
          <c:showBubbleSize val="0"/>
        </c:dLbls>
        <c:gapWidth val="139"/>
        <c:axId val="443313824"/>
        <c:axId val="443318400"/>
      </c:barChart>
      <c:catAx>
        <c:axId val="443313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43318400"/>
        <c:crosses val="autoZero"/>
        <c:auto val="1"/>
        <c:lblAlgn val="ctr"/>
        <c:lblOffset val="100"/>
        <c:noMultiLvlLbl val="0"/>
      </c:catAx>
      <c:valAx>
        <c:axId val="443318400"/>
        <c:scaling>
          <c:orientation val="minMax"/>
        </c:scaling>
        <c:delete val="1"/>
        <c:axPos val="b"/>
        <c:numFmt formatCode="[$₹-4009]\ #,##0" sourceLinked="1"/>
        <c:majorTickMark val="none"/>
        <c:minorTickMark val="none"/>
        <c:tickLblPos val="nextTo"/>
        <c:crossAx val="443313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Tables'!$E$12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39-4D73-9C88-26F3ED788E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39-4D73-9C88-26F3ED788E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39-4D73-9C88-26F3ED788E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39-4D73-9C88-26F3ED788E5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D39-4D73-9C88-26F3ED788E5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D39-4D73-9C88-26F3ED788E5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D39-4D73-9C88-26F3ED788E5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D39-4D73-9C88-26F3ED788E5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D39-4D73-9C88-26F3ED788E5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D39-4D73-9C88-26F3ED788E57}"/>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Tables'!$D$13:$D$23</c:f>
              <c:strCache>
                <c:ptCount val="10"/>
                <c:pt idx="0">
                  <c:v>Nisha Bhat</c:v>
                </c:pt>
                <c:pt idx="1">
                  <c:v>Ritu Kapoor</c:v>
                </c:pt>
                <c:pt idx="2">
                  <c:v>Ananya Pillai</c:v>
                </c:pt>
                <c:pt idx="3">
                  <c:v>Rohan Mehta</c:v>
                </c:pt>
                <c:pt idx="4">
                  <c:v>Sanjay Rao</c:v>
                </c:pt>
                <c:pt idx="5">
                  <c:v>Arjun Rao</c:v>
                </c:pt>
                <c:pt idx="6">
                  <c:v>Ananya Gupta</c:v>
                </c:pt>
                <c:pt idx="7">
                  <c:v>Meera Shah</c:v>
                </c:pt>
                <c:pt idx="8">
                  <c:v>Nisha Joshi</c:v>
                </c:pt>
                <c:pt idx="9">
                  <c:v>Amit Shah</c:v>
                </c:pt>
              </c:strCache>
            </c:strRef>
          </c:cat>
          <c:val>
            <c:numRef>
              <c:f>'Pivot Tables'!$E$13:$E$23</c:f>
              <c:numCache>
                <c:formatCode>[$₹-4009]\ #,##0</c:formatCode>
                <c:ptCount val="10"/>
                <c:pt idx="0">
                  <c:v>7957283.330000001</c:v>
                </c:pt>
                <c:pt idx="1">
                  <c:v>2622213.61</c:v>
                </c:pt>
                <c:pt idx="2">
                  <c:v>2613173.5300000007</c:v>
                </c:pt>
                <c:pt idx="3">
                  <c:v>2031154.11</c:v>
                </c:pt>
                <c:pt idx="4">
                  <c:v>2023784.0000000002</c:v>
                </c:pt>
                <c:pt idx="5">
                  <c:v>1694577.43</c:v>
                </c:pt>
                <c:pt idx="6">
                  <c:v>1679643.53</c:v>
                </c:pt>
                <c:pt idx="7">
                  <c:v>1613930.31</c:v>
                </c:pt>
                <c:pt idx="8">
                  <c:v>1512960.9</c:v>
                </c:pt>
                <c:pt idx="9">
                  <c:v>1500739.6500000001</c:v>
                </c:pt>
              </c:numCache>
            </c:numRef>
          </c:val>
          <c:extLst>
            <c:ext xmlns:c16="http://schemas.microsoft.com/office/drawing/2014/chart" uri="{C3380CC4-5D6E-409C-BE32-E72D297353CC}">
              <c16:uniqueId val="{00000000-48C7-4D4C-A24E-8EF0F9114B8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Count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Tables'!$G$14:$G$20</c:f>
              <c:strCache>
                <c:ptCount val="6"/>
                <c:pt idx="0">
                  <c:v>UPI</c:v>
                </c:pt>
                <c:pt idx="1">
                  <c:v>Credit Card</c:v>
                </c:pt>
                <c:pt idx="2">
                  <c:v>Debit Card</c:v>
                </c:pt>
                <c:pt idx="3">
                  <c:v>Cash on Delivery</c:v>
                </c:pt>
                <c:pt idx="4">
                  <c:v>EMI</c:v>
                </c:pt>
                <c:pt idx="5">
                  <c:v>Net Banking</c:v>
                </c:pt>
              </c:strCache>
            </c:strRef>
          </c:cat>
          <c:val>
            <c:numRef>
              <c:f>'Pivot Tables'!$H$14:$H$20</c:f>
              <c:numCache>
                <c:formatCode>General</c:formatCode>
                <c:ptCount val="6"/>
                <c:pt idx="0">
                  <c:v>570</c:v>
                </c:pt>
                <c:pt idx="1">
                  <c:v>556</c:v>
                </c:pt>
                <c:pt idx="2">
                  <c:v>523</c:v>
                </c:pt>
                <c:pt idx="3">
                  <c:v>513</c:v>
                </c:pt>
                <c:pt idx="4">
                  <c:v>506</c:v>
                </c:pt>
                <c:pt idx="5">
                  <c:v>475</c:v>
                </c:pt>
              </c:numCache>
            </c:numRef>
          </c:val>
          <c:extLst>
            <c:ext xmlns:c16="http://schemas.microsoft.com/office/drawing/2014/chart" uri="{C3380CC4-5D6E-409C-BE32-E72D297353CC}">
              <c16:uniqueId val="{00000000-02FC-453C-949F-AD33671B5BE2}"/>
            </c:ext>
          </c:extLst>
        </c:ser>
        <c:dLbls>
          <c:dLblPos val="outEnd"/>
          <c:showLegendKey val="0"/>
          <c:showVal val="1"/>
          <c:showCatName val="0"/>
          <c:showSerName val="0"/>
          <c:showPercent val="0"/>
          <c:showBubbleSize val="0"/>
        </c:dLbls>
        <c:gapWidth val="219"/>
        <c:overlap val="-27"/>
        <c:axId val="443300928"/>
        <c:axId val="443303008"/>
      </c:barChart>
      <c:catAx>
        <c:axId val="44330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43303008"/>
        <c:crosses val="autoZero"/>
        <c:auto val="1"/>
        <c:lblAlgn val="ctr"/>
        <c:lblOffset val="100"/>
        <c:noMultiLvlLbl val="0"/>
      </c:catAx>
      <c:valAx>
        <c:axId val="443303008"/>
        <c:scaling>
          <c:orientation val="minMax"/>
        </c:scaling>
        <c:delete val="1"/>
        <c:axPos val="l"/>
        <c:numFmt formatCode="General" sourceLinked="1"/>
        <c:majorTickMark val="none"/>
        <c:minorTickMark val="none"/>
        <c:tickLblPos val="nextTo"/>
        <c:crossAx val="44330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Sales VS Pofit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1426071741035"/>
          <c:y val="0.17171296296296298"/>
          <c:w val="0.49270975503062109"/>
          <c:h val="0.69790172061825606"/>
        </c:manualLayout>
      </c:layout>
      <c:lineChart>
        <c:grouping val="standard"/>
        <c:varyColors val="0"/>
        <c:ser>
          <c:idx val="0"/>
          <c:order val="0"/>
          <c:tx>
            <c:strRef>
              <c:f>'Pivot Tables'!$H$23</c:f>
              <c:strCache>
                <c:ptCount val="1"/>
                <c:pt idx="0">
                  <c:v>Average of sales_amount</c:v>
                </c:pt>
              </c:strCache>
            </c:strRef>
          </c:tx>
          <c:spPr>
            <a:ln w="28575" cap="rnd">
              <a:solidFill>
                <a:schemeClr val="accent1"/>
              </a:solidFill>
              <a:round/>
            </a:ln>
            <a:effectLst/>
          </c:spPr>
          <c:marker>
            <c:symbol val="none"/>
          </c:marker>
          <c:cat>
            <c:strRef>
              <c:f>'Pivot Tables'!$G$24:$G$65</c:f>
              <c:strCache>
                <c:ptCount val="41"/>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0.31</c:v>
                </c:pt>
                <c:pt idx="32">
                  <c:v>0.32</c:v>
                </c:pt>
                <c:pt idx="33">
                  <c:v>0.33</c:v>
                </c:pt>
                <c:pt idx="34">
                  <c:v>0.34</c:v>
                </c:pt>
                <c:pt idx="35">
                  <c:v>0.35</c:v>
                </c:pt>
                <c:pt idx="36">
                  <c:v>0.36</c:v>
                </c:pt>
                <c:pt idx="37">
                  <c:v>0.37</c:v>
                </c:pt>
                <c:pt idx="38">
                  <c:v>0.38</c:v>
                </c:pt>
                <c:pt idx="39">
                  <c:v>0.39</c:v>
                </c:pt>
                <c:pt idx="40">
                  <c:v>0.4</c:v>
                </c:pt>
              </c:strCache>
            </c:strRef>
          </c:cat>
          <c:val>
            <c:numRef>
              <c:f>'Pivot Tables'!$H$24:$H$65</c:f>
              <c:numCache>
                <c:formatCode>[$₹-4009]\ #,##0</c:formatCode>
                <c:ptCount val="41"/>
                <c:pt idx="0">
                  <c:v>114335.63187500001</c:v>
                </c:pt>
                <c:pt idx="1">
                  <c:v>56589.681038961047</c:v>
                </c:pt>
                <c:pt idx="2">
                  <c:v>66471.706219512198</c:v>
                </c:pt>
                <c:pt idx="3">
                  <c:v>76301.471627906983</c:v>
                </c:pt>
                <c:pt idx="4">
                  <c:v>60082.833333333314</c:v>
                </c:pt>
                <c:pt idx="5">
                  <c:v>62027.278874999996</c:v>
                </c:pt>
                <c:pt idx="6">
                  <c:v>84999.413846153824</c:v>
                </c:pt>
                <c:pt idx="7">
                  <c:v>48290.709870129853</c:v>
                </c:pt>
                <c:pt idx="8">
                  <c:v>68846.612535211287</c:v>
                </c:pt>
                <c:pt idx="9">
                  <c:v>57340.007654321009</c:v>
                </c:pt>
                <c:pt idx="10">
                  <c:v>59659.136545454567</c:v>
                </c:pt>
                <c:pt idx="11">
                  <c:v>92436.70790697675</c:v>
                </c:pt>
                <c:pt idx="12">
                  <c:v>67139.586790123474</c:v>
                </c:pt>
                <c:pt idx="13">
                  <c:v>58094.554225352098</c:v>
                </c:pt>
                <c:pt idx="14">
                  <c:v>83596.756625000009</c:v>
                </c:pt>
                <c:pt idx="15">
                  <c:v>60739.82039999999</c:v>
                </c:pt>
                <c:pt idx="16">
                  <c:v>59662.69044117647</c:v>
                </c:pt>
                <c:pt idx="17">
                  <c:v>63314.058933333319</c:v>
                </c:pt>
                <c:pt idx="18">
                  <c:v>54013.684218749993</c:v>
                </c:pt>
                <c:pt idx="19">
                  <c:v>67835.498243243201</c:v>
                </c:pt>
                <c:pt idx="20">
                  <c:v>52292.223684210541</c:v>
                </c:pt>
                <c:pt idx="21">
                  <c:v>57096.874606741585</c:v>
                </c:pt>
                <c:pt idx="22">
                  <c:v>79205.655393258407</c:v>
                </c:pt>
                <c:pt idx="23">
                  <c:v>53908.912371134</c:v>
                </c:pt>
                <c:pt idx="24">
                  <c:v>45054.507407407407</c:v>
                </c:pt>
                <c:pt idx="25">
                  <c:v>43899.244810126576</c:v>
                </c:pt>
                <c:pt idx="26">
                  <c:v>56735.491265822777</c:v>
                </c:pt>
                <c:pt idx="27">
                  <c:v>62712.658923076946</c:v>
                </c:pt>
                <c:pt idx="28">
                  <c:v>54866.519896907201</c:v>
                </c:pt>
                <c:pt idx="29">
                  <c:v>198754.45757575752</c:v>
                </c:pt>
                <c:pt idx="30">
                  <c:v>52816.893636363653</c:v>
                </c:pt>
                <c:pt idx="31">
                  <c:v>61237.212463768134</c:v>
                </c:pt>
                <c:pt idx="32">
                  <c:v>67310.059583333365</c:v>
                </c:pt>
                <c:pt idx="33">
                  <c:v>45893.839009900992</c:v>
                </c:pt>
                <c:pt idx="34">
                  <c:v>32481.329625000006</c:v>
                </c:pt>
                <c:pt idx="35">
                  <c:v>24599.065138888884</c:v>
                </c:pt>
                <c:pt idx="36">
                  <c:v>34854.73910112361</c:v>
                </c:pt>
                <c:pt idx="37">
                  <c:v>41992.726021505368</c:v>
                </c:pt>
                <c:pt idx="38">
                  <c:v>23299.618169014084</c:v>
                </c:pt>
                <c:pt idx="39">
                  <c:v>34446.686823529402</c:v>
                </c:pt>
                <c:pt idx="40">
                  <c:v>28817.78170731707</c:v>
                </c:pt>
              </c:numCache>
            </c:numRef>
          </c:val>
          <c:smooth val="0"/>
          <c:extLst>
            <c:ext xmlns:c16="http://schemas.microsoft.com/office/drawing/2014/chart" uri="{C3380CC4-5D6E-409C-BE32-E72D297353CC}">
              <c16:uniqueId val="{00000000-E015-413F-97C0-626DCA3DEDF6}"/>
            </c:ext>
          </c:extLst>
        </c:ser>
        <c:ser>
          <c:idx val="1"/>
          <c:order val="1"/>
          <c:tx>
            <c:strRef>
              <c:f>'Pivot Tables'!$I$23</c:f>
              <c:strCache>
                <c:ptCount val="1"/>
                <c:pt idx="0">
                  <c:v>Average of profit</c:v>
                </c:pt>
              </c:strCache>
            </c:strRef>
          </c:tx>
          <c:spPr>
            <a:ln w="28575" cap="rnd">
              <a:solidFill>
                <a:schemeClr val="accent2"/>
              </a:solidFill>
              <a:round/>
            </a:ln>
            <a:effectLst/>
          </c:spPr>
          <c:marker>
            <c:symbol val="none"/>
          </c:marker>
          <c:cat>
            <c:strRef>
              <c:f>'Pivot Tables'!$G$24:$G$65</c:f>
              <c:strCache>
                <c:ptCount val="41"/>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0.31</c:v>
                </c:pt>
                <c:pt idx="32">
                  <c:v>0.32</c:v>
                </c:pt>
                <c:pt idx="33">
                  <c:v>0.33</c:v>
                </c:pt>
                <c:pt idx="34">
                  <c:v>0.34</c:v>
                </c:pt>
                <c:pt idx="35">
                  <c:v>0.35</c:v>
                </c:pt>
                <c:pt idx="36">
                  <c:v>0.36</c:v>
                </c:pt>
                <c:pt idx="37">
                  <c:v>0.37</c:v>
                </c:pt>
                <c:pt idx="38">
                  <c:v>0.38</c:v>
                </c:pt>
                <c:pt idx="39">
                  <c:v>0.39</c:v>
                </c:pt>
                <c:pt idx="40">
                  <c:v>0.4</c:v>
                </c:pt>
              </c:strCache>
            </c:strRef>
          </c:cat>
          <c:val>
            <c:numRef>
              <c:f>'Pivot Tables'!$I$24:$I$65</c:f>
              <c:numCache>
                <c:formatCode>[$₹-4009]\ #,##0</c:formatCode>
                <c:ptCount val="41"/>
                <c:pt idx="0">
                  <c:v>18760.670000000002</c:v>
                </c:pt>
                <c:pt idx="1">
                  <c:v>9854.1350649350661</c:v>
                </c:pt>
                <c:pt idx="2">
                  <c:v>10759.711829268294</c:v>
                </c:pt>
                <c:pt idx="3">
                  <c:v>20978.38546511628</c:v>
                </c:pt>
                <c:pt idx="4">
                  <c:v>11876.916451612902</c:v>
                </c:pt>
                <c:pt idx="5">
                  <c:v>12544.417124999998</c:v>
                </c:pt>
                <c:pt idx="6">
                  <c:v>14453.823846153853</c:v>
                </c:pt>
                <c:pt idx="7">
                  <c:v>9071.2289610389598</c:v>
                </c:pt>
                <c:pt idx="8">
                  <c:v>11343.881830985913</c:v>
                </c:pt>
                <c:pt idx="9">
                  <c:v>9960.1412345679018</c:v>
                </c:pt>
                <c:pt idx="10">
                  <c:v>11817.056545454545</c:v>
                </c:pt>
                <c:pt idx="11">
                  <c:v>17696.364883720933</c:v>
                </c:pt>
                <c:pt idx="12">
                  <c:v>11416.302222222223</c:v>
                </c:pt>
                <c:pt idx="13">
                  <c:v>10193.675070422532</c:v>
                </c:pt>
                <c:pt idx="14">
                  <c:v>15584.313874999998</c:v>
                </c:pt>
                <c:pt idx="15">
                  <c:v>12067.948799999996</c:v>
                </c:pt>
                <c:pt idx="16">
                  <c:v>10436.507941176471</c:v>
                </c:pt>
                <c:pt idx="17">
                  <c:v>11759.213866666671</c:v>
                </c:pt>
                <c:pt idx="18">
                  <c:v>11892.536250000001</c:v>
                </c:pt>
                <c:pt idx="19">
                  <c:v>12917.790945945942</c:v>
                </c:pt>
                <c:pt idx="20">
                  <c:v>10814.553157894738</c:v>
                </c:pt>
                <c:pt idx="21">
                  <c:v>10557.487303370786</c:v>
                </c:pt>
                <c:pt idx="22">
                  <c:v>14636.845280898877</c:v>
                </c:pt>
                <c:pt idx="23">
                  <c:v>10047.967628865978</c:v>
                </c:pt>
                <c:pt idx="24">
                  <c:v>8213.4037037037033</c:v>
                </c:pt>
                <c:pt idx="25">
                  <c:v>8966.1153164556981</c:v>
                </c:pt>
                <c:pt idx="26">
                  <c:v>9988.0611392405062</c:v>
                </c:pt>
                <c:pt idx="27">
                  <c:v>11668.352769230771</c:v>
                </c:pt>
                <c:pt idx="28">
                  <c:v>9878.5242268041202</c:v>
                </c:pt>
                <c:pt idx="29">
                  <c:v>39014.609999999986</c:v>
                </c:pt>
                <c:pt idx="30">
                  <c:v>10044.173181818185</c:v>
                </c:pt>
                <c:pt idx="31">
                  <c:v>20040.666376811598</c:v>
                </c:pt>
                <c:pt idx="32">
                  <c:v>10789.872499999998</c:v>
                </c:pt>
                <c:pt idx="33">
                  <c:v>8647.9207920792087</c:v>
                </c:pt>
                <c:pt idx="34">
                  <c:v>5820.4162500000011</c:v>
                </c:pt>
                <c:pt idx="35">
                  <c:v>5508.3556944444463</c:v>
                </c:pt>
                <c:pt idx="36">
                  <c:v>7099.2235955056194</c:v>
                </c:pt>
                <c:pt idx="37">
                  <c:v>8062.442258064516</c:v>
                </c:pt>
                <c:pt idx="38">
                  <c:v>3949.4314084507041</c:v>
                </c:pt>
                <c:pt idx="39">
                  <c:v>6215.7464705882348</c:v>
                </c:pt>
                <c:pt idx="40">
                  <c:v>5524.3539024390257</c:v>
                </c:pt>
              </c:numCache>
            </c:numRef>
          </c:val>
          <c:smooth val="0"/>
          <c:extLst>
            <c:ext xmlns:c16="http://schemas.microsoft.com/office/drawing/2014/chart" uri="{C3380CC4-5D6E-409C-BE32-E72D297353CC}">
              <c16:uniqueId val="{00000001-E015-413F-97C0-626DCA3DEDF6}"/>
            </c:ext>
          </c:extLst>
        </c:ser>
        <c:dLbls>
          <c:showLegendKey val="0"/>
          <c:showVal val="0"/>
          <c:showCatName val="0"/>
          <c:showSerName val="0"/>
          <c:showPercent val="0"/>
          <c:showBubbleSize val="0"/>
        </c:dLbls>
        <c:smooth val="0"/>
        <c:axId val="449869456"/>
        <c:axId val="449869872"/>
      </c:lineChart>
      <c:catAx>
        <c:axId val="44986945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49869872"/>
        <c:crosses val="autoZero"/>
        <c:auto val="1"/>
        <c:lblAlgn val="ctr"/>
        <c:lblOffset val="100"/>
        <c:noMultiLvlLbl val="0"/>
      </c:catAx>
      <c:valAx>
        <c:axId val="449869872"/>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US"/>
          </a:p>
        </c:txPr>
        <c:crossAx val="449869456"/>
        <c:crosses val="autoZero"/>
        <c:crossBetween val="between"/>
      </c:valAx>
      <c:spPr>
        <a:noFill/>
        <a:ln>
          <a:noFill/>
        </a:ln>
        <a:effectLst/>
      </c:spPr>
    </c:plotArea>
    <c:legend>
      <c:legendPos val="r"/>
      <c:layout>
        <c:manualLayout>
          <c:xMode val="edge"/>
          <c:yMode val="edge"/>
          <c:x val="0.6567351268591427"/>
          <c:y val="0.43597149314668998"/>
          <c:w val="0.34048709536307964"/>
          <c:h val="0.1562510936132983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5000000000000001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99999999999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33333333333333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166666666666667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Tables'!$E$31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C347-4C32-A44A-1E6B7C19C8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C347-4C32-A44A-1E6B7C19C8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C347-4C32-A44A-1E6B7C19C8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C347-4C32-A44A-1E6B7C19C895}"/>
              </c:ext>
            </c:extLst>
          </c:dPt>
          <c:dLbls>
            <c:dLbl>
              <c:idx val="0"/>
              <c:layout>
                <c:manualLayout>
                  <c:x val="0.1249999999999999"/>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47-4C32-A44A-1E6B7C19C895}"/>
                </c:ext>
              </c:extLst>
            </c:dLbl>
            <c:dLbl>
              <c:idx val="1"/>
              <c:layout>
                <c:manualLayout>
                  <c:x val="-0.1166666666666667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347-4C32-A44A-1E6B7C19C895}"/>
                </c:ext>
              </c:extLst>
            </c:dLbl>
            <c:dLbl>
              <c:idx val="2"/>
              <c:layout>
                <c:manualLayout>
                  <c:x val="-0.13333333333333333"/>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347-4C32-A44A-1E6B7C19C895}"/>
                </c:ext>
              </c:extLst>
            </c:dLbl>
            <c:dLbl>
              <c:idx val="3"/>
              <c:layout>
                <c:manualLayout>
                  <c:x val="-2.5000000000000001E-2"/>
                  <c:y val="-8.79629629629630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47-4C32-A44A-1E6B7C19C89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Tables'!$D$32:$D$36</c:f>
              <c:strCache>
                <c:ptCount val="4"/>
                <c:pt idx="0">
                  <c:v>36-50</c:v>
                </c:pt>
                <c:pt idx="1">
                  <c:v>26-35</c:v>
                </c:pt>
                <c:pt idx="2">
                  <c:v>18-25</c:v>
                </c:pt>
                <c:pt idx="3">
                  <c:v>51+</c:v>
                </c:pt>
              </c:strCache>
            </c:strRef>
          </c:cat>
          <c:val>
            <c:numRef>
              <c:f>'Pivot Tables'!$E$32:$E$36</c:f>
              <c:numCache>
                <c:formatCode>[$₹-4009]\ #,##0;[$₹-4009]\ \-#,##0</c:formatCode>
                <c:ptCount val="4"/>
                <c:pt idx="0">
                  <c:v>77543562.070000187</c:v>
                </c:pt>
                <c:pt idx="1">
                  <c:v>63579802.050000019</c:v>
                </c:pt>
                <c:pt idx="2">
                  <c:v>30606360.190000024</c:v>
                </c:pt>
                <c:pt idx="3">
                  <c:v>17832995.770000007</c:v>
                </c:pt>
              </c:numCache>
            </c:numRef>
          </c:val>
          <c:extLst>
            <c:ext xmlns:c16="http://schemas.microsoft.com/office/drawing/2014/chart" uri="{C3380CC4-5D6E-409C-BE32-E72D297353CC}">
              <c16:uniqueId val="{00000000-C347-4C32-A44A-1E6B7C19C895}"/>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Customer Satisfaction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Tables'!$E$70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Tables'!$D$71:$D$76</c:f>
              <c:strCache>
                <c:ptCount val="5"/>
                <c:pt idx="0">
                  <c:v>Central</c:v>
                </c:pt>
                <c:pt idx="1">
                  <c:v>East</c:v>
                </c:pt>
                <c:pt idx="2">
                  <c:v>North</c:v>
                </c:pt>
                <c:pt idx="3">
                  <c:v>South</c:v>
                </c:pt>
                <c:pt idx="4">
                  <c:v>West</c:v>
                </c:pt>
              </c:strCache>
            </c:strRef>
          </c:cat>
          <c:val>
            <c:numRef>
              <c:f>'Pivot Tables'!$E$71:$E$76</c:f>
              <c:numCache>
                <c:formatCode>0.0</c:formatCode>
                <c:ptCount val="5"/>
                <c:pt idx="0">
                  <c:v>2.9589743589743591</c:v>
                </c:pt>
                <c:pt idx="1">
                  <c:v>3.0854838709677419</c:v>
                </c:pt>
                <c:pt idx="2">
                  <c:v>3.0415999999999999</c:v>
                </c:pt>
                <c:pt idx="3">
                  <c:v>3.0866141732283463</c:v>
                </c:pt>
                <c:pt idx="4">
                  <c:v>2.9380530973451329</c:v>
                </c:pt>
              </c:numCache>
            </c:numRef>
          </c:val>
          <c:smooth val="0"/>
          <c:extLst>
            <c:ext xmlns:c16="http://schemas.microsoft.com/office/drawing/2014/chart" uri="{C3380CC4-5D6E-409C-BE32-E72D297353CC}">
              <c16:uniqueId val="{00000000-1DDF-40FB-89E6-31D74E7C8622}"/>
            </c:ext>
          </c:extLst>
        </c:ser>
        <c:dLbls>
          <c:showLegendKey val="0"/>
          <c:showVal val="0"/>
          <c:showCatName val="0"/>
          <c:showSerName val="0"/>
          <c:showPercent val="0"/>
          <c:showBubbleSize val="0"/>
        </c:dLbls>
        <c:marker val="1"/>
        <c:smooth val="0"/>
        <c:axId val="461033952"/>
        <c:axId val="461011488"/>
      </c:lineChart>
      <c:catAx>
        <c:axId val="46103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61011488"/>
        <c:crosses val="autoZero"/>
        <c:auto val="1"/>
        <c:lblAlgn val="ctr"/>
        <c:lblOffset val="100"/>
        <c:noMultiLvlLbl val="0"/>
      </c:catAx>
      <c:valAx>
        <c:axId val="4610114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US"/>
          </a:p>
        </c:txPr>
        <c:crossAx val="46103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3.jpe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jpe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20</xdr:col>
      <xdr:colOff>476250</xdr:colOff>
      <xdr:row>4</xdr:row>
      <xdr:rowOff>133352</xdr:rowOff>
    </xdr:to>
    <xdr:sp macro="" textlink="">
      <xdr:nvSpPr>
        <xdr:cNvPr id="3" name="Rectangle: Rounded Corners 2">
          <a:extLst>
            <a:ext uri="{FF2B5EF4-FFF2-40B4-BE49-F238E27FC236}">
              <a16:creationId xmlns:a16="http://schemas.microsoft.com/office/drawing/2014/main" id="{06D78AF0-6F2D-47D8-882F-D7823431ABB2}"/>
            </a:ext>
          </a:extLst>
        </xdr:cNvPr>
        <xdr:cNvSpPr/>
      </xdr:nvSpPr>
      <xdr:spPr>
        <a:xfrm>
          <a:off x="1" y="0"/>
          <a:ext cx="12620624" cy="895352"/>
        </a:xfrm>
        <a:prstGeom prst="roundRect">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5</xdr:row>
      <xdr:rowOff>9525</xdr:rowOff>
    </xdr:from>
    <xdr:to>
      <xdr:col>3</xdr:col>
      <xdr:colOff>577215</xdr:colOff>
      <xdr:row>10</xdr:row>
      <xdr:rowOff>19052</xdr:rowOff>
    </xdr:to>
    <xdr:grpSp>
      <xdr:nvGrpSpPr>
        <xdr:cNvPr id="40" name="Group 39">
          <a:extLst>
            <a:ext uri="{FF2B5EF4-FFF2-40B4-BE49-F238E27FC236}">
              <a16:creationId xmlns:a16="http://schemas.microsoft.com/office/drawing/2014/main" id="{E2C1C595-8C9D-4BC3-B763-1D7406CA943F}"/>
            </a:ext>
          </a:extLst>
        </xdr:cNvPr>
        <xdr:cNvGrpSpPr/>
      </xdr:nvGrpSpPr>
      <xdr:grpSpPr>
        <a:xfrm>
          <a:off x="28575" y="962025"/>
          <a:ext cx="2377440" cy="962027"/>
          <a:chOff x="28575" y="952500"/>
          <a:chExt cx="2377440" cy="962027"/>
        </a:xfrm>
      </xdr:grpSpPr>
      <xdr:sp macro="" textlink="">
        <xdr:nvSpPr>
          <xdr:cNvPr id="4" name="Rectangle: Rounded Corners 3">
            <a:extLst>
              <a:ext uri="{FF2B5EF4-FFF2-40B4-BE49-F238E27FC236}">
                <a16:creationId xmlns:a16="http://schemas.microsoft.com/office/drawing/2014/main" id="{8143D481-F757-42AB-AB76-F35ECEB0ADC8}"/>
              </a:ext>
            </a:extLst>
          </xdr:cNvPr>
          <xdr:cNvSpPr/>
        </xdr:nvSpPr>
        <xdr:spPr>
          <a:xfrm>
            <a:off x="47625" y="952500"/>
            <a:ext cx="2358390" cy="962027"/>
          </a:xfrm>
          <a:prstGeom prst="roundRect">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a:extLst>
              <a:ext uri="{FF2B5EF4-FFF2-40B4-BE49-F238E27FC236}">
                <a16:creationId xmlns:a16="http://schemas.microsoft.com/office/drawing/2014/main" id="{40D49522-456F-4B52-AA71-50464E1DBF26}"/>
              </a:ext>
            </a:extLst>
          </xdr:cNvPr>
          <xdr:cNvSpPr/>
        </xdr:nvSpPr>
        <xdr:spPr>
          <a:xfrm>
            <a:off x="28575" y="952500"/>
            <a:ext cx="771525" cy="923927"/>
          </a:xfrm>
          <a:prstGeom prst="roundRect">
            <a:avLst/>
          </a:prstGeom>
          <a:solidFill>
            <a:schemeClr val="accent1"/>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 name="TextBox 1">
            <a:extLst>
              <a:ext uri="{FF2B5EF4-FFF2-40B4-BE49-F238E27FC236}">
                <a16:creationId xmlns:a16="http://schemas.microsoft.com/office/drawing/2014/main" id="{25B63E8B-CDAB-4580-A42B-E46553BFAE73}"/>
              </a:ext>
            </a:extLst>
          </xdr:cNvPr>
          <xdr:cNvSpPr txBox="1"/>
        </xdr:nvSpPr>
        <xdr:spPr>
          <a:xfrm rot="10800000" flipV="1">
            <a:off x="923925" y="1047749"/>
            <a:ext cx="11144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solidFill>
              </a:rPr>
              <a:t>Total Sales</a:t>
            </a:r>
          </a:p>
        </xdr:txBody>
      </xdr:sp>
      <xdr:sp macro="" textlink="Sales_data!Y2">
        <xdr:nvSpPr>
          <xdr:cNvPr id="6" name="TextBox 5">
            <a:extLst>
              <a:ext uri="{FF2B5EF4-FFF2-40B4-BE49-F238E27FC236}">
                <a16:creationId xmlns:a16="http://schemas.microsoft.com/office/drawing/2014/main" id="{9C6B5F16-A5BA-41DA-A779-7D583379F0ED}"/>
              </a:ext>
            </a:extLst>
          </xdr:cNvPr>
          <xdr:cNvSpPr txBox="1"/>
        </xdr:nvSpPr>
        <xdr:spPr>
          <a:xfrm>
            <a:off x="885825" y="1362075"/>
            <a:ext cx="13049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91A19A-CD6A-4CEE-AD7D-D78E130EF33C}" type="TxLink">
              <a:rPr lang="en-US" sz="1600" b="1" i="0" u="none" strike="noStrike">
                <a:solidFill>
                  <a:schemeClr val="accent1"/>
                </a:solidFill>
                <a:latin typeface="Calibri"/>
                <a:cs typeface="Calibri"/>
              </a:rPr>
              <a:pPr/>
              <a:t> 189,562,720 </a:t>
            </a:fld>
            <a:endParaRPr lang="en-US" sz="1600" b="1">
              <a:solidFill>
                <a:schemeClr val="accent1"/>
              </a:solidFill>
            </a:endParaRPr>
          </a:p>
        </xdr:txBody>
      </xdr:sp>
    </xdr:grpSp>
    <xdr:clientData/>
  </xdr:twoCellAnchor>
  <xdr:twoCellAnchor>
    <xdr:from>
      <xdr:col>4</xdr:col>
      <xdr:colOff>38100</xdr:colOff>
      <xdr:row>5</xdr:row>
      <xdr:rowOff>28575</xdr:rowOff>
    </xdr:from>
    <xdr:to>
      <xdr:col>7</xdr:col>
      <xdr:colOff>586740</xdr:colOff>
      <xdr:row>10</xdr:row>
      <xdr:rowOff>38102</xdr:rowOff>
    </xdr:to>
    <xdr:grpSp>
      <xdr:nvGrpSpPr>
        <xdr:cNvPr id="42" name="Group 41">
          <a:extLst>
            <a:ext uri="{FF2B5EF4-FFF2-40B4-BE49-F238E27FC236}">
              <a16:creationId xmlns:a16="http://schemas.microsoft.com/office/drawing/2014/main" id="{C543F37A-8246-4752-8630-DC8D24F164B7}"/>
            </a:ext>
          </a:extLst>
        </xdr:cNvPr>
        <xdr:cNvGrpSpPr/>
      </xdr:nvGrpSpPr>
      <xdr:grpSpPr>
        <a:xfrm>
          <a:off x="2476500" y="981075"/>
          <a:ext cx="2377440" cy="962027"/>
          <a:chOff x="28575" y="952500"/>
          <a:chExt cx="2377440" cy="962027"/>
        </a:xfrm>
      </xdr:grpSpPr>
      <xdr:sp macro="" textlink="">
        <xdr:nvSpPr>
          <xdr:cNvPr id="43" name="Rectangle: Rounded Corners 42">
            <a:extLst>
              <a:ext uri="{FF2B5EF4-FFF2-40B4-BE49-F238E27FC236}">
                <a16:creationId xmlns:a16="http://schemas.microsoft.com/office/drawing/2014/main" id="{2EDF70DA-A0CD-4BED-96EB-81CC29CE4316}"/>
              </a:ext>
            </a:extLst>
          </xdr:cNvPr>
          <xdr:cNvSpPr/>
        </xdr:nvSpPr>
        <xdr:spPr>
          <a:xfrm>
            <a:off x="47625" y="952500"/>
            <a:ext cx="2358390" cy="962027"/>
          </a:xfrm>
          <a:prstGeom prst="roundRect">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sp macro="" textlink="">
        <xdr:nvSpPr>
          <xdr:cNvPr id="44" name="Rectangle: Rounded Corners 43">
            <a:extLst>
              <a:ext uri="{FF2B5EF4-FFF2-40B4-BE49-F238E27FC236}">
                <a16:creationId xmlns:a16="http://schemas.microsoft.com/office/drawing/2014/main" id="{504AAEEC-D775-4792-9F9C-DB6AED0A6A54}"/>
              </a:ext>
            </a:extLst>
          </xdr:cNvPr>
          <xdr:cNvSpPr/>
        </xdr:nvSpPr>
        <xdr:spPr>
          <a:xfrm>
            <a:off x="28575" y="952500"/>
            <a:ext cx="771525" cy="923927"/>
          </a:xfrm>
          <a:prstGeom prst="roundRect">
            <a:avLst/>
          </a:prstGeom>
          <a:solidFill>
            <a:schemeClr val="accent1"/>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TextBox 44">
            <a:extLst>
              <a:ext uri="{FF2B5EF4-FFF2-40B4-BE49-F238E27FC236}">
                <a16:creationId xmlns:a16="http://schemas.microsoft.com/office/drawing/2014/main" id="{6FCB7AA0-3D3C-4CA8-9DFF-05C6CB73B981}"/>
              </a:ext>
            </a:extLst>
          </xdr:cNvPr>
          <xdr:cNvSpPr txBox="1"/>
        </xdr:nvSpPr>
        <xdr:spPr>
          <a:xfrm rot="10800000" flipV="1">
            <a:off x="923925" y="1047749"/>
            <a:ext cx="11144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solidFill>
              </a:rPr>
              <a:t>Total Profit</a:t>
            </a:r>
          </a:p>
        </xdr:txBody>
      </xdr:sp>
      <xdr:sp macro="" textlink="Sales_data!Y6">
        <xdr:nvSpPr>
          <xdr:cNvPr id="46" name="TextBox 45">
            <a:extLst>
              <a:ext uri="{FF2B5EF4-FFF2-40B4-BE49-F238E27FC236}">
                <a16:creationId xmlns:a16="http://schemas.microsoft.com/office/drawing/2014/main" id="{5C454110-CFFD-4D7B-8252-2D1B413D64AD}"/>
              </a:ext>
            </a:extLst>
          </xdr:cNvPr>
          <xdr:cNvSpPr txBox="1"/>
        </xdr:nvSpPr>
        <xdr:spPr>
          <a:xfrm>
            <a:off x="885825" y="1362075"/>
            <a:ext cx="13049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2BE70A-BAF3-4E35-B946-B6FCEBDB6411}" type="TxLink">
              <a:rPr lang="en-US" sz="1600" b="1" i="0" u="none" strike="noStrike">
                <a:solidFill>
                  <a:schemeClr val="accent1"/>
                </a:solidFill>
                <a:latin typeface="Calibri"/>
                <a:cs typeface="Calibri"/>
              </a:rPr>
              <a:pPr/>
              <a:t> 36,340,820 </a:t>
            </a:fld>
            <a:endParaRPr lang="en-US" sz="1600" b="1">
              <a:solidFill>
                <a:schemeClr val="accent1"/>
              </a:solidFill>
            </a:endParaRPr>
          </a:p>
        </xdr:txBody>
      </xdr:sp>
    </xdr:grpSp>
    <xdr:clientData/>
  </xdr:twoCellAnchor>
  <xdr:twoCellAnchor>
    <xdr:from>
      <xdr:col>8</xdr:col>
      <xdr:colOff>47625</xdr:colOff>
      <xdr:row>5</xdr:row>
      <xdr:rowOff>19050</xdr:rowOff>
    </xdr:from>
    <xdr:to>
      <xdr:col>11</xdr:col>
      <xdr:colOff>596265</xdr:colOff>
      <xdr:row>10</xdr:row>
      <xdr:rowOff>28577</xdr:rowOff>
    </xdr:to>
    <xdr:grpSp>
      <xdr:nvGrpSpPr>
        <xdr:cNvPr id="87" name="Group 86">
          <a:extLst>
            <a:ext uri="{FF2B5EF4-FFF2-40B4-BE49-F238E27FC236}">
              <a16:creationId xmlns:a16="http://schemas.microsoft.com/office/drawing/2014/main" id="{F9189478-E439-4BF9-88F2-EBFCB6B259BB}"/>
            </a:ext>
          </a:extLst>
        </xdr:cNvPr>
        <xdr:cNvGrpSpPr/>
      </xdr:nvGrpSpPr>
      <xdr:grpSpPr>
        <a:xfrm>
          <a:off x="4924425" y="971550"/>
          <a:ext cx="2377440" cy="962027"/>
          <a:chOff x="28575" y="952500"/>
          <a:chExt cx="2377440" cy="962027"/>
        </a:xfrm>
      </xdr:grpSpPr>
      <xdr:sp macro="" textlink="">
        <xdr:nvSpPr>
          <xdr:cNvPr id="88" name="Rectangle: Rounded Corners 87">
            <a:extLst>
              <a:ext uri="{FF2B5EF4-FFF2-40B4-BE49-F238E27FC236}">
                <a16:creationId xmlns:a16="http://schemas.microsoft.com/office/drawing/2014/main" id="{88B584A6-DF33-4B66-82D1-2BD0DF67E06E}"/>
              </a:ext>
            </a:extLst>
          </xdr:cNvPr>
          <xdr:cNvSpPr/>
        </xdr:nvSpPr>
        <xdr:spPr>
          <a:xfrm>
            <a:off x="47625" y="952500"/>
            <a:ext cx="2358390" cy="962027"/>
          </a:xfrm>
          <a:prstGeom prst="roundRect">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9" name="Rectangle: Rounded Corners 88">
            <a:extLst>
              <a:ext uri="{FF2B5EF4-FFF2-40B4-BE49-F238E27FC236}">
                <a16:creationId xmlns:a16="http://schemas.microsoft.com/office/drawing/2014/main" id="{1D0F1A82-0417-458A-899E-F9574DD8B44D}"/>
              </a:ext>
            </a:extLst>
          </xdr:cNvPr>
          <xdr:cNvSpPr/>
        </xdr:nvSpPr>
        <xdr:spPr>
          <a:xfrm>
            <a:off x="28575" y="952500"/>
            <a:ext cx="771525" cy="923927"/>
          </a:xfrm>
          <a:prstGeom prst="roundRect">
            <a:avLst/>
          </a:prstGeom>
          <a:solidFill>
            <a:schemeClr val="accent1"/>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0" name="TextBox 89">
            <a:extLst>
              <a:ext uri="{FF2B5EF4-FFF2-40B4-BE49-F238E27FC236}">
                <a16:creationId xmlns:a16="http://schemas.microsoft.com/office/drawing/2014/main" id="{A52351E4-DC1A-43F0-BF14-DF4314B1CE3A}"/>
              </a:ext>
            </a:extLst>
          </xdr:cNvPr>
          <xdr:cNvSpPr txBox="1"/>
        </xdr:nvSpPr>
        <xdr:spPr>
          <a:xfrm rot="10800000" flipV="1">
            <a:off x="923925" y="1047749"/>
            <a:ext cx="11144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solidFill>
              </a:rPr>
              <a:t>Total Orders</a:t>
            </a:r>
          </a:p>
        </xdr:txBody>
      </xdr:sp>
      <xdr:sp macro="" textlink="Sales_data!Y9">
        <xdr:nvSpPr>
          <xdr:cNvPr id="91" name="TextBox 90">
            <a:extLst>
              <a:ext uri="{FF2B5EF4-FFF2-40B4-BE49-F238E27FC236}">
                <a16:creationId xmlns:a16="http://schemas.microsoft.com/office/drawing/2014/main" id="{81379A5C-6539-4AD4-94FF-C733D9C4AF6B}"/>
              </a:ext>
            </a:extLst>
          </xdr:cNvPr>
          <xdr:cNvSpPr txBox="1"/>
        </xdr:nvSpPr>
        <xdr:spPr>
          <a:xfrm>
            <a:off x="933450" y="1371600"/>
            <a:ext cx="13049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CA3B47-6281-413E-9E1A-C4389CECE886}" type="TxLink">
              <a:rPr lang="en-US" sz="1600" b="1" i="0" u="none" strike="noStrike">
                <a:solidFill>
                  <a:schemeClr val="accent1"/>
                </a:solidFill>
                <a:latin typeface="Calibri"/>
                <a:cs typeface="Calibri"/>
              </a:rPr>
              <a:pPr/>
              <a:t>3143</a:t>
            </a:fld>
            <a:endParaRPr lang="en-US" sz="1600" b="1">
              <a:solidFill>
                <a:schemeClr val="accent1"/>
              </a:solidFill>
            </a:endParaRPr>
          </a:p>
        </xdr:txBody>
      </xdr:sp>
    </xdr:grpSp>
    <xdr:clientData/>
  </xdr:twoCellAnchor>
  <xdr:twoCellAnchor>
    <xdr:from>
      <xdr:col>12</xdr:col>
      <xdr:colOff>57150</xdr:colOff>
      <xdr:row>5</xdr:row>
      <xdr:rowOff>19050</xdr:rowOff>
    </xdr:from>
    <xdr:to>
      <xdr:col>15</xdr:col>
      <xdr:colOff>605790</xdr:colOff>
      <xdr:row>10</xdr:row>
      <xdr:rowOff>28577</xdr:rowOff>
    </xdr:to>
    <xdr:grpSp>
      <xdr:nvGrpSpPr>
        <xdr:cNvPr id="92" name="Group 91">
          <a:extLst>
            <a:ext uri="{FF2B5EF4-FFF2-40B4-BE49-F238E27FC236}">
              <a16:creationId xmlns:a16="http://schemas.microsoft.com/office/drawing/2014/main" id="{0CB6F2C1-D919-4899-9696-4845B8DAB5BE}"/>
            </a:ext>
          </a:extLst>
        </xdr:cNvPr>
        <xdr:cNvGrpSpPr/>
      </xdr:nvGrpSpPr>
      <xdr:grpSpPr>
        <a:xfrm>
          <a:off x="7372350" y="971550"/>
          <a:ext cx="2377440" cy="962027"/>
          <a:chOff x="28575" y="952500"/>
          <a:chExt cx="2377440" cy="962027"/>
        </a:xfrm>
      </xdr:grpSpPr>
      <xdr:sp macro="" textlink="">
        <xdr:nvSpPr>
          <xdr:cNvPr id="93" name="Rectangle: Rounded Corners 92">
            <a:extLst>
              <a:ext uri="{FF2B5EF4-FFF2-40B4-BE49-F238E27FC236}">
                <a16:creationId xmlns:a16="http://schemas.microsoft.com/office/drawing/2014/main" id="{AAAA1997-FCD1-49FF-975A-0CB1AE0AB9F6}"/>
              </a:ext>
            </a:extLst>
          </xdr:cNvPr>
          <xdr:cNvSpPr/>
        </xdr:nvSpPr>
        <xdr:spPr>
          <a:xfrm>
            <a:off x="47625" y="952500"/>
            <a:ext cx="2358390" cy="962027"/>
          </a:xfrm>
          <a:prstGeom prst="roundRect">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4" name="Rectangle: Rounded Corners 93">
            <a:extLst>
              <a:ext uri="{FF2B5EF4-FFF2-40B4-BE49-F238E27FC236}">
                <a16:creationId xmlns:a16="http://schemas.microsoft.com/office/drawing/2014/main" id="{527FFAC1-F238-4128-AEEF-698BFB50895F}"/>
              </a:ext>
            </a:extLst>
          </xdr:cNvPr>
          <xdr:cNvSpPr/>
        </xdr:nvSpPr>
        <xdr:spPr>
          <a:xfrm>
            <a:off x="28575" y="952500"/>
            <a:ext cx="771525" cy="923927"/>
          </a:xfrm>
          <a:prstGeom prst="roundRect">
            <a:avLst/>
          </a:prstGeom>
          <a:solidFill>
            <a:schemeClr val="accent1"/>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5" name="TextBox 94">
            <a:extLst>
              <a:ext uri="{FF2B5EF4-FFF2-40B4-BE49-F238E27FC236}">
                <a16:creationId xmlns:a16="http://schemas.microsoft.com/office/drawing/2014/main" id="{506B0EB2-F7BE-4579-A647-400214D44FB8}"/>
              </a:ext>
            </a:extLst>
          </xdr:cNvPr>
          <xdr:cNvSpPr txBox="1"/>
        </xdr:nvSpPr>
        <xdr:spPr>
          <a:xfrm rot="10800000" flipV="1">
            <a:off x="914392" y="1047750"/>
            <a:ext cx="111442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accent1"/>
                </a:solidFill>
              </a:rPr>
              <a:t> Return Rate</a:t>
            </a:r>
          </a:p>
          <a:p>
            <a:r>
              <a:rPr lang="en-US" sz="1400" b="1" baseline="0">
                <a:solidFill>
                  <a:schemeClr val="accent1"/>
                </a:solidFill>
              </a:rPr>
              <a:t> </a:t>
            </a:r>
            <a:endParaRPr lang="en-US" sz="1400" b="1">
              <a:solidFill>
                <a:schemeClr val="accent1"/>
              </a:solidFill>
            </a:endParaRPr>
          </a:p>
        </xdr:txBody>
      </xdr:sp>
      <xdr:sp macro="" textlink="Sales_data!Y15">
        <xdr:nvSpPr>
          <xdr:cNvPr id="96" name="TextBox 95">
            <a:extLst>
              <a:ext uri="{FF2B5EF4-FFF2-40B4-BE49-F238E27FC236}">
                <a16:creationId xmlns:a16="http://schemas.microsoft.com/office/drawing/2014/main" id="{94E2F32A-EC38-4EE1-B719-E4CB97FB3C4B}"/>
              </a:ext>
            </a:extLst>
          </xdr:cNvPr>
          <xdr:cNvSpPr txBox="1"/>
        </xdr:nvSpPr>
        <xdr:spPr>
          <a:xfrm>
            <a:off x="962025" y="1371600"/>
            <a:ext cx="13049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703285-7541-48E6-9D75-8111FE3E57D7}" type="TxLink">
              <a:rPr lang="en-US" sz="1600" b="1" i="0" u="none" strike="noStrike">
                <a:solidFill>
                  <a:schemeClr val="accent1"/>
                </a:solidFill>
                <a:latin typeface="Calibri"/>
                <a:cs typeface="Calibri"/>
              </a:rPr>
              <a:pPr/>
              <a:t>15%</a:t>
            </a:fld>
            <a:endParaRPr lang="en-US" sz="1600" b="1">
              <a:solidFill>
                <a:schemeClr val="accent1"/>
              </a:solidFill>
            </a:endParaRPr>
          </a:p>
        </xdr:txBody>
      </xdr:sp>
    </xdr:grpSp>
    <xdr:clientData/>
  </xdr:twoCellAnchor>
  <xdr:twoCellAnchor>
    <xdr:from>
      <xdr:col>16</xdr:col>
      <xdr:colOff>57149</xdr:colOff>
      <xdr:row>5</xdr:row>
      <xdr:rowOff>9525</xdr:rowOff>
    </xdr:from>
    <xdr:to>
      <xdr:col>20</xdr:col>
      <xdr:colOff>456732</xdr:colOff>
      <xdr:row>10</xdr:row>
      <xdr:rowOff>19050</xdr:rowOff>
    </xdr:to>
    <xdr:grpSp>
      <xdr:nvGrpSpPr>
        <xdr:cNvPr id="97" name="Group 96">
          <a:extLst>
            <a:ext uri="{FF2B5EF4-FFF2-40B4-BE49-F238E27FC236}">
              <a16:creationId xmlns:a16="http://schemas.microsoft.com/office/drawing/2014/main" id="{2CB8355D-E674-4FA4-A9F2-07C5C0A1BEA4}"/>
            </a:ext>
          </a:extLst>
        </xdr:cNvPr>
        <xdr:cNvGrpSpPr/>
      </xdr:nvGrpSpPr>
      <xdr:grpSpPr>
        <a:xfrm>
          <a:off x="9810749" y="962025"/>
          <a:ext cx="2837983" cy="962025"/>
          <a:chOff x="28575" y="952500"/>
          <a:chExt cx="2377440" cy="962027"/>
        </a:xfrm>
      </xdr:grpSpPr>
      <xdr:sp macro="" textlink="">
        <xdr:nvSpPr>
          <xdr:cNvPr id="98" name="Rectangle: Rounded Corners 97">
            <a:extLst>
              <a:ext uri="{FF2B5EF4-FFF2-40B4-BE49-F238E27FC236}">
                <a16:creationId xmlns:a16="http://schemas.microsoft.com/office/drawing/2014/main" id="{30B3503E-B36F-4E07-A1E6-517A564860EF}"/>
              </a:ext>
            </a:extLst>
          </xdr:cNvPr>
          <xdr:cNvSpPr/>
        </xdr:nvSpPr>
        <xdr:spPr>
          <a:xfrm>
            <a:off x="47625" y="952500"/>
            <a:ext cx="2358390" cy="962027"/>
          </a:xfrm>
          <a:prstGeom prst="roundRect">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9" name="Rectangle: Rounded Corners 98">
            <a:extLst>
              <a:ext uri="{FF2B5EF4-FFF2-40B4-BE49-F238E27FC236}">
                <a16:creationId xmlns:a16="http://schemas.microsoft.com/office/drawing/2014/main" id="{136AAAD8-1BAE-4CC6-8C71-8F489E369A30}"/>
              </a:ext>
            </a:extLst>
          </xdr:cNvPr>
          <xdr:cNvSpPr/>
        </xdr:nvSpPr>
        <xdr:spPr>
          <a:xfrm>
            <a:off x="28575" y="952500"/>
            <a:ext cx="771525" cy="923927"/>
          </a:xfrm>
          <a:prstGeom prst="roundRect">
            <a:avLst/>
          </a:prstGeom>
          <a:solidFill>
            <a:schemeClr val="accent1"/>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0" name="TextBox 99">
            <a:extLst>
              <a:ext uri="{FF2B5EF4-FFF2-40B4-BE49-F238E27FC236}">
                <a16:creationId xmlns:a16="http://schemas.microsoft.com/office/drawing/2014/main" id="{D2BE689A-71F3-45A9-B7A8-93B3F54EFD3F}"/>
              </a:ext>
            </a:extLst>
          </xdr:cNvPr>
          <xdr:cNvSpPr txBox="1"/>
        </xdr:nvSpPr>
        <xdr:spPr>
          <a:xfrm rot="10800000" flipV="1">
            <a:off x="852102" y="1057275"/>
            <a:ext cx="153834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accent1"/>
                </a:solidFill>
              </a:rPr>
              <a:t>Customer Satisfaction</a:t>
            </a:r>
          </a:p>
          <a:p>
            <a:endParaRPr lang="en-US" sz="1400" b="1" baseline="0">
              <a:solidFill>
                <a:schemeClr val="accent1"/>
              </a:solidFill>
            </a:endParaRPr>
          </a:p>
          <a:p>
            <a:r>
              <a:rPr lang="en-US" sz="1400" b="1" baseline="0">
                <a:solidFill>
                  <a:schemeClr val="accent1"/>
                </a:solidFill>
              </a:rPr>
              <a:t>Satisfaction</a:t>
            </a:r>
          </a:p>
          <a:p>
            <a:endParaRPr lang="en-US" sz="1400" b="1" baseline="0">
              <a:solidFill>
                <a:schemeClr val="accent1"/>
              </a:solidFill>
            </a:endParaRPr>
          </a:p>
          <a:p>
            <a:endParaRPr lang="en-US" sz="1400" b="1" baseline="0">
              <a:solidFill>
                <a:schemeClr val="accent1"/>
              </a:solidFill>
            </a:endParaRPr>
          </a:p>
          <a:p>
            <a:endParaRPr lang="en-US" sz="1400" b="1">
              <a:solidFill>
                <a:schemeClr val="accent1"/>
              </a:solidFill>
            </a:endParaRPr>
          </a:p>
        </xdr:txBody>
      </xdr:sp>
      <xdr:sp macro="" textlink="Sales_data!Y12">
        <xdr:nvSpPr>
          <xdr:cNvPr id="101" name="TextBox 100">
            <a:extLst>
              <a:ext uri="{FF2B5EF4-FFF2-40B4-BE49-F238E27FC236}">
                <a16:creationId xmlns:a16="http://schemas.microsoft.com/office/drawing/2014/main" id="{F62370CD-DB93-4BCF-87E9-302EE146FAD4}"/>
              </a:ext>
            </a:extLst>
          </xdr:cNvPr>
          <xdr:cNvSpPr txBox="1"/>
        </xdr:nvSpPr>
        <xdr:spPr>
          <a:xfrm>
            <a:off x="864239" y="1381125"/>
            <a:ext cx="13049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608D42-1DF8-44D7-8E20-64F1C803A9DF}" type="TxLink">
              <a:rPr lang="en-US" sz="1600" b="1" i="0" u="none" strike="noStrike">
                <a:solidFill>
                  <a:schemeClr val="accent1"/>
                </a:solidFill>
                <a:latin typeface="Calibri"/>
                <a:cs typeface="Calibri"/>
              </a:rPr>
              <a:pPr/>
              <a:t>3.02</a:t>
            </a:fld>
            <a:endParaRPr lang="en-US" sz="1600" b="1">
              <a:solidFill>
                <a:schemeClr val="accent1"/>
              </a:solidFill>
            </a:endParaRPr>
          </a:p>
        </xdr:txBody>
      </xdr:sp>
    </xdr:grpSp>
    <xdr:clientData/>
  </xdr:twoCellAnchor>
  <xdr:twoCellAnchor>
    <xdr:from>
      <xdr:col>7</xdr:col>
      <xdr:colOff>189496</xdr:colOff>
      <xdr:row>0</xdr:row>
      <xdr:rowOff>163428</xdr:rowOff>
    </xdr:from>
    <xdr:to>
      <xdr:col>15</xdr:col>
      <xdr:colOff>44616</xdr:colOff>
      <xdr:row>3</xdr:row>
      <xdr:rowOff>153903</xdr:rowOff>
    </xdr:to>
    <xdr:sp macro="" textlink="">
      <xdr:nvSpPr>
        <xdr:cNvPr id="102" name="TextBox 101">
          <a:extLst>
            <a:ext uri="{FF2B5EF4-FFF2-40B4-BE49-F238E27FC236}">
              <a16:creationId xmlns:a16="http://schemas.microsoft.com/office/drawing/2014/main" id="{4F231DBA-0E08-411B-B3CD-76067B6BA19F}"/>
            </a:ext>
          </a:extLst>
        </xdr:cNvPr>
        <xdr:cNvSpPr txBox="1"/>
      </xdr:nvSpPr>
      <xdr:spPr>
        <a:xfrm>
          <a:off x="4470733" y="163428"/>
          <a:ext cx="4747962"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accent1"/>
              </a:solidFill>
            </a:rPr>
            <a:t>RETAIL SALES DASHBOARD</a:t>
          </a:r>
        </a:p>
      </xdr:txBody>
    </xdr:sp>
    <xdr:clientData/>
  </xdr:twoCellAnchor>
  <xdr:twoCellAnchor editAs="oneCell">
    <xdr:from>
      <xdr:col>0</xdr:col>
      <xdr:colOff>85725</xdr:colOff>
      <xdr:row>5</xdr:row>
      <xdr:rowOff>133350</xdr:rowOff>
    </xdr:from>
    <xdr:to>
      <xdr:col>1</xdr:col>
      <xdr:colOff>28575</xdr:colOff>
      <xdr:row>9</xdr:row>
      <xdr:rowOff>38100</xdr:rowOff>
    </xdr:to>
    <xdr:pic>
      <xdr:nvPicPr>
        <xdr:cNvPr id="12" name="Picture 11">
          <a:extLst>
            <a:ext uri="{FF2B5EF4-FFF2-40B4-BE49-F238E27FC236}">
              <a16:creationId xmlns:a16="http://schemas.microsoft.com/office/drawing/2014/main" id="{BEF523A5-9241-49D3-AC32-266FDBD91A69}"/>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duotone>
            <a:prstClr val="black"/>
            <a:schemeClr val="bg1">
              <a:tint val="45000"/>
              <a:satMod val="400000"/>
            </a:schemeClr>
          </a:duotone>
          <a:extLst>
            <a:ext uri="{28A0092B-C50C-407E-A947-70E740481C1C}">
              <a14:useLocalDpi xmlns:a14="http://schemas.microsoft.com/office/drawing/2010/main" val="0"/>
            </a:ext>
          </a:extLst>
        </a:blip>
        <a:stretch>
          <a:fillRect/>
        </a:stretch>
      </xdr:blipFill>
      <xdr:spPr>
        <a:xfrm>
          <a:off x="85725" y="1085850"/>
          <a:ext cx="552450" cy="666750"/>
        </a:xfrm>
        <a:prstGeom prst="rect">
          <a:avLst/>
        </a:prstGeom>
        <a:solidFill>
          <a:schemeClr val="accent1"/>
        </a:solidFill>
        <a:ln>
          <a:solidFill>
            <a:schemeClr val="accent1"/>
          </a:solidFill>
        </a:ln>
      </xdr:spPr>
    </xdr:pic>
    <xdr:clientData/>
  </xdr:twoCellAnchor>
  <xdr:twoCellAnchor editAs="oneCell">
    <xdr:from>
      <xdr:col>16</xdr:col>
      <xdr:colOff>104777</xdr:colOff>
      <xdr:row>5</xdr:row>
      <xdr:rowOff>76203</xdr:rowOff>
    </xdr:from>
    <xdr:to>
      <xdr:col>17</xdr:col>
      <xdr:colOff>318137</xdr:colOff>
      <xdr:row>9</xdr:row>
      <xdr:rowOff>49773</xdr:rowOff>
    </xdr:to>
    <xdr:pic>
      <xdr:nvPicPr>
        <xdr:cNvPr id="13" name="Picture 12">
          <a:extLst>
            <a:ext uri="{FF2B5EF4-FFF2-40B4-BE49-F238E27FC236}">
              <a16:creationId xmlns:a16="http://schemas.microsoft.com/office/drawing/2014/main" id="{01EB6328-FFEA-4D53-9E55-4386877DF227}"/>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9858377" y="1028703"/>
          <a:ext cx="822960" cy="735570"/>
        </a:xfrm>
        <a:prstGeom prst="rect">
          <a:avLst/>
        </a:prstGeom>
      </xdr:spPr>
    </xdr:pic>
    <xdr:clientData/>
  </xdr:twoCellAnchor>
  <xdr:twoCellAnchor editAs="oneCell">
    <xdr:from>
      <xdr:col>8</xdr:col>
      <xdr:colOff>161925</xdr:colOff>
      <xdr:row>4</xdr:row>
      <xdr:rowOff>152400</xdr:rowOff>
    </xdr:from>
    <xdr:to>
      <xdr:col>9</xdr:col>
      <xdr:colOff>100965</xdr:colOff>
      <xdr:row>7</xdr:row>
      <xdr:rowOff>129540</xdr:rowOff>
    </xdr:to>
    <xdr:pic>
      <xdr:nvPicPr>
        <xdr:cNvPr id="39" name="Picture 38" descr="Total orders Icons, Logos, Symbols – Free Download PNG, SVG">
          <a:extLst>
            <a:ext uri="{FF2B5EF4-FFF2-40B4-BE49-F238E27FC236}">
              <a16:creationId xmlns:a16="http://schemas.microsoft.com/office/drawing/2014/main" id="{03D81273-10CC-4DC9-9E01-6266547FC124}"/>
            </a:ext>
          </a:extLst>
        </xdr:cNvPr>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038725" y="914400"/>
          <a:ext cx="54864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152400</xdr:colOff>
      <xdr:row>5</xdr:row>
      <xdr:rowOff>171450</xdr:rowOff>
    </xdr:from>
    <xdr:to>
      <xdr:col>13</xdr:col>
      <xdr:colOff>91440</xdr:colOff>
      <xdr:row>8</xdr:row>
      <xdr:rowOff>148590</xdr:rowOff>
    </xdr:to>
    <xdr:pic>
      <xdr:nvPicPr>
        <xdr:cNvPr id="49" name="Picture 48" descr="Return Icons - Free Download in SVG, PNG">
          <a:extLst>
            <a:ext uri="{FF2B5EF4-FFF2-40B4-BE49-F238E27FC236}">
              <a16:creationId xmlns:a16="http://schemas.microsoft.com/office/drawing/2014/main" id="{F6FDF65C-8C74-4483-B2B7-8ACDD75736C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467600" y="1123950"/>
          <a:ext cx="54864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104775</xdr:colOff>
      <xdr:row>5</xdr:row>
      <xdr:rowOff>95250</xdr:rowOff>
    </xdr:from>
    <xdr:to>
      <xdr:col>5</xdr:col>
      <xdr:colOff>100997</xdr:colOff>
      <xdr:row>9</xdr:row>
      <xdr:rowOff>59054</xdr:rowOff>
    </xdr:to>
    <xdr:pic>
      <xdr:nvPicPr>
        <xdr:cNvPr id="51" name="Picture 50" descr="Chart Of Increased Indian Rupee Rate Icon With Reflection On White  Background Stock Illustration - Download Image Now - iStock">
          <a:extLst>
            <a:ext uri="{FF2B5EF4-FFF2-40B4-BE49-F238E27FC236}">
              <a16:creationId xmlns:a16="http://schemas.microsoft.com/office/drawing/2014/main" id="{F4B13EFC-0110-4BA0-A7A3-5D53CBFA2D6E}"/>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43175" y="1047750"/>
          <a:ext cx="605822" cy="725804"/>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11906</xdr:colOff>
      <xdr:row>54</xdr:row>
      <xdr:rowOff>11903</xdr:rowOff>
    </xdr:from>
    <xdr:to>
      <xdr:col>2</xdr:col>
      <xdr:colOff>602456</xdr:colOff>
      <xdr:row>67</xdr:row>
      <xdr:rowOff>166686</xdr:rowOff>
    </xdr:to>
    <mc:AlternateContent xmlns:mc="http://schemas.openxmlformats.org/markup-compatibility/2006" xmlns:a14="http://schemas.microsoft.com/office/drawing/2010/main">
      <mc:Choice Requires="a14">
        <xdr:graphicFrame macro="">
          <xdr:nvGraphicFramePr>
            <xdr:cNvPr id="58" name="region 1">
              <a:extLst>
                <a:ext uri="{FF2B5EF4-FFF2-40B4-BE49-F238E27FC236}">
                  <a16:creationId xmlns:a16="http://schemas.microsoft.com/office/drawing/2014/main" id="{CF7F9949-3F2E-4767-ABB1-A4E6D899359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906" y="10298903"/>
              <a:ext cx="1809750" cy="2631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358441</xdr:colOff>
      <xdr:row>1</xdr:row>
      <xdr:rowOff>49631</xdr:rowOff>
    </xdr:from>
    <xdr:to>
      <xdr:col>7</xdr:col>
      <xdr:colOff>204036</xdr:colOff>
      <xdr:row>3</xdr:row>
      <xdr:rowOff>125831</xdr:rowOff>
    </xdr:to>
    <xdr:pic>
      <xdr:nvPicPr>
        <xdr:cNvPr id="60" name="Picture 59" descr="Retail - Free commerce icons">
          <a:extLst>
            <a:ext uri="{FF2B5EF4-FFF2-40B4-BE49-F238E27FC236}">
              <a16:creationId xmlns:a16="http://schemas.microsoft.com/office/drawing/2014/main" id="{10A1C3E5-B580-48B3-92FE-2931C132CBC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028073" y="240131"/>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71438</xdr:rowOff>
    </xdr:from>
    <xdr:to>
      <xdr:col>3</xdr:col>
      <xdr:colOff>0</xdr:colOff>
      <xdr:row>23</xdr:row>
      <xdr:rowOff>71438</xdr:rowOff>
    </xdr:to>
    <mc:AlternateContent xmlns:mc="http://schemas.openxmlformats.org/markup-compatibility/2006" xmlns:a14="http://schemas.microsoft.com/office/drawing/2010/main">
      <mc:Choice Requires="a14">
        <xdr:graphicFrame macro="">
          <xdr:nvGraphicFramePr>
            <xdr:cNvPr id="63" name="product_category 1">
              <a:extLst>
                <a:ext uri="{FF2B5EF4-FFF2-40B4-BE49-F238E27FC236}">
                  <a16:creationId xmlns:a16="http://schemas.microsoft.com/office/drawing/2014/main" id="{FD8B4834-B701-4059-9FA8-952CACB055D2}"/>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0" y="1976438"/>
              <a:ext cx="1828800" cy="247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11906</xdr:colOff>
      <xdr:row>23</xdr:row>
      <xdr:rowOff>107156</xdr:rowOff>
    </xdr:from>
    <xdr:to>
      <xdr:col>3</xdr:col>
      <xdr:colOff>11906</xdr:colOff>
      <xdr:row>39</xdr:row>
      <xdr:rowOff>35719</xdr:rowOff>
    </xdr:to>
    <mc:AlternateContent xmlns:mc="http://schemas.openxmlformats.org/markup-compatibility/2006" xmlns:a14="http://schemas.microsoft.com/office/drawing/2010/main">
      <mc:Choice Requires="a14">
        <xdr:graphicFrame macro="">
          <xdr:nvGraphicFramePr>
            <xdr:cNvPr id="65" name="city 1">
              <a:extLst>
                <a:ext uri="{FF2B5EF4-FFF2-40B4-BE49-F238E27FC236}">
                  <a16:creationId xmlns:a16="http://schemas.microsoft.com/office/drawing/2014/main" id="{8E7A31F3-3965-47E0-A935-8CE398D1F84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906" y="4488656"/>
              <a:ext cx="1828800" cy="2976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xdr:colOff>
      <xdr:row>10</xdr:row>
      <xdr:rowOff>104774</xdr:rowOff>
    </xdr:from>
    <xdr:to>
      <xdr:col>11</xdr:col>
      <xdr:colOff>600075</xdr:colOff>
      <xdr:row>25</xdr:row>
      <xdr:rowOff>20707</xdr:rowOff>
    </xdr:to>
    <xdr:sp macro="" textlink="">
      <xdr:nvSpPr>
        <xdr:cNvPr id="41" name="Rectangle: Rounded Corners 40">
          <a:extLst>
            <a:ext uri="{FF2B5EF4-FFF2-40B4-BE49-F238E27FC236}">
              <a16:creationId xmlns:a16="http://schemas.microsoft.com/office/drawing/2014/main" id="{B032AEC4-56E5-446D-9350-ABD46666841F}"/>
            </a:ext>
          </a:extLst>
        </xdr:cNvPr>
        <xdr:cNvSpPr/>
      </xdr:nvSpPr>
      <xdr:spPr>
        <a:xfrm>
          <a:off x="1830042" y="1968361"/>
          <a:ext cx="5375413" cy="2711313"/>
        </a:xfrm>
        <a:prstGeom prst="roundRect">
          <a:avLst>
            <a:gd name="adj" fmla="val 3279"/>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1"/>
              </a:solidFill>
            </a:rPr>
            <a:t>Total</a:t>
          </a:r>
          <a:r>
            <a:rPr lang="en-US" sz="1200" b="1" baseline="0">
              <a:solidFill>
                <a:schemeClr val="accent1"/>
              </a:solidFill>
            </a:rPr>
            <a:t> Sales by Product</a:t>
          </a:r>
          <a:endParaRPr lang="en-US" sz="1200" b="1">
            <a:solidFill>
              <a:schemeClr val="accent1"/>
            </a:solidFill>
          </a:endParaRPr>
        </a:p>
      </xdr:txBody>
    </xdr:sp>
    <xdr:clientData/>
  </xdr:twoCellAnchor>
  <xdr:twoCellAnchor>
    <xdr:from>
      <xdr:col>3</xdr:col>
      <xdr:colOff>289893</xdr:colOff>
      <xdr:row>12</xdr:row>
      <xdr:rowOff>9525</xdr:rowOff>
    </xdr:from>
    <xdr:to>
      <xdr:col>11</xdr:col>
      <xdr:colOff>496958</xdr:colOff>
      <xdr:row>26</xdr:row>
      <xdr:rowOff>85724</xdr:rowOff>
    </xdr:to>
    <xdr:graphicFrame macro="">
      <xdr:nvGraphicFramePr>
        <xdr:cNvPr id="61" name="Chart 60">
          <a:extLst>
            <a:ext uri="{FF2B5EF4-FFF2-40B4-BE49-F238E27FC236}">
              <a16:creationId xmlns:a16="http://schemas.microsoft.com/office/drawing/2014/main" id="{8D77CBEB-2F3F-491F-B2CA-70D95DDD8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28575</xdr:colOff>
      <xdr:row>10</xdr:row>
      <xdr:rowOff>85724</xdr:rowOff>
    </xdr:from>
    <xdr:to>
      <xdr:col>20</xdr:col>
      <xdr:colOff>447675</xdr:colOff>
      <xdr:row>24</xdr:row>
      <xdr:rowOff>165651</xdr:rowOff>
    </xdr:to>
    <xdr:sp macro="" textlink="">
      <xdr:nvSpPr>
        <xdr:cNvPr id="62" name="Rectangle: Rounded Corners 61">
          <a:extLst>
            <a:ext uri="{FF2B5EF4-FFF2-40B4-BE49-F238E27FC236}">
              <a16:creationId xmlns:a16="http://schemas.microsoft.com/office/drawing/2014/main" id="{00D08E68-C0F6-49B3-9E1E-7ECB3687E47B}"/>
            </a:ext>
          </a:extLst>
        </xdr:cNvPr>
        <xdr:cNvSpPr/>
      </xdr:nvSpPr>
      <xdr:spPr>
        <a:xfrm>
          <a:off x="7234445" y="1949311"/>
          <a:ext cx="5223013" cy="2688949"/>
        </a:xfrm>
        <a:prstGeom prst="roundRect">
          <a:avLst>
            <a:gd name="adj" fmla="val 3279"/>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1"/>
              </a:solidFill>
            </a:rPr>
            <a:t>Total</a:t>
          </a:r>
          <a:r>
            <a:rPr lang="en-US" sz="1200" b="1" baseline="0">
              <a:solidFill>
                <a:schemeClr val="accent1"/>
              </a:solidFill>
            </a:rPr>
            <a:t> Sales by Age Group</a:t>
          </a:r>
          <a:endParaRPr lang="en-US" sz="1200" b="1">
            <a:solidFill>
              <a:schemeClr val="accent1"/>
            </a:solidFill>
          </a:endParaRPr>
        </a:p>
      </xdr:txBody>
    </xdr:sp>
    <xdr:clientData/>
  </xdr:twoCellAnchor>
  <xdr:twoCellAnchor>
    <xdr:from>
      <xdr:col>3</xdr:col>
      <xdr:colOff>58806</xdr:colOff>
      <xdr:row>25</xdr:row>
      <xdr:rowOff>103533</xdr:rowOff>
    </xdr:from>
    <xdr:to>
      <xdr:col>12</xdr:col>
      <xdr:colOff>20706</xdr:colOff>
      <xdr:row>39</xdr:row>
      <xdr:rowOff>36444</xdr:rowOff>
    </xdr:to>
    <xdr:sp macro="" textlink="">
      <xdr:nvSpPr>
        <xdr:cNvPr id="71" name="Rectangle: Rounded Corners 70">
          <a:extLst>
            <a:ext uri="{FF2B5EF4-FFF2-40B4-BE49-F238E27FC236}">
              <a16:creationId xmlns:a16="http://schemas.microsoft.com/office/drawing/2014/main" id="{3F7FA397-CB3A-4A7E-B691-8F3D70949288}"/>
            </a:ext>
          </a:extLst>
        </xdr:cNvPr>
        <xdr:cNvSpPr/>
      </xdr:nvSpPr>
      <xdr:spPr>
        <a:xfrm>
          <a:off x="1860273" y="4762500"/>
          <a:ext cx="5366303" cy="2541933"/>
        </a:xfrm>
        <a:prstGeom prst="roundRect">
          <a:avLst>
            <a:gd name="adj" fmla="val 3279"/>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1"/>
              </a:solidFill>
            </a:rPr>
            <a:t>Total</a:t>
          </a:r>
          <a:r>
            <a:rPr lang="en-US" sz="1200" b="1" baseline="0">
              <a:solidFill>
                <a:schemeClr val="accent1"/>
              </a:solidFill>
            </a:rPr>
            <a:t> Sales by City</a:t>
          </a:r>
          <a:endParaRPr lang="en-US" sz="1200" b="1">
            <a:solidFill>
              <a:schemeClr val="accent1"/>
            </a:solidFill>
          </a:endParaRPr>
        </a:p>
      </xdr:txBody>
    </xdr:sp>
    <xdr:clientData/>
  </xdr:twoCellAnchor>
  <xdr:twoCellAnchor>
    <xdr:from>
      <xdr:col>12</xdr:col>
      <xdr:colOff>108089</xdr:colOff>
      <xdr:row>25</xdr:row>
      <xdr:rowOff>82826</xdr:rowOff>
    </xdr:from>
    <xdr:to>
      <xdr:col>20</xdr:col>
      <xdr:colOff>493851</xdr:colOff>
      <xdr:row>39</xdr:row>
      <xdr:rowOff>34786</xdr:rowOff>
    </xdr:to>
    <xdr:sp macro="" textlink="">
      <xdr:nvSpPr>
        <xdr:cNvPr id="72" name="Rectangle: Rounded Corners 71">
          <a:extLst>
            <a:ext uri="{FF2B5EF4-FFF2-40B4-BE49-F238E27FC236}">
              <a16:creationId xmlns:a16="http://schemas.microsoft.com/office/drawing/2014/main" id="{6CAFEFC5-9D1F-4324-9FEE-E59155D8E441}"/>
            </a:ext>
          </a:extLst>
        </xdr:cNvPr>
        <xdr:cNvSpPr/>
      </xdr:nvSpPr>
      <xdr:spPr>
        <a:xfrm>
          <a:off x="7313959" y="4741793"/>
          <a:ext cx="5189675" cy="2560982"/>
        </a:xfrm>
        <a:prstGeom prst="roundRect">
          <a:avLst>
            <a:gd name="adj" fmla="val 3279"/>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1"/>
              </a:solidFill>
            </a:rPr>
            <a:t>Total</a:t>
          </a:r>
          <a:r>
            <a:rPr lang="en-US" sz="1200" b="1" baseline="0">
              <a:solidFill>
                <a:schemeClr val="accent1"/>
              </a:solidFill>
            </a:rPr>
            <a:t> Count by Payment Method</a:t>
          </a:r>
          <a:endParaRPr lang="en-US" sz="1200" b="1">
            <a:solidFill>
              <a:schemeClr val="accent1"/>
            </a:solidFill>
          </a:endParaRPr>
        </a:p>
      </xdr:txBody>
    </xdr:sp>
    <xdr:clientData/>
  </xdr:twoCellAnchor>
  <xdr:twoCellAnchor>
    <xdr:from>
      <xdr:col>3</xdr:col>
      <xdr:colOff>61188</xdr:colOff>
      <xdr:row>39</xdr:row>
      <xdr:rowOff>124240</xdr:rowOff>
    </xdr:from>
    <xdr:to>
      <xdr:col>12</xdr:col>
      <xdr:colOff>25469</xdr:colOff>
      <xdr:row>54</xdr:row>
      <xdr:rowOff>120513</xdr:rowOff>
    </xdr:to>
    <xdr:sp macro="" textlink="">
      <xdr:nvSpPr>
        <xdr:cNvPr id="73" name="Rectangle: Rounded Corners 72">
          <a:extLst>
            <a:ext uri="{FF2B5EF4-FFF2-40B4-BE49-F238E27FC236}">
              <a16:creationId xmlns:a16="http://schemas.microsoft.com/office/drawing/2014/main" id="{C9703E60-9619-4B5D-BC78-7DC869C0CE9E}"/>
            </a:ext>
          </a:extLst>
        </xdr:cNvPr>
        <xdr:cNvSpPr/>
      </xdr:nvSpPr>
      <xdr:spPr>
        <a:xfrm>
          <a:off x="1862655" y="7392229"/>
          <a:ext cx="5368684" cy="2791654"/>
        </a:xfrm>
        <a:prstGeom prst="roundRect">
          <a:avLst>
            <a:gd name="adj" fmla="val 3279"/>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1"/>
              </a:solidFill>
            </a:rPr>
            <a:t>Total</a:t>
          </a:r>
          <a:r>
            <a:rPr lang="en-US" sz="1200" b="1" baseline="0">
              <a:solidFill>
                <a:schemeClr val="accent1"/>
              </a:solidFill>
            </a:rPr>
            <a:t> Sales by Customer</a:t>
          </a:r>
          <a:endParaRPr lang="en-US" sz="1200" b="1">
            <a:solidFill>
              <a:schemeClr val="accent1"/>
            </a:solidFill>
          </a:endParaRPr>
        </a:p>
      </xdr:txBody>
    </xdr:sp>
    <xdr:clientData/>
  </xdr:twoCellAnchor>
  <xdr:twoCellAnchor>
    <xdr:from>
      <xdr:col>12</xdr:col>
      <xdr:colOff>89039</xdr:colOff>
      <xdr:row>39</xdr:row>
      <xdr:rowOff>124239</xdr:rowOff>
    </xdr:from>
    <xdr:to>
      <xdr:col>20</xdr:col>
      <xdr:colOff>505757</xdr:colOff>
      <xdr:row>54</xdr:row>
      <xdr:rowOff>139562</xdr:rowOff>
    </xdr:to>
    <xdr:sp macro="" textlink="">
      <xdr:nvSpPr>
        <xdr:cNvPr id="74" name="Rectangle: Rounded Corners 73">
          <a:extLst>
            <a:ext uri="{FF2B5EF4-FFF2-40B4-BE49-F238E27FC236}">
              <a16:creationId xmlns:a16="http://schemas.microsoft.com/office/drawing/2014/main" id="{9E650AFE-E1C9-42CE-B46C-13F5FD0F7285}"/>
            </a:ext>
          </a:extLst>
        </xdr:cNvPr>
        <xdr:cNvSpPr/>
      </xdr:nvSpPr>
      <xdr:spPr>
        <a:xfrm>
          <a:off x="7294909" y="7392228"/>
          <a:ext cx="5220631" cy="2810704"/>
        </a:xfrm>
        <a:prstGeom prst="roundRect">
          <a:avLst>
            <a:gd name="adj" fmla="val 3279"/>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1"/>
              </a:solidFill>
            </a:rPr>
            <a:t>Average</a:t>
          </a:r>
          <a:r>
            <a:rPr lang="en-US" sz="1200" b="1" baseline="0">
              <a:solidFill>
                <a:schemeClr val="accent1"/>
              </a:solidFill>
            </a:rPr>
            <a:t> Sales VS Profit by Discount</a:t>
          </a:r>
          <a:endParaRPr lang="en-US" sz="1200" b="1">
            <a:solidFill>
              <a:schemeClr val="accent1"/>
            </a:solidFill>
          </a:endParaRPr>
        </a:p>
      </xdr:txBody>
    </xdr:sp>
    <xdr:clientData/>
  </xdr:twoCellAnchor>
  <xdr:twoCellAnchor>
    <xdr:from>
      <xdr:col>3</xdr:col>
      <xdr:colOff>40482</xdr:colOff>
      <xdr:row>54</xdr:row>
      <xdr:rowOff>166687</xdr:rowOff>
    </xdr:from>
    <xdr:to>
      <xdr:col>12</xdr:col>
      <xdr:colOff>4763</xdr:colOff>
      <xdr:row>67</xdr:row>
      <xdr:rowOff>157162</xdr:rowOff>
    </xdr:to>
    <xdr:sp macro="" textlink="">
      <xdr:nvSpPr>
        <xdr:cNvPr id="75" name="Rectangle: Rounded Corners 74">
          <a:extLst>
            <a:ext uri="{FF2B5EF4-FFF2-40B4-BE49-F238E27FC236}">
              <a16:creationId xmlns:a16="http://schemas.microsoft.com/office/drawing/2014/main" id="{3EE98A40-EAF1-4035-BCBE-432645CDA656}"/>
            </a:ext>
          </a:extLst>
        </xdr:cNvPr>
        <xdr:cNvSpPr/>
      </xdr:nvSpPr>
      <xdr:spPr>
        <a:xfrm>
          <a:off x="1862138" y="10453687"/>
          <a:ext cx="5429250" cy="2466975"/>
        </a:xfrm>
        <a:prstGeom prst="roundRect">
          <a:avLst>
            <a:gd name="adj" fmla="val 3279"/>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1"/>
              </a:solidFill>
            </a:rPr>
            <a:t>Total</a:t>
          </a:r>
          <a:r>
            <a:rPr lang="en-US" sz="1200" b="1" baseline="0">
              <a:solidFill>
                <a:schemeClr val="accent1"/>
              </a:solidFill>
            </a:rPr>
            <a:t> Sales by Region</a:t>
          </a:r>
          <a:endParaRPr lang="en-US" sz="1200" b="1">
            <a:solidFill>
              <a:schemeClr val="accent1"/>
            </a:solidFill>
          </a:endParaRPr>
        </a:p>
      </xdr:txBody>
    </xdr:sp>
    <xdr:clientData/>
  </xdr:twoCellAnchor>
  <xdr:twoCellAnchor>
    <xdr:from>
      <xdr:col>12</xdr:col>
      <xdr:colOff>83344</xdr:colOff>
      <xdr:row>54</xdr:row>
      <xdr:rowOff>178594</xdr:rowOff>
    </xdr:from>
    <xdr:to>
      <xdr:col>20</xdr:col>
      <xdr:colOff>476250</xdr:colOff>
      <xdr:row>67</xdr:row>
      <xdr:rowOff>140494</xdr:rowOff>
    </xdr:to>
    <xdr:sp macro="" textlink="">
      <xdr:nvSpPr>
        <xdr:cNvPr id="76" name="Rectangle: Rounded Corners 75">
          <a:extLst>
            <a:ext uri="{FF2B5EF4-FFF2-40B4-BE49-F238E27FC236}">
              <a16:creationId xmlns:a16="http://schemas.microsoft.com/office/drawing/2014/main" id="{B4F5F0B9-2FD0-407A-9045-1CA8C958B129}"/>
            </a:ext>
          </a:extLst>
        </xdr:cNvPr>
        <xdr:cNvSpPr/>
      </xdr:nvSpPr>
      <xdr:spPr>
        <a:xfrm>
          <a:off x="7369969" y="10465594"/>
          <a:ext cx="5250656" cy="2438400"/>
        </a:xfrm>
        <a:prstGeom prst="roundRect">
          <a:avLst>
            <a:gd name="adj" fmla="val 3279"/>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1"/>
              </a:solidFill>
            </a:rPr>
            <a:t>Average</a:t>
          </a:r>
          <a:r>
            <a:rPr lang="en-US" sz="1200" b="1" baseline="0">
              <a:solidFill>
                <a:schemeClr val="accent1"/>
              </a:solidFill>
            </a:rPr>
            <a:t> Customer Satisfaction by Region</a:t>
          </a:r>
          <a:endParaRPr lang="en-US" sz="1200" b="1">
            <a:solidFill>
              <a:schemeClr val="accent1"/>
            </a:solidFill>
          </a:endParaRPr>
        </a:p>
      </xdr:txBody>
    </xdr:sp>
    <xdr:clientData/>
  </xdr:twoCellAnchor>
  <xdr:twoCellAnchor>
    <xdr:from>
      <xdr:col>3</xdr:col>
      <xdr:colOff>85618</xdr:colOff>
      <xdr:row>26</xdr:row>
      <xdr:rowOff>41974</xdr:rowOff>
    </xdr:from>
    <xdr:to>
      <xdr:col>11</xdr:col>
      <xdr:colOff>495524</xdr:colOff>
      <xdr:row>38</xdr:row>
      <xdr:rowOff>124456</xdr:rowOff>
    </xdr:to>
    <xdr:graphicFrame macro="">
      <xdr:nvGraphicFramePr>
        <xdr:cNvPr id="78" name="Chart 77">
          <a:extLst>
            <a:ext uri="{FF2B5EF4-FFF2-40B4-BE49-F238E27FC236}">
              <a16:creationId xmlns:a16="http://schemas.microsoft.com/office/drawing/2014/main" id="{F092E004-FD3D-4A48-A988-974B21A6C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585582</xdr:colOff>
      <xdr:row>41</xdr:row>
      <xdr:rowOff>138835</xdr:rowOff>
    </xdr:from>
    <xdr:to>
      <xdr:col>11</xdr:col>
      <xdr:colOff>297451</xdr:colOff>
      <xdr:row>53</xdr:row>
      <xdr:rowOff>138836</xdr:rowOff>
    </xdr:to>
    <xdr:graphicFrame macro="">
      <xdr:nvGraphicFramePr>
        <xdr:cNvPr id="80" name="Chart 79">
          <a:extLst>
            <a:ext uri="{FF2B5EF4-FFF2-40B4-BE49-F238E27FC236}">
              <a16:creationId xmlns:a16="http://schemas.microsoft.com/office/drawing/2014/main" id="{FF094C75-3A60-4BE5-8F69-E2C480572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580300</xdr:colOff>
      <xdr:row>27</xdr:row>
      <xdr:rowOff>159958</xdr:rowOff>
    </xdr:from>
    <xdr:to>
      <xdr:col>20</xdr:col>
      <xdr:colOff>282643</xdr:colOff>
      <xdr:row>38</xdr:row>
      <xdr:rowOff>136145</xdr:rowOff>
    </xdr:to>
    <xdr:graphicFrame macro="">
      <xdr:nvGraphicFramePr>
        <xdr:cNvPr id="82" name="Chart 81">
          <a:extLst>
            <a:ext uri="{FF2B5EF4-FFF2-40B4-BE49-F238E27FC236}">
              <a16:creationId xmlns:a16="http://schemas.microsoft.com/office/drawing/2014/main" id="{8911DAF1-919A-486B-AF13-3D3943709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576161</xdr:colOff>
      <xdr:row>39</xdr:row>
      <xdr:rowOff>144946</xdr:rowOff>
    </xdr:from>
    <xdr:to>
      <xdr:col>20</xdr:col>
      <xdr:colOff>480908</xdr:colOff>
      <xdr:row>54</xdr:row>
      <xdr:rowOff>82826</xdr:rowOff>
    </xdr:to>
    <xdr:graphicFrame macro="">
      <xdr:nvGraphicFramePr>
        <xdr:cNvPr id="84" name="Chart 83">
          <a:extLst>
            <a:ext uri="{FF2B5EF4-FFF2-40B4-BE49-F238E27FC236}">
              <a16:creationId xmlns:a16="http://schemas.microsoft.com/office/drawing/2014/main" id="{BF687457-AEDC-4A70-BF14-F1D93E311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396013</xdr:colOff>
      <xdr:row>11</xdr:row>
      <xdr:rowOff>124758</xdr:rowOff>
    </xdr:from>
    <xdr:to>
      <xdr:col>20</xdr:col>
      <xdr:colOff>110263</xdr:colOff>
      <xdr:row>24</xdr:row>
      <xdr:rowOff>53319</xdr:rowOff>
    </xdr:to>
    <xdr:graphicFrame macro="">
      <xdr:nvGraphicFramePr>
        <xdr:cNvPr id="86" name="Chart 85">
          <a:extLst>
            <a:ext uri="{FF2B5EF4-FFF2-40B4-BE49-F238E27FC236}">
              <a16:creationId xmlns:a16="http://schemas.microsoft.com/office/drawing/2014/main" id="{2DA3BFAC-7F83-4FFF-8AE0-1A1BBF07D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535782</xdr:colOff>
      <xdr:row>56</xdr:row>
      <xdr:rowOff>83344</xdr:rowOff>
    </xdr:from>
    <xdr:to>
      <xdr:col>20</xdr:col>
      <xdr:colOff>250032</xdr:colOff>
      <xdr:row>67</xdr:row>
      <xdr:rowOff>83343</xdr:rowOff>
    </xdr:to>
    <xdr:graphicFrame macro="">
      <xdr:nvGraphicFramePr>
        <xdr:cNvPr id="104" name="Chart 103">
          <a:extLst>
            <a:ext uri="{FF2B5EF4-FFF2-40B4-BE49-F238E27FC236}">
              <a16:creationId xmlns:a16="http://schemas.microsoft.com/office/drawing/2014/main" id="{735C71E2-9AA2-4A4B-8FEA-C863341F9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0</xdr:colOff>
      <xdr:row>39</xdr:row>
      <xdr:rowOff>71437</xdr:rowOff>
    </xdr:from>
    <xdr:to>
      <xdr:col>3</xdr:col>
      <xdr:colOff>7144</xdr:colOff>
      <xdr:row>53</xdr:row>
      <xdr:rowOff>166689</xdr:rowOff>
    </xdr:to>
    <mc:AlternateContent xmlns:mc="http://schemas.openxmlformats.org/markup-compatibility/2006" xmlns:a14="http://schemas.microsoft.com/office/drawing/2010/main">
      <mc:Choice Requires="a14">
        <xdr:graphicFrame macro="">
          <xdr:nvGraphicFramePr>
            <xdr:cNvPr id="106" name="customer_name 1">
              <a:extLst>
                <a:ext uri="{FF2B5EF4-FFF2-40B4-BE49-F238E27FC236}">
                  <a16:creationId xmlns:a16="http://schemas.microsoft.com/office/drawing/2014/main" id="{763B7B4E-FCF3-4A9C-BA0E-3E83C3DEF24F}"/>
                </a:ext>
              </a:extLst>
            </xdr:cNvPr>
            <xdr:cNvGraphicFramePr/>
          </xdr:nvGraphicFramePr>
          <xdr:xfrm>
            <a:off x="0" y="0"/>
            <a:ext cx="0" cy="0"/>
          </xdr:xfrm>
          <a:graphic>
            <a:graphicData uri="http://schemas.microsoft.com/office/drawing/2010/slicer">
              <sle:slicer xmlns:sle="http://schemas.microsoft.com/office/drawing/2010/slicer" name="customer_name 1"/>
            </a:graphicData>
          </a:graphic>
        </xdr:graphicFrame>
      </mc:Choice>
      <mc:Fallback xmlns="">
        <xdr:sp macro="" textlink="">
          <xdr:nvSpPr>
            <xdr:cNvPr id="0" name=""/>
            <xdr:cNvSpPr>
              <a:spLocks noTextEdit="1"/>
            </xdr:cNvSpPr>
          </xdr:nvSpPr>
          <xdr:spPr>
            <a:xfrm>
              <a:off x="0" y="7500937"/>
              <a:ext cx="1835944" cy="2762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455997</xdr:colOff>
      <xdr:row>54</xdr:row>
      <xdr:rowOff>110769</xdr:rowOff>
    </xdr:from>
    <xdr:to>
      <xdr:col>11</xdr:col>
      <xdr:colOff>170247</xdr:colOff>
      <xdr:row>67</xdr:row>
      <xdr:rowOff>160535</xdr:rowOff>
    </xdr:to>
    <xdr:graphicFrame macro="">
      <xdr:nvGraphicFramePr>
        <xdr:cNvPr id="108" name="Chart 107">
          <a:extLst>
            <a:ext uri="{FF2B5EF4-FFF2-40B4-BE49-F238E27FC236}">
              <a16:creationId xmlns:a16="http://schemas.microsoft.com/office/drawing/2014/main" id="{13342474-540D-4A4A-9C2C-8A7F70668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342900</xdr:colOff>
      <xdr:row>0</xdr:row>
      <xdr:rowOff>14287</xdr:rowOff>
    </xdr:from>
    <xdr:to>
      <xdr:col>24</xdr:col>
      <xdr:colOff>38100</xdr:colOff>
      <xdr:row>14</xdr:row>
      <xdr:rowOff>90487</xdr:rowOff>
    </xdr:to>
    <xdr:graphicFrame macro="">
      <xdr:nvGraphicFramePr>
        <xdr:cNvPr id="2" name="Chart 1">
          <a:extLst>
            <a:ext uri="{FF2B5EF4-FFF2-40B4-BE49-F238E27FC236}">
              <a16:creationId xmlns:a16="http://schemas.microsoft.com/office/drawing/2014/main" id="{18730C6B-8CD4-471C-8000-A197AE19E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14287</xdr:colOff>
      <xdr:row>0</xdr:row>
      <xdr:rowOff>95250</xdr:rowOff>
    </xdr:from>
    <xdr:to>
      <xdr:col>16</xdr:col>
      <xdr:colOff>319087</xdr:colOff>
      <xdr:row>14</xdr:row>
      <xdr:rowOff>171450</xdr:rowOff>
    </xdr:to>
    <xdr:graphicFrame macro="">
      <xdr:nvGraphicFramePr>
        <xdr:cNvPr id="3" name="Chart 2">
          <a:extLst>
            <a:ext uri="{FF2B5EF4-FFF2-40B4-BE49-F238E27FC236}">
              <a16:creationId xmlns:a16="http://schemas.microsoft.com/office/drawing/2014/main" id="{FCDE07E7-7394-4798-9B50-9E69D245F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33337</xdr:colOff>
      <xdr:row>15</xdr:row>
      <xdr:rowOff>4762</xdr:rowOff>
    </xdr:from>
    <xdr:to>
      <xdr:col>16</xdr:col>
      <xdr:colOff>338137</xdr:colOff>
      <xdr:row>29</xdr:row>
      <xdr:rowOff>80962</xdr:rowOff>
    </xdr:to>
    <xdr:graphicFrame macro="">
      <xdr:nvGraphicFramePr>
        <xdr:cNvPr id="5" name="Chart 4">
          <a:extLst>
            <a:ext uri="{FF2B5EF4-FFF2-40B4-BE49-F238E27FC236}">
              <a16:creationId xmlns:a16="http://schemas.microsoft.com/office/drawing/2014/main" id="{D25E52FD-68E3-4925-A852-3CA3D72C1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14</xdr:row>
      <xdr:rowOff>157162</xdr:rowOff>
    </xdr:from>
    <xdr:to>
      <xdr:col>24</xdr:col>
      <xdr:colOff>76200</xdr:colOff>
      <xdr:row>29</xdr:row>
      <xdr:rowOff>42862</xdr:rowOff>
    </xdr:to>
    <xdr:graphicFrame macro="">
      <xdr:nvGraphicFramePr>
        <xdr:cNvPr id="6" name="Chart 5">
          <a:extLst>
            <a:ext uri="{FF2B5EF4-FFF2-40B4-BE49-F238E27FC236}">
              <a16:creationId xmlns:a16="http://schemas.microsoft.com/office/drawing/2014/main" id="{5A719706-6B17-469F-BF39-FFB0409B4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123825</xdr:colOff>
      <xdr:row>30</xdr:row>
      <xdr:rowOff>4762</xdr:rowOff>
    </xdr:from>
    <xdr:to>
      <xdr:col>16</xdr:col>
      <xdr:colOff>428625</xdr:colOff>
      <xdr:row>44</xdr:row>
      <xdr:rowOff>80962</xdr:rowOff>
    </xdr:to>
    <xdr:graphicFrame macro="">
      <xdr:nvGraphicFramePr>
        <xdr:cNvPr id="7" name="Chart 6">
          <a:extLst>
            <a:ext uri="{FF2B5EF4-FFF2-40B4-BE49-F238E27FC236}">
              <a16:creationId xmlns:a16="http://schemas.microsoft.com/office/drawing/2014/main" id="{DC236349-24A3-47DB-9398-EBE6D33FB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57150</xdr:colOff>
      <xdr:row>30</xdr:row>
      <xdr:rowOff>119062</xdr:rowOff>
    </xdr:from>
    <xdr:to>
      <xdr:col>24</xdr:col>
      <xdr:colOff>571500</xdr:colOff>
      <xdr:row>45</xdr:row>
      <xdr:rowOff>4762</xdr:rowOff>
    </xdr:to>
    <xdr:graphicFrame macro="">
      <xdr:nvGraphicFramePr>
        <xdr:cNvPr id="8" name="Chart 7">
          <a:extLst>
            <a:ext uri="{FF2B5EF4-FFF2-40B4-BE49-F238E27FC236}">
              <a16:creationId xmlns:a16="http://schemas.microsoft.com/office/drawing/2014/main" id="{675E6DE3-751D-4DF9-8591-93F611C65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57150</xdr:colOff>
      <xdr:row>45</xdr:row>
      <xdr:rowOff>71437</xdr:rowOff>
    </xdr:from>
    <xdr:to>
      <xdr:col>16</xdr:col>
      <xdr:colOff>361950</xdr:colOff>
      <xdr:row>59</xdr:row>
      <xdr:rowOff>147637</xdr:rowOff>
    </xdr:to>
    <xdr:graphicFrame macro="">
      <xdr:nvGraphicFramePr>
        <xdr:cNvPr id="9" name="Chart 8">
          <a:extLst>
            <a:ext uri="{FF2B5EF4-FFF2-40B4-BE49-F238E27FC236}">
              <a16:creationId xmlns:a16="http://schemas.microsoft.com/office/drawing/2014/main" id="{288DF6F1-D40D-41CF-B24A-9E387B83A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447675</xdr:colOff>
      <xdr:row>45</xdr:row>
      <xdr:rowOff>109537</xdr:rowOff>
    </xdr:from>
    <xdr:to>
      <xdr:col>24</xdr:col>
      <xdr:colOff>142875</xdr:colOff>
      <xdr:row>59</xdr:row>
      <xdr:rowOff>185737</xdr:rowOff>
    </xdr:to>
    <xdr:graphicFrame macro="">
      <xdr:nvGraphicFramePr>
        <xdr:cNvPr id="10" name="Chart 9">
          <a:extLst>
            <a:ext uri="{FF2B5EF4-FFF2-40B4-BE49-F238E27FC236}">
              <a16:creationId xmlns:a16="http://schemas.microsoft.com/office/drawing/2014/main" id="{94834909-8EBB-444D-A11F-CB8379DF92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638175</xdr:colOff>
      <xdr:row>37</xdr:row>
      <xdr:rowOff>1</xdr:rowOff>
    </xdr:from>
    <xdr:to>
      <xdr:col>5</xdr:col>
      <xdr:colOff>796290</xdr:colOff>
      <xdr:row>40</xdr:row>
      <xdr:rowOff>133350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78E7F9A9-4AC5-4D4F-90F5-9F0C180BC11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95700" y="7048501"/>
              <a:ext cx="2148840" cy="704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42</xdr:row>
      <xdr:rowOff>19050</xdr:rowOff>
    </xdr:from>
    <xdr:to>
      <xdr:col>1</xdr:col>
      <xdr:colOff>952500</xdr:colOff>
      <xdr:row>55</xdr:row>
      <xdr:rowOff>66675</xdr:rowOff>
    </xdr:to>
    <mc:AlternateContent xmlns:mc="http://schemas.openxmlformats.org/markup-compatibility/2006" xmlns:a14="http://schemas.microsoft.com/office/drawing/2010/main">
      <mc:Choice Requires="a14">
        <xdr:graphicFrame macro="">
          <xdr:nvGraphicFramePr>
            <xdr:cNvPr id="13" name="product_category">
              <a:extLst>
                <a:ext uri="{FF2B5EF4-FFF2-40B4-BE49-F238E27FC236}">
                  <a16:creationId xmlns:a16="http://schemas.microsoft.com/office/drawing/2014/main" id="{225CEA4C-755A-4C1A-9067-0ACEF315F8B7}"/>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8020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952500</xdr:colOff>
      <xdr:row>37</xdr:row>
      <xdr:rowOff>0</xdr:rowOff>
    </xdr:from>
    <xdr:to>
      <xdr:col>3</xdr:col>
      <xdr:colOff>600075</xdr:colOff>
      <xdr:row>50</xdr:row>
      <xdr:rowOff>47625</xdr:rowOff>
    </xdr:to>
    <mc:AlternateContent xmlns:mc="http://schemas.openxmlformats.org/markup-compatibility/2006" xmlns:a14="http://schemas.microsoft.com/office/drawing/2010/main">
      <mc:Choice Requires="a14">
        <xdr:graphicFrame macro="">
          <xdr:nvGraphicFramePr>
            <xdr:cNvPr id="15" name="city">
              <a:extLst>
                <a:ext uri="{FF2B5EF4-FFF2-40B4-BE49-F238E27FC236}">
                  <a16:creationId xmlns:a16="http://schemas.microsoft.com/office/drawing/2014/main" id="{57FF3E82-E936-401D-B5D5-2F61A097488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828800" y="7048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133350</xdr:rowOff>
    </xdr:from>
    <xdr:to>
      <xdr:col>1</xdr:col>
      <xdr:colOff>952500</xdr:colOff>
      <xdr:row>41</xdr:row>
      <xdr:rowOff>180975</xdr:rowOff>
    </xdr:to>
    <mc:AlternateContent xmlns:mc="http://schemas.openxmlformats.org/markup-compatibility/2006" xmlns:a14="http://schemas.microsoft.com/office/drawing/2010/main">
      <mc:Choice Requires="a14">
        <xdr:graphicFrame macro="">
          <xdr:nvGraphicFramePr>
            <xdr:cNvPr id="4" name="customer_name">
              <a:extLst>
                <a:ext uri="{FF2B5EF4-FFF2-40B4-BE49-F238E27FC236}">
                  <a16:creationId xmlns:a16="http://schemas.microsoft.com/office/drawing/2014/main" id="{825ADDA1-A84F-4E30-961B-CBFDC0FD05A8}"/>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0" y="5467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ena" refreshedDate="46242.196826620369" createdVersion="7" refreshedVersion="7" minRefreshableVersion="3" recordCount="3143" xr:uid="{00000000-000A-0000-FFFF-FFFF15000000}">
  <cacheSource type="worksheet">
    <worksheetSource name="Table1"/>
  </cacheSource>
  <cacheFields count="22">
    <cacheField name="order_id" numFmtId="0">
      <sharedItems/>
    </cacheField>
    <cacheField name="order_date" numFmtId="14">
      <sharedItems containsSemiMixedTypes="0" containsNonDate="0" containsDate="1" containsString="0" minDate="2020-01-01T00:00:00" maxDate="2024-12-31T00:00:00"/>
    </cacheField>
    <cacheField name="customer_id" numFmtId="0">
      <sharedItems/>
    </cacheField>
    <cacheField name="customer_name" numFmtId="0">
      <sharedItems count="400">
        <s v="Sanjay Verma"/>
        <s v="Pooja Sharma"/>
        <s v="Priya Reddy"/>
        <s v="Vikram Iyer"/>
        <s v="Arjun Shah"/>
        <s v="Aditya Sharma"/>
        <s v="Aditya Patel"/>
        <s v="Meera Mishra"/>
        <s v="Rahul Gupta"/>
        <s v="Nikhil Mishra"/>
        <s v="Sanjay Bose"/>
        <s v="Pooja Verma"/>
        <s v="Nikhil Bhat"/>
        <s v="Sanjay Reddy"/>
        <s v="Nikhil Bose"/>
        <s v="Rahul Kapoor"/>
        <s v="Arjun Pillai"/>
        <s v="Kavya Patel"/>
        <s v="Kavya Pillai"/>
        <s v="Deepa Pillai"/>
        <s v="Vikram Pillai"/>
        <s v="Rahul Sharma"/>
        <s v="Ritu Nair"/>
        <s v="Ananya Patel"/>
        <s v="Karan Iyer"/>
        <s v="Sanjay Shah"/>
        <s v="Vikram Kumar"/>
        <s v="Kavya Verma"/>
        <s v="Ananya Nair"/>
        <s v="Meera Kumar"/>
        <s v="Nikhil Reddy"/>
        <s v="Aditya Mehta"/>
        <s v="Meera Chatterjee"/>
        <s v="Vikram Shah"/>
        <s v="Aditya Pillai"/>
        <s v="Ritu Verma"/>
        <s v="Shreya Kumar"/>
        <s v="Rohan Nair"/>
        <s v="Priya Joshi"/>
        <s v="Deepa Nair"/>
        <s v="Sanjay Joshi"/>
        <s v="Ritu Gupta"/>
        <s v="Aarav Pillai"/>
        <s v="Aditya Gupta"/>
        <s v="Ananya Joshi"/>
        <s v="Nisha Mehta"/>
        <s v="Ananya Shah"/>
        <s v="Aditya Das"/>
        <s v="Deepa Das"/>
        <s v="Vikram Nair"/>
        <s v="Meera Gupta"/>
        <s v="Meera Singh"/>
        <s v="Sanjay Iyer"/>
        <s v="Nisha Shah"/>
        <s v="Shreya Reddy"/>
        <s v="Ananya Verma"/>
        <s v="Karan Das"/>
        <s v="Priya Singh"/>
        <s v="Nikhil Patel"/>
        <s v="Deepa Rao"/>
        <s v="Vikram Gupta"/>
        <s v="Rahul Verma"/>
        <s v="Meera Nair"/>
        <s v="Rahul Das"/>
        <s v="Pooja Mishra"/>
        <s v="Sunita Joshi"/>
        <s v="Nikhil Nair"/>
        <s v="Rahul Chatterjee"/>
        <s v="Amit Verma"/>
        <s v="Deepa Verma"/>
        <s v="Meera Pillai"/>
        <s v="Amit Patel"/>
        <s v="Sunita Gupta"/>
        <s v="Rohan Shah"/>
        <s v="Shreya Pillai"/>
        <s v="Arjun Chatterjee"/>
        <s v="Sanjay Mehta"/>
        <s v="Amit Das"/>
        <s v="Sunita Reddy"/>
        <s v="Karan Bose"/>
        <s v="Nikhil Joshi"/>
        <s v="Ananya Rao"/>
        <s v="Kavya Singh"/>
        <s v="Priya Sharma"/>
        <s v="Sunita Verma"/>
        <s v="Amit Singh"/>
        <s v="Karan Reddy"/>
        <s v="Nisha Kapoor"/>
        <s v="Pooja Iyer"/>
        <s v="Shreya Gupta"/>
        <s v="Ritu Reddy"/>
        <s v="Pooja Shah"/>
        <s v="Sunita Iyer"/>
        <s v="Meera Iyer"/>
        <s v="Kavya Das"/>
        <s v="Sunita Sharma"/>
        <s v="Vikram Chatterjee"/>
        <s v="Rohan Pillai"/>
        <s v="Rohan Kumar"/>
        <s v="Aarav Mehta"/>
        <s v="Nisha Joshi"/>
        <s v="Priya Verma"/>
        <s v="Kavya Rao"/>
        <s v="Vikram Joshi"/>
        <s v="Vikram Bhat"/>
        <s v="Shreya Mishra"/>
        <s v="Nisha Bhat"/>
        <s v="Aditya Bose"/>
        <s v="Rahul Kumar"/>
        <s v="Aarav Das"/>
        <s v="Meera Mehta"/>
        <s v="Vikram Sharma"/>
        <s v="Meera Joshi"/>
        <s v="Pooja Rao"/>
        <s v="Arjun Iyer"/>
        <s v="Sanjay Gupta"/>
        <s v="Priya Gupta"/>
        <s v="Deepa Kapoor"/>
        <s v="Shreya Rao"/>
        <s v="Priya Pillai"/>
        <s v="Pooja Bhat"/>
        <s v="Vikram Mehta"/>
        <s v="Nisha Reddy"/>
        <s v="Aditya Shah"/>
        <s v="Sunita Pillai"/>
        <s v="Pooja Mehta"/>
        <s v="Nisha Das"/>
        <s v="Deepa Bose"/>
        <s v="Kavya Kumar"/>
        <s v="Pooja Kumar"/>
        <s v="Deepa Joshi"/>
        <s v="Aarav Verma"/>
        <s v="Sunita Kumar"/>
        <s v="Kavya Shah"/>
        <s v="Rohan Patel"/>
        <s v="Rahul Bose"/>
        <s v="Shreya Das"/>
        <s v="Amit Kumar"/>
        <s v="Ananya Reddy"/>
        <s v="Priya Mishra"/>
        <s v="Meera Rao"/>
        <s v="Sanjay Chatterjee"/>
        <s v="Pooja Kapoor"/>
        <s v="Deepa Kumar"/>
        <s v="Sunita Das"/>
        <s v="Ritu Bose"/>
        <s v="Ananya Gupta"/>
        <s v="Aditya Chatterjee"/>
        <s v="Ritu Pillai"/>
        <s v="Amit Iyer"/>
        <s v="Arjun Reddy"/>
        <s v="Kavya Iyer"/>
        <s v="Vikram Kapoor"/>
        <s v="Karan Sharma"/>
        <s v="Pooja Gupta"/>
        <s v="Vikram Verma"/>
        <s v="Sanjay Sharma"/>
        <s v="Karan Singh"/>
        <s v="Meera Das"/>
        <s v="Nisha Mishra"/>
        <s v="Nisha Singh"/>
        <s v="Arjun Verma"/>
        <s v="Amit Pillai"/>
        <s v="Kavya Nair"/>
        <s v="Sanjay Kapoor"/>
        <s v="Shreya Kapoor"/>
        <s v="Meera Verma"/>
        <s v="Nikhil Gupta"/>
        <s v="Sanjay Mishra"/>
        <s v="Arjun Kapoor"/>
        <s v="Rohan Chatterjee"/>
        <s v="Deepa Gupta"/>
        <s v="Amit Rao"/>
        <s v="Ritu Mishra"/>
        <s v="Ritu Sharma"/>
        <s v="Sunita Patel"/>
        <s v="Sanjay Rao"/>
        <s v="Aditya Singh"/>
        <s v="Amit Bhat"/>
        <s v="Nisha Bose"/>
        <s v="Vikram Singh"/>
        <s v="Aarav Joshi"/>
        <s v="Ritu Das"/>
        <s v="Priya Nair"/>
        <s v="Aditya Nair"/>
        <s v="Shreya Verma"/>
        <s v="Pooja Joshi"/>
        <s v="Nikhil Verma"/>
        <s v="Rohan Singh"/>
        <s v="Priya Kapoor"/>
        <s v="Amit Reddy"/>
        <s v="Sunita Bose"/>
        <s v="Sunita Mehta"/>
        <s v="Arjun Patel"/>
        <s v="Amit Nair"/>
        <s v="Sanjay Nair"/>
        <s v="Shreya Mehta"/>
        <s v="Ritu Joshi"/>
        <s v="Ritu Kumar"/>
        <s v="Ananya Sharma"/>
        <s v="Rahul Patel"/>
        <s v="Meera Patel"/>
        <s v="Shreya Bose"/>
        <s v="Ananya Das"/>
        <s v="Karan Mishra"/>
        <s v="Pooja Reddy"/>
        <s v="Ananya Mishra"/>
        <s v="Nisha Iyer"/>
        <s v="Aarav Shah"/>
        <s v="Priya Mehta"/>
        <s v="Ananya Bhat"/>
        <s v="Aarav Mishra"/>
        <s v="Sunita Singh"/>
        <s v="Aarav Bose"/>
        <s v="Kavya Sharma"/>
        <s v="Priya Shah"/>
        <s v="Rahul Singh"/>
        <s v="Ananya Singh"/>
        <s v="Arjun Bose"/>
        <s v="Nisha Kumar"/>
        <s v="Meera Kapoor"/>
        <s v="Nikhil Kumar"/>
        <s v="Nisha Gupta"/>
        <s v="Priya Chatterjee"/>
        <s v="Priya Bose"/>
        <s v="Rohan Bhat"/>
        <s v="Ritu Bhat"/>
        <s v="Shreya Shah"/>
        <s v="Rohan Verma"/>
        <s v="Kavya Kapoor"/>
        <s v="Aarav Rao"/>
        <s v="Kavya Bose"/>
        <s v="Amit Bose"/>
        <s v="Rahul Mishra"/>
        <s v="Nikhil Chatterjee"/>
        <s v="Rohan Mehta"/>
        <s v="Arjun Rao"/>
        <s v="Kavya Reddy"/>
        <s v="Kavya Bhat"/>
        <s v="Sanjay Bhat"/>
        <s v="Nisha Rao"/>
        <s v="Rahul Bhat"/>
        <s v="Deepa Mehta"/>
        <s v="Deepa Iyer"/>
        <s v="Shreya Bhat"/>
        <s v="Pooja Singh"/>
        <s v="Rohan Rao"/>
        <s v="Ritu Shah"/>
        <s v="Aarav Patel"/>
        <s v="Karan Rao"/>
        <s v="Rahul Nair"/>
        <s v="Priya Kumar"/>
        <s v="Karan Nair"/>
        <s v="Shreya Iyer"/>
        <s v="Ananya Kumar"/>
        <s v="Aditya Rao"/>
        <s v="Ritu Chatterjee"/>
        <s v="Amit Kapoor"/>
        <s v="Shreya Patel"/>
        <s v="Kavya Mehta"/>
        <s v="Meera Reddy"/>
        <s v="Sanjay Singh"/>
        <s v="Aditya Iyer"/>
        <s v="Rahul Iyer"/>
        <s v="Karan Patel"/>
        <s v="Nikhil Shah"/>
        <s v="Amit Mehta"/>
        <s v="Sunita Mishra"/>
        <s v="Vikram Rao"/>
        <s v="Kavya Joshi"/>
        <s v="Nikhil Iyer"/>
        <s v="Aditya Kumar"/>
        <s v="Karan Verma"/>
        <s v="Karan Shah"/>
        <s v="Vikram Das"/>
        <s v="Amit Sharma"/>
        <s v="Amit Chatterjee"/>
        <s v="Arjun Bhat"/>
        <s v="Pooja Patel"/>
        <s v="Arjun Das"/>
        <s v="Sunita Bhat"/>
        <s v="Pooja Chatterjee"/>
        <s v="Rohan Mishra"/>
        <s v="Meera Shah"/>
        <s v="Arjun Gupta"/>
        <s v="Sunita Chatterjee"/>
        <s v="Deepa Bhat"/>
        <s v="Priya Das"/>
        <s v="Shreya Singh"/>
        <s v="Arjun Kumar"/>
        <s v="Aarav Sharma"/>
        <s v="Nikhil Sharma"/>
        <s v="Karan Gupta"/>
        <s v="Aarav Singh"/>
        <s v="Aarav Kapoor"/>
        <s v="Nikhil Pillai"/>
        <s v="Ananya Mehta"/>
        <s v="Nikhil Singh"/>
        <s v="Nisha Sharma"/>
        <s v="Nisha Patel"/>
        <s v="Arjun Sharma"/>
        <s v="Aarav Gupta"/>
        <s v="Meera Bhat"/>
        <s v="Aarav Chatterjee"/>
        <s v="Pooja Nair"/>
        <s v="Rohan Gupta"/>
        <s v="Pooja Das"/>
        <s v="Kavya Mishra"/>
        <s v="Ritu Iyer"/>
        <s v="Kavya Gupta"/>
        <s v="Deepa Chatterjee"/>
        <s v="Sanjay Das"/>
        <s v="Shreya Sharma"/>
        <s v="Shreya Nair"/>
        <s v="Nisha Chatterjee"/>
        <s v="Karan Kapoor"/>
        <s v="Karan Kumar"/>
        <s v="Amit Gupta"/>
        <s v="Deepa Sharma"/>
        <s v="Vikram Bose"/>
        <s v="Nikhil Kapoor"/>
        <s v="Sanjay Patel"/>
        <s v="Sanjay Kumar"/>
        <s v="Karan Bhat"/>
        <s v="Amit Shah"/>
        <s v="Karan Joshi"/>
        <s v="Ritu Kapoor"/>
        <s v="Rahul Joshi"/>
        <s v="Nikhil Mehta"/>
        <s v="Rohan Kapoor"/>
        <s v="Aarav Nair"/>
        <s v="Rohan Iyer"/>
        <s v="Priya Patel"/>
        <s v="Amit Mishra"/>
        <s v="Ritu Singh"/>
        <s v="Arjun Nair"/>
        <s v="Rahul Pillai"/>
        <s v="Priya Iyer"/>
        <s v="Nisha Pillai"/>
        <s v="Arjun Mishra"/>
        <s v="Ritu Mehta"/>
        <s v="Vikram Reddy"/>
        <s v="Aditya Joshi"/>
        <s v="Ritu Rao"/>
        <s v="Sunita Shah"/>
        <s v="Ananya Pillai"/>
        <s v="Karan Pillai"/>
        <s v="Shreya Joshi"/>
        <s v="Aarav Kumar"/>
        <s v="Pooja Bose"/>
        <s v="Sunita Nair"/>
        <s v="Amit Joshi"/>
        <s v="Deepa Mishra"/>
        <s v="Ritu Patel"/>
        <s v="Rahul Reddy"/>
        <s v="Rahul Mehta"/>
        <s v="Rohan Das"/>
        <s v="Priya Bhat"/>
        <s v="Karan Mehta"/>
        <s v="Kavya Chatterjee"/>
        <s v="Ananya Kapoor"/>
        <s v="Karan Chatterjee"/>
        <s v="Nisha Verma"/>
        <s v="Nikhil Rao"/>
        <s v="Sunita Kapoor"/>
        <s v="Rohan Joshi"/>
        <s v="Aarav Iyer"/>
        <s v="Arjun Singh"/>
        <s v="Priya Rao"/>
        <s v="Rahul Shah"/>
        <s v="Meera Sharma"/>
        <s v="Rohan Bose"/>
        <s v="Vikram Patel"/>
        <s v="Arjun Mehta"/>
        <s v="Deepa Patel"/>
        <s v="Aditya Mishra"/>
        <s v="Deepa Singh"/>
        <s v="Pooja Pillai"/>
        <s v="Ananya Iyer"/>
        <s v="Deepa Reddy"/>
        <s v="Ananya Bose"/>
        <s v="Aarav Reddy"/>
        <s v="Rohan Sharma"/>
        <s v="Vikram Mishra"/>
        <s v="Aarav Bhat"/>
        <s v="Sanjay Pillai"/>
        <s v="Shreya Chatterjee"/>
        <s v="Sunita Rao"/>
        <s v="Nikhil Das"/>
        <s v="Meera Bose"/>
        <s v="Rohan Reddy"/>
        <s v="Aditya Bhat"/>
        <s v="Nisha Nair"/>
        <s v="Deepa Shah"/>
        <s v="Aditya Verma"/>
        <s v="Arjun Joshi"/>
        <s v="Aditya Kapoor"/>
        <s v="Ananya Chatterjee"/>
        <s v="Rahul Rao"/>
        <s v="Aditya Reddy"/>
      </sharedItems>
    </cacheField>
    <cacheField name="age" numFmtId="0">
      <sharedItems containsSemiMixedTypes="0" containsString="0" containsNumber="1" containsInteger="1" minValue="18" maxValue="72"/>
    </cacheField>
    <cacheField name="age_group" numFmtId="0">
      <sharedItems count="4">
        <s v="26-35"/>
        <s v="36-50"/>
        <s v="51+"/>
        <s v="18-25"/>
      </sharedItems>
    </cacheField>
    <cacheField name="gender" numFmtId="0">
      <sharedItems count="3">
        <s v="Male"/>
        <s v="Other"/>
        <s v="Female"/>
      </sharedItems>
    </cacheField>
    <cacheField name="region" numFmtId="0">
      <sharedItems count="5">
        <s v="West"/>
        <s v="Central"/>
        <s v="North"/>
        <s v="East"/>
        <s v="South"/>
      </sharedItems>
    </cacheField>
    <cacheField name="city" numFmtId="0">
      <sharedItems count="20">
        <s v="Mumbai"/>
        <s v="Surat"/>
        <s v="Ahmedabad"/>
        <s v="Bhopal"/>
        <s v="Amritsar"/>
        <s v="Patna"/>
        <s v="Raipur"/>
        <s v="Bangalore"/>
        <s v="Kochi"/>
        <s v="Delhi"/>
        <s v="Nagpur"/>
        <s v="Indore"/>
        <s v="Guwahati"/>
        <s v="Chandigarh"/>
        <s v="Ludhiana"/>
        <s v="Bhubaneswar"/>
        <s v="Kolkata"/>
        <s v="Hyderabad"/>
        <s v="Chennai"/>
        <s v="Pune"/>
      </sharedItems>
    </cacheField>
    <cacheField name="product_category" numFmtId="0">
      <sharedItems count="7">
        <s v="Beauty"/>
        <s v="Furniture"/>
        <s v="Books"/>
        <s v="Clothing"/>
        <s v="Sports"/>
        <s v="Groceries"/>
        <s v="Electronics"/>
      </sharedItems>
    </cacheField>
    <cacheField name="product_name" numFmtId="0">
      <sharedItems/>
    </cacheField>
    <cacheField name="quantity" numFmtId="0">
      <sharedItems containsSemiMixedTypes="0" containsString="0" containsNumber="1" containsInteger="1" minValue="1" maxValue="999"/>
    </cacheField>
    <cacheField name="unit_price" numFmtId="0">
      <sharedItems containsSemiMixedTypes="0" containsString="0" containsNumber="1" minValue="50.26" maxValue="79957.919999999998"/>
    </cacheField>
    <cacheField name="discount_pct" numFmtId="0">
      <sharedItems containsSemiMixedTypes="0" containsString="0" containsNumber="1" minValue="0" maxValue="0.4" count="41">
        <n v="0.08"/>
        <n v="0.14000000000000001"/>
        <n v="0.17"/>
        <n v="0.22"/>
        <n v="0.02"/>
        <n v="0.01"/>
        <n v="0.37"/>
        <n v="0.15"/>
        <n v="0.04"/>
        <n v="0.12"/>
        <n v="0.28999999999999998"/>
        <n v="0.21"/>
        <n v="0.28000000000000003"/>
        <n v="0.03"/>
        <n v="0.34"/>
        <n v="0.25"/>
        <n v="7.0000000000000007E-2"/>
        <n v="0.4"/>
        <n v="0.32"/>
        <n v="0.13"/>
        <n v="0.18"/>
        <n v="0.36"/>
        <n v="0.38"/>
        <n v="0.27"/>
        <n v="0"/>
        <n v="0.3"/>
        <n v="0.26"/>
        <n v="0.24"/>
        <n v="0.05"/>
        <n v="0.06"/>
        <n v="0.33"/>
        <n v="0.16"/>
        <n v="0.09"/>
        <n v="0.2"/>
        <n v="0.35"/>
        <n v="0.31"/>
        <n v="0.19"/>
        <n v="0.23"/>
        <n v="0.11"/>
        <n v="0.1"/>
        <n v="0.39"/>
      </sharedItems>
    </cacheField>
    <cacheField name="sales_amount" numFmtId="0">
      <sharedItems containsSemiMixedTypes="0" containsString="0" containsNumber="1" minValue="39.450000000000003" maxValue="7936261.2000000002"/>
    </cacheField>
    <cacheField name="profit" numFmtId="0">
      <sharedItems containsSemiMixedTypes="0" containsString="0" containsNumber="1" minValue="1.56" maxValue="1739854"/>
    </cacheField>
    <cacheField name="shipping_cost" numFmtId="0">
      <sharedItems containsSemiMixedTypes="0" containsString="0" containsNumber="1" minValue="-4.29" maxValue="133.35"/>
    </cacheField>
    <cacheField name="payment_method" numFmtId="0">
      <sharedItems count="6">
        <s v="Debit Card"/>
        <s v="EMI"/>
        <s v="Cash on Delivery"/>
        <s v="Credit Card"/>
        <s v="UPI"/>
        <s v="Net Banking"/>
      </sharedItems>
    </cacheField>
    <cacheField name="customer_satisfaction" numFmtId="0">
      <sharedItems containsSemiMixedTypes="0" containsString="0" containsNumber="1" containsInteger="1" minValue="1" maxValue="5"/>
    </cacheField>
    <cacheField name="return_flag" numFmtId="0">
      <sharedItems count="2">
        <b v="0"/>
        <b v="1"/>
      </sharedItems>
    </cacheField>
    <cacheField name="order_status" numFmtId="0">
      <sharedItems count="5">
        <s v="Delivered"/>
        <s v="Returned"/>
        <s v="Cancelled"/>
        <s v="Shipped"/>
        <s v="Pending"/>
      </sharedItems>
    </cacheField>
    <cacheField name="days_to_ship" numFmtId="0">
      <sharedItems containsSemiMixedTypes="0" containsString="0" containsNumber="1" containsInteger="1" minValue="1" maxValue="100"/>
    </cacheField>
  </cacheFields>
  <extLst>
    <ext xmlns:x14="http://schemas.microsoft.com/office/spreadsheetml/2009/9/main" uri="{725AE2AE-9491-48be-B2B4-4EB974FC3084}">
      <x14:pivotCacheDefinition pivotCacheId="1418210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43">
  <r>
    <s v="ORD-02198"/>
    <d v="2022-08-16T00:00:00"/>
    <s v="CUST07881"/>
    <x v="0"/>
    <n v="28"/>
    <x v="0"/>
    <x v="0"/>
    <x v="0"/>
    <x v="0"/>
    <x v="0"/>
    <s v="Sunscreen"/>
    <n v="8"/>
    <n v="858.66"/>
    <x v="0"/>
    <n v="9147.31"/>
    <n v="5355.56"/>
    <n v="64.489999999999995"/>
    <x v="0"/>
    <n v="5"/>
    <x v="0"/>
    <x v="0"/>
    <n v="2"/>
  </r>
  <r>
    <s v="ORD-01348"/>
    <d v="2021-08-29T00:00:00"/>
    <s v="CUST49296"/>
    <x v="1"/>
    <n v="41"/>
    <x v="1"/>
    <x v="1"/>
    <x v="0"/>
    <x v="1"/>
    <x v="1"/>
    <s v="Sofa"/>
    <n v="4"/>
    <n v="25941.32"/>
    <x v="1"/>
    <n v="110156.97"/>
    <n v="36956.51"/>
    <n v="67.650000000000006"/>
    <x v="0"/>
    <n v="4"/>
    <x v="0"/>
    <x v="0"/>
    <n v="5"/>
  </r>
  <r>
    <s v="ORD-02076"/>
    <d v="2022-07-05T00:00:00"/>
    <s v="CUST05587"/>
    <x v="2"/>
    <n v="29"/>
    <x v="0"/>
    <x v="1"/>
    <x v="0"/>
    <x v="2"/>
    <x v="1"/>
    <s v="Bed Frame"/>
    <n v="9"/>
    <n v="22071.919999999998"/>
    <x v="2"/>
    <n v="262066.11"/>
    <n v="66644.990000000005"/>
    <n v="54.47"/>
    <x v="1"/>
    <n v="3"/>
    <x v="0"/>
    <x v="0"/>
    <n v="4"/>
  </r>
  <r>
    <s v="ORD-03954"/>
    <d v="2024-02-09T00:00:00"/>
    <s v="CUST17187"/>
    <x v="3"/>
    <n v="29"/>
    <x v="0"/>
    <x v="0"/>
    <x v="0"/>
    <x v="1"/>
    <x v="2"/>
    <s v="Self-Help Book"/>
    <n v="2"/>
    <n v="949.5"/>
    <x v="3"/>
    <n v="2202.33"/>
    <n v="964.66"/>
    <n v="62.42"/>
    <x v="2"/>
    <n v="2"/>
    <x v="1"/>
    <x v="1"/>
    <n v="8"/>
  </r>
  <r>
    <s v="ORD-01412"/>
    <d v="2021-09-28T00:00:00"/>
    <s v="CUST02453"/>
    <x v="4"/>
    <n v="31"/>
    <x v="0"/>
    <x v="2"/>
    <x v="1"/>
    <x v="3"/>
    <x v="2"/>
    <s v="Self-Help Book"/>
    <n v="3"/>
    <n v="329.03"/>
    <x v="4"/>
    <n v="994.87"/>
    <n v="375.07"/>
    <n v="77.34"/>
    <x v="3"/>
    <n v="5"/>
    <x v="1"/>
    <x v="1"/>
    <n v="10"/>
  </r>
  <r>
    <s v="ORD-02911"/>
    <d v="2023-06-10T00:00:00"/>
    <s v="CUST23285"/>
    <x v="5"/>
    <n v="43"/>
    <x v="1"/>
    <x v="2"/>
    <x v="2"/>
    <x v="4"/>
    <x v="3"/>
    <s v="Saree"/>
    <n v="1"/>
    <n v="1356.6"/>
    <x v="5"/>
    <n v="2140.41"/>
    <n v="717.27"/>
    <n v="82.68"/>
    <x v="4"/>
    <n v="1"/>
    <x v="0"/>
    <x v="0"/>
    <n v="4"/>
  </r>
  <r>
    <s v="ORD-00465"/>
    <d v="2020-07-24T00:00:00"/>
    <s v="CUST23609"/>
    <x v="6"/>
    <n v="44"/>
    <x v="1"/>
    <x v="2"/>
    <x v="3"/>
    <x v="5"/>
    <x v="2"/>
    <s v="Self-Help Book"/>
    <n v="8"/>
    <n v="495.77"/>
    <x v="6"/>
    <n v="2828.82"/>
    <n v="1338.88"/>
    <n v="84.5"/>
    <x v="0"/>
    <n v="1"/>
    <x v="0"/>
    <x v="2"/>
    <n v="10"/>
  </r>
  <r>
    <s v="ORD-00362"/>
    <d v="2020-06-04T00:00:00"/>
    <s v="CUST80340"/>
    <x v="7"/>
    <n v="51"/>
    <x v="2"/>
    <x v="1"/>
    <x v="1"/>
    <x v="6"/>
    <x v="1"/>
    <s v="Wardrobe"/>
    <n v="3"/>
    <n v="24460.799999999999"/>
    <x v="7"/>
    <n v="86997.39"/>
    <n v="14762.22"/>
    <n v="60.11"/>
    <x v="4"/>
    <n v="1"/>
    <x v="0"/>
    <x v="0"/>
    <n v="8"/>
  </r>
  <r>
    <s v="ORD-01814"/>
    <d v="2022-03-14T00:00:00"/>
    <s v="CUST08792"/>
    <x v="8"/>
    <n v="26"/>
    <x v="0"/>
    <x v="0"/>
    <x v="4"/>
    <x v="7"/>
    <x v="3"/>
    <s v="Dress"/>
    <n v="10"/>
    <n v="1706.05"/>
    <x v="8"/>
    <n v="17995.41"/>
    <n v="6453.4"/>
    <n v="89.15"/>
    <x v="4"/>
    <n v="5"/>
    <x v="0"/>
    <x v="0"/>
    <n v="4"/>
  </r>
  <r>
    <s v="ORD-04171"/>
    <d v="2024-12-17T00:00:00"/>
    <s v="CUST15084"/>
    <x v="9"/>
    <n v="43"/>
    <x v="1"/>
    <x v="0"/>
    <x v="4"/>
    <x v="8"/>
    <x v="3"/>
    <s v="Jacket"/>
    <n v="5"/>
    <n v="3006.52"/>
    <x v="9"/>
    <n v="10622.32"/>
    <n v="4837.79"/>
    <n v="75.97"/>
    <x v="3"/>
    <n v="1"/>
    <x v="0"/>
    <x v="0"/>
    <n v="5"/>
  </r>
  <r>
    <s v="ORD-00049"/>
    <d v="2020-01-19T00:00:00"/>
    <s v="CUST43401"/>
    <x v="10"/>
    <n v="21"/>
    <x v="3"/>
    <x v="1"/>
    <x v="2"/>
    <x v="9"/>
    <x v="1"/>
    <s v="Sofa"/>
    <n v="3"/>
    <n v="34890.629999999997"/>
    <x v="10"/>
    <n v="64727.53"/>
    <n v="18067.63"/>
    <n v="40.97"/>
    <x v="5"/>
    <n v="5"/>
    <x v="0"/>
    <x v="3"/>
    <n v="3"/>
  </r>
  <r>
    <s v="ORD-04158"/>
    <d v="2024-12-10T00:00:00"/>
    <s v="CUST75042"/>
    <x v="11"/>
    <n v="44"/>
    <x v="1"/>
    <x v="2"/>
    <x v="1"/>
    <x v="10"/>
    <x v="2"/>
    <s v="Self-Help Book"/>
    <n v="7"/>
    <n v="612.70000000000005"/>
    <x v="3"/>
    <n v="3224.82"/>
    <n v="991.03"/>
    <n v="55.8"/>
    <x v="3"/>
    <n v="5"/>
    <x v="0"/>
    <x v="0"/>
    <n v="4"/>
  </r>
  <r>
    <s v="ORD-03913"/>
    <d v="2024-08-17T00:00:00"/>
    <s v="CUST83779"/>
    <x v="12"/>
    <n v="31"/>
    <x v="0"/>
    <x v="1"/>
    <x v="0"/>
    <x v="1"/>
    <x v="4"/>
    <s v="Football"/>
    <n v="9"/>
    <n v="3000.32"/>
    <x v="11"/>
    <n v="29267.25"/>
    <n v="6330.95"/>
    <n v="68.5"/>
    <x v="4"/>
    <n v="4"/>
    <x v="0"/>
    <x v="0"/>
    <n v="9"/>
  </r>
  <r>
    <s v="ORD-01473"/>
    <d v="2021-10-25T00:00:00"/>
    <s v="CUST33809"/>
    <x v="13"/>
    <n v="31"/>
    <x v="0"/>
    <x v="1"/>
    <x v="0"/>
    <x v="1"/>
    <x v="5"/>
    <s v="Cooking Oil"/>
    <n v="2"/>
    <n v="233.12"/>
    <x v="12"/>
    <n v="322.86"/>
    <n v="21.37"/>
    <n v="57.3"/>
    <x v="2"/>
    <n v="3"/>
    <x v="0"/>
    <x v="0"/>
    <n v="7"/>
  </r>
  <r>
    <s v="ORD-03795"/>
    <d v="2024-07-07T00:00:00"/>
    <s v="CUST28954"/>
    <x v="14"/>
    <n v="35"/>
    <x v="0"/>
    <x v="2"/>
    <x v="1"/>
    <x v="3"/>
    <x v="3"/>
    <s v="T-Shirt"/>
    <n v="2"/>
    <n v="735.25"/>
    <x v="13"/>
    <n v="2477.7199999999998"/>
    <n v="795.65"/>
    <n v="74.95"/>
    <x v="4"/>
    <n v="5"/>
    <x v="0"/>
    <x v="0"/>
    <n v="8"/>
  </r>
  <r>
    <s v="ORD-01275"/>
    <d v="2021-07-28T00:00:00"/>
    <s v="CUST94413"/>
    <x v="8"/>
    <n v="35"/>
    <x v="0"/>
    <x v="0"/>
    <x v="1"/>
    <x v="11"/>
    <x v="6"/>
    <s v="Laptop"/>
    <n v="9"/>
    <n v="63147.82"/>
    <x v="1"/>
    <n v="671607.78"/>
    <n v="86070.79"/>
    <n v="60.5"/>
    <x v="2"/>
    <n v="4"/>
    <x v="1"/>
    <x v="1"/>
    <n v="3"/>
  </r>
  <r>
    <s v="ORD-00412"/>
    <d v="2020-07-01T00:00:00"/>
    <s v="CUST88814"/>
    <x v="15"/>
    <n v="51"/>
    <x v="2"/>
    <x v="1"/>
    <x v="0"/>
    <x v="2"/>
    <x v="2"/>
    <s v="Comic Book"/>
    <n v="8"/>
    <n v="635.66"/>
    <x v="14"/>
    <n v="3704.84"/>
    <n v="1269.07"/>
    <n v="67.010000000000005"/>
    <x v="2"/>
    <n v="1"/>
    <x v="0"/>
    <x v="0"/>
    <n v="3"/>
  </r>
  <r>
    <s v="ORD-01848"/>
    <d v="2022-03-29T00:00:00"/>
    <s v="CUST43339"/>
    <x v="16"/>
    <n v="28"/>
    <x v="0"/>
    <x v="0"/>
    <x v="4"/>
    <x v="8"/>
    <x v="4"/>
    <s v="Cricket Bat"/>
    <n v="7"/>
    <n v="6478.95"/>
    <x v="3"/>
    <n v="43346.6"/>
    <n v="8443.99"/>
    <n v="69.59"/>
    <x v="1"/>
    <n v="1"/>
    <x v="0"/>
    <x v="0"/>
    <n v="2"/>
  </r>
  <r>
    <s v="ORD-02684"/>
    <d v="2023-03-10T00:00:00"/>
    <s v="CUST32875"/>
    <x v="17"/>
    <n v="41"/>
    <x v="1"/>
    <x v="0"/>
    <x v="4"/>
    <x v="8"/>
    <x v="0"/>
    <s v="Hair Oil"/>
    <n v="3"/>
    <n v="1290.21"/>
    <x v="9"/>
    <n v="3690.09"/>
    <n v="1777.76"/>
    <n v="64.97"/>
    <x v="2"/>
    <n v="3"/>
    <x v="0"/>
    <x v="0"/>
    <n v="5"/>
  </r>
  <r>
    <s v="ORD-00936"/>
    <d v="2021-02-27T00:00:00"/>
    <s v="CUST82575"/>
    <x v="18"/>
    <n v="29"/>
    <x v="0"/>
    <x v="2"/>
    <x v="1"/>
    <x v="10"/>
    <x v="1"/>
    <s v="Bookshelf"/>
    <n v="1"/>
    <n v="33537.06"/>
    <x v="15"/>
    <n v="24565.06"/>
    <n v="5814.79"/>
    <n v="56.47"/>
    <x v="0"/>
    <n v="4"/>
    <x v="0"/>
    <x v="0"/>
    <n v="2"/>
  </r>
  <r>
    <s v="ORD-03422"/>
    <d v="2024-01-23T00:00:00"/>
    <s v="CUST58923"/>
    <x v="19"/>
    <n v="20"/>
    <x v="3"/>
    <x v="0"/>
    <x v="3"/>
    <x v="12"/>
    <x v="6"/>
    <s v="Headphones"/>
    <n v="3"/>
    <n v="64874.09"/>
    <x v="4"/>
    <n v="177754.39"/>
    <n v="20320.939999999999"/>
    <n v="79.56"/>
    <x v="4"/>
    <n v="1"/>
    <x v="0"/>
    <x v="0"/>
    <n v="7"/>
  </r>
  <r>
    <s v="ORD-01505"/>
    <d v="2021-11-06T00:00:00"/>
    <s v="CUST41623"/>
    <x v="20"/>
    <n v="65"/>
    <x v="2"/>
    <x v="1"/>
    <x v="2"/>
    <x v="13"/>
    <x v="2"/>
    <s v="Comic Book"/>
    <n v="4"/>
    <n v="1350.95"/>
    <x v="11"/>
    <n v="3635.51"/>
    <n v="1854.28"/>
    <n v="44.83"/>
    <x v="3"/>
    <n v="3"/>
    <x v="0"/>
    <x v="0"/>
    <n v="2"/>
  </r>
  <r>
    <s v="ORD-04045"/>
    <d v="2024-10-22T00:00:00"/>
    <s v="CUST10094"/>
    <x v="21"/>
    <n v="26"/>
    <x v="0"/>
    <x v="1"/>
    <x v="2"/>
    <x v="4"/>
    <x v="6"/>
    <s v="Camera"/>
    <n v="3"/>
    <n v="68799.42"/>
    <x v="16"/>
    <n v="232621.97"/>
    <n v="36091.769999999997"/>
    <n v="48.01"/>
    <x v="4"/>
    <n v="1"/>
    <x v="0"/>
    <x v="0"/>
    <n v="7"/>
  </r>
  <r>
    <s v="ORD-02565"/>
    <d v="2023-01-17T00:00:00"/>
    <s v="CUST71120"/>
    <x v="22"/>
    <n v="35"/>
    <x v="0"/>
    <x v="0"/>
    <x v="2"/>
    <x v="4"/>
    <x v="1"/>
    <s v="Sofa"/>
    <n v="3"/>
    <n v="31242.32"/>
    <x v="5"/>
    <n v="92924.36"/>
    <n v="27403.47"/>
    <n v="52.73"/>
    <x v="0"/>
    <n v="3"/>
    <x v="1"/>
    <x v="1"/>
    <n v="4"/>
  </r>
  <r>
    <s v="ORD-03773"/>
    <d v="2024-06-30T00:00:00"/>
    <s v="CUST34644"/>
    <x v="23"/>
    <n v="27"/>
    <x v="0"/>
    <x v="0"/>
    <x v="4"/>
    <x v="7"/>
    <x v="3"/>
    <s v="Jeans"/>
    <n v="3"/>
    <n v="1621.83"/>
    <x v="17"/>
    <n v="4851.55"/>
    <n v="1799.06"/>
    <n v="67.23"/>
    <x v="3"/>
    <n v="2"/>
    <x v="0"/>
    <x v="0"/>
    <n v="4"/>
  </r>
  <r>
    <s v="ORD-00025"/>
    <d v="2020-01-10T00:00:00"/>
    <s v="CUST91373"/>
    <x v="24"/>
    <n v="52"/>
    <x v="2"/>
    <x v="2"/>
    <x v="0"/>
    <x v="0"/>
    <x v="2"/>
    <s v="Cook Book"/>
    <n v="10"/>
    <n v="324.41000000000003"/>
    <x v="18"/>
    <n v="1810.18"/>
    <n v="903.99"/>
    <n v="48.24"/>
    <x v="4"/>
    <n v="3"/>
    <x v="0"/>
    <x v="0"/>
    <n v="4"/>
  </r>
  <r>
    <s v="ORD-02868"/>
    <d v="2023-05-31T00:00:00"/>
    <s v="CUST17518"/>
    <x v="25"/>
    <n v="42"/>
    <x v="1"/>
    <x v="2"/>
    <x v="1"/>
    <x v="11"/>
    <x v="1"/>
    <s v="Wardrobe"/>
    <n v="6"/>
    <n v="20242.36"/>
    <x v="8"/>
    <n v="191398.26"/>
    <n v="59116.34"/>
    <n v="83.75"/>
    <x v="3"/>
    <n v="2"/>
    <x v="0"/>
    <x v="0"/>
    <n v="9"/>
  </r>
  <r>
    <s v="ORD-01993"/>
    <d v="2022-05-30T00:00:00"/>
    <s v="CUST20457"/>
    <x v="26"/>
    <n v="40"/>
    <x v="1"/>
    <x v="1"/>
    <x v="2"/>
    <x v="14"/>
    <x v="4"/>
    <s v="Tennis Racket"/>
    <n v="9"/>
    <n v="14422.23"/>
    <x v="11"/>
    <n v="145427.41"/>
    <n v="40739.980000000003"/>
    <n v="58.92"/>
    <x v="1"/>
    <n v="5"/>
    <x v="0"/>
    <x v="0"/>
    <n v="1"/>
  </r>
  <r>
    <s v="ORD-03357"/>
    <d v="2023-12-23T00:00:00"/>
    <s v="CUST53286"/>
    <x v="27"/>
    <n v="34"/>
    <x v="0"/>
    <x v="0"/>
    <x v="3"/>
    <x v="5"/>
    <x v="0"/>
    <s v="Face Cream"/>
    <n v="5"/>
    <n v="2497.1"/>
    <x v="6"/>
    <n v="6596.23"/>
    <n v="2649.2"/>
    <n v="61.27"/>
    <x v="2"/>
    <n v="1"/>
    <x v="0"/>
    <x v="3"/>
    <n v="5"/>
  </r>
  <r>
    <s v="ORD-02282"/>
    <d v="2022-09-18T00:00:00"/>
    <s v="CUST94046"/>
    <x v="28"/>
    <n v="38"/>
    <x v="1"/>
    <x v="1"/>
    <x v="1"/>
    <x v="6"/>
    <x v="6"/>
    <s v="Camera"/>
    <n v="5"/>
    <n v="11463.02"/>
    <x v="14"/>
    <n v="44107"/>
    <n v="3355.55"/>
    <n v="36.32"/>
    <x v="2"/>
    <n v="5"/>
    <x v="0"/>
    <x v="0"/>
    <n v="10"/>
  </r>
  <r>
    <s v="ORD-04111"/>
    <d v="2024-11-22T00:00:00"/>
    <s v="CUST99588"/>
    <x v="29"/>
    <n v="57"/>
    <x v="2"/>
    <x v="2"/>
    <x v="1"/>
    <x v="11"/>
    <x v="2"/>
    <s v="Comic Book"/>
    <n v="7"/>
    <n v="785.67"/>
    <x v="9"/>
    <n v="4582.79"/>
    <n v="2037.5"/>
    <n v="63.64"/>
    <x v="3"/>
    <n v="3"/>
    <x v="0"/>
    <x v="0"/>
    <n v="2"/>
  </r>
  <r>
    <s v="ORD-00707"/>
    <d v="2020-11-16T00:00:00"/>
    <s v="CUST43806"/>
    <x v="30"/>
    <n v="36"/>
    <x v="1"/>
    <x v="2"/>
    <x v="2"/>
    <x v="14"/>
    <x v="3"/>
    <s v="Jeans"/>
    <n v="2"/>
    <n v="1557.26"/>
    <x v="19"/>
    <n v="1859.03"/>
    <n v="840.29"/>
    <n v="50.66"/>
    <x v="1"/>
    <n v="2"/>
    <x v="0"/>
    <x v="0"/>
    <n v="10"/>
  </r>
  <r>
    <s v="ORD-01870"/>
    <d v="2022-04-05T00:00:00"/>
    <s v="CUST73941"/>
    <x v="31"/>
    <n v="48"/>
    <x v="1"/>
    <x v="0"/>
    <x v="3"/>
    <x v="15"/>
    <x v="5"/>
    <s v="Cooking Oil"/>
    <n v="2"/>
    <n v="393.55"/>
    <x v="4"/>
    <n v="1057.6500000000001"/>
    <n v="87.14"/>
    <n v="87.03"/>
    <x v="0"/>
    <n v="1"/>
    <x v="0"/>
    <x v="0"/>
    <n v="1"/>
  </r>
  <r>
    <s v="ORD-01047"/>
    <d v="2021-04-20T00:00:00"/>
    <s v="CUST61067"/>
    <x v="32"/>
    <n v="34"/>
    <x v="0"/>
    <x v="2"/>
    <x v="2"/>
    <x v="14"/>
    <x v="4"/>
    <s v="Football"/>
    <n v="5"/>
    <n v="8244.31"/>
    <x v="9"/>
    <n v="49710.43"/>
    <n v="13744.26"/>
    <n v="51.59"/>
    <x v="2"/>
    <n v="1"/>
    <x v="0"/>
    <x v="0"/>
    <n v="4"/>
  </r>
  <r>
    <s v="ORD-03033"/>
    <d v="2023-08-05T00:00:00"/>
    <s v="CUST52453"/>
    <x v="33"/>
    <n v="34"/>
    <x v="0"/>
    <x v="1"/>
    <x v="2"/>
    <x v="4"/>
    <x v="5"/>
    <s v="Sugar"/>
    <n v="7"/>
    <n v="315.62"/>
    <x v="12"/>
    <n v="2026.01"/>
    <n v="104.43"/>
    <n v="72.63"/>
    <x v="3"/>
    <n v="5"/>
    <x v="0"/>
    <x v="0"/>
    <n v="7"/>
  </r>
  <r>
    <s v="ORD-02831"/>
    <d v="2023-05-17T00:00:00"/>
    <s v="CUST55922"/>
    <x v="34"/>
    <n v="51"/>
    <x v="2"/>
    <x v="2"/>
    <x v="0"/>
    <x v="2"/>
    <x v="0"/>
    <s v="Lipstick"/>
    <n v="1"/>
    <n v="697.15"/>
    <x v="20"/>
    <n v="867.37"/>
    <n v="335.66"/>
    <n v="48.84"/>
    <x v="0"/>
    <n v="3"/>
    <x v="0"/>
    <x v="4"/>
    <n v="10"/>
  </r>
  <r>
    <s v="ORD-00489"/>
    <d v="2020-08-03T00:00:00"/>
    <s v="CUST85726"/>
    <x v="35"/>
    <n v="34"/>
    <x v="0"/>
    <x v="0"/>
    <x v="1"/>
    <x v="6"/>
    <x v="6"/>
    <s v="Tablet"/>
    <n v="2"/>
    <n v="52363.15"/>
    <x v="15"/>
    <n v="89225.91"/>
    <n v="14474.33"/>
    <n v="45.26"/>
    <x v="5"/>
    <n v="2"/>
    <x v="0"/>
    <x v="4"/>
    <n v="9"/>
  </r>
  <r>
    <s v="ORD-00364"/>
    <d v="2020-06-04T00:00:00"/>
    <s v="CUST12024"/>
    <x v="36"/>
    <n v="37"/>
    <x v="1"/>
    <x v="0"/>
    <x v="0"/>
    <x v="1"/>
    <x v="4"/>
    <s v="Football"/>
    <n v="3"/>
    <n v="2684.91"/>
    <x v="7"/>
    <n v="9541.81"/>
    <n v="2543.29"/>
    <n v="67.28"/>
    <x v="5"/>
    <n v="2"/>
    <x v="0"/>
    <x v="0"/>
    <n v="9"/>
  </r>
  <r>
    <s v="ORD-03081"/>
    <d v="2023-08-22T00:00:00"/>
    <s v="CUST01739"/>
    <x v="37"/>
    <n v="42"/>
    <x v="1"/>
    <x v="2"/>
    <x v="2"/>
    <x v="4"/>
    <x v="2"/>
    <s v="Fiction Novel"/>
    <n v="4"/>
    <n v="889.6"/>
    <x v="21"/>
    <n v="3597.1"/>
    <n v="1076.9100000000001"/>
    <n v="58.16"/>
    <x v="3"/>
    <n v="3"/>
    <x v="1"/>
    <x v="1"/>
    <n v="3"/>
  </r>
  <r>
    <s v="ORD-00357"/>
    <d v="2020-06-02T00:00:00"/>
    <s v="CUST75375"/>
    <x v="38"/>
    <n v="41"/>
    <x v="1"/>
    <x v="2"/>
    <x v="1"/>
    <x v="10"/>
    <x v="3"/>
    <s v="Jeans"/>
    <n v="2"/>
    <n v="1548.43"/>
    <x v="22"/>
    <n v="2480.54"/>
    <n v="866.5"/>
    <n v="49.01"/>
    <x v="1"/>
    <n v="1"/>
    <x v="0"/>
    <x v="0"/>
    <n v="45"/>
  </r>
  <r>
    <s v="ORD-03752"/>
    <d v="2024-06-22T00:00:00"/>
    <s v="CUST35687"/>
    <x v="39"/>
    <n v="42"/>
    <x v="1"/>
    <x v="1"/>
    <x v="0"/>
    <x v="1"/>
    <x v="2"/>
    <s v="Comic Book"/>
    <n v="1"/>
    <n v="787.78"/>
    <x v="7"/>
    <n v="1146.29"/>
    <n v="520.99"/>
    <n v="47.1"/>
    <x v="3"/>
    <n v="2"/>
    <x v="0"/>
    <x v="0"/>
    <n v="9"/>
  </r>
  <r>
    <s v="ORD-00117"/>
    <d v="2020-02-12T00:00:00"/>
    <s v="CUST33188"/>
    <x v="40"/>
    <n v="48"/>
    <x v="1"/>
    <x v="2"/>
    <x v="4"/>
    <x v="8"/>
    <x v="4"/>
    <s v="Cycle"/>
    <n v="3"/>
    <n v="6047.51"/>
    <x v="0"/>
    <n v="13365.94"/>
    <n v="2741.49"/>
    <n v="36.15"/>
    <x v="0"/>
    <n v="4"/>
    <x v="0"/>
    <x v="0"/>
    <n v="3"/>
  </r>
  <r>
    <s v="ORD-00225"/>
    <d v="2020-04-08T00:00:00"/>
    <s v="CUST97307"/>
    <x v="41"/>
    <n v="37"/>
    <x v="1"/>
    <x v="0"/>
    <x v="1"/>
    <x v="10"/>
    <x v="4"/>
    <s v="Tennis Racket"/>
    <n v="1"/>
    <n v="5935.12"/>
    <x v="0"/>
    <n v="6293.66"/>
    <n v="1165.6300000000001"/>
    <n v="47.97"/>
    <x v="3"/>
    <n v="5"/>
    <x v="0"/>
    <x v="0"/>
    <n v="7"/>
  </r>
  <r>
    <s v="ORD-00966"/>
    <d v="2021-03-17T00:00:00"/>
    <s v="CUST15832"/>
    <x v="42"/>
    <n v="22"/>
    <x v="3"/>
    <x v="1"/>
    <x v="3"/>
    <x v="16"/>
    <x v="6"/>
    <s v="Laptop"/>
    <n v="4"/>
    <n v="11157.11"/>
    <x v="22"/>
    <n v="32774.69"/>
    <n v="3797.24"/>
    <n v="55.14"/>
    <x v="3"/>
    <n v="1"/>
    <x v="1"/>
    <x v="1"/>
    <n v="8"/>
  </r>
  <r>
    <s v="ORD-01339"/>
    <d v="2021-08-24T00:00:00"/>
    <s v="CUST94587"/>
    <x v="43"/>
    <n v="32"/>
    <x v="0"/>
    <x v="0"/>
    <x v="2"/>
    <x v="13"/>
    <x v="3"/>
    <s v="Jacket"/>
    <n v="5"/>
    <n v="1008.19"/>
    <x v="23"/>
    <n v="4205.92"/>
    <n v="1377.84"/>
    <n v="53.22"/>
    <x v="4"/>
    <n v="1"/>
    <x v="0"/>
    <x v="0"/>
    <n v="4"/>
  </r>
  <r>
    <s v="ORD-03177"/>
    <d v="2023-10-05T00:00:00"/>
    <s v="CUST99258"/>
    <x v="44"/>
    <n v="45"/>
    <x v="1"/>
    <x v="1"/>
    <x v="1"/>
    <x v="6"/>
    <x v="1"/>
    <s v="Sofa"/>
    <n v="2"/>
    <n v="7616.64"/>
    <x v="14"/>
    <n v="11304.13"/>
    <n v="3661.21"/>
    <n v="29.23"/>
    <x v="5"/>
    <n v="4"/>
    <x v="0"/>
    <x v="0"/>
    <n v="1"/>
  </r>
  <r>
    <s v="ORD-02058"/>
    <d v="2022-06-27T00:00:00"/>
    <s v="CUST44617"/>
    <x v="30"/>
    <n v="21"/>
    <x v="3"/>
    <x v="1"/>
    <x v="4"/>
    <x v="7"/>
    <x v="1"/>
    <s v="Desk"/>
    <n v="8"/>
    <n v="3549.62"/>
    <x v="3"/>
    <n v="30702.91"/>
    <n v="10062.41"/>
    <n v="77.819999999999993"/>
    <x v="1"/>
    <n v="5"/>
    <x v="1"/>
    <x v="1"/>
    <n v="5"/>
  </r>
  <r>
    <s v="ORD-02241"/>
    <d v="2022-09-04T00:00:00"/>
    <s v="CUST64655"/>
    <x v="17"/>
    <n v="21"/>
    <x v="3"/>
    <x v="2"/>
    <x v="3"/>
    <x v="12"/>
    <x v="6"/>
    <s v="Headphones"/>
    <n v="4"/>
    <n v="41499.339999999997"/>
    <x v="24"/>
    <n v="175476.12"/>
    <n v="19809.16"/>
    <n v="73.44"/>
    <x v="0"/>
    <n v="4"/>
    <x v="0"/>
    <x v="3"/>
    <n v="1"/>
  </r>
  <r>
    <s v="ORD-00011"/>
    <d v="2020-01-03T00:00:00"/>
    <s v="CUST64950"/>
    <x v="45"/>
    <n v="23"/>
    <x v="3"/>
    <x v="2"/>
    <x v="4"/>
    <x v="17"/>
    <x v="1"/>
    <s v="Sofa"/>
    <n v="8"/>
    <n v="22523.15"/>
    <x v="14"/>
    <n v="95036.79"/>
    <n v="29818.97"/>
    <n v="65.72"/>
    <x v="1"/>
    <n v="2"/>
    <x v="0"/>
    <x v="0"/>
    <n v="5"/>
  </r>
  <r>
    <s v="ORD-02876"/>
    <d v="2023-06-02T00:00:00"/>
    <s v="CUST23195"/>
    <x v="5"/>
    <n v="34"/>
    <x v="0"/>
    <x v="2"/>
    <x v="0"/>
    <x v="1"/>
    <x v="1"/>
    <s v="Wardrobe"/>
    <n v="3"/>
    <n v="31229.73"/>
    <x v="18"/>
    <n v="100210.97"/>
    <n v="34252.99"/>
    <n v="53.79"/>
    <x v="1"/>
    <n v="5"/>
    <x v="0"/>
    <x v="4"/>
    <n v="3"/>
  </r>
  <r>
    <s v="ORD-02210"/>
    <d v="2022-08-21T00:00:00"/>
    <s v="CUST53700"/>
    <x v="46"/>
    <n v="49"/>
    <x v="1"/>
    <x v="2"/>
    <x v="4"/>
    <x v="18"/>
    <x v="1"/>
    <s v="Chair"/>
    <n v="3"/>
    <n v="25395.64"/>
    <x v="25"/>
    <n v="82667.820000000007"/>
    <n v="28762.52"/>
    <n v="86.28"/>
    <x v="4"/>
    <n v="4"/>
    <x v="0"/>
    <x v="0"/>
    <n v="5"/>
  </r>
  <r>
    <s v="ORD-01057"/>
    <d v="2021-04-22T00:00:00"/>
    <s v="CUST83911"/>
    <x v="47"/>
    <n v="27"/>
    <x v="0"/>
    <x v="0"/>
    <x v="2"/>
    <x v="13"/>
    <x v="5"/>
    <s v="Dal (1kg)"/>
    <n v="3"/>
    <n v="457.68"/>
    <x v="26"/>
    <n v="1159.07"/>
    <n v="84.35"/>
    <n v="72.86"/>
    <x v="2"/>
    <n v="3"/>
    <x v="0"/>
    <x v="0"/>
    <n v="2"/>
  </r>
  <r>
    <s v="ORD-02900"/>
    <d v="2023-06-07T00:00:00"/>
    <s v="CUST23268"/>
    <x v="48"/>
    <n v="31"/>
    <x v="0"/>
    <x v="2"/>
    <x v="4"/>
    <x v="18"/>
    <x v="2"/>
    <s v="Self-Help Book"/>
    <n v="1"/>
    <n v="715.84"/>
    <x v="27"/>
    <n v="937.54"/>
    <n v="470.99"/>
    <n v="59.5"/>
    <x v="3"/>
    <n v="2"/>
    <x v="0"/>
    <x v="0"/>
    <n v="4"/>
  </r>
  <r>
    <s v="ORD-00402"/>
    <d v="2020-06-21T00:00:00"/>
    <s v="CUST55018"/>
    <x v="49"/>
    <n v="37"/>
    <x v="1"/>
    <x v="1"/>
    <x v="4"/>
    <x v="18"/>
    <x v="6"/>
    <s v="Headphones"/>
    <n v="5"/>
    <n v="28892.57"/>
    <x v="16"/>
    <n v="205453.46"/>
    <n v="25286.68"/>
    <n v="84.72"/>
    <x v="0"/>
    <n v="5"/>
    <x v="0"/>
    <x v="0"/>
    <n v="6"/>
  </r>
  <r>
    <s v="ORD-01747"/>
    <d v="2022-02-14T00:00:00"/>
    <s v="CUST14531"/>
    <x v="50"/>
    <n v="27"/>
    <x v="0"/>
    <x v="0"/>
    <x v="2"/>
    <x v="14"/>
    <x v="1"/>
    <s v="Wardrobe"/>
    <n v="9"/>
    <n v="14001.85"/>
    <x v="28"/>
    <n v="118164.26"/>
    <n v="40660.47"/>
    <n v="55.44"/>
    <x v="4"/>
    <n v="1"/>
    <x v="1"/>
    <x v="1"/>
    <n v="1"/>
  </r>
  <r>
    <s v="ORD-04017"/>
    <d v="2024-10-03T00:00:00"/>
    <s v="CUST02198"/>
    <x v="51"/>
    <n v="34"/>
    <x v="0"/>
    <x v="0"/>
    <x v="3"/>
    <x v="16"/>
    <x v="4"/>
    <s v="Tennis Racket"/>
    <n v="2"/>
    <n v="2854.89"/>
    <x v="29"/>
    <n v="6360.16"/>
    <n v="1203.75"/>
    <n v="86.84"/>
    <x v="4"/>
    <n v="3"/>
    <x v="0"/>
    <x v="0"/>
    <n v="9"/>
  </r>
  <r>
    <s v="ORD-00634"/>
    <d v="2020-10-11T00:00:00"/>
    <s v="CUST01277"/>
    <x v="52"/>
    <n v="22"/>
    <x v="3"/>
    <x v="2"/>
    <x v="0"/>
    <x v="1"/>
    <x v="1"/>
    <s v="Bookshelf"/>
    <n v="7"/>
    <n v="34455.919999999998"/>
    <x v="12"/>
    <n v="149044.85999999999"/>
    <n v="39164.43"/>
    <n v="54.2"/>
    <x v="0"/>
    <n v="3"/>
    <x v="0"/>
    <x v="0"/>
    <n v="7"/>
  </r>
  <r>
    <s v="ORD-01699"/>
    <d v="2022-01-28T00:00:00"/>
    <s v="CUST22943"/>
    <x v="53"/>
    <n v="42"/>
    <x v="1"/>
    <x v="0"/>
    <x v="2"/>
    <x v="4"/>
    <x v="4"/>
    <s v="Tennis Racket"/>
    <n v="10"/>
    <n v="6054.48"/>
    <x v="29"/>
    <n v="48184.42"/>
    <n v="9832.73"/>
    <n v="59.24"/>
    <x v="3"/>
    <n v="1"/>
    <x v="1"/>
    <x v="1"/>
    <n v="6"/>
  </r>
  <r>
    <s v="ORD-01353"/>
    <d v="2021-09-01T00:00:00"/>
    <s v="CUST45393"/>
    <x v="54"/>
    <n v="42"/>
    <x v="1"/>
    <x v="0"/>
    <x v="4"/>
    <x v="17"/>
    <x v="1"/>
    <s v="Desk"/>
    <n v="10"/>
    <n v="8753.1200000000008"/>
    <x v="12"/>
    <n v="73335.009999999995"/>
    <n v="17930.25"/>
    <n v="87.75"/>
    <x v="1"/>
    <n v="5"/>
    <x v="0"/>
    <x v="0"/>
    <n v="8"/>
  </r>
  <r>
    <s v="ORD-02391"/>
    <d v="2022-11-01T00:00:00"/>
    <s v="CUST63245"/>
    <x v="55"/>
    <n v="29"/>
    <x v="0"/>
    <x v="0"/>
    <x v="1"/>
    <x v="11"/>
    <x v="2"/>
    <s v="Textbook"/>
    <n v="4"/>
    <n v="1320.32"/>
    <x v="5"/>
    <n v="4535.42"/>
    <n v="950.65"/>
    <n v="39.090000000000003"/>
    <x v="0"/>
    <n v="3"/>
    <x v="0"/>
    <x v="0"/>
    <n v="5"/>
  </r>
  <r>
    <s v="ORD-00729"/>
    <d v="2020-11-30T00:00:00"/>
    <s v="CUST88249"/>
    <x v="56"/>
    <n v="33"/>
    <x v="0"/>
    <x v="2"/>
    <x v="0"/>
    <x v="1"/>
    <x v="2"/>
    <s v="Cook Book"/>
    <n v="8"/>
    <n v="707.31"/>
    <x v="7"/>
    <n v="3730.16"/>
    <n v="1635.73"/>
    <n v="65.92"/>
    <x v="5"/>
    <n v="4"/>
    <x v="0"/>
    <x v="0"/>
    <n v="9"/>
  </r>
  <r>
    <s v="ORD-01385"/>
    <d v="2021-09-18T00:00:00"/>
    <s v="CUST85642"/>
    <x v="57"/>
    <n v="42"/>
    <x v="1"/>
    <x v="1"/>
    <x v="3"/>
    <x v="16"/>
    <x v="4"/>
    <s v="Cricket Bat"/>
    <n v="8"/>
    <n v="12223.45"/>
    <x v="17"/>
    <n v="62483.59"/>
    <n v="10563.05"/>
    <n v="68.510000000000005"/>
    <x v="5"/>
    <n v="4"/>
    <x v="0"/>
    <x v="0"/>
    <n v="7"/>
  </r>
  <r>
    <s v="ORD-02434"/>
    <d v="2022-11-20T00:00:00"/>
    <s v="CUST85190"/>
    <x v="58"/>
    <n v="45"/>
    <x v="1"/>
    <x v="1"/>
    <x v="0"/>
    <x v="1"/>
    <x v="6"/>
    <s v="Tablet"/>
    <n v="4"/>
    <n v="73017.83"/>
    <x v="3"/>
    <n v="192150.99"/>
    <n v="23288.67"/>
    <n v="32.14"/>
    <x v="3"/>
    <n v="3"/>
    <x v="0"/>
    <x v="0"/>
    <n v="8"/>
  </r>
  <r>
    <s v="ORD-00158"/>
    <d v="2020-03-07T00:00:00"/>
    <s v="CUST56042"/>
    <x v="59"/>
    <n v="35"/>
    <x v="0"/>
    <x v="2"/>
    <x v="3"/>
    <x v="15"/>
    <x v="1"/>
    <s v="Desk"/>
    <n v="8"/>
    <n v="25624.31"/>
    <x v="9"/>
    <n v="188109.47"/>
    <n v="45753.79"/>
    <n v="65.63"/>
    <x v="3"/>
    <n v="1"/>
    <x v="0"/>
    <x v="0"/>
    <n v="3"/>
  </r>
  <r>
    <s v="ORD-00857"/>
    <d v="2021-01-25T00:00:00"/>
    <s v="CUST59535"/>
    <x v="60"/>
    <n v="49"/>
    <x v="1"/>
    <x v="0"/>
    <x v="1"/>
    <x v="10"/>
    <x v="0"/>
    <s v="Hair Oil"/>
    <n v="4"/>
    <n v="521.44000000000005"/>
    <x v="1"/>
    <n v="1538.13"/>
    <n v="492.45"/>
    <n v="50.42"/>
    <x v="4"/>
    <n v="1"/>
    <x v="0"/>
    <x v="4"/>
    <n v="10"/>
  </r>
  <r>
    <s v="ORD-03406"/>
    <d v="2024-01-15T00:00:00"/>
    <s v="CUST62905"/>
    <x v="3"/>
    <n v="41"/>
    <x v="1"/>
    <x v="1"/>
    <x v="1"/>
    <x v="6"/>
    <x v="3"/>
    <s v="Saree"/>
    <n v="6"/>
    <n v="3871.22"/>
    <x v="30"/>
    <n v="16031.48"/>
    <n v="5072.13"/>
    <n v="43.12"/>
    <x v="0"/>
    <n v="4"/>
    <x v="0"/>
    <x v="0"/>
    <n v="3"/>
  </r>
  <r>
    <s v="ORD-02843"/>
    <d v="2023-05-24T00:00:00"/>
    <s v="CUST04791"/>
    <x v="61"/>
    <n v="24"/>
    <x v="3"/>
    <x v="1"/>
    <x v="0"/>
    <x v="0"/>
    <x v="2"/>
    <s v="Self-Help Book"/>
    <n v="8"/>
    <n v="579.77"/>
    <x v="21"/>
    <n v="3954.73"/>
    <n v="2230.94"/>
    <n v="42.6"/>
    <x v="0"/>
    <n v="3"/>
    <x v="0"/>
    <x v="0"/>
    <n v="7"/>
  </r>
  <r>
    <s v="ORD-01014"/>
    <d v="2021-04-04T00:00:00"/>
    <s v="CUST62653"/>
    <x v="9"/>
    <n v="26"/>
    <x v="0"/>
    <x v="0"/>
    <x v="2"/>
    <x v="4"/>
    <x v="5"/>
    <s v="Cooking Oil"/>
    <n v="1"/>
    <n v="116.68"/>
    <x v="29"/>
    <n v="118.23"/>
    <n v="9.75"/>
    <n v="47.55"/>
    <x v="3"/>
    <n v="1"/>
    <x v="0"/>
    <x v="0"/>
    <n v="8"/>
  </r>
  <r>
    <s v="ORD-01087"/>
    <d v="2021-05-06T00:00:00"/>
    <s v="CUST29357"/>
    <x v="62"/>
    <n v="33"/>
    <x v="0"/>
    <x v="1"/>
    <x v="0"/>
    <x v="19"/>
    <x v="2"/>
    <s v="Textbook"/>
    <n v="7"/>
    <n v="1042.98"/>
    <x v="25"/>
    <n v="7120.16"/>
    <n v="2589.16"/>
    <n v="61.15"/>
    <x v="0"/>
    <n v="2"/>
    <x v="1"/>
    <x v="1"/>
    <n v="4"/>
  </r>
  <r>
    <s v="ORD-02773"/>
    <d v="2023-04-16T00:00:00"/>
    <s v="CUST69945"/>
    <x v="63"/>
    <n v="36"/>
    <x v="1"/>
    <x v="0"/>
    <x v="0"/>
    <x v="1"/>
    <x v="6"/>
    <s v="Laptop"/>
    <n v="8"/>
    <n v="27632.84"/>
    <x v="0"/>
    <n v="295286.40999999997"/>
    <n v="33436.120000000003"/>
    <n v="20.29"/>
    <x v="5"/>
    <n v="3"/>
    <x v="0"/>
    <x v="0"/>
    <n v="7"/>
  </r>
  <r>
    <s v="ORD-01093"/>
    <d v="2021-05-08T00:00:00"/>
    <s v="CUST80149"/>
    <x v="64"/>
    <n v="37"/>
    <x v="1"/>
    <x v="1"/>
    <x v="0"/>
    <x v="0"/>
    <x v="4"/>
    <s v="Cycle"/>
    <n v="7"/>
    <n v="11542.97"/>
    <x v="31"/>
    <n v="97177.38"/>
    <n v="24424.83"/>
    <n v="53.27"/>
    <x v="1"/>
    <n v="1"/>
    <x v="1"/>
    <x v="1"/>
    <n v="7"/>
  </r>
  <r>
    <s v="ORD-00101"/>
    <d v="2020-08-02T00:00:00"/>
    <s v="CUST45487"/>
    <x v="65"/>
    <n v="34"/>
    <x v="0"/>
    <x v="1"/>
    <x v="0"/>
    <x v="19"/>
    <x v="2"/>
    <s v="Cook Book"/>
    <n v="8"/>
    <n v="1325.02"/>
    <x v="32"/>
    <n v="8717.89"/>
    <n v="3265.49"/>
    <n v="41.67"/>
    <x v="0"/>
    <n v="2"/>
    <x v="0"/>
    <x v="2"/>
    <n v="5"/>
  </r>
  <r>
    <s v="ORD-02873"/>
    <d v="2023-06-01T00:00:00"/>
    <s v="CUST07917"/>
    <x v="66"/>
    <n v="34"/>
    <x v="0"/>
    <x v="0"/>
    <x v="3"/>
    <x v="12"/>
    <x v="4"/>
    <s v="Football"/>
    <n v="6"/>
    <n v="5611.57"/>
    <x v="33"/>
    <n v="37888.42"/>
    <n v="6107.6"/>
    <n v="97.42"/>
    <x v="3"/>
    <n v="5"/>
    <x v="0"/>
    <x v="0"/>
    <n v="2"/>
  </r>
  <r>
    <s v="ORD-03342"/>
    <d v="2023-12-16T00:00:00"/>
    <s v="CUST26677"/>
    <x v="67"/>
    <n v="45"/>
    <x v="1"/>
    <x v="2"/>
    <x v="1"/>
    <x v="6"/>
    <x v="5"/>
    <s v="Tea"/>
    <n v="9"/>
    <n v="312.52999999999997"/>
    <x v="34"/>
    <n v="1437"/>
    <n v="155.72999999999999"/>
    <n v="48.28"/>
    <x v="2"/>
    <n v="4"/>
    <x v="0"/>
    <x v="3"/>
    <n v="5"/>
  </r>
  <r>
    <s v="ORD-04177"/>
    <d v="2024-12-21T00:00:00"/>
    <s v="CUST44560"/>
    <x v="68"/>
    <n v="49"/>
    <x v="1"/>
    <x v="2"/>
    <x v="4"/>
    <x v="7"/>
    <x v="4"/>
    <s v="Dumbbells"/>
    <n v="2"/>
    <n v="13057.02"/>
    <x v="34"/>
    <n v="14206.67"/>
    <n v="3578.76"/>
    <n v="69.31"/>
    <x v="3"/>
    <n v="5"/>
    <x v="0"/>
    <x v="0"/>
    <n v="10"/>
  </r>
  <r>
    <s v="ORD-02805"/>
    <d v="2023-05-01T00:00:00"/>
    <s v="CUST85937"/>
    <x v="69"/>
    <n v="31"/>
    <x v="0"/>
    <x v="0"/>
    <x v="4"/>
    <x v="17"/>
    <x v="3"/>
    <s v="Saree"/>
    <n v="7"/>
    <n v="3482.32"/>
    <x v="34"/>
    <n v="26908.32"/>
    <n v="8716.81"/>
    <n v="68.92"/>
    <x v="4"/>
    <n v="4"/>
    <x v="0"/>
    <x v="0"/>
    <n v="7"/>
  </r>
  <r>
    <s v="ORD-00918"/>
    <d v="2021-02-17T00:00:00"/>
    <s v="CUST67405"/>
    <x v="70"/>
    <n v="48"/>
    <x v="1"/>
    <x v="0"/>
    <x v="1"/>
    <x v="11"/>
    <x v="4"/>
    <s v="Cycle"/>
    <n v="3"/>
    <n v="11359.59"/>
    <x v="5"/>
    <n v="30752.81"/>
    <n v="7374.96"/>
    <n v="41.65"/>
    <x v="0"/>
    <n v="1"/>
    <x v="0"/>
    <x v="0"/>
    <n v="8"/>
  </r>
  <r>
    <s v="ORD-00759"/>
    <d v="2020-12-10T00:00:00"/>
    <s v="CUST23197"/>
    <x v="71"/>
    <n v="28"/>
    <x v="0"/>
    <x v="1"/>
    <x v="1"/>
    <x v="10"/>
    <x v="4"/>
    <s v="Tennis Racket"/>
    <n v="5"/>
    <n v="5242.7700000000004"/>
    <x v="35"/>
    <n v="13993.35"/>
    <n v="2992.91"/>
    <n v="74.58"/>
    <x v="1"/>
    <n v="1"/>
    <x v="1"/>
    <x v="1"/>
    <n v="5"/>
  </r>
  <r>
    <s v="ORD-00793"/>
    <d v="2020-12-28T00:00:00"/>
    <s v="CUST49838"/>
    <x v="72"/>
    <n v="37"/>
    <x v="1"/>
    <x v="1"/>
    <x v="4"/>
    <x v="7"/>
    <x v="5"/>
    <s v="Flour"/>
    <n v="8"/>
    <n v="491.76"/>
    <x v="0"/>
    <n v="2780.1"/>
    <n v="223.65"/>
    <n v="61.84"/>
    <x v="4"/>
    <n v="2"/>
    <x v="0"/>
    <x v="0"/>
    <n v="4"/>
  </r>
  <r>
    <s v="ORD-01894"/>
    <d v="2022-04-16T00:00:00"/>
    <s v="CUST28783"/>
    <x v="73"/>
    <n v="42"/>
    <x v="1"/>
    <x v="0"/>
    <x v="3"/>
    <x v="15"/>
    <x v="0"/>
    <s v="Perfume"/>
    <n v="7"/>
    <n v="2235.02"/>
    <x v="6"/>
    <n v="11756.21"/>
    <n v="7295.66"/>
    <n v="68.83"/>
    <x v="4"/>
    <n v="1"/>
    <x v="1"/>
    <x v="1"/>
    <n v="8"/>
  </r>
  <r>
    <s v="ORD-04109"/>
    <d v="2024-11-20T00:00:00"/>
    <s v="CUST36614"/>
    <x v="74"/>
    <n v="27"/>
    <x v="0"/>
    <x v="1"/>
    <x v="3"/>
    <x v="12"/>
    <x v="2"/>
    <s v="Comic Book"/>
    <n v="9"/>
    <n v="1324.57"/>
    <x v="22"/>
    <n v="7683.45"/>
    <n v="2086.59"/>
    <n v="82.14"/>
    <x v="4"/>
    <n v="4"/>
    <x v="0"/>
    <x v="0"/>
    <n v="4"/>
  </r>
  <r>
    <s v="ORD-02212"/>
    <d v="2022-08-23T00:00:00"/>
    <s v="CUST44717"/>
    <x v="32"/>
    <n v="34"/>
    <x v="0"/>
    <x v="0"/>
    <x v="3"/>
    <x v="16"/>
    <x v="6"/>
    <s v="Headphones"/>
    <n v="6"/>
    <n v="45624.04"/>
    <x v="27"/>
    <n v="274607.48"/>
    <n v="23542.83"/>
    <n v="97.97"/>
    <x v="4"/>
    <n v="4"/>
    <x v="0"/>
    <x v="0"/>
    <n v="7"/>
  </r>
  <r>
    <s v="ORD-02836"/>
    <d v="2023-05-19T00:00:00"/>
    <s v="CUST76017"/>
    <x v="75"/>
    <n v="37"/>
    <x v="1"/>
    <x v="2"/>
    <x v="1"/>
    <x v="3"/>
    <x v="1"/>
    <s v="Bookshelf"/>
    <n v="10"/>
    <n v="7630.7"/>
    <x v="11"/>
    <n v="99978.26"/>
    <n v="21558.18"/>
    <n v="46.42"/>
    <x v="2"/>
    <n v="5"/>
    <x v="0"/>
    <x v="2"/>
    <n v="8"/>
  </r>
  <r>
    <s v="ORD-00409"/>
    <d v="2020-06-27T00:00:00"/>
    <s v="CUST97162"/>
    <x v="76"/>
    <n v="46"/>
    <x v="1"/>
    <x v="2"/>
    <x v="3"/>
    <x v="15"/>
    <x v="4"/>
    <s v="Cricket Bat"/>
    <n v="1"/>
    <n v="4889.3"/>
    <x v="31"/>
    <n v="5849.95"/>
    <n v="1406.77"/>
    <n v="63.96"/>
    <x v="5"/>
    <n v="1"/>
    <x v="0"/>
    <x v="0"/>
    <n v="6"/>
  </r>
  <r>
    <s v="ORD-00528"/>
    <d v="2020-08-21T00:00:00"/>
    <s v="CUST94563"/>
    <x v="77"/>
    <n v="56"/>
    <x v="2"/>
    <x v="0"/>
    <x v="3"/>
    <x v="15"/>
    <x v="3"/>
    <s v="Dress"/>
    <n v="5"/>
    <n v="2614.79"/>
    <x v="9"/>
    <n v="12884.93"/>
    <n v="2796.07"/>
    <n v="55.45"/>
    <x v="3"/>
    <n v="4"/>
    <x v="1"/>
    <x v="1"/>
    <n v="9"/>
  </r>
  <r>
    <s v="ORD-00268"/>
    <d v="2020-04-27T00:00:00"/>
    <s v="CUST64785"/>
    <x v="78"/>
    <n v="32"/>
    <x v="0"/>
    <x v="2"/>
    <x v="0"/>
    <x v="0"/>
    <x v="2"/>
    <s v="Cook Book"/>
    <n v="7"/>
    <n v="257.18"/>
    <x v="10"/>
    <n v="1452.88"/>
    <n v="604.80999999999995"/>
    <n v="60.36"/>
    <x v="3"/>
    <n v="1"/>
    <x v="0"/>
    <x v="2"/>
    <n v="5"/>
  </r>
  <r>
    <s v="ORD-00948"/>
    <d v="2021-03-05T00:00:00"/>
    <s v="CUST85939"/>
    <x v="58"/>
    <n v="47"/>
    <x v="1"/>
    <x v="2"/>
    <x v="2"/>
    <x v="4"/>
    <x v="1"/>
    <s v="Chair"/>
    <n v="6"/>
    <n v="29194.28"/>
    <x v="21"/>
    <n v="144911.63"/>
    <n v="54404.2"/>
    <n v="64.14"/>
    <x v="3"/>
    <n v="3"/>
    <x v="0"/>
    <x v="0"/>
    <n v="9"/>
  </r>
  <r>
    <s v="ORD-04060"/>
    <d v="2024-10-26T00:00:00"/>
    <s v="CUST99521"/>
    <x v="18"/>
    <n v="42"/>
    <x v="1"/>
    <x v="1"/>
    <x v="0"/>
    <x v="2"/>
    <x v="1"/>
    <s v="Sofa"/>
    <n v="4"/>
    <n v="10887.68"/>
    <x v="1"/>
    <n v="46926.73"/>
    <n v="14349.22"/>
    <n v="57.18"/>
    <x v="1"/>
    <n v="3"/>
    <x v="0"/>
    <x v="0"/>
    <n v="6"/>
  </r>
  <r>
    <s v="ORD-01996"/>
    <d v="2022-06-01T00:00:00"/>
    <s v="CUST48253"/>
    <x v="29"/>
    <n v="36"/>
    <x v="1"/>
    <x v="0"/>
    <x v="2"/>
    <x v="13"/>
    <x v="3"/>
    <s v="Saree"/>
    <n v="5"/>
    <n v="451.03"/>
    <x v="36"/>
    <n v="2632.07"/>
    <n v="1165.8900000000001"/>
    <n v="23.32"/>
    <x v="5"/>
    <n v="5"/>
    <x v="0"/>
    <x v="0"/>
    <n v="10"/>
  </r>
  <r>
    <s v="ORD-01584"/>
    <d v="2021-12-09T00:00:00"/>
    <s v="CUST51398"/>
    <x v="79"/>
    <n v="36"/>
    <x v="1"/>
    <x v="2"/>
    <x v="2"/>
    <x v="9"/>
    <x v="2"/>
    <s v="Self-Help Book"/>
    <n v="3"/>
    <n v="586.88"/>
    <x v="30"/>
    <n v="916.67"/>
    <n v="373.51"/>
    <n v="36.450000000000003"/>
    <x v="1"/>
    <n v="4"/>
    <x v="0"/>
    <x v="0"/>
    <n v="1"/>
  </r>
  <r>
    <s v="ORD-01026"/>
    <d v="2021-04-09T00:00:00"/>
    <s v="CUST78889"/>
    <x v="80"/>
    <n v="24"/>
    <x v="3"/>
    <x v="1"/>
    <x v="4"/>
    <x v="18"/>
    <x v="4"/>
    <s v="Football"/>
    <n v="10"/>
    <n v="6806.6"/>
    <x v="21"/>
    <n v="39614.949999999997"/>
    <n v="7458.02"/>
    <n v="66.290000000000006"/>
    <x v="3"/>
    <n v="5"/>
    <x v="0"/>
    <x v="0"/>
    <n v="7"/>
  </r>
  <r>
    <s v="ORD-01973"/>
    <d v="2022-05-22T00:00:00"/>
    <s v="CUST45923"/>
    <x v="81"/>
    <n v="22"/>
    <x v="3"/>
    <x v="0"/>
    <x v="0"/>
    <x v="2"/>
    <x v="6"/>
    <s v="Headphones"/>
    <n v="2"/>
    <n v="72469.02"/>
    <x v="22"/>
    <n v="127833.79"/>
    <n v="12280.09"/>
    <n v="49.21"/>
    <x v="5"/>
    <n v="4"/>
    <x v="0"/>
    <x v="2"/>
    <n v="1"/>
  </r>
  <r>
    <s v="ORD-03390"/>
    <d v="2024-01-06T00:00:00"/>
    <s v="CUST51656"/>
    <x v="82"/>
    <n v="20"/>
    <x v="3"/>
    <x v="1"/>
    <x v="0"/>
    <x v="19"/>
    <x v="6"/>
    <s v="Laptop"/>
    <n v="3"/>
    <n v="42514.99"/>
    <x v="29"/>
    <n v="111205.03"/>
    <n v="13533.76"/>
    <n v="59.07"/>
    <x v="1"/>
    <n v="5"/>
    <x v="0"/>
    <x v="2"/>
    <n v="5"/>
  </r>
  <r>
    <s v="ORD-01905"/>
    <d v="2022-04-21T00:00:00"/>
    <s v="CUST28422"/>
    <x v="28"/>
    <n v="35"/>
    <x v="0"/>
    <x v="2"/>
    <x v="0"/>
    <x v="19"/>
    <x v="2"/>
    <s v="Cook Book"/>
    <n v="5"/>
    <n v="540.77"/>
    <x v="12"/>
    <n v="2814.83"/>
    <n v="1625.95"/>
    <n v="54.23"/>
    <x v="1"/>
    <n v="5"/>
    <x v="0"/>
    <x v="0"/>
    <n v="7"/>
  </r>
  <r>
    <s v="ORD-00422"/>
    <d v="2020-07-06T00:00:00"/>
    <s v="CUST44523"/>
    <x v="83"/>
    <n v="35"/>
    <x v="0"/>
    <x v="1"/>
    <x v="4"/>
    <x v="7"/>
    <x v="3"/>
    <s v="Jacket"/>
    <n v="2"/>
    <n v="539.35"/>
    <x v="37"/>
    <n v="1124.22"/>
    <n v="289.25"/>
    <n v="64.959999999999994"/>
    <x v="2"/>
    <n v="5"/>
    <x v="0"/>
    <x v="0"/>
    <n v="8"/>
  </r>
  <r>
    <s v="ORD-02497"/>
    <d v="2022-12-19T00:00:00"/>
    <s v="CUST57740"/>
    <x v="84"/>
    <n v="19"/>
    <x v="3"/>
    <x v="0"/>
    <x v="3"/>
    <x v="16"/>
    <x v="1"/>
    <s v="Bookshelf"/>
    <n v="5"/>
    <n v="29767.34"/>
    <x v="31"/>
    <n v="92126.76"/>
    <n v="24089.4"/>
    <n v="72.23"/>
    <x v="2"/>
    <n v="3"/>
    <x v="0"/>
    <x v="2"/>
    <n v="6"/>
  </r>
  <r>
    <s v="ORD-03163"/>
    <d v="2023-10-01T00:00:00"/>
    <s v="CUST87976"/>
    <x v="85"/>
    <n v="29"/>
    <x v="0"/>
    <x v="0"/>
    <x v="2"/>
    <x v="13"/>
    <x v="4"/>
    <s v="Cricket Bat"/>
    <n v="3"/>
    <n v="14810.59"/>
    <x v="0"/>
    <n v="44578.62"/>
    <n v="10260.620000000001"/>
    <n v="65.69"/>
    <x v="2"/>
    <n v="3"/>
    <x v="0"/>
    <x v="0"/>
    <n v="5"/>
  </r>
  <r>
    <s v="ORD-03997"/>
    <d v="2024-09-22T00:00:00"/>
    <s v="CUST57164"/>
    <x v="86"/>
    <n v="36"/>
    <x v="1"/>
    <x v="0"/>
    <x v="3"/>
    <x v="15"/>
    <x v="0"/>
    <s v="Sunscreen"/>
    <n v="4"/>
    <n v="2333.1"/>
    <x v="3"/>
    <n v="11296.75"/>
    <n v="4828.37"/>
    <n v="72.08"/>
    <x v="4"/>
    <n v="3"/>
    <x v="1"/>
    <x v="1"/>
    <n v="10"/>
  </r>
  <r>
    <s v="ORD-02522"/>
    <d v="2022-12-31T00:00:00"/>
    <s v="CUST79852"/>
    <x v="87"/>
    <n v="26"/>
    <x v="0"/>
    <x v="0"/>
    <x v="0"/>
    <x v="19"/>
    <x v="2"/>
    <s v="Textbook"/>
    <n v="3"/>
    <n v="1379.58"/>
    <x v="29"/>
    <n v="3040.53"/>
    <n v="976.28"/>
    <n v="64.67"/>
    <x v="5"/>
    <n v="4"/>
    <x v="0"/>
    <x v="3"/>
    <n v="4"/>
  </r>
  <r>
    <s v="ORD-02356"/>
    <d v="2022-10-16T00:00:00"/>
    <s v="CUST40158"/>
    <x v="18"/>
    <n v="36"/>
    <x v="1"/>
    <x v="0"/>
    <x v="4"/>
    <x v="18"/>
    <x v="1"/>
    <s v="Chair"/>
    <n v="8"/>
    <n v="33543.43"/>
    <x v="3"/>
    <n v="218733.7"/>
    <n v="59861.82"/>
    <n v="56.8"/>
    <x v="1"/>
    <n v="2"/>
    <x v="0"/>
    <x v="0"/>
    <n v="8"/>
  </r>
  <r>
    <s v="ORD-03607"/>
    <d v="2024-04-19T00:00:00"/>
    <s v="CUST69333"/>
    <x v="88"/>
    <n v="31"/>
    <x v="0"/>
    <x v="2"/>
    <x v="4"/>
    <x v="7"/>
    <x v="0"/>
    <s v="Perfume"/>
    <n v="6"/>
    <n v="1423.12"/>
    <x v="38"/>
    <n v="10606.52"/>
    <n v="4315.91"/>
    <n v="75.2"/>
    <x v="2"/>
    <n v="4"/>
    <x v="1"/>
    <x v="1"/>
    <n v="4"/>
  </r>
  <r>
    <s v="ORD-01868"/>
    <d v="2022-04-04T00:00:00"/>
    <s v="CUST05359"/>
    <x v="31"/>
    <n v="26"/>
    <x v="0"/>
    <x v="2"/>
    <x v="3"/>
    <x v="16"/>
    <x v="6"/>
    <s v="Camera"/>
    <n v="8"/>
    <n v="64439.74"/>
    <x v="37"/>
    <n v="542100.67000000004"/>
    <n v="80671.009999999995"/>
    <n v="103.41"/>
    <x v="0"/>
    <n v="1"/>
    <x v="0"/>
    <x v="0"/>
    <n v="3"/>
  </r>
  <r>
    <s v="ORD-00888"/>
    <d v="2021-02-04T00:00:00"/>
    <s v="CUST27547"/>
    <x v="89"/>
    <n v="49"/>
    <x v="1"/>
    <x v="0"/>
    <x v="4"/>
    <x v="18"/>
    <x v="6"/>
    <s v="Smartwatch"/>
    <n v="10"/>
    <n v="72812.39"/>
    <x v="10"/>
    <n v="520084.41"/>
    <n v="94437.03"/>
    <n v="76.77"/>
    <x v="5"/>
    <n v="2"/>
    <x v="1"/>
    <x v="1"/>
    <n v="10"/>
  </r>
  <r>
    <s v="ORD-02771"/>
    <d v="2023-04-14T00:00:00"/>
    <s v="CUST00213"/>
    <x v="90"/>
    <n v="47"/>
    <x v="1"/>
    <x v="0"/>
    <x v="3"/>
    <x v="16"/>
    <x v="0"/>
    <s v="Sunscreen"/>
    <n v="8"/>
    <n v="415.72"/>
    <x v="5"/>
    <n v="4769.26"/>
    <n v="1796.21"/>
    <n v="54.55"/>
    <x v="1"/>
    <n v="3"/>
    <x v="0"/>
    <x v="0"/>
    <n v="5"/>
  </r>
  <r>
    <s v="ORD-00591"/>
    <d v="2020-09-21T00:00:00"/>
    <s v="CUST49777"/>
    <x v="91"/>
    <n v="33"/>
    <x v="0"/>
    <x v="2"/>
    <x v="4"/>
    <x v="17"/>
    <x v="5"/>
    <s v="Tea"/>
    <n v="1"/>
    <n v="389.24"/>
    <x v="37"/>
    <n v="313.86"/>
    <n v="22.71"/>
    <n v="66.8"/>
    <x v="5"/>
    <n v="5"/>
    <x v="0"/>
    <x v="0"/>
    <n v="10"/>
  </r>
  <r>
    <s v="ORD-03456"/>
    <d v="2024-02-08T00:00:00"/>
    <s v="CUST58295"/>
    <x v="92"/>
    <n v="38"/>
    <x v="1"/>
    <x v="0"/>
    <x v="3"/>
    <x v="16"/>
    <x v="6"/>
    <s v="Smartwatch"/>
    <n v="4"/>
    <n v="15346.11"/>
    <x v="29"/>
    <n v="67060.7"/>
    <n v="9998.89"/>
    <n v="93.55"/>
    <x v="2"/>
    <n v="2"/>
    <x v="0"/>
    <x v="0"/>
    <n v="6"/>
  </r>
  <r>
    <s v="ORD-01031"/>
    <d v="2021-04-11T00:00:00"/>
    <s v="CUST25835"/>
    <x v="91"/>
    <n v="26"/>
    <x v="0"/>
    <x v="0"/>
    <x v="4"/>
    <x v="7"/>
    <x v="2"/>
    <s v="Fiction Novel"/>
    <n v="9"/>
    <n v="816.35"/>
    <x v="9"/>
    <n v="7711.33"/>
    <n v="3255"/>
    <n v="81.14"/>
    <x v="4"/>
    <n v="5"/>
    <x v="1"/>
    <x v="1"/>
    <n v="3"/>
  </r>
  <r>
    <s v="ORD-03205"/>
    <d v="2023-10-18T00:00:00"/>
    <s v="CUST12676"/>
    <x v="93"/>
    <n v="40"/>
    <x v="1"/>
    <x v="0"/>
    <x v="3"/>
    <x v="15"/>
    <x v="4"/>
    <s v="Dumbbells"/>
    <n v="7"/>
    <n v="12597.24"/>
    <x v="38"/>
    <n v="77124.12"/>
    <n v="20197.939999999999"/>
    <n v="79.69"/>
    <x v="5"/>
    <n v="4"/>
    <x v="0"/>
    <x v="0"/>
    <n v="8"/>
  </r>
  <r>
    <s v="ORD-00490"/>
    <d v="2020-08-04T00:00:00"/>
    <s v="CUST00642"/>
    <x v="94"/>
    <n v="40"/>
    <x v="1"/>
    <x v="0"/>
    <x v="4"/>
    <x v="18"/>
    <x v="1"/>
    <s v="Wardrobe"/>
    <n v="5"/>
    <n v="12250.19"/>
    <x v="18"/>
    <n v="45443.23"/>
    <n v="11573.16"/>
    <n v="71.75"/>
    <x v="1"/>
    <n v="3"/>
    <x v="0"/>
    <x v="0"/>
    <n v="6"/>
  </r>
  <r>
    <s v="ORD-00653"/>
    <d v="2020-10-20T00:00:00"/>
    <s v="CUST35559"/>
    <x v="22"/>
    <n v="22"/>
    <x v="3"/>
    <x v="2"/>
    <x v="1"/>
    <x v="10"/>
    <x v="2"/>
    <s v="Textbook"/>
    <n v="3"/>
    <n v="835.42"/>
    <x v="30"/>
    <n v="1423.3"/>
    <n v="458.44"/>
    <n v="55.32"/>
    <x v="2"/>
    <n v="5"/>
    <x v="0"/>
    <x v="0"/>
    <n v="1"/>
  </r>
  <r>
    <s v="ORD-01457"/>
    <d v="2021-10-22T00:00:00"/>
    <s v="CUST96946"/>
    <x v="95"/>
    <n v="53"/>
    <x v="2"/>
    <x v="1"/>
    <x v="4"/>
    <x v="18"/>
    <x v="6"/>
    <s v="Headphones"/>
    <n v="9"/>
    <n v="62284.37"/>
    <x v="21"/>
    <n v="295233.56"/>
    <n v="40519.72"/>
    <n v="81.150000000000006"/>
    <x v="3"/>
    <n v="3"/>
    <x v="0"/>
    <x v="0"/>
    <n v="8"/>
  </r>
  <r>
    <s v="ORD-03779"/>
    <d v="2024-07-02T00:00:00"/>
    <s v="CUST68889"/>
    <x v="96"/>
    <n v="56"/>
    <x v="2"/>
    <x v="1"/>
    <x v="2"/>
    <x v="14"/>
    <x v="2"/>
    <s v="Fiction Novel"/>
    <n v="2"/>
    <n v="493.07"/>
    <x v="17"/>
    <n v="1034.25"/>
    <n v="466.16"/>
    <n v="79.959999999999994"/>
    <x v="5"/>
    <n v="5"/>
    <x v="0"/>
    <x v="0"/>
    <n v="5"/>
  </r>
  <r>
    <s v="ORD-00928"/>
    <d v="2021-02-23T00:00:00"/>
    <s v="CUST88225"/>
    <x v="64"/>
    <n v="37"/>
    <x v="1"/>
    <x v="2"/>
    <x v="4"/>
    <x v="17"/>
    <x v="3"/>
    <s v="Dress"/>
    <n v="2"/>
    <n v="2323.11"/>
    <x v="39"/>
    <n v="3708.79"/>
    <n v="1138.78"/>
    <n v="85.32"/>
    <x v="5"/>
    <n v="2"/>
    <x v="0"/>
    <x v="0"/>
    <n v="7"/>
  </r>
  <r>
    <s v="ORD-00710"/>
    <d v="2020-11-19T00:00:00"/>
    <s v="CUST57843"/>
    <x v="62"/>
    <n v="51"/>
    <x v="2"/>
    <x v="2"/>
    <x v="3"/>
    <x v="15"/>
    <x v="2"/>
    <s v="Fiction Novel"/>
    <n v="10"/>
    <n v="331.1"/>
    <x v="40"/>
    <n v="1477.96"/>
    <n v="435.14"/>
    <n v="84.94"/>
    <x v="2"/>
    <n v="5"/>
    <x v="0"/>
    <x v="0"/>
    <n v="7"/>
  </r>
  <r>
    <s v="ORD-03999"/>
    <d v="2024-09-23T00:00:00"/>
    <s v="CUST81465"/>
    <x v="97"/>
    <n v="38"/>
    <x v="1"/>
    <x v="0"/>
    <x v="1"/>
    <x v="11"/>
    <x v="5"/>
    <s v="Flour"/>
    <n v="5"/>
    <n v="195.29"/>
    <x v="31"/>
    <n v="1055.0999999999999"/>
    <n v="81.38"/>
    <n v="32.28"/>
    <x v="3"/>
    <n v="3"/>
    <x v="0"/>
    <x v="2"/>
    <n v="5"/>
  </r>
  <r>
    <s v="ORD-01536"/>
    <d v="2021-11-20T00:00:00"/>
    <s v="CUST55972"/>
    <x v="98"/>
    <n v="47"/>
    <x v="1"/>
    <x v="0"/>
    <x v="0"/>
    <x v="1"/>
    <x v="3"/>
    <s v="Kurta"/>
    <n v="10"/>
    <n v="1224.47"/>
    <x v="17"/>
    <n v="5546.22"/>
    <n v="2019.44"/>
    <n v="52.99"/>
    <x v="0"/>
    <n v="1"/>
    <x v="0"/>
    <x v="0"/>
    <n v="6"/>
  </r>
  <r>
    <s v="ORD-03376"/>
    <d v="2023-12-31T00:00:00"/>
    <s v="CUST86469"/>
    <x v="99"/>
    <n v="43"/>
    <x v="1"/>
    <x v="1"/>
    <x v="4"/>
    <x v="17"/>
    <x v="0"/>
    <s v="Lipstick"/>
    <n v="7"/>
    <n v="1828.2"/>
    <x v="11"/>
    <n v="9118.6299999999992"/>
    <n v="3919.89"/>
    <n v="72.63"/>
    <x v="3"/>
    <n v="4"/>
    <x v="0"/>
    <x v="0"/>
    <n v="1"/>
  </r>
  <r>
    <s v="ORD-00273"/>
    <d v="2020-05-01T00:00:00"/>
    <s v="CUST92554"/>
    <x v="100"/>
    <n v="34"/>
    <x v="0"/>
    <x v="1"/>
    <x v="0"/>
    <x v="19"/>
    <x v="6"/>
    <s v="Laptop"/>
    <n v="8"/>
    <n v="74156.479999999996"/>
    <x v="4"/>
    <n v="789939.57"/>
    <n v="58250.48"/>
    <n v="75.8"/>
    <x v="3"/>
    <n v="5"/>
    <x v="0"/>
    <x v="0"/>
    <n v="2"/>
  </r>
  <r>
    <s v="ORD-03823"/>
    <d v="2024-07-21T00:00:00"/>
    <s v="CUST65889"/>
    <x v="101"/>
    <n v="52"/>
    <x v="2"/>
    <x v="2"/>
    <x v="1"/>
    <x v="11"/>
    <x v="5"/>
    <s v="Sugar"/>
    <n v="6"/>
    <n v="462.8"/>
    <x v="33"/>
    <n v="3702.45"/>
    <n v="265.27999999999997"/>
    <n v="81.010000000000005"/>
    <x v="2"/>
    <n v="4"/>
    <x v="0"/>
    <x v="0"/>
    <n v="7"/>
  </r>
  <r>
    <s v="ORD-01540"/>
    <d v="2021-11-20T00:00:00"/>
    <s v="CUST28110"/>
    <x v="102"/>
    <n v="28"/>
    <x v="0"/>
    <x v="0"/>
    <x v="2"/>
    <x v="9"/>
    <x v="3"/>
    <s v="Jeans"/>
    <n v="9"/>
    <n v="577.16"/>
    <x v="34"/>
    <n v="2706.28"/>
    <n v="896.42"/>
    <n v="45.41"/>
    <x v="4"/>
    <n v="3"/>
    <x v="1"/>
    <x v="1"/>
    <n v="2"/>
  </r>
  <r>
    <s v="ORD-03094"/>
    <d v="2023-08-30T00:00:00"/>
    <s v="CUST98803"/>
    <x v="103"/>
    <n v="42"/>
    <x v="1"/>
    <x v="0"/>
    <x v="4"/>
    <x v="8"/>
    <x v="1"/>
    <s v="Bed Frame"/>
    <n v="6"/>
    <n v="21712.77"/>
    <x v="1"/>
    <n v="157859.91"/>
    <n v="48496.37"/>
    <n v="62.68"/>
    <x v="1"/>
    <n v="2"/>
    <x v="0"/>
    <x v="2"/>
    <n v="9"/>
  </r>
  <r>
    <s v="ORD-02147"/>
    <d v="2022-07-31T00:00:00"/>
    <s v="CUST10089"/>
    <x v="104"/>
    <n v="47"/>
    <x v="1"/>
    <x v="1"/>
    <x v="3"/>
    <x v="5"/>
    <x v="3"/>
    <s v="Saree"/>
    <n v="2"/>
    <n v="3551.33"/>
    <x v="13"/>
    <n v="9440.7800000000007"/>
    <n v="3804.23"/>
    <n v="97.74"/>
    <x v="5"/>
    <n v="3"/>
    <x v="0"/>
    <x v="0"/>
    <n v="8"/>
  </r>
  <r>
    <s v="ORD-01640"/>
    <d v="2021-12-31T00:00:00"/>
    <s v="CUST78194"/>
    <x v="105"/>
    <n v="58"/>
    <x v="2"/>
    <x v="0"/>
    <x v="0"/>
    <x v="0"/>
    <x v="4"/>
    <s v="Yoga Mat"/>
    <n v="3"/>
    <n v="726.67"/>
    <x v="14"/>
    <n v="1042.72"/>
    <n v="281.95"/>
    <n v="34.18"/>
    <x v="2"/>
    <n v="1"/>
    <x v="0"/>
    <x v="3"/>
    <n v="9"/>
  </r>
  <r>
    <s v="ORD-03902"/>
    <d v="2024-08-14T00:00:00"/>
    <s v="CUST28307"/>
    <x v="106"/>
    <n v="48"/>
    <x v="1"/>
    <x v="1"/>
    <x v="1"/>
    <x v="11"/>
    <x v="2"/>
    <s v="Self-Help Book"/>
    <n v="6"/>
    <n v="797.16"/>
    <x v="14"/>
    <n v="4735.21"/>
    <n v="1174.5899999999999"/>
    <n v="15.7"/>
    <x v="2"/>
    <n v="4"/>
    <x v="0"/>
    <x v="3"/>
    <n v="2"/>
  </r>
  <r>
    <s v="ORD-00280"/>
    <d v="2020-05-03T00:00:00"/>
    <s v="CUST00544"/>
    <x v="40"/>
    <n v="26"/>
    <x v="0"/>
    <x v="0"/>
    <x v="2"/>
    <x v="14"/>
    <x v="2"/>
    <s v="Textbook"/>
    <n v="10"/>
    <n v="1346.41"/>
    <x v="27"/>
    <n v="12502.33"/>
    <n v="5924.88"/>
    <n v="55.15"/>
    <x v="4"/>
    <n v="1"/>
    <x v="0"/>
    <x v="4"/>
    <n v="2"/>
  </r>
  <r>
    <s v="ORD-03732"/>
    <d v="2024-06-15T00:00:00"/>
    <s v="CUST93241"/>
    <x v="58"/>
    <n v="31"/>
    <x v="0"/>
    <x v="2"/>
    <x v="2"/>
    <x v="13"/>
    <x v="3"/>
    <s v="Jeans"/>
    <n v="10"/>
    <n v="1828.09"/>
    <x v="17"/>
    <n v="18651.13"/>
    <n v="4543.72"/>
    <n v="54.66"/>
    <x v="4"/>
    <n v="5"/>
    <x v="0"/>
    <x v="0"/>
    <n v="10"/>
  </r>
  <r>
    <s v="ORD-02746"/>
    <d v="2023-04-03T00:00:00"/>
    <s v="CUST71887"/>
    <x v="87"/>
    <n v="30"/>
    <x v="0"/>
    <x v="1"/>
    <x v="3"/>
    <x v="15"/>
    <x v="2"/>
    <s v="Textbook"/>
    <n v="10"/>
    <n v="1221.02"/>
    <x v="2"/>
    <n v="15191.82"/>
    <n v="5083.3"/>
    <n v="86.46"/>
    <x v="1"/>
    <n v="5"/>
    <x v="0"/>
    <x v="4"/>
    <n v="4"/>
  </r>
  <r>
    <s v="ORD-02871"/>
    <d v="2023-05-31T00:00:00"/>
    <s v="CUST88518"/>
    <x v="107"/>
    <n v="58"/>
    <x v="2"/>
    <x v="2"/>
    <x v="4"/>
    <x v="17"/>
    <x v="6"/>
    <s v="Headphones"/>
    <n v="5"/>
    <n v="26851.1"/>
    <x v="13"/>
    <n v="218111.79"/>
    <n v="24902.1"/>
    <n v="72.55"/>
    <x v="4"/>
    <n v="2"/>
    <x v="0"/>
    <x v="0"/>
    <n v="2"/>
  </r>
  <r>
    <s v="ORD-00693"/>
    <d v="2020-11-09T00:00:00"/>
    <s v="CUST90563"/>
    <x v="108"/>
    <n v="31"/>
    <x v="0"/>
    <x v="0"/>
    <x v="2"/>
    <x v="9"/>
    <x v="0"/>
    <s v="Hair Oil"/>
    <n v="10"/>
    <n v="1973.78"/>
    <x v="16"/>
    <n v="14584.96"/>
    <n v="5325.39"/>
    <n v="34.79"/>
    <x v="3"/>
    <n v="4"/>
    <x v="0"/>
    <x v="0"/>
    <n v="8"/>
  </r>
  <r>
    <s v="ORD-02945"/>
    <d v="2023-06-30T00:00:00"/>
    <s v="CUST19434"/>
    <x v="109"/>
    <n v="28"/>
    <x v="0"/>
    <x v="1"/>
    <x v="3"/>
    <x v="12"/>
    <x v="1"/>
    <s v="Bed Frame"/>
    <n v="9"/>
    <n v="12800.64"/>
    <x v="25"/>
    <n v="120310.49"/>
    <n v="28867.05"/>
    <n v="77.17"/>
    <x v="2"/>
    <n v="5"/>
    <x v="0"/>
    <x v="0"/>
    <n v="7"/>
  </r>
  <r>
    <s v="ORD-00291"/>
    <d v="2020-08-05T00:00:00"/>
    <s v="CUST36091"/>
    <x v="110"/>
    <n v="43"/>
    <x v="1"/>
    <x v="1"/>
    <x v="2"/>
    <x v="9"/>
    <x v="6"/>
    <s v="Laptop"/>
    <n v="5"/>
    <n v="16919.29"/>
    <x v="29"/>
    <n v="117489.88"/>
    <n v="14930.93"/>
    <n v="59.99"/>
    <x v="4"/>
    <n v="5"/>
    <x v="1"/>
    <x v="1"/>
    <n v="10"/>
  </r>
  <r>
    <s v="ORD-02931"/>
    <d v="2023-06-23T00:00:00"/>
    <s v="CUST81737"/>
    <x v="44"/>
    <n v="36"/>
    <x v="1"/>
    <x v="1"/>
    <x v="0"/>
    <x v="1"/>
    <x v="0"/>
    <s v="Shampoo"/>
    <n v="8"/>
    <n v="1976.85"/>
    <x v="25"/>
    <n v="17609.099999999999"/>
    <n v="8544.51"/>
    <n v="81.44"/>
    <x v="0"/>
    <n v="4"/>
    <x v="0"/>
    <x v="0"/>
    <n v="6"/>
  </r>
  <r>
    <s v="ORD-00530"/>
    <d v="2020-08-22T00:00:00"/>
    <s v="CUST91144"/>
    <x v="52"/>
    <n v="29"/>
    <x v="0"/>
    <x v="0"/>
    <x v="3"/>
    <x v="5"/>
    <x v="0"/>
    <s v="Lipstick"/>
    <n v="1"/>
    <n v="357.7"/>
    <x v="27"/>
    <n v="286.61"/>
    <n v="137.44999999999999"/>
    <n v="95.23"/>
    <x v="3"/>
    <n v="3"/>
    <x v="0"/>
    <x v="0"/>
    <n v="1"/>
  </r>
  <r>
    <s v="ORD-01920"/>
    <d v="2022-04-29T00:00:00"/>
    <s v="CUST28329"/>
    <x v="111"/>
    <n v="28"/>
    <x v="0"/>
    <x v="0"/>
    <x v="0"/>
    <x v="0"/>
    <x v="5"/>
    <s v="Sugar"/>
    <n v="10"/>
    <n v="321.33999999999997"/>
    <x v="31"/>
    <n v="4232.71"/>
    <n v="408.89"/>
    <n v="47.89"/>
    <x v="3"/>
    <n v="1"/>
    <x v="0"/>
    <x v="0"/>
    <n v="9"/>
  </r>
  <r>
    <s v="ORD-04004"/>
    <d v="2024-09-25T00:00:00"/>
    <s v="CUST45019"/>
    <x v="9"/>
    <n v="27"/>
    <x v="0"/>
    <x v="1"/>
    <x v="2"/>
    <x v="4"/>
    <x v="3"/>
    <s v="Dress"/>
    <n v="1"/>
    <n v="2472.06"/>
    <x v="37"/>
    <n v="2559.11"/>
    <n v="756.36"/>
    <n v="57.21"/>
    <x v="5"/>
    <n v="5"/>
    <x v="0"/>
    <x v="0"/>
    <n v="10"/>
  </r>
  <r>
    <s v="ORD-02861"/>
    <d v="2023-05-29T00:00:00"/>
    <s v="CUST53780"/>
    <x v="112"/>
    <n v="28"/>
    <x v="0"/>
    <x v="2"/>
    <x v="2"/>
    <x v="13"/>
    <x v="1"/>
    <s v="Bed Frame"/>
    <n v="4"/>
    <n v="25915.33"/>
    <x v="38"/>
    <n v="132743.41"/>
    <n v="29427.55"/>
    <n v="58.32"/>
    <x v="0"/>
    <n v="5"/>
    <x v="0"/>
    <x v="0"/>
    <n v="10"/>
  </r>
  <r>
    <s v="ORD-00403"/>
    <d v="2020-06-22T00:00:00"/>
    <s v="CUST52549"/>
    <x v="113"/>
    <n v="32"/>
    <x v="0"/>
    <x v="1"/>
    <x v="2"/>
    <x v="9"/>
    <x v="3"/>
    <s v="T-Shirt"/>
    <n v="7"/>
    <n v="2701.8"/>
    <x v="32"/>
    <n v="22364.16"/>
    <n v="8609.23"/>
    <n v="56.32"/>
    <x v="2"/>
    <n v="5"/>
    <x v="1"/>
    <x v="1"/>
    <n v="2"/>
  </r>
  <r>
    <s v="ORD-03741"/>
    <d v="2024-06-19T00:00:00"/>
    <s v="CUST11870"/>
    <x v="114"/>
    <n v="28"/>
    <x v="0"/>
    <x v="1"/>
    <x v="3"/>
    <x v="16"/>
    <x v="3"/>
    <s v="Jacket"/>
    <n v="4"/>
    <n v="2577.39"/>
    <x v="38"/>
    <n v="15407.9"/>
    <n v="5412.09"/>
    <n v="58.52"/>
    <x v="4"/>
    <n v="2"/>
    <x v="0"/>
    <x v="0"/>
    <n v="1"/>
  </r>
  <r>
    <s v="ORD-03172"/>
    <d v="2023-10-04T00:00:00"/>
    <s v="CUST73615"/>
    <x v="115"/>
    <n v="45"/>
    <x v="1"/>
    <x v="0"/>
    <x v="0"/>
    <x v="1"/>
    <x v="5"/>
    <s v="Dal (1kg)"/>
    <n v="4"/>
    <n v="309.85000000000002"/>
    <x v="8"/>
    <n v="1375.7"/>
    <n v="128.93"/>
    <n v="73.63"/>
    <x v="4"/>
    <n v="4"/>
    <x v="1"/>
    <x v="1"/>
    <n v="5"/>
  </r>
  <r>
    <s v="ORD-00749"/>
    <d v="2020-12-06T00:00:00"/>
    <s v="CUST43010"/>
    <x v="116"/>
    <n v="33"/>
    <x v="0"/>
    <x v="1"/>
    <x v="1"/>
    <x v="10"/>
    <x v="3"/>
    <s v="Dress"/>
    <n v="8"/>
    <n v="2574.11"/>
    <x v="9"/>
    <n v="12273.11"/>
    <n v="5629.65"/>
    <n v="67.94"/>
    <x v="3"/>
    <n v="5"/>
    <x v="1"/>
    <x v="1"/>
    <n v="10"/>
  </r>
  <r>
    <s v="ORD-00053"/>
    <d v="2020-01-21T00:00:00"/>
    <s v="CUST07190"/>
    <x v="117"/>
    <n v="33"/>
    <x v="0"/>
    <x v="1"/>
    <x v="3"/>
    <x v="12"/>
    <x v="0"/>
    <s v="Lipstick"/>
    <n v="9"/>
    <n v="1931.61"/>
    <x v="34"/>
    <n v="10532.18"/>
    <n v="5257.88"/>
    <n v="98.73"/>
    <x v="5"/>
    <n v="5"/>
    <x v="0"/>
    <x v="0"/>
    <n v="3"/>
  </r>
  <r>
    <s v="ORD-01418"/>
    <d v="2021-10-01T00:00:00"/>
    <s v="CUST26109"/>
    <x v="43"/>
    <n v="52"/>
    <x v="2"/>
    <x v="0"/>
    <x v="1"/>
    <x v="6"/>
    <x v="4"/>
    <s v="Cycle"/>
    <n v="3"/>
    <n v="13585.06"/>
    <x v="30"/>
    <n v="26055.86"/>
    <n v="5488.23"/>
    <n v="62.01"/>
    <x v="1"/>
    <n v="5"/>
    <x v="0"/>
    <x v="2"/>
    <n v="2"/>
  </r>
  <r>
    <s v="ORD-02382"/>
    <d v="2022-10-28T00:00:00"/>
    <s v="CUST54015"/>
    <x v="118"/>
    <n v="48"/>
    <x v="1"/>
    <x v="2"/>
    <x v="0"/>
    <x v="19"/>
    <x v="4"/>
    <s v="Dumbbells"/>
    <n v="1"/>
    <n v="14172.12"/>
    <x v="1"/>
    <n v="12312.75"/>
    <n v="2055.13"/>
    <n v="79.52"/>
    <x v="1"/>
    <n v="5"/>
    <x v="0"/>
    <x v="0"/>
    <n v="6"/>
  </r>
  <r>
    <s v="ORD-00601"/>
    <d v="2020-09-25T00:00:00"/>
    <s v="CUST39660"/>
    <x v="119"/>
    <n v="53"/>
    <x v="2"/>
    <x v="0"/>
    <x v="4"/>
    <x v="8"/>
    <x v="2"/>
    <s v="Textbook"/>
    <n v="7"/>
    <n v="298.01"/>
    <x v="33"/>
    <n v="1735.77"/>
    <n v="683.51"/>
    <n v="71.67"/>
    <x v="1"/>
    <n v="2"/>
    <x v="1"/>
    <x v="1"/>
    <n v="2"/>
  </r>
  <r>
    <s v="ORD-00339"/>
    <d v="2020-05-27T00:00:00"/>
    <s v="CUST65020"/>
    <x v="120"/>
    <n v="28"/>
    <x v="0"/>
    <x v="1"/>
    <x v="0"/>
    <x v="19"/>
    <x v="1"/>
    <s v="Wardrobe"/>
    <n v="10"/>
    <n v="2690.93"/>
    <x v="34"/>
    <n v="23373.24"/>
    <n v="7410.64"/>
    <n v="43.86"/>
    <x v="4"/>
    <n v="4"/>
    <x v="1"/>
    <x v="1"/>
    <n v="4"/>
  </r>
  <r>
    <s v="ORD-01292"/>
    <d v="2021-08-06T00:00:00"/>
    <s v="CUST14859"/>
    <x v="121"/>
    <n v="21"/>
    <x v="3"/>
    <x v="2"/>
    <x v="0"/>
    <x v="1"/>
    <x v="0"/>
    <s v="Lipstick"/>
    <n v="3"/>
    <n v="1302.9000000000001"/>
    <x v="37"/>
    <n v="4258.29"/>
    <n v="1724.59"/>
    <n v="82.26"/>
    <x v="4"/>
    <n v="2"/>
    <x v="0"/>
    <x v="2"/>
    <n v="5"/>
  </r>
  <r>
    <s v="ORD-03394"/>
    <d v="2024-01-09T00:00:00"/>
    <s v="CUST94721"/>
    <x v="122"/>
    <n v="26"/>
    <x v="0"/>
    <x v="0"/>
    <x v="2"/>
    <x v="14"/>
    <x v="6"/>
    <s v="Smartwatch"/>
    <n v="4"/>
    <n v="13215.16"/>
    <x v="7"/>
    <n v="41177.25"/>
    <n v="3874.92"/>
    <n v="36.17"/>
    <x v="5"/>
    <n v="2"/>
    <x v="0"/>
    <x v="0"/>
    <n v="3"/>
  </r>
  <r>
    <s v="ORD-03486"/>
    <d v="2024-02-24T00:00:00"/>
    <s v="CUST56798"/>
    <x v="70"/>
    <n v="28"/>
    <x v="0"/>
    <x v="2"/>
    <x v="3"/>
    <x v="12"/>
    <x v="3"/>
    <s v="Saree"/>
    <n v="5"/>
    <n v="3018.53"/>
    <x v="26"/>
    <n v="13152.75"/>
    <n v="5208.9399999999996"/>
    <n v="73.33"/>
    <x v="3"/>
    <n v="1"/>
    <x v="0"/>
    <x v="3"/>
    <n v="4"/>
  </r>
  <r>
    <s v="ORD-03191"/>
    <d v="2023-10-13T00:00:00"/>
    <s v="CUST15190"/>
    <x v="123"/>
    <n v="37"/>
    <x v="1"/>
    <x v="0"/>
    <x v="4"/>
    <x v="17"/>
    <x v="0"/>
    <s v="Shampoo"/>
    <n v="4"/>
    <n v="817.47"/>
    <x v="27"/>
    <n v="2848.99"/>
    <n v="1431.62"/>
    <n v="61.6"/>
    <x v="0"/>
    <n v="5"/>
    <x v="0"/>
    <x v="2"/>
    <n v="2"/>
  </r>
  <r>
    <s v="ORD-00183"/>
    <d v="2020-03-22T00:00:00"/>
    <s v="CUST16395"/>
    <x v="124"/>
    <n v="19"/>
    <x v="3"/>
    <x v="1"/>
    <x v="1"/>
    <x v="6"/>
    <x v="0"/>
    <s v="Sunscreen"/>
    <n v="9"/>
    <n v="646.01"/>
    <x v="22"/>
    <n v="3807.56"/>
    <n v="1281.8399999999999"/>
    <n v="51.72"/>
    <x v="3"/>
    <n v="2"/>
    <x v="0"/>
    <x v="4"/>
    <n v="3"/>
  </r>
  <r>
    <s v="ORD-02779"/>
    <d v="2023-04-18T00:00:00"/>
    <s v="CUST66673"/>
    <x v="125"/>
    <n v="32"/>
    <x v="0"/>
    <x v="2"/>
    <x v="3"/>
    <x v="15"/>
    <x v="0"/>
    <s v="Face Cream"/>
    <n v="1"/>
    <n v="588.9"/>
    <x v="13"/>
    <n v="804.15"/>
    <n v="359.5"/>
    <n v="76.290000000000006"/>
    <x v="5"/>
    <n v="5"/>
    <x v="0"/>
    <x v="0"/>
    <n v="5"/>
  </r>
  <r>
    <s v="ORD-01224"/>
    <d v="2021-07-06T00:00:00"/>
    <s v="CUST34079"/>
    <x v="126"/>
    <n v="40"/>
    <x v="1"/>
    <x v="0"/>
    <x v="1"/>
    <x v="3"/>
    <x v="3"/>
    <s v="T-Shirt"/>
    <n v="6"/>
    <n v="3032.93"/>
    <x v="0"/>
    <n v="25322.69"/>
    <n v="10654.04"/>
    <n v="27.7"/>
    <x v="1"/>
    <n v="1"/>
    <x v="0"/>
    <x v="0"/>
    <n v="4"/>
  </r>
  <r>
    <s v="ORD-03282"/>
    <d v="2023-11-18T00:00:00"/>
    <s v="CUST30266"/>
    <x v="127"/>
    <n v="34"/>
    <x v="0"/>
    <x v="2"/>
    <x v="0"/>
    <x v="1"/>
    <x v="4"/>
    <s v="Yoga Mat"/>
    <n v="3"/>
    <n v="14108.02"/>
    <x v="9"/>
    <n v="36649.85"/>
    <n v="6203.2"/>
    <n v="56.58"/>
    <x v="1"/>
    <n v="2"/>
    <x v="0"/>
    <x v="0"/>
    <n v="10"/>
  </r>
  <r>
    <s v="ORD-03259"/>
    <d v="2023-11-08T00:00:00"/>
    <s v="CUST28855"/>
    <x v="128"/>
    <n v="26"/>
    <x v="0"/>
    <x v="2"/>
    <x v="4"/>
    <x v="18"/>
    <x v="5"/>
    <s v="Cooking Oil"/>
    <n v="9"/>
    <n v="165.39"/>
    <x v="3"/>
    <n v="1080.19"/>
    <n v="98.81"/>
    <n v="71.09"/>
    <x v="2"/>
    <n v="3"/>
    <x v="0"/>
    <x v="0"/>
    <n v="6"/>
  </r>
  <r>
    <s v="ORD-02007"/>
    <d v="2022-06-04T00:00:00"/>
    <s v="CUST96054"/>
    <x v="22"/>
    <n v="40"/>
    <x v="1"/>
    <x v="1"/>
    <x v="3"/>
    <x v="15"/>
    <x v="6"/>
    <s v="Smartphone"/>
    <n v="7"/>
    <n v="21000.78"/>
    <x v="25"/>
    <n v="174189.34"/>
    <n v="24923.4"/>
    <n v="115.73"/>
    <x v="4"/>
    <n v="5"/>
    <x v="0"/>
    <x v="0"/>
    <n v="6"/>
  </r>
  <r>
    <s v="ORD-02400"/>
    <d v="2022-11-04T00:00:00"/>
    <s v="CUST21465"/>
    <x v="129"/>
    <n v="33"/>
    <x v="0"/>
    <x v="2"/>
    <x v="0"/>
    <x v="2"/>
    <x v="3"/>
    <s v="Saree"/>
    <n v="7"/>
    <n v="525.25"/>
    <x v="13"/>
    <n v="3229.98"/>
    <n v="1218.3900000000001"/>
    <n v="48.82"/>
    <x v="4"/>
    <n v="4"/>
    <x v="0"/>
    <x v="0"/>
    <n v="8"/>
  </r>
  <r>
    <s v="ORD-02972"/>
    <d v="2023-07-10T00:00:00"/>
    <s v="CUST95419"/>
    <x v="130"/>
    <n v="37"/>
    <x v="1"/>
    <x v="0"/>
    <x v="0"/>
    <x v="19"/>
    <x v="0"/>
    <s v="Face Cream"/>
    <n v="9"/>
    <n v="108.24"/>
    <x v="20"/>
    <n v="1201.96"/>
    <n v="569.48"/>
    <n v="55.36"/>
    <x v="4"/>
    <n v="4"/>
    <x v="0"/>
    <x v="0"/>
    <n v="5"/>
  </r>
  <r>
    <s v="ORD-03622"/>
    <d v="2024-04-24T00:00:00"/>
    <s v="CUST32129"/>
    <x v="92"/>
    <n v="39"/>
    <x v="1"/>
    <x v="1"/>
    <x v="4"/>
    <x v="17"/>
    <x v="6"/>
    <s v="Smartwatch"/>
    <n v="7"/>
    <n v="45364.52"/>
    <x v="0"/>
    <n v="465179.21"/>
    <n v="56612.46"/>
    <n v="59.16"/>
    <x v="1"/>
    <n v="1"/>
    <x v="1"/>
    <x v="1"/>
    <n v="8"/>
  </r>
  <r>
    <s v="ORD-00200"/>
    <d v="2020-03-30T00:00:00"/>
    <s v="CUST79644"/>
    <x v="131"/>
    <n v="23"/>
    <x v="3"/>
    <x v="2"/>
    <x v="0"/>
    <x v="0"/>
    <x v="4"/>
    <s v="Cycle"/>
    <n v="5"/>
    <n v="9009.65"/>
    <x v="0"/>
    <n v="44971.39"/>
    <n v="10004.34"/>
    <n v="58.16"/>
    <x v="1"/>
    <n v="3"/>
    <x v="0"/>
    <x v="0"/>
    <n v="4"/>
  </r>
  <r>
    <s v="ORD-04057"/>
    <d v="2024-10-25T00:00:00"/>
    <s v="CUST95307"/>
    <x v="45"/>
    <n v="28"/>
    <x v="0"/>
    <x v="2"/>
    <x v="1"/>
    <x v="6"/>
    <x v="6"/>
    <s v="Headphones"/>
    <n v="3"/>
    <n v="9261.39"/>
    <x v="27"/>
    <n v="25255.17"/>
    <n v="3570.94"/>
    <n v="42.63"/>
    <x v="1"/>
    <n v="3"/>
    <x v="0"/>
    <x v="2"/>
    <n v="4"/>
  </r>
  <r>
    <s v="ORD-02757"/>
    <d v="2023-04-08T00:00:00"/>
    <s v="CUST97559"/>
    <x v="132"/>
    <n v="49"/>
    <x v="1"/>
    <x v="0"/>
    <x v="0"/>
    <x v="2"/>
    <x v="4"/>
    <s v="Dumbbells"/>
    <n v="4"/>
    <n v="2360.4"/>
    <x v="21"/>
    <n v="9045.1299999999992"/>
    <n v="1640.8"/>
    <n v="46.73"/>
    <x v="3"/>
    <n v="2"/>
    <x v="0"/>
    <x v="0"/>
    <n v="2"/>
  </r>
  <r>
    <s v="ORD-00881"/>
    <d v="2021-02-02T00:00:00"/>
    <s v="CUST31073"/>
    <x v="133"/>
    <n v="48"/>
    <x v="1"/>
    <x v="0"/>
    <x v="3"/>
    <x v="15"/>
    <x v="5"/>
    <s v="Flour"/>
    <n v="7"/>
    <n v="474.48"/>
    <x v="26"/>
    <n v="2258.19"/>
    <n v="189.8"/>
    <n v="40.18"/>
    <x v="0"/>
    <n v="1"/>
    <x v="1"/>
    <x v="1"/>
    <n v="2"/>
  </r>
  <r>
    <s v="ORD-00751"/>
    <d v="2020-12-07T00:00:00"/>
    <s v="CUST41385"/>
    <x v="134"/>
    <n v="32"/>
    <x v="0"/>
    <x v="0"/>
    <x v="2"/>
    <x v="4"/>
    <x v="2"/>
    <s v="Cook Book"/>
    <n v="999"/>
    <n v="403.63"/>
    <x v="7"/>
    <n v="203951.5"/>
    <n v="80603.27"/>
    <n v="48.7"/>
    <x v="1"/>
    <n v="5"/>
    <x v="0"/>
    <x v="0"/>
    <n v="1"/>
  </r>
  <r>
    <s v="ORD-01788"/>
    <d v="2022-03-04T00:00:00"/>
    <s v="CUST10753"/>
    <x v="128"/>
    <n v="51"/>
    <x v="2"/>
    <x v="0"/>
    <x v="1"/>
    <x v="11"/>
    <x v="0"/>
    <s v="Face Cream"/>
    <n v="6"/>
    <n v="153.84"/>
    <x v="32"/>
    <n v="1006.96"/>
    <n v="616.53"/>
    <n v="54.61"/>
    <x v="0"/>
    <n v="3"/>
    <x v="0"/>
    <x v="0"/>
    <n v="9"/>
  </r>
  <r>
    <s v="ORD-00262"/>
    <d v="2020-04-25T00:00:00"/>
    <s v="CUST33827"/>
    <x v="135"/>
    <n v="24"/>
    <x v="3"/>
    <x v="0"/>
    <x v="0"/>
    <x v="1"/>
    <x v="1"/>
    <s v="Wardrobe"/>
    <n v="2"/>
    <n v="3582.55"/>
    <x v="0"/>
    <n v="8506.99"/>
    <n v="2610.08"/>
    <n v="54.88"/>
    <x v="0"/>
    <n v="3"/>
    <x v="0"/>
    <x v="0"/>
    <n v="7"/>
  </r>
  <r>
    <s v="ORD-04086"/>
    <d v="2024-11-07T00:00:00"/>
    <s v="CUST69304"/>
    <x v="133"/>
    <n v="57"/>
    <x v="2"/>
    <x v="1"/>
    <x v="0"/>
    <x v="2"/>
    <x v="6"/>
    <s v="Tablet"/>
    <n v="9"/>
    <n v="70570.87"/>
    <x v="23"/>
    <n v="436166.56"/>
    <n v="54481.93"/>
    <n v="66.680000000000007"/>
    <x v="0"/>
    <n v="2"/>
    <x v="0"/>
    <x v="0"/>
    <n v="3"/>
  </r>
  <r>
    <s v="ORD-01693"/>
    <d v="2022-01-24T00:00:00"/>
    <s v="CUST37446"/>
    <x v="136"/>
    <n v="66"/>
    <x v="2"/>
    <x v="1"/>
    <x v="2"/>
    <x v="9"/>
    <x v="0"/>
    <s v="Lipstick"/>
    <n v="9"/>
    <n v="265.25"/>
    <x v="20"/>
    <n v="1737.45"/>
    <n v="685.06"/>
    <n v="28.69"/>
    <x v="3"/>
    <n v="2"/>
    <x v="0"/>
    <x v="0"/>
    <n v="5"/>
  </r>
  <r>
    <s v="ORD-02495"/>
    <d v="2022-12-18T00:00:00"/>
    <s v="CUST29148"/>
    <x v="137"/>
    <n v="22"/>
    <x v="3"/>
    <x v="2"/>
    <x v="4"/>
    <x v="7"/>
    <x v="5"/>
    <s v="Sugar"/>
    <n v="7"/>
    <n v="56.3"/>
    <x v="31"/>
    <n v="219.23"/>
    <n v="17.73"/>
    <n v="83.47"/>
    <x v="5"/>
    <n v="4"/>
    <x v="1"/>
    <x v="1"/>
    <n v="6"/>
  </r>
  <r>
    <s v="ORD-02508"/>
    <d v="2022-12-24T00:00:00"/>
    <s v="CUST55151"/>
    <x v="138"/>
    <n v="27"/>
    <x v="0"/>
    <x v="0"/>
    <x v="3"/>
    <x v="16"/>
    <x v="1"/>
    <s v="Wardrobe"/>
    <n v="1"/>
    <n v="21949.11"/>
    <x v="38"/>
    <n v="16420.47"/>
    <n v="5291.08"/>
    <n v="87.46"/>
    <x v="1"/>
    <n v="1"/>
    <x v="0"/>
    <x v="0"/>
    <n v="2"/>
  </r>
  <r>
    <s v="ORD-01872"/>
    <d v="2022-04-06T00:00:00"/>
    <s v="CUST60962"/>
    <x v="118"/>
    <n v="30"/>
    <x v="0"/>
    <x v="0"/>
    <x v="2"/>
    <x v="4"/>
    <x v="4"/>
    <s v="Cricket Bat"/>
    <n v="10"/>
    <n v="8393.4"/>
    <x v="23"/>
    <n v="79799.460000000006"/>
    <n v="13093.99"/>
    <n v="54.18"/>
    <x v="5"/>
    <n v="2"/>
    <x v="0"/>
    <x v="0"/>
    <n v="8"/>
  </r>
  <r>
    <s v="ORD-01233"/>
    <d v="2021-07-10T00:00:00"/>
    <s v="CUST64805"/>
    <x v="139"/>
    <n v="33"/>
    <x v="0"/>
    <x v="2"/>
    <x v="4"/>
    <x v="17"/>
    <x v="3"/>
    <s v="Jacket"/>
    <n v="6"/>
    <n v="2619.38"/>
    <x v="27"/>
    <n v="15863.82"/>
    <n v="5048.54"/>
    <n v="23.2"/>
    <x v="1"/>
    <n v="2"/>
    <x v="0"/>
    <x v="0"/>
    <n v="4"/>
  </r>
  <r>
    <s v="ORD-00752"/>
    <d v="2020-12-07T00:00:00"/>
    <s v="CUST76726"/>
    <x v="140"/>
    <n v="26"/>
    <x v="0"/>
    <x v="0"/>
    <x v="0"/>
    <x v="1"/>
    <x v="4"/>
    <s v="Tennis Racket"/>
    <n v="8"/>
    <n v="4670.6000000000004"/>
    <x v="23"/>
    <n v="19375.099999999999"/>
    <n v="2879.15"/>
    <n v="51.67"/>
    <x v="3"/>
    <n v="4"/>
    <x v="0"/>
    <x v="0"/>
    <n v="4"/>
  </r>
  <r>
    <s v="ORD-00038"/>
    <d v="2020-01-14T00:00:00"/>
    <s v="CUST79223"/>
    <x v="78"/>
    <n v="20"/>
    <x v="3"/>
    <x v="0"/>
    <x v="3"/>
    <x v="16"/>
    <x v="2"/>
    <s v="Fiction Novel"/>
    <n v="1"/>
    <n v="1172.06"/>
    <x v="20"/>
    <n v="613.66"/>
    <n v="243.99"/>
    <n v="62.05"/>
    <x v="2"/>
    <n v="4"/>
    <x v="0"/>
    <x v="0"/>
    <n v="1"/>
  </r>
  <r>
    <s v="ORD-00994"/>
    <d v="2021-03-29T00:00:00"/>
    <s v="CUST13598"/>
    <x v="141"/>
    <n v="31"/>
    <x v="0"/>
    <x v="0"/>
    <x v="4"/>
    <x v="18"/>
    <x v="6"/>
    <s v="Smartwatch"/>
    <n v="4"/>
    <n v="70635.62"/>
    <x v="18"/>
    <n v="207766.8"/>
    <n v="19874.73"/>
    <n v="73.83"/>
    <x v="4"/>
    <n v="2"/>
    <x v="0"/>
    <x v="4"/>
    <n v="1"/>
  </r>
  <r>
    <s v="ORD-00436"/>
    <d v="2020-07-10T00:00:00"/>
    <s v="CUST18887"/>
    <x v="142"/>
    <n v="43"/>
    <x v="1"/>
    <x v="2"/>
    <x v="0"/>
    <x v="19"/>
    <x v="2"/>
    <s v="Biography"/>
    <n v="2"/>
    <n v="449.62"/>
    <x v="17"/>
    <n v="661.09"/>
    <n v="247.72"/>
    <n v="68.849999999999994"/>
    <x v="0"/>
    <n v="1"/>
    <x v="0"/>
    <x v="0"/>
    <n v="6"/>
  </r>
  <r>
    <s v="ORD-00923"/>
    <d v="2021-02-22T00:00:00"/>
    <s v="CUST41859"/>
    <x v="143"/>
    <n v="38"/>
    <x v="1"/>
    <x v="1"/>
    <x v="1"/>
    <x v="10"/>
    <x v="0"/>
    <s v="Shampoo"/>
    <n v="7"/>
    <n v="322.75"/>
    <x v="7"/>
    <n v="1684.8"/>
    <n v="760.63"/>
    <n v="28.86"/>
    <x v="2"/>
    <n v="1"/>
    <x v="1"/>
    <x v="1"/>
    <n v="5"/>
  </r>
  <r>
    <s v="ORD-04035"/>
    <d v="2024-10-16T00:00:00"/>
    <s v="CUST10272"/>
    <x v="144"/>
    <n v="20"/>
    <x v="3"/>
    <x v="0"/>
    <x v="4"/>
    <x v="8"/>
    <x v="6"/>
    <s v="Smartwatch"/>
    <n v="1"/>
    <n v="78299.490000000005"/>
    <x v="20"/>
    <n v="76494.58"/>
    <n v="10883.34"/>
    <n v="80.12"/>
    <x v="3"/>
    <n v="3"/>
    <x v="0"/>
    <x v="0"/>
    <n v="9"/>
  </r>
  <r>
    <s v="ORD-04090"/>
    <d v="2024-11-09T00:00:00"/>
    <s v="CUST31562"/>
    <x v="73"/>
    <n v="33"/>
    <x v="0"/>
    <x v="0"/>
    <x v="3"/>
    <x v="5"/>
    <x v="3"/>
    <s v="Jeans"/>
    <n v="4"/>
    <n v="1153.04"/>
    <x v="37"/>
    <n v="3508.11"/>
    <n v="1237.0899999999999"/>
    <n v="67.930000000000007"/>
    <x v="3"/>
    <n v="2"/>
    <x v="0"/>
    <x v="0"/>
    <n v="1"/>
  </r>
  <r>
    <s v="ORD-03401"/>
    <d v="2024-01-13T00:00:00"/>
    <s v="CUST97545"/>
    <x v="145"/>
    <n v="25"/>
    <x v="3"/>
    <x v="1"/>
    <x v="1"/>
    <x v="6"/>
    <x v="2"/>
    <s v="Cook Book"/>
    <n v="2"/>
    <n v="365.34"/>
    <x v="32"/>
    <n v="599.16"/>
    <n v="276.45999999999998"/>
    <n v="52.27"/>
    <x v="4"/>
    <n v="2"/>
    <x v="0"/>
    <x v="0"/>
    <n v="4"/>
  </r>
  <r>
    <s v="ORD-04160"/>
    <d v="2024-12-11T00:00:00"/>
    <s v="CUST91116"/>
    <x v="134"/>
    <n v="36"/>
    <x v="1"/>
    <x v="0"/>
    <x v="4"/>
    <x v="17"/>
    <x v="2"/>
    <s v="Biography"/>
    <n v="7"/>
    <n v="609.79"/>
    <x v="15"/>
    <n v="2905.61"/>
    <n v="1079.08"/>
    <n v="68.86"/>
    <x v="4"/>
    <n v="3"/>
    <x v="0"/>
    <x v="0"/>
    <n v="7"/>
  </r>
  <r>
    <s v="ORD-01192"/>
    <d v="2021-06-20T00:00:00"/>
    <s v="CUST39249"/>
    <x v="142"/>
    <n v="34"/>
    <x v="0"/>
    <x v="1"/>
    <x v="4"/>
    <x v="8"/>
    <x v="5"/>
    <s v="Cooking Oil"/>
    <n v="7"/>
    <n v="363.21"/>
    <x v="22"/>
    <n v="2475.37"/>
    <n v="175.94"/>
    <n v="73.22"/>
    <x v="4"/>
    <n v="4"/>
    <x v="0"/>
    <x v="3"/>
    <n v="1"/>
  </r>
  <r>
    <s v="ORD-01195"/>
    <d v="2021-06-23T00:00:00"/>
    <s v="CUST26595"/>
    <x v="146"/>
    <n v="40"/>
    <x v="1"/>
    <x v="1"/>
    <x v="1"/>
    <x v="10"/>
    <x v="4"/>
    <s v="Tennis Racket"/>
    <n v="1"/>
    <n v="8678.32"/>
    <x v="2"/>
    <n v="9630.16"/>
    <n v="2953.14"/>
    <n v="33.35"/>
    <x v="4"/>
    <n v="5"/>
    <x v="0"/>
    <x v="0"/>
    <n v="4"/>
  </r>
  <r>
    <s v="ORD-00170"/>
    <d v="2020-03-15T00:00:00"/>
    <s v="CUST53622"/>
    <x v="147"/>
    <n v="31"/>
    <x v="0"/>
    <x v="0"/>
    <x v="4"/>
    <x v="7"/>
    <x v="5"/>
    <s v="Sugar"/>
    <n v="9"/>
    <n v="236.54"/>
    <x v="36"/>
    <n v="1658.66"/>
    <n v="140.16"/>
    <n v="101.07"/>
    <x v="3"/>
    <n v="3"/>
    <x v="1"/>
    <x v="1"/>
    <n v="1"/>
  </r>
  <r>
    <s v="ORD-01213"/>
    <d v="2021-07-01T00:00:00"/>
    <s v="CUST54226"/>
    <x v="45"/>
    <n v="33"/>
    <x v="0"/>
    <x v="0"/>
    <x v="3"/>
    <x v="15"/>
    <x v="0"/>
    <s v="Lipstick"/>
    <n v="5"/>
    <n v="1998.43"/>
    <x v="26"/>
    <n v="9047.98"/>
    <n v="4337.88"/>
    <n v="79.62"/>
    <x v="4"/>
    <n v="4"/>
    <x v="0"/>
    <x v="3"/>
    <n v="3"/>
  </r>
  <r>
    <s v="ORD-04115"/>
    <d v="2024-11-25T00:00:00"/>
    <s v="CUST88970"/>
    <x v="148"/>
    <n v="38"/>
    <x v="1"/>
    <x v="1"/>
    <x v="3"/>
    <x v="5"/>
    <x v="6"/>
    <s v="Smartwatch"/>
    <n v="9"/>
    <n v="76064.53"/>
    <x v="15"/>
    <n v="473255.79"/>
    <n v="56343.87"/>
    <n v="79.709999999999994"/>
    <x v="2"/>
    <n v="3"/>
    <x v="0"/>
    <x v="0"/>
    <n v="1"/>
  </r>
  <r>
    <s v="ORD-03200"/>
    <d v="2023-10-16T00:00:00"/>
    <s v="CUST43688"/>
    <x v="149"/>
    <n v="49"/>
    <x v="1"/>
    <x v="1"/>
    <x v="2"/>
    <x v="9"/>
    <x v="5"/>
    <s v="Tea"/>
    <n v="1"/>
    <n v="97.17"/>
    <x v="1"/>
    <n v="86.02"/>
    <n v="8.27"/>
    <n v="46.49"/>
    <x v="1"/>
    <n v="1"/>
    <x v="0"/>
    <x v="0"/>
    <n v="5"/>
  </r>
  <r>
    <s v="ORD-00713"/>
    <d v="2020-11-22T00:00:00"/>
    <s v="CUST97013"/>
    <x v="61"/>
    <n v="48"/>
    <x v="1"/>
    <x v="1"/>
    <x v="1"/>
    <x v="6"/>
    <x v="5"/>
    <s v="Cooking Oil"/>
    <n v="9"/>
    <n v="407.45"/>
    <x v="21"/>
    <n v="1769.53"/>
    <n v="149.16"/>
    <n v="50.13"/>
    <x v="5"/>
    <n v="1"/>
    <x v="1"/>
    <x v="1"/>
    <n v="8"/>
  </r>
  <r>
    <s v="ORD-00975"/>
    <d v="2021-03-20T00:00:00"/>
    <s v="CUST76263"/>
    <x v="150"/>
    <n v="20"/>
    <x v="3"/>
    <x v="0"/>
    <x v="0"/>
    <x v="1"/>
    <x v="1"/>
    <s v="Sofa"/>
    <n v="6"/>
    <n v="5299.05"/>
    <x v="19"/>
    <n v="28279.75"/>
    <n v="5506.48"/>
    <n v="36.549999999999997"/>
    <x v="2"/>
    <n v="4"/>
    <x v="0"/>
    <x v="0"/>
    <n v="7"/>
  </r>
  <r>
    <s v="ORD-01391"/>
    <d v="2021-09-20T00:00:00"/>
    <s v="CUST53724"/>
    <x v="151"/>
    <n v="45"/>
    <x v="1"/>
    <x v="1"/>
    <x v="3"/>
    <x v="15"/>
    <x v="5"/>
    <s v="Dal (1kg)"/>
    <n v="8"/>
    <n v="126.77"/>
    <x v="7"/>
    <n v="930.33"/>
    <n v="66.45"/>
    <n v="64.290000000000006"/>
    <x v="5"/>
    <n v="4"/>
    <x v="0"/>
    <x v="3"/>
    <n v="2"/>
  </r>
  <r>
    <s v="ORD-01111"/>
    <d v="2021-05-16T00:00:00"/>
    <s v="CUST07335"/>
    <x v="152"/>
    <n v="21"/>
    <x v="3"/>
    <x v="0"/>
    <x v="3"/>
    <x v="12"/>
    <x v="4"/>
    <s v="Cricket Bat"/>
    <n v="6"/>
    <n v="3857.03"/>
    <x v="25"/>
    <n v="21548.37"/>
    <n v="6137.14"/>
    <n v="60.48"/>
    <x v="2"/>
    <n v="2"/>
    <x v="0"/>
    <x v="0"/>
    <n v="4"/>
  </r>
  <r>
    <s v="ORD-02171"/>
    <d v="2022-08-09T00:00:00"/>
    <s v="CUST77492"/>
    <x v="153"/>
    <n v="33"/>
    <x v="0"/>
    <x v="0"/>
    <x v="4"/>
    <x v="18"/>
    <x v="3"/>
    <s v="Saree"/>
    <n v="1"/>
    <n v="1170.22"/>
    <x v="6"/>
    <n v="1011.25"/>
    <n v="422.66"/>
    <n v="82.03"/>
    <x v="0"/>
    <n v="4"/>
    <x v="0"/>
    <x v="0"/>
    <n v="2"/>
  </r>
  <r>
    <s v="ORD-02834"/>
    <d v="2023-05-18T00:00:00"/>
    <s v="CUST80957"/>
    <x v="154"/>
    <n v="31"/>
    <x v="0"/>
    <x v="1"/>
    <x v="2"/>
    <x v="9"/>
    <x v="6"/>
    <s v="Smartphone"/>
    <n v="2"/>
    <n v="73267.64"/>
    <x v="18"/>
    <n v="142488.63"/>
    <n v="20643.55"/>
    <n v="69.989999999999995"/>
    <x v="3"/>
    <n v="2"/>
    <x v="0"/>
    <x v="0"/>
    <n v="6"/>
  </r>
  <r>
    <s v="ORD-03900"/>
    <d v="2024-08-14T00:00:00"/>
    <s v="CUST14119"/>
    <x v="155"/>
    <n v="39"/>
    <x v="1"/>
    <x v="2"/>
    <x v="0"/>
    <x v="0"/>
    <x v="2"/>
    <s v="Fiction Novel"/>
    <n v="3"/>
    <n v="705.21"/>
    <x v="1"/>
    <n v="2873.31"/>
    <n v="1040.42"/>
    <n v="76.63"/>
    <x v="1"/>
    <n v="1"/>
    <x v="0"/>
    <x v="0"/>
    <n v="8"/>
  </r>
  <r>
    <s v="ORD-02192"/>
    <d v="2022-08-15T00:00:00"/>
    <s v="CUST61790"/>
    <x v="137"/>
    <n v="32"/>
    <x v="0"/>
    <x v="1"/>
    <x v="3"/>
    <x v="16"/>
    <x v="1"/>
    <s v="Sofa"/>
    <n v="3"/>
    <n v="23445.9"/>
    <x v="35"/>
    <n v="60026.42"/>
    <n v="15012.25"/>
    <n v="54.92"/>
    <x v="3"/>
    <n v="1"/>
    <x v="1"/>
    <x v="1"/>
    <n v="7"/>
  </r>
  <r>
    <s v="ORD-02000"/>
    <d v="2022-06-02T00:00:00"/>
    <s v="CUST60137"/>
    <x v="156"/>
    <n v="35"/>
    <x v="0"/>
    <x v="2"/>
    <x v="3"/>
    <x v="5"/>
    <x v="4"/>
    <s v="Cricket Bat"/>
    <n v="6"/>
    <n v="6661.26"/>
    <x v="19"/>
    <n v="55550.3"/>
    <n v="11352.36"/>
    <n v="99.9"/>
    <x v="2"/>
    <n v="2"/>
    <x v="0"/>
    <x v="0"/>
    <n v="8"/>
  </r>
  <r>
    <s v="ORD-03042"/>
    <d v="2023-08-09T00:00:00"/>
    <s v="CUST48817"/>
    <x v="157"/>
    <n v="25"/>
    <x v="3"/>
    <x v="0"/>
    <x v="2"/>
    <x v="4"/>
    <x v="3"/>
    <s v="Saree"/>
    <n v="2"/>
    <n v="3266.34"/>
    <x v="24"/>
    <n v="9066.91"/>
    <n v="3755.8"/>
    <n v="51.58"/>
    <x v="2"/>
    <n v="5"/>
    <x v="0"/>
    <x v="0"/>
    <n v="1"/>
  </r>
  <r>
    <s v="ORD-03399"/>
    <d v="2024-01-12T00:00:00"/>
    <s v="CUST76705"/>
    <x v="158"/>
    <n v="42"/>
    <x v="1"/>
    <x v="0"/>
    <x v="4"/>
    <x v="18"/>
    <x v="0"/>
    <s v="Sunscreen"/>
    <n v="1"/>
    <n v="2339.83"/>
    <x v="13"/>
    <n v="2319.17"/>
    <n v="1351.82"/>
    <n v="88.12"/>
    <x v="5"/>
    <n v="3"/>
    <x v="0"/>
    <x v="0"/>
    <n v="10"/>
  </r>
  <r>
    <s v="ORD-01991"/>
    <d v="2022-05-30T00:00:00"/>
    <s v="CUST25027"/>
    <x v="159"/>
    <n v="24"/>
    <x v="3"/>
    <x v="2"/>
    <x v="3"/>
    <x v="15"/>
    <x v="0"/>
    <s v="Hair Oil"/>
    <n v="8"/>
    <n v="1075.32"/>
    <x v="15"/>
    <n v="9458.9500000000007"/>
    <n v="4920.3500000000004"/>
    <n v="101.65"/>
    <x v="3"/>
    <n v="1"/>
    <x v="1"/>
    <x v="1"/>
    <n v="8"/>
  </r>
  <r>
    <s v="ORD-04049"/>
    <d v="2024-10-23T00:00:00"/>
    <s v="CUST98496"/>
    <x v="160"/>
    <n v="27"/>
    <x v="0"/>
    <x v="1"/>
    <x v="1"/>
    <x v="11"/>
    <x v="5"/>
    <s v="Flour"/>
    <n v="8"/>
    <n v="174.02"/>
    <x v="1"/>
    <n v="1362"/>
    <n v="107.89"/>
    <n v="40.35"/>
    <x v="2"/>
    <n v="5"/>
    <x v="0"/>
    <x v="0"/>
    <n v="10"/>
  </r>
  <r>
    <s v="ORD-02187"/>
    <d v="2022-08-14T00:00:00"/>
    <s v="CUST47298"/>
    <x v="89"/>
    <n v="36"/>
    <x v="1"/>
    <x v="1"/>
    <x v="2"/>
    <x v="4"/>
    <x v="2"/>
    <s v="Comic Book"/>
    <n v="1"/>
    <n v="1129.04"/>
    <x v="12"/>
    <n v="1081.22"/>
    <n v="412.61"/>
    <n v="40.43"/>
    <x v="5"/>
    <n v="1"/>
    <x v="1"/>
    <x v="1"/>
    <n v="10"/>
  </r>
  <r>
    <s v="ORD-03703"/>
    <d v="2024-05-27T00:00:00"/>
    <s v="CUST91203"/>
    <x v="161"/>
    <n v="32"/>
    <x v="0"/>
    <x v="1"/>
    <x v="0"/>
    <x v="0"/>
    <x v="0"/>
    <s v="Sunscreen"/>
    <n v="4"/>
    <n v="722.47"/>
    <x v="36"/>
    <n v="4358.7299999999996"/>
    <n v="1526.73"/>
    <n v="71.989999999999995"/>
    <x v="1"/>
    <n v="1"/>
    <x v="0"/>
    <x v="2"/>
    <n v="7"/>
  </r>
  <r>
    <s v="ORD-01312"/>
    <d v="2021-08-12T00:00:00"/>
    <s v="CUST22985"/>
    <x v="162"/>
    <n v="22"/>
    <x v="3"/>
    <x v="0"/>
    <x v="2"/>
    <x v="9"/>
    <x v="0"/>
    <s v="Sunscreen"/>
    <n v="2"/>
    <n v="542.62"/>
    <x v="1"/>
    <n v="971.77"/>
    <n v="443.38"/>
    <n v="61.76"/>
    <x v="4"/>
    <n v="4"/>
    <x v="0"/>
    <x v="0"/>
    <n v="3"/>
  </r>
  <r>
    <s v="ORD-00797"/>
    <d v="2020-12-29T00:00:00"/>
    <s v="CUST04732"/>
    <x v="100"/>
    <n v="38"/>
    <x v="1"/>
    <x v="0"/>
    <x v="4"/>
    <x v="18"/>
    <x v="0"/>
    <s v="Face Cream"/>
    <n v="4"/>
    <n v="197.52"/>
    <x v="34"/>
    <n v="379.18"/>
    <n v="169.93"/>
    <n v="61.28"/>
    <x v="1"/>
    <n v="3"/>
    <x v="0"/>
    <x v="0"/>
    <n v="2"/>
  </r>
  <r>
    <s v="ORD-02663"/>
    <d v="2023-02-27T00:00:00"/>
    <s v="CUST82371"/>
    <x v="163"/>
    <n v="49"/>
    <x v="1"/>
    <x v="0"/>
    <x v="3"/>
    <x v="5"/>
    <x v="5"/>
    <s v="Dal (1kg)"/>
    <n v="4"/>
    <n v="230.58"/>
    <x v="2"/>
    <n v="768.3"/>
    <n v="50.26"/>
    <n v="81.52"/>
    <x v="4"/>
    <n v="1"/>
    <x v="0"/>
    <x v="0"/>
    <n v="1"/>
  </r>
  <r>
    <s v="ORD-01907"/>
    <d v="2022-04-23T00:00:00"/>
    <s v="CUST58083"/>
    <x v="164"/>
    <n v="31"/>
    <x v="0"/>
    <x v="0"/>
    <x v="1"/>
    <x v="6"/>
    <x v="4"/>
    <s v="Cricket Bat"/>
    <n v="6"/>
    <n v="12397.94"/>
    <x v="34"/>
    <n v="69539.73"/>
    <n v="14673.82"/>
    <n v="51.27"/>
    <x v="4"/>
    <n v="2"/>
    <x v="0"/>
    <x v="0"/>
    <n v="1"/>
  </r>
  <r>
    <s v="ORD-00766"/>
    <d v="2020-12-13T00:00:00"/>
    <s v="CUST94306"/>
    <x v="165"/>
    <n v="19"/>
    <x v="3"/>
    <x v="2"/>
    <x v="2"/>
    <x v="4"/>
    <x v="2"/>
    <s v="Fiction Novel"/>
    <n v="6"/>
    <n v="526.32000000000005"/>
    <x v="1"/>
    <n v="1927.61"/>
    <n v="588.73"/>
    <n v="49.68"/>
    <x v="3"/>
    <n v="3"/>
    <x v="1"/>
    <x v="1"/>
    <n v="3"/>
  </r>
  <r>
    <s v="ORD-03824"/>
    <d v="2024-07-21T00:00:00"/>
    <s v="CUST13500"/>
    <x v="71"/>
    <n v="26"/>
    <x v="0"/>
    <x v="1"/>
    <x v="2"/>
    <x v="13"/>
    <x v="5"/>
    <s v="Flour"/>
    <n v="6"/>
    <n v="112.85"/>
    <x v="19"/>
    <n v="1196.1099999999999"/>
    <n v="116.49"/>
    <n v="40.89"/>
    <x v="2"/>
    <n v="5"/>
    <x v="1"/>
    <x v="1"/>
    <n v="8"/>
  </r>
  <r>
    <s v="ORD-03029"/>
    <d v="2023-08-04T00:00:00"/>
    <s v="CUST15879"/>
    <x v="18"/>
    <n v="24"/>
    <x v="3"/>
    <x v="1"/>
    <x v="2"/>
    <x v="9"/>
    <x v="5"/>
    <s v="Flour"/>
    <n v="6"/>
    <n v="184.04"/>
    <x v="18"/>
    <n v="1193.08"/>
    <n v="80.930000000000007"/>
    <n v="70.55"/>
    <x v="3"/>
    <n v="5"/>
    <x v="0"/>
    <x v="0"/>
    <n v="1"/>
  </r>
  <r>
    <s v="ORD-02801"/>
    <d v="2023-04-29T00:00:00"/>
    <s v="CUST13741"/>
    <x v="166"/>
    <n v="30"/>
    <x v="0"/>
    <x v="2"/>
    <x v="3"/>
    <x v="12"/>
    <x v="0"/>
    <s v="Hair Oil"/>
    <n v="7"/>
    <n v="1050.3800000000001"/>
    <x v="29"/>
    <n v="8746.39"/>
    <n v="3436.69"/>
    <n v="85.61"/>
    <x v="0"/>
    <n v="3"/>
    <x v="0"/>
    <x v="0"/>
    <n v="5"/>
  </r>
  <r>
    <s v="ORD-01318"/>
    <d v="2021-08-15T00:00:00"/>
    <s v="CUST59067"/>
    <x v="167"/>
    <n v="49"/>
    <x v="1"/>
    <x v="0"/>
    <x v="1"/>
    <x v="6"/>
    <x v="0"/>
    <s v="Hair Oil"/>
    <n v="4"/>
    <n v="525.04999999999995"/>
    <x v="4"/>
    <n v="2333.9899999999998"/>
    <n v="964.12"/>
    <n v="71.8"/>
    <x v="1"/>
    <n v="5"/>
    <x v="0"/>
    <x v="0"/>
    <n v="1"/>
  </r>
  <r>
    <s v="ORD-03603"/>
    <d v="2024-04-17T00:00:00"/>
    <s v="CUST16934"/>
    <x v="126"/>
    <n v="26"/>
    <x v="0"/>
    <x v="1"/>
    <x v="1"/>
    <x v="11"/>
    <x v="3"/>
    <s v="Jeans"/>
    <n v="5"/>
    <n v="3541.45"/>
    <x v="37"/>
    <n v="19925.91"/>
    <n v="8625.6200000000008"/>
    <n v="58"/>
    <x v="2"/>
    <n v="3"/>
    <x v="0"/>
    <x v="4"/>
    <n v="9"/>
  </r>
  <r>
    <s v="ORD-02947"/>
    <d v="2023-07-01T00:00:00"/>
    <s v="CUST85761"/>
    <x v="147"/>
    <n v="44"/>
    <x v="1"/>
    <x v="1"/>
    <x v="4"/>
    <x v="8"/>
    <x v="1"/>
    <s v="Bookshelf"/>
    <n v="2"/>
    <n v="26714.83"/>
    <x v="37"/>
    <n v="63871.89"/>
    <n v="16676.939999999999"/>
    <n v="67.209999999999994"/>
    <x v="4"/>
    <n v="5"/>
    <x v="0"/>
    <x v="0"/>
    <n v="7"/>
  </r>
  <r>
    <s v="ORD-02150"/>
    <d v="2022-08-01T00:00:00"/>
    <s v="CUST80481"/>
    <x v="168"/>
    <n v="53"/>
    <x v="2"/>
    <x v="2"/>
    <x v="0"/>
    <x v="1"/>
    <x v="0"/>
    <s v="Sunscreen"/>
    <n v="4"/>
    <n v="356.27"/>
    <x v="15"/>
    <n v="1442.88"/>
    <n v="531.29999999999995"/>
    <n v="38.090000000000003"/>
    <x v="5"/>
    <n v="5"/>
    <x v="0"/>
    <x v="0"/>
    <n v="5"/>
  </r>
  <r>
    <s v="ORD-03667"/>
    <d v="2024-05-13T00:00:00"/>
    <s v="CUST95748"/>
    <x v="169"/>
    <n v="61"/>
    <x v="2"/>
    <x v="2"/>
    <x v="3"/>
    <x v="16"/>
    <x v="6"/>
    <s v="Tablet"/>
    <n v="1"/>
    <n v="42744.12"/>
    <x v="10"/>
    <n v="49034.559999999998"/>
    <n v="5764.27"/>
    <n v="81.41"/>
    <x v="0"/>
    <n v="4"/>
    <x v="0"/>
    <x v="0"/>
    <n v="8"/>
  </r>
  <r>
    <s v="ORD-03993"/>
    <d v="2024-09-20T00:00:00"/>
    <s v="CUST65197"/>
    <x v="170"/>
    <n v="38"/>
    <x v="1"/>
    <x v="2"/>
    <x v="4"/>
    <x v="18"/>
    <x v="2"/>
    <s v="Fiction Novel"/>
    <n v="9"/>
    <n v="816.41"/>
    <x v="34"/>
    <n v="5054.28"/>
    <n v="2136.9"/>
    <n v="42.16"/>
    <x v="4"/>
    <n v="2"/>
    <x v="0"/>
    <x v="0"/>
    <n v="5"/>
  </r>
  <r>
    <s v="ORD-02774"/>
    <d v="2023-04-16T00:00:00"/>
    <s v="CUST92472"/>
    <x v="171"/>
    <n v="33"/>
    <x v="0"/>
    <x v="0"/>
    <x v="3"/>
    <x v="5"/>
    <x v="4"/>
    <s v="Dumbbells"/>
    <n v="7"/>
    <n v="12799.72"/>
    <x v="38"/>
    <n v="114501.45"/>
    <n v="25731.03"/>
    <n v="74.55"/>
    <x v="5"/>
    <n v="2"/>
    <x v="0"/>
    <x v="0"/>
    <n v="2"/>
  </r>
  <r>
    <s v="ORD-00337"/>
    <d v="2020-05-26T00:00:00"/>
    <s v="CUST25152"/>
    <x v="105"/>
    <n v="61"/>
    <x v="2"/>
    <x v="2"/>
    <x v="0"/>
    <x v="2"/>
    <x v="2"/>
    <s v="Cook Book"/>
    <n v="2"/>
    <n v="425.83"/>
    <x v="8"/>
    <n v="846.36"/>
    <n v="364.43"/>
    <n v="42.68"/>
    <x v="4"/>
    <n v="4"/>
    <x v="0"/>
    <x v="0"/>
    <n v="10"/>
  </r>
  <r>
    <s v="ORD-03207"/>
    <d v="2023-10-19T00:00:00"/>
    <s v="CUST72297"/>
    <x v="106"/>
    <n v="53"/>
    <x v="2"/>
    <x v="2"/>
    <x v="4"/>
    <x v="7"/>
    <x v="1"/>
    <s v="Bed Frame"/>
    <n v="5"/>
    <n v="2374.77"/>
    <x v="12"/>
    <n v="9688.23"/>
    <n v="2614.25"/>
    <n v="83.81"/>
    <x v="4"/>
    <n v="1"/>
    <x v="0"/>
    <x v="0"/>
    <n v="6"/>
  </r>
  <r>
    <s v="ORD-00354"/>
    <d v="2020-06-01T00:00:00"/>
    <s v="CUST12677"/>
    <x v="123"/>
    <n v="41"/>
    <x v="1"/>
    <x v="1"/>
    <x v="2"/>
    <x v="13"/>
    <x v="5"/>
    <s v="Rice (5kg)"/>
    <n v="8"/>
    <n v="294.27"/>
    <x v="34"/>
    <n v="1927.79"/>
    <n v="96.62"/>
    <n v="53.97"/>
    <x v="2"/>
    <n v="1"/>
    <x v="0"/>
    <x v="0"/>
    <n v="5"/>
  </r>
  <r>
    <s v="ORD-00837"/>
    <d v="2021-01-18T00:00:00"/>
    <s v="CUST71096"/>
    <x v="133"/>
    <n v="29"/>
    <x v="0"/>
    <x v="1"/>
    <x v="3"/>
    <x v="5"/>
    <x v="6"/>
    <s v="Headphones"/>
    <n v="5"/>
    <n v="58480.23"/>
    <x v="32"/>
    <n v="200569.38"/>
    <n v="24313.05"/>
    <n v="84.38"/>
    <x v="3"/>
    <n v="4"/>
    <x v="0"/>
    <x v="0"/>
    <n v="2"/>
  </r>
  <r>
    <s v="ORD-02607"/>
    <d v="2023-02-06T00:00:00"/>
    <s v="CUST31900"/>
    <x v="172"/>
    <n v="39"/>
    <x v="1"/>
    <x v="1"/>
    <x v="4"/>
    <x v="7"/>
    <x v="4"/>
    <s v="Yoga Mat"/>
    <n v="8"/>
    <n v="5590.43"/>
    <x v="36"/>
    <n v="37398.22"/>
    <n v="4824.74"/>
    <n v="69.42"/>
    <x v="3"/>
    <n v="4"/>
    <x v="0"/>
    <x v="0"/>
    <n v="2"/>
  </r>
  <r>
    <s v="ORD-00727"/>
    <d v="2020-11-29T00:00:00"/>
    <s v="CUST39869"/>
    <x v="173"/>
    <n v="29"/>
    <x v="0"/>
    <x v="2"/>
    <x v="0"/>
    <x v="0"/>
    <x v="6"/>
    <s v="Smartwatch"/>
    <n v="4"/>
    <n v="7981.68"/>
    <x v="22"/>
    <n v="12800.24"/>
    <n v="1753.15"/>
    <n v="40.049999999999997"/>
    <x v="0"/>
    <n v="4"/>
    <x v="0"/>
    <x v="0"/>
    <n v="5"/>
  </r>
  <r>
    <s v="ORD-02529"/>
    <d v="2023-01-03T00:00:00"/>
    <s v="CUST61216"/>
    <x v="80"/>
    <n v="34"/>
    <x v="0"/>
    <x v="0"/>
    <x v="0"/>
    <x v="19"/>
    <x v="1"/>
    <s v="Bed Frame"/>
    <n v="2"/>
    <n v="9783.06"/>
    <x v="9"/>
    <n v="15984.43"/>
    <n v="3578.22"/>
    <n v="43.71"/>
    <x v="2"/>
    <n v="2"/>
    <x v="1"/>
    <x v="1"/>
    <n v="5"/>
  </r>
  <r>
    <s v="ORD-03018"/>
    <d v="2023-07-30T00:00:00"/>
    <s v="CUST13941"/>
    <x v="174"/>
    <n v="34"/>
    <x v="0"/>
    <x v="1"/>
    <x v="4"/>
    <x v="17"/>
    <x v="6"/>
    <s v="Camera"/>
    <n v="4"/>
    <n v="66643.149999999994"/>
    <x v="1"/>
    <n v="325899.40000000002"/>
    <n v="40690.870000000003"/>
    <n v="51.43"/>
    <x v="2"/>
    <n v="1"/>
    <x v="0"/>
    <x v="0"/>
    <n v="3"/>
  </r>
  <r>
    <s v="ORD-01841"/>
    <d v="2022-03-26T00:00:00"/>
    <s v="CUST02321"/>
    <x v="175"/>
    <n v="26"/>
    <x v="0"/>
    <x v="2"/>
    <x v="0"/>
    <x v="1"/>
    <x v="0"/>
    <s v="Shampoo"/>
    <n v="10"/>
    <n v="160.57"/>
    <x v="22"/>
    <n v="1214.0999999999999"/>
    <n v="697.82"/>
    <n v="51.31"/>
    <x v="3"/>
    <n v="3"/>
    <x v="0"/>
    <x v="0"/>
    <n v="2"/>
  </r>
  <r>
    <s v="ORD-02858"/>
    <d v="2023-05-28T00:00:00"/>
    <s v="CUST34534"/>
    <x v="176"/>
    <n v="55"/>
    <x v="2"/>
    <x v="0"/>
    <x v="1"/>
    <x v="3"/>
    <x v="4"/>
    <s v="Cricket Bat"/>
    <n v="7"/>
    <n v="12138.63"/>
    <x v="19"/>
    <n v="95488.18"/>
    <n v="21101.52"/>
    <n v="32.89"/>
    <x v="4"/>
    <n v="5"/>
    <x v="0"/>
    <x v="3"/>
    <n v="4"/>
  </r>
  <r>
    <s v="ORD-03609"/>
    <d v="2024-04-20T00:00:00"/>
    <s v="CUST45693"/>
    <x v="177"/>
    <n v="45"/>
    <x v="1"/>
    <x v="0"/>
    <x v="2"/>
    <x v="4"/>
    <x v="2"/>
    <s v="Comic Book"/>
    <n v="5"/>
    <n v="224.92"/>
    <x v="27"/>
    <n v="1230.6600000000001"/>
    <n v="529.41999999999996"/>
    <n v="65.16"/>
    <x v="4"/>
    <n v="5"/>
    <x v="0"/>
    <x v="0"/>
    <n v="2"/>
  </r>
  <r>
    <s v="ORD-00559"/>
    <d v="2020-09-05T00:00:00"/>
    <s v="CUST34558"/>
    <x v="178"/>
    <n v="46"/>
    <x v="1"/>
    <x v="1"/>
    <x v="0"/>
    <x v="0"/>
    <x v="3"/>
    <s v="Jeans"/>
    <n v="8"/>
    <n v="2151.16"/>
    <x v="9"/>
    <n v="15432.22"/>
    <n v="4651.88"/>
    <n v="67.349999999999994"/>
    <x v="2"/>
    <n v="4"/>
    <x v="1"/>
    <x v="1"/>
    <n v="4"/>
  </r>
  <r>
    <s v="ORD-02870"/>
    <d v="2023-05-31T00:00:00"/>
    <s v="CUST15861"/>
    <x v="139"/>
    <n v="27"/>
    <x v="0"/>
    <x v="1"/>
    <x v="0"/>
    <x v="1"/>
    <x v="2"/>
    <s v="Fiction Novel"/>
    <n v="2"/>
    <n v="790.19"/>
    <x v="9"/>
    <n v="2524.52"/>
    <n v="1241.47"/>
    <n v="75.5"/>
    <x v="4"/>
    <n v="2"/>
    <x v="0"/>
    <x v="0"/>
    <n v="1"/>
  </r>
  <r>
    <s v="ORD-00130"/>
    <d v="2020-02-20T00:00:00"/>
    <s v="CUST73625"/>
    <x v="179"/>
    <n v="28"/>
    <x v="0"/>
    <x v="1"/>
    <x v="3"/>
    <x v="12"/>
    <x v="2"/>
    <s v="Textbook"/>
    <n v="10"/>
    <n v="327.54000000000002"/>
    <x v="7"/>
    <n v="2755.17"/>
    <n v="1528.85"/>
    <n v="80.58"/>
    <x v="0"/>
    <n v="5"/>
    <x v="1"/>
    <x v="1"/>
    <n v="2"/>
  </r>
  <r>
    <s v="ORD-02188"/>
    <d v="2022-08-14T00:00:00"/>
    <s v="CUST93685"/>
    <x v="180"/>
    <n v="19"/>
    <x v="3"/>
    <x v="1"/>
    <x v="4"/>
    <x v="18"/>
    <x v="6"/>
    <s v="Laptop"/>
    <n v="10"/>
    <n v="46080.58"/>
    <x v="30"/>
    <n v="392607.23"/>
    <n v="38045.24"/>
    <n v="42.13"/>
    <x v="3"/>
    <n v="1"/>
    <x v="0"/>
    <x v="0"/>
    <n v="7"/>
  </r>
  <r>
    <s v="ORD-03976"/>
    <d v="2024-09-10T00:00:00"/>
    <s v="CUST72202"/>
    <x v="181"/>
    <n v="28"/>
    <x v="0"/>
    <x v="0"/>
    <x v="0"/>
    <x v="2"/>
    <x v="6"/>
    <s v="Headphones"/>
    <n v="1"/>
    <n v="40304.61"/>
    <x v="8"/>
    <n v="54475.55"/>
    <n v="5497.55"/>
    <n v="73.05"/>
    <x v="4"/>
    <n v="2"/>
    <x v="0"/>
    <x v="2"/>
    <n v="5"/>
  </r>
  <r>
    <s v="ORD-03674"/>
    <d v="2024-05-15T00:00:00"/>
    <s v="CUST71549"/>
    <x v="182"/>
    <n v="37"/>
    <x v="1"/>
    <x v="2"/>
    <x v="3"/>
    <x v="16"/>
    <x v="1"/>
    <s v="Chair"/>
    <n v="3"/>
    <n v="16806.93"/>
    <x v="6"/>
    <n v="52202.49"/>
    <n v="17999.97"/>
    <n v="90.53"/>
    <x v="3"/>
    <n v="4"/>
    <x v="0"/>
    <x v="0"/>
    <n v="2"/>
  </r>
  <r>
    <s v="ORD-03297"/>
    <d v="2023-11-26T00:00:00"/>
    <s v="CUST29713"/>
    <x v="8"/>
    <n v="37"/>
    <x v="1"/>
    <x v="0"/>
    <x v="0"/>
    <x v="0"/>
    <x v="2"/>
    <s v="Cook Book"/>
    <n v="10"/>
    <n v="666.25"/>
    <x v="16"/>
    <n v="5098.3999999999996"/>
    <n v="1728.64"/>
    <n v="55.61"/>
    <x v="4"/>
    <n v="3"/>
    <x v="0"/>
    <x v="0"/>
    <n v="8"/>
  </r>
  <r>
    <s v="ORD-02445"/>
    <d v="2022-11-28T00:00:00"/>
    <s v="CUST71240"/>
    <x v="1"/>
    <n v="30"/>
    <x v="0"/>
    <x v="1"/>
    <x v="2"/>
    <x v="13"/>
    <x v="2"/>
    <s v="Fiction Novel"/>
    <n v="5"/>
    <n v="1175.29"/>
    <x v="21"/>
    <n v="3025.64"/>
    <n v="1294.96"/>
    <n v="66.209999999999994"/>
    <x v="5"/>
    <n v="2"/>
    <x v="0"/>
    <x v="0"/>
    <n v="4"/>
  </r>
  <r>
    <s v="ORD-00701"/>
    <d v="2020-11-13T00:00:00"/>
    <s v="CUST90688"/>
    <x v="183"/>
    <n v="42"/>
    <x v="1"/>
    <x v="2"/>
    <x v="3"/>
    <x v="5"/>
    <x v="6"/>
    <s v="Tablet"/>
    <n v="6"/>
    <n v="50084.03"/>
    <x v="2"/>
    <n v="186628.87"/>
    <n v="20981.15"/>
    <n v="94.58"/>
    <x v="0"/>
    <n v="4"/>
    <x v="0"/>
    <x v="2"/>
    <n v="6"/>
  </r>
  <r>
    <s v="ORD-00439"/>
    <d v="2020-07-12T00:00:00"/>
    <s v="CUST45071"/>
    <x v="184"/>
    <n v="22"/>
    <x v="3"/>
    <x v="0"/>
    <x v="0"/>
    <x v="2"/>
    <x v="5"/>
    <s v="Cooking Oil"/>
    <n v="2"/>
    <n v="379.2"/>
    <x v="33"/>
    <n v="658.39"/>
    <n v="27.25"/>
    <n v="67.650000000000006"/>
    <x v="4"/>
    <n v="1"/>
    <x v="0"/>
    <x v="0"/>
    <n v="7"/>
  </r>
  <r>
    <s v="ORD-00132"/>
    <d v="2020-02-20T00:00:00"/>
    <s v="CUST20387"/>
    <x v="173"/>
    <n v="26"/>
    <x v="0"/>
    <x v="2"/>
    <x v="4"/>
    <x v="8"/>
    <x v="0"/>
    <s v="Lipstick"/>
    <n v="2"/>
    <n v="959.97"/>
    <x v="28"/>
    <n v="1563.91"/>
    <n v="630.51"/>
    <n v="71.849999999999994"/>
    <x v="1"/>
    <n v="4"/>
    <x v="0"/>
    <x v="0"/>
    <n v="2"/>
  </r>
  <r>
    <s v="ORD-00343"/>
    <d v="2020-05-28T00:00:00"/>
    <s v="CUST91659"/>
    <x v="185"/>
    <n v="20"/>
    <x v="3"/>
    <x v="0"/>
    <x v="1"/>
    <x v="10"/>
    <x v="3"/>
    <s v="Kurta"/>
    <n v="1"/>
    <n v="1604.88"/>
    <x v="3"/>
    <n v="1620.42"/>
    <n v="414.75"/>
    <n v="71.08"/>
    <x v="0"/>
    <n v="3"/>
    <x v="1"/>
    <x v="1"/>
    <n v="4"/>
  </r>
  <r>
    <s v="ORD-02011"/>
    <d v="2022-06-05T00:00:00"/>
    <s v="CUST67385"/>
    <x v="133"/>
    <n v="52"/>
    <x v="2"/>
    <x v="2"/>
    <x v="0"/>
    <x v="19"/>
    <x v="4"/>
    <s v="Cricket Bat"/>
    <n v="10"/>
    <n v="6308.82"/>
    <x v="21"/>
    <n v="65319.25"/>
    <n v="13727.44"/>
    <n v="63.87"/>
    <x v="5"/>
    <n v="1"/>
    <x v="1"/>
    <x v="1"/>
    <n v="7"/>
  </r>
  <r>
    <s v="ORD-03217"/>
    <d v="2023-10-22T00:00:00"/>
    <s v="CUST14537"/>
    <x v="186"/>
    <n v="41"/>
    <x v="1"/>
    <x v="1"/>
    <x v="2"/>
    <x v="4"/>
    <x v="0"/>
    <s v="Hair Oil"/>
    <n v="10"/>
    <n v="850.71"/>
    <x v="17"/>
    <n v="5762.75"/>
    <n v="2735.24"/>
    <n v="38.04"/>
    <x v="2"/>
    <n v="4"/>
    <x v="0"/>
    <x v="0"/>
    <n v="6"/>
  </r>
  <r>
    <s v="ORD-02921"/>
    <d v="2023-06-17T00:00:00"/>
    <s v="CUST51781"/>
    <x v="157"/>
    <n v="26"/>
    <x v="0"/>
    <x v="0"/>
    <x v="2"/>
    <x v="9"/>
    <x v="5"/>
    <s v="Rice (5kg)"/>
    <n v="5"/>
    <n v="200.85"/>
    <x v="21"/>
    <n v="1116.3800000000001"/>
    <n v="71.67"/>
    <n v="58.1"/>
    <x v="1"/>
    <n v="2"/>
    <x v="0"/>
    <x v="0"/>
    <n v="1"/>
  </r>
  <r>
    <s v="ORD-01303"/>
    <d v="2021-08-10T00:00:00"/>
    <s v="CUST71873"/>
    <x v="177"/>
    <n v="35"/>
    <x v="0"/>
    <x v="2"/>
    <x v="3"/>
    <x v="15"/>
    <x v="1"/>
    <s v="Sofa"/>
    <n v="3"/>
    <n v="23823.69"/>
    <x v="38"/>
    <n v="88956.71"/>
    <n v="26211.15"/>
    <n v="95.16"/>
    <x v="1"/>
    <n v="5"/>
    <x v="0"/>
    <x v="0"/>
    <n v="6"/>
  </r>
  <r>
    <s v="ORD-01463"/>
    <d v="2021-10-23T00:00:00"/>
    <s v="CUST80946"/>
    <x v="187"/>
    <n v="35"/>
    <x v="0"/>
    <x v="1"/>
    <x v="0"/>
    <x v="2"/>
    <x v="4"/>
    <s v="Football"/>
    <n v="6"/>
    <n v="10030.26"/>
    <x v="2"/>
    <n v="51174.21"/>
    <n v="14093.89"/>
    <n v="33.86"/>
    <x v="5"/>
    <n v="4"/>
    <x v="0"/>
    <x v="0"/>
    <n v="8"/>
  </r>
  <r>
    <s v="ORD-02047"/>
    <d v="2022-06-20T00:00:00"/>
    <s v="CUST63577"/>
    <x v="92"/>
    <n v="49"/>
    <x v="1"/>
    <x v="0"/>
    <x v="1"/>
    <x v="11"/>
    <x v="5"/>
    <s v="Flour"/>
    <n v="8"/>
    <n v="377.69"/>
    <x v="23"/>
    <n v="3219.24"/>
    <n v="244.77"/>
    <n v="42.69"/>
    <x v="3"/>
    <n v="1"/>
    <x v="0"/>
    <x v="0"/>
    <n v="4"/>
  </r>
  <r>
    <s v="ORD-00799"/>
    <d v="2020-12-29T00:00:00"/>
    <s v="CUST20881"/>
    <x v="188"/>
    <n v="48"/>
    <x v="1"/>
    <x v="0"/>
    <x v="0"/>
    <x v="0"/>
    <x v="4"/>
    <s v="Yoga Mat"/>
    <n v="4"/>
    <n v="2347.62"/>
    <x v="3"/>
    <n v="5426.75"/>
    <n v="1694.29"/>
    <n v="36.229999999999997"/>
    <x v="0"/>
    <n v="1"/>
    <x v="0"/>
    <x v="0"/>
    <n v="10"/>
  </r>
  <r>
    <s v="ORD-01013"/>
    <d v="2021-04-03T00:00:00"/>
    <s v="CUST39675"/>
    <x v="189"/>
    <n v="24"/>
    <x v="3"/>
    <x v="1"/>
    <x v="3"/>
    <x v="15"/>
    <x v="3"/>
    <s v="Jacket"/>
    <n v="8"/>
    <n v="1837.46"/>
    <x v="26"/>
    <n v="13934.11"/>
    <n v="4142.9399999999996"/>
    <n v="81.400000000000006"/>
    <x v="1"/>
    <n v="1"/>
    <x v="0"/>
    <x v="2"/>
    <n v="8"/>
  </r>
  <r>
    <s v="ORD-00267"/>
    <d v="2020-04-27T00:00:00"/>
    <s v="CUST76356"/>
    <x v="34"/>
    <n v="21"/>
    <x v="3"/>
    <x v="2"/>
    <x v="3"/>
    <x v="16"/>
    <x v="4"/>
    <s v="Football"/>
    <n v="6"/>
    <n v="7876.81"/>
    <x v="4"/>
    <n v="58868.95"/>
    <n v="12406.43"/>
    <n v="62.09"/>
    <x v="0"/>
    <n v="4"/>
    <x v="0"/>
    <x v="3"/>
    <n v="3"/>
  </r>
  <r>
    <s v="ORD-01704"/>
    <d v="2022-01-30T00:00:00"/>
    <s v="CUST33909"/>
    <x v="190"/>
    <n v="28"/>
    <x v="0"/>
    <x v="2"/>
    <x v="2"/>
    <x v="13"/>
    <x v="2"/>
    <s v="Comic Book"/>
    <n v="4"/>
    <n v="1134.8900000000001"/>
    <x v="28"/>
    <n v="3201.22"/>
    <n v="939.71"/>
    <n v="68.97"/>
    <x v="5"/>
    <n v="4"/>
    <x v="0"/>
    <x v="0"/>
    <n v="2"/>
  </r>
  <r>
    <s v="ORD-01925"/>
    <d v="2022-05-01T00:00:00"/>
    <s v="CUST73689"/>
    <x v="32"/>
    <n v="41"/>
    <x v="1"/>
    <x v="0"/>
    <x v="4"/>
    <x v="8"/>
    <x v="3"/>
    <s v="Jeans"/>
    <n v="9"/>
    <n v="3373.39"/>
    <x v="4"/>
    <n v="45729.43"/>
    <n v="18565.86"/>
    <n v="73.180000000000007"/>
    <x v="2"/>
    <n v="2"/>
    <x v="0"/>
    <x v="0"/>
    <n v="4"/>
  </r>
  <r>
    <s v="ORD-02748"/>
    <d v="2023-04-05T00:00:00"/>
    <s v="CUST72583"/>
    <x v="191"/>
    <n v="41"/>
    <x v="1"/>
    <x v="2"/>
    <x v="0"/>
    <x v="1"/>
    <x v="5"/>
    <s v="Tea"/>
    <n v="9"/>
    <n v="467.6"/>
    <x v="4"/>
    <n v="5992.24"/>
    <n v="654.29"/>
    <n v="37.130000000000003"/>
    <x v="1"/>
    <n v="4"/>
    <x v="0"/>
    <x v="0"/>
    <n v="7"/>
  </r>
  <r>
    <s v="ORD-00575"/>
    <d v="2020-09-14T00:00:00"/>
    <s v="CUST39101"/>
    <x v="192"/>
    <n v="32"/>
    <x v="0"/>
    <x v="1"/>
    <x v="3"/>
    <x v="12"/>
    <x v="1"/>
    <s v="Bookshelf"/>
    <n v="7"/>
    <n v="5932.53"/>
    <x v="40"/>
    <n v="23093.119999999999"/>
    <n v="8164.97"/>
    <n v="84.41"/>
    <x v="4"/>
    <n v="3"/>
    <x v="0"/>
    <x v="0"/>
    <n v="1"/>
  </r>
  <r>
    <s v="ORD-02409"/>
    <d v="2022-11-06T00:00:00"/>
    <s v="CUST13324"/>
    <x v="52"/>
    <n v="31"/>
    <x v="0"/>
    <x v="1"/>
    <x v="2"/>
    <x v="9"/>
    <x v="5"/>
    <s v="Tea"/>
    <n v="8"/>
    <n v="163.97"/>
    <x v="31"/>
    <n v="1055.3399999999999"/>
    <n v="91.59"/>
    <n v="24.74"/>
    <x v="0"/>
    <n v="4"/>
    <x v="0"/>
    <x v="3"/>
    <n v="8"/>
  </r>
  <r>
    <s v="ORD-02610"/>
    <d v="2023-02-06T00:00:00"/>
    <s v="CUST96115"/>
    <x v="176"/>
    <n v="39"/>
    <x v="1"/>
    <x v="0"/>
    <x v="4"/>
    <x v="8"/>
    <x v="2"/>
    <s v="Self-Help Book"/>
    <n v="10"/>
    <n v="947.87"/>
    <x v="27"/>
    <n v="7234.13"/>
    <n v="3527.5"/>
    <n v="84.4"/>
    <x v="3"/>
    <n v="4"/>
    <x v="0"/>
    <x v="0"/>
    <n v="4"/>
  </r>
  <r>
    <s v="ORD-00915"/>
    <d v="2021-02-16T00:00:00"/>
    <s v="CUST76268"/>
    <x v="193"/>
    <n v="36"/>
    <x v="1"/>
    <x v="1"/>
    <x v="2"/>
    <x v="4"/>
    <x v="6"/>
    <s v="Smartwatch"/>
    <n v="3"/>
    <n v="48921.59"/>
    <x v="36"/>
    <n v="107608.01"/>
    <n v="16935.060000000001"/>
    <n v="46.65"/>
    <x v="3"/>
    <n v="1"/>
    <x v="0"/>
    <x v="0"/>
    <n v="3"/>
  </r>
  <r>
    <s v="ORD-02705"/>
    <d v="2023-03-17T00:00:00"/>
    <s v="CUST85785"/>
    <x v="140"/>
    <n v="41"/>
    <x v="1"/>
    <x v="2"/>
    <x v="0"/>
    <x v="1"/>
    <x v="0"/>
    <s v="Perfume"/>
    <n v="2"/>
    <n v="888.49"/>
    <x v="0"/>
    <n v="2115.7399999999998"/>
    <n v="795.3"/>
    <n v="42.25"/>
    <x v="0"/>
    <n v="1"/>
    <x v="0"/>
    <x v="4"/>
    <n v="8"/>
  </r>
  <r>
    <s v="ORD-04126"/>
    <d v="2024-11-30T00:00:00"/>
    <s v="CUST88649"/>
    <x v="88"/>
    <n v="30"/>
    <x v="0"/>
    <x v="2"/>
    <x v="4"/>
    <x v="18"/>
    <x v="2"/>
    <s v="Self-Help Book"/>
    <n v="10"/>
    <n v="1308.6300000000001"/>
    <x v="40"/>
    <n v="8038.79"/>
    <n v="3691.88"/>
    <n v="59.74"/>
    <x v="1"/>
    <n v="5"/>
    <x v="0"/>
    <x v="0"/>
    <n v="9"/>
  </r>
  <r>
    <s v="ORD-01992"/>
    <d v="2022-05-30T00:00:00"/>
    <s v="CUST42274"/>
    <x v="122"/>
    <n v="38"/>
    <x v="1"/>
    <x v="1"/>
    <x v="4"/>
    <x v="18"/>
    <x v="4"/>
    <s v="Tennis Racket"/>
    <n v="10"/>
    <n v="2313.34"/>
    <x v="16"/>
    <n v="26178.67"/>
    <n v="6071.72"/>
    <n v="54.61"/>
    <x v="0"/>
    <n v="1"/>
    <x v="1"/>
    <x v="1"/>
    <n v="3"/>
  </r>
  <r>
    <s v="ORD-02181"/>
    <d v="2022-08-13T00:00:00"/>
    <s v="CUST50045"/>
    <x v="161"/>
    <n v="21"/>
    <x v="3"/>
    <x v="0"/>
    <x v="2"/>
    <x v="13"/>
    <x v="3"/>
    <s v="Jeans"/>
    <n v="8"/>
    <n v="3588.17"/>
    <x v="27"/>
    <n v="31618.79"/>
    <n v="13674.74"/>
    <n v="86.78"/>
    <x v="1"/>
    <n v="1"/>
    <x v="0"/>
    <x v="0"/>
    <n v="7"/>
  </r>
  <r>
    <s v="ORD-03851"/>
    <d v="2024-07-30T00:00:00"/>
    <s v="CUST24550"/>
    <x v="194"/>
    <n v="19"/>
    <x v="3"/>
    <x v="1"/>
    <x v="0"/>
    <x v="19"/>
    <x v="3"/>
    <s v="Kurta"/>
    <n v="4"/>
    <n v="2461.65"/>
    <x v="30"/>
    <n v="9963.8700000000008"/>
    <n v="2386.31"/>
    <n v="85.19"/>
    <x v="5"/>
    <n v="4"/>
    <x v="0"/>
    <x v="0"/>
    <n v="1"/>
  </r>
  <r>
    <s v="ORD-00644"/>
    <d v="2020-10-14T00:00:00"/>
    <s v="CUST94203"/>
    <x v="195"/>
    <n v="34"/>
    <x v="0"/>
    <x v="1"/>
    <x v="1"/>
    <x v="3"/>
    <x v="1"/>
    <s v="Bed Frame"/>
    <n v="4"/>
    <n v="22879.02"/>
    <x v="39"/>
    <n v="63905.82"/>
    <n v="18612.63"/>
    <n v="53.94"/>
    <x v="2"/>
    <n v="1"/>
    <x v="0"/>
    <x v="2"/>
    <n v="6"/>
  </r>
  <r>
    <s v="ORD-01414"/>
    <d v="2021-09-29T00:00:00"/>
    <s v="CUST00909"/>
    <x v="55"/>
    <n v="32"/>
    <x v="0"/>
    <x v="1"/>
    <x v="4"/>
    <x v="7"/>
    <x v="1"/>
    <s v="Sofa"/>
    <n v="6"/>
    <n v="3717.72"/>
    <x v="3"/>
    <n v="17177.150000000001"/>
    <n v="4949.58"/>
    <n v="62.81"/>
    <x v="5"/>
    <n v="2"/>
    <x v="0"/>
    <x v="0"/>
    <n v="3"/>
  </r>
  <r>
    <s v="ORD-00251"/>
    <d v="2020-04-20T00:00:00"/>
    <s v="CUST66007"/>
    <x v="191"/>
    <n v="26"/>
    <x v="0"/>
    <x v="0"/>
    <x v="2"/>
    <x v="14"/>
    <x v="1"/>
    <s v="Sofa"/>
    <n v="1"/>
    <n v="6470.7"/>
    <x v="14"/>
    <n v="4394.74"/>
    <n v="1235.03"/>
    <n v="66.87"/>
    <x v="5"/>
    <n v="4"/>
    <x v="0"/>
    <x v="0"/>
    <n v="7"/>
  </r>
  <r>
    <s v="ORD-01407"/>
    <d v="2021-09-25T00:00:00"/>
    <s v="CUST62870"/>
    <x v="196"/>
    <n v="38"/>
    <x v="1"/>
    <x v="2"/>
    <x v="1"/>
    <x v="6"/>
    <x v="0"/>
    <s v="Face Cream"/>
    <n v="2"/>
    <n v="1348.14"/>
    <x v="15"/>
    <n v="2363.6999999999998"/>
    <n v="904.82"/>
    <n v="48.59"/>
    <x v="4"/>
    <n v="2"/>
    <x v="0"/>
    <x v="0"/>
    <n v="5"/>
  </r>
  <r>
    <s v="ORD-01940"/>
    <d v="2022-06-05T00:00:00"/>
    <s v="CUST29935"/>
    <x v="168"/>
    <n v="30"/>
    <x v="0"/>
    <x v="2"/>
    <x v="0"/>
    <x v="1"/>
    <x v="0"/>
    <s v="Sunscreen"/>
    <n v="8"/>
    <n v="2364.86"/>
    <x v="7"/>
    <n v="20195.66"/>
    <n v="11817.43"/>
    <n v="58.27"/>
    <x v="0"/>
    <n v="5"/>
    <x v="0"/>
    <x v="0"/>
    <n v="5"/>
  </r>
  <r>
    <s v="ORD-00142"/>
    <d v="2020-02-27T00:00:00"/>
    <s v="CUST82516"/>
    <x v="197"/>
    <n v="40"/>
    <x v="1"/>
    <x v="2"/>
    <x v="3"/>
    <x v="15"/>
    <x v="4"/>
    <s v="Tennis Racket"/>
    <n v="1"/>
    <n v="11227.96"/>
    <x v="35"/>
    <n v="6220.68"/>
    <n v="1706.13"/>
    <n v="87.6"/>
    <x v="5"/>
    <n v="2"/>
    <x v="0"/>
    <x v="3"/>
    <n v="3"/>
  </r>
  <r>
    <s v="ORD-03035"/>
    <d v="2023-08-05T00:00:00"/>
    <s v="CUST76199"/>
    <x v="70"/>
    <n v="60"/>
    <x v="2"/>
    <x v="1"/>
    <x v="0"/>
    <x v="2"/>
    <x v="4"/>
    <s v="Tennis Racket"/>
    <n v="3"/>
    <n v="6247.18"/>
    <x v="37"/>
    <n v="19652.060000000001"/>
    <n v="5128.8900000000003"/>
    <n v="52.48"/>
    <x v="3"/>
    <n v="4"/>
    <x v="0"/>
    <x v="0"/>
    <n v="7"/>
  </r>
  <r>
    <s v="ORD-03088"/>
    <d v="2023-08-26T00:00:00"/>
    <s v="CUST49151"/>
    <x v="175"/>
    <n v="35"/>
    <x v="0"/>
    <x v="1"/>
    <x v="0"/>
    <x v="0"/>
    <x v="6"/>
    <s v="Headphones"/>
    <n v="1"/>
    <n v="41296.1"/>
    <x v="16"/>
    <n v="53611.5"/>
    <n v="4184.2299999999996"/>
    <n v="65.67"/>
    <x v="3"/>
    <n v="5"/>
    <x v="0"/>
    <x v="0"/>
    <n v="5"/>
  </r>
  <r>
    <s v="ORD-00283"/>
    <d v="2020-05-05T00:00:00"/>
    <s v="CUST17741"/>
    <x v="161"/>
    <n v="32"/>
    <x v="0"/>
    <x v="2"/>
    <x v="3"/>
    <x v="5"/>
    <x v="2"/>
    <s v="Cook Book"/>
    <n v="10"/>
    <n v="1387.77"/>
    <x v="13"/>
    <n v="15244.18"/>
    <n v="5378.75"/>
    <n v="88.89"/>
    <x v="5"/>
    <n v="4"/>
    <x v="0"/>
    <x v="0"/>
    <n v="9"/>
  </r>
  <r>
    <s v="ORD-01627"/>
    <d v="2021-12-27T00:00:00"/>
    <s v="CUST42701"/>
    <x v="181"/>
    <n v="48"/>
    <x v="1"/>
    <x v="0"/>
    <x v="4"/>
    <x v="8"/>
    <x v="3"/>
    <s v="Jacket"/>
    <n v="10"/>
    <n v="593.54999999999995"/>
    <x v="20"/>
    <n v="3624.78"/>
    <n v="896.12"/>
    <n v="78"/>
    <x v="0"/>
    <n v="5"/>
    <x v="0"/>
    <x v="0"/>
    <n v="9"/>
  </r>
  <r>
    <s v="ORD-02973"/>
    <d v="2023-07-11T00:00:00"/>
    <s v="CUST55824"/>
    <x v="198"/>
    <n v="27"/>
    <x v="0"/>
    <x v="0"/>
    <x v="0"/>
    <x v="19"/>
    <x v="2"/>
    <s v="Fiction Novel"/>
    <n v="1"/>
    <n v="623.96"/>
    <x v="11"/>
    <n v="778.16"/>
    <n v="263.81"/>
    <n v="68.14"/>
    <x v="2"/>
    <n v="3"/>
    <x v="0"/>
    <x v="0"/>
    <n v="6"/>
  </r>
  <r>
    <s v="ORD-03131"/>
    <d v="2023-09-15T00:00:00"/>
    <s v="CUST60904"/>
    <x v="123"/>
    <n v="29"/>
    <x v="0"/>
    <x v="2"/>
    <x v="2"/>
    <x v="13"/>
    <x v="5"/>
    <s v="Dal (1kg)"/>
    <n v="1"/>
    <n v="394.11"/>
    <x v="3"/>
    <n v="414.31"/>
    <n v="32.520000000000003"/>
    <n v="55.15"/>
    <x v="4"/>
    <n v="3"/>
    <x v="0"/>
    <x v="0"/>
    <n v="2"/>
  </r>
  <r>
    <s v="ORD-01170"/>
    <d v="2021-06-08T00:00:00"/>
    <s v="CUST04051"/>
    <x v="199"/>
    <n v="40"/>
    <x v="1"/>
    <x v="0"/>
    <x v="4"/>
    <x v="17"/>
    <x v="1"/>
    <s v="Sofa"/>
    <n v="5"/>
    <n v="23260.25"/>
    <x v="30"/>
    <n v="119013.87"/>
    <n v="32585.16"/>
    <n v="74.55"/>
    <x v="1"/>
    <n v="5"/>
    <x v="0"/>
    <x v="0"/>
    <n v="9"/>
  </r>
  <r>
    <s v="ORD-02153"/>
    <d v="2022-08-03T00:00:00"/>
    <s v="CUST05495"/>
    <x v="180"/>
    <n v="45"/>
    <x v="1"/>
    <x v="2"/>
    <x v="2"/>
    <x v="9"/>
    <x v="3"/>
    <s v="Kurta"/>
    <n v="1"/>
    <n v="2503.3000000000002"/>
    <x v="7"/>
    <n v="2937.26"/>
    <n v="723.88"/>
    <n v="47.55"/>
    <x v="1"/>
    <n v="2"/>
    <x v="1"/>
    <x v="1"/>
    <n v="10"/>
  </r>
  <r>
    <s v="ORD-02260"/>
    <d v="2022-09-10T00:00:00"/>
    <s v="CUST10492"/>
    <x v="200"/>
    <n v="61"/>
    <x v="2"/>
    <x v="1"/>
    <x v="0"/>
    <x v="1"/>
    <x v="0"/>
    <s v="Lipstick"/>
    <n v="9"/>
    <n v="1292.1600000000001"/>
    <x v="3"/>
    <n v="10154.82"/>
    <n v="3046.85"/>
    <n v="70.59"/>
    <x v="3"/>
    <n v="2"/>
    <x v="1"/>
    <x v="1"/>
    <n v="6"/>
  </r>
  <r>
    <s v="ORD-01363"/>
    <d v="2021-09-05T00:00:00"/>
    <s v="CUST15260"/>
    <x v="201"/>
    <n v="40"/>
    <x v="1"/>
    <x v="2"/>
    <x v="3"/>
    <x v="15"/>
    <x v="6"/>
    <s v="Camera"/>
    <n v="10"/>
    <n v="55908.72"/>
    <x v="38"/>
    <n v="627898.81000000006"/>
    <n v="86690.85"/>
    <n v="75.650000000000006"/>
    <x v="2"/>
    <n v="5"/>
    <x v="0"/>
    <x v="3"/>
    <n v="4"/>
  </r>
  <r>
    <s v="ORD-01781"/>
    <d v="2022-03-02T00:00:00"/>
    <s v="CUST31446"/>
    <x v="57"/>
    <n v="57"/>
    <x v="2"/>
    <x v="2"/>
    <x v="2"/>
    <x v="13"/>
    <x v="0"/>
    <s v="Face Cream"/>
    <n v="6"/>
    <n v="583.99"/>
    <x v="26"/>
    <n v="2822.23"/>
    <n v="1322.69"/>
    <n v="22.05"/>
    <x v="3"/>
    <n v="4"/>
    <x v="0"/>
    <x v="3"/>
    <n v="6"/>
  </r>
  <r>
    <s v="ORD-02812"/>
    <d v="2023-05-04T00:00:00"/>
    <s v="CUST82471"/>
    <x v="91"/>
    <n v="36"/>
    <x v="1"/>
    <x v="2"/>
    <x v="4"/>
    <x v="8"/>
    <x v="3"/>
    <s v="Saree"/>
    <n v="2"/>
    <n v="3236.58"/>
    <x v="8"/>
    <n v="9893.9699999999993"/>
    <n v="3171.49"/>
    <n v="71.87"/>
    <x v="2"/>
    <n v="1"/>
    <x v="0"/>
    <x v="0"/>
    <n v="9"/>
  </r>
  <r>
    <s v="ORD-00384"/>
    <d v="2020-06-12T00:00:00"/>
    <s v="CUST60562"/>
    <x v="102"/>
    <n v="25"/>
    <x v="3"/>
    <x v="0"/>
    <x v="2"/>
    <x v="14"/>
    <x v="3"/>
    <s v="Dress"/>
    <n v="10"/>
    <n v="658.16"/>
    <x v="15"/>
    <n v="6367.6"/>
    <n v="1841.64"/>
    <n v="63.58"/>
    <x v="2"/>
    <n v="1"/>
    <x v="0"/>
    <x v="0"/>
    <n v="7"/>
  </r>
  <r>
    <s v="ORD-03940"/>
    <d v="2024-08-26T00:00:00"/>
    <s v="CUST96355"/>
    <x v="202"/>
    <n v="35"/>
    <x v="0"/>
    <x v="2"/>
    <x v="3"/>
    <x v="15"/>
    <x v="2"/>
    <s v="Comic Book"/>
    <n v="2"/>
    <n v="1157.8900000000001"/>
    <x v="34"/>
    <n v="2443.04"/>
    <n v="649.16"/>
    <n v="56.27"/>
    <x v="0"/>
    <n v="1"/>
    <x v="0"/>
    <x v="0"/>
    <n v="9"/>
  </r>
  <r>
    <s v="ORD-01059"/>
    <d v="2021-04-25T00:00:00"/>
    <s v="CUST64001"/>
    <x v="203"/>
    <n v="63"/>
    <x v="2"/>
    <x v="1"/>
    <x v="4"/>
    <x v="17"/>
    <x v="6"/>
    <s v="Tablet"/>
    <n v="8"/>
    <n v="28211.93"/>
    <x v="30"/>
    <n v="175402.71"/>
    <n v="20772.79"/>
    <n v="61.29"/>
    <x v="0"/>
    <n v="5"/>
    <x v="0"/>
    <x v="0"/>
    <n v="4"/>
  </r>
  <r>
    <s v="ORD-03122"/>
    <d v="2023-09-09T00:00:00"/>
    <s v="CUST56458"/>
    <x v="94"/>
    <n v="30"/>
    <x v="0"/>
    <x v="1"/>
    <x v="3"/>
    <x v="16"/>
    <x v="1"/>
    <s v="Desk"/>
    <n v="9"/>
    <n v="24481.84"/>
    <x v="20"/>
    <n v="236017.16"/>
    <n v="68746.179999999993"/>
    <n v="92.95"/>
    <x v="5"/>
    <n v="3"/>
    <x v="0"/>
    <x v="4"/>
    <n v="10"/>
  </r>
  <r>
    <s v="ORD-02176"/>
    <d v="2022-08-12T00:00:00"/>
    <s v="CUST51575"/>
    <x v="204"/>
    <n v="30"/>
    <x v="0"/>
    <x v="1"/>
    <x v="2"/>
    <x v="14"/>
    <x v="4"/>
    <s v="Football"/>
    <n v="7"/>
    <n v="14759.38"/>
    <x v="24"/>
    <n v="128001.22"/>
    <n v="25740.07"/>
    <n v="70.7"/>
    <x v="5"/>
    <n v="3"/>
    <x v="0"/>
    <x v="0"/>
    <n v="7"/>
  </r>
  <r>
    <s v="ORD-01078"/>
    <d v="2021-05-03T00:00:00"/>
    <s v="CUST72966"/>
    <x v="155"/>
    <n v="52"/>
    <x v="2"/>
    <x v="2"/>
    <x v="3"/>
    <x v="16"/>
    <x v="0"/>
    <s v="Perfume"/>
    <n v="2"/>
    <n v="608.88"/>
    <x v="37"/>
    <n v="1272.71"/>
    <n v="511.96"/>
    <n v="106.95"/>
    <x v="4"/>
    <n v="4"/>
    <x v="1"/>
    <x v="1"/>
    <n v="4"/>
  </r>
  <r>
    <s v="ORD-03959"/>
    <d v="2024-04-09T00:00:00"/>
    <s v="CUST64416"/>
    <x v="205"/>
    <n v="35"/>
    <x v="0"/>
    <x v="1"/>
    <x v="0"/>
    <x v="1"/>
    <x v="3"/>
    <s v="Jacket"/>
    <n v="10"/>
    <n v="1823.02"/>
    <x v="36"/>
    <n v="21680.07"/>
    <n v="11667.37"/>
    <n v="63.11"/>
    <x v="4"/>
    <n v="5"/>
    <x v="0"/>
    <x v="0"/>
    <n v="6"/>
  </r>
  <r>
    <s v="ORD-02697"/>
    <d v="2023-03-14T00:00:00"/>
    <s v="CUST37138"/>
    <x v="22"/>
    <n v="42"/>
    <x v="1"/>
    <x v="1"/>
    <x v="0"/>
    <x v="19"/>
    <x v="6"/>
    <s v="Headphones"/>
    <n v="2"/>
    <n v="76935.789999999994"/>
    <x v="5"/>
    <n v="171768.97"/>
    <n v="27234.01"/>
    <n v="63.96"/>
    <x v="2"/>
    <n v="1"/>
    <x v="0"/>
    <x v="0"/>
    <n v="3"/>
  </r>
  <r>
    <s v="ORD-02515"/>
    <d v="2022-12-28T00:00:00"/>
    <s v="CUST66205"/>
    <x v="35"/>
    <n v="30"/>
    <x v="0"/>
    <x v="0"/>
    <x v="0"/>
    <x v="19"/>
    <x v="2"/>
    <s v="Biography"/>
    <n v="5"/>
    <n v="1103.75"/>
    <x v="15"/>
    <n v="3579.91"/>
    <n v="1891.54"/>
    <n v="60.86"/>
    <x v="2"/>
    <n v="3"/>
    <x v="0"/>
    <x v="2"/>
    <n v="1"/>
  </r>
  <r>
    <s v="ORD-02735"/>
    <d v="2023-03-30T00:00:00"/>
    <s v="CUST60872"/>
    <x v="133"/>
    <n v="38"/>
    <x v="1"/>
    <x v="0"/>
    <x v="4"/>
    <x v="18"/>
    <x v="1"/>
    <s v="Chair"/>
    <n v="1"/>
    <n v="7329.9"/>
    <x v="34"/>
    <n v="6777.56"/>
    <n v="2396.7199999999998"/>
    <n v="101.29"/>
    <x v="3"/>
    <n v="5"/>
    <x v="0"/>
    <x v="3"/>
    <n v="10"/>
  </r>
  <r>
    <s v="ORD-01766"/>
    <d v="2022-02-21T00:00:00"/>
    <s v="CUST87890"/>
    <x v="204"/>
    <n v="46"/>
    <x v="1"/>
    <x v="1"/>
    <x v="1"/>
    <x v="10"/>
    <x v="2"/>
    <s v="Textbook"/>
    <n v="4"/>
    <n v="378.9"/>
    <x v="40"/>
    <n v="957.41"/>
    <n v="235.48"/>
    <n v="29.15"/>
    <x v="3"/>
    <n v="5"/>
    <x v="0"/>
    <x v="0"/>
    <n v="3"/>
  </r>
  <r>
    <s v="ORD-02707"/>
    <d v="2023-03-18T00:00:00"/>
    <s v="CUST97042"/>
    <x v="206"/>
    <n v="28"/>
    <x v="0"/>
    <x v="1"/>
    <x v="1"/>
    <x v="3"/>
    <x v="2"/>
    <s v="Cook Book"/>
    <n v="4"/>
    <n v="1221.1099999999999"/>
    <x v="15"/>
    <n v="5162.57"/>
    <n v="1875.62"/>
    <n v="43.22"/>
    <x v="1"/>
    <n v="5"/>
    <x v="0"/>
    <x v="0"/>
    <n v="5"/>
  </r>
  <r>
    <s v="ORD-00671"/>
    <d v="2020-10-31T00:00:00"/>
    <s v="CUST93387"/>
    <x v="145"/>
    <n v="43"/>
    <x v="1"/>
    <x v="1"/>
    <x v="0"/>
    <x v="1"/>
    <x v="5"/>
    <s v="Cooking Oil"/>
    <n v="8"/>
    <n v="347.71"/>
    <x v="0"/>
    <n v="2265.2800000000002"/>
    <n v="178.59"/>
    <n v="64.88"/>
    <x v="3"/>
    <n v="5"/>
    <x v="0"/>
    <x v="0"/>
    <n v="9"/>
  </r>
  <r>
    <s v="ORD-03931"/>
    <d v="2024-08-23T00:00:00"/>
    <s v="CUST94914"/>
    <x v="84"/>
    <n v="31"/>
    <x v="0"/>
    <x v="1"/>
    <x v="4"/>
    <x v="18"/>
    <x v="4"/>
    <s v="Yoga Mat"/>
    <n v="6"/>
    <n v="9574.41"/>
    <x v="4"/>
    <n v="81951.13"/>
    <n v="15952.26"/>
    <n v="75.33"/>
    <x v="1"/>
    <n v="4"/>
    <x v="0"/>
    <x v="0"/>
    <n v="6"/>
  </r>
  <r>
    <s v="ORD-01721"/>
    <d v="2022-02-05T00:00:00"/>
    <s v="CUST05033"/>
    <x v="64"/>
    <n v="22"/>
    <x v="3"/>
    <x v="0"/>
    <x v="0"/>
    <x v="2"/>
    <x v="4"/>
    <s v="Football"/>
    <n v="8"/>
    <n v="11620.56"/>
    <x v="20"/>
    <n v="89828.71"/>
    <n v="25898.31"/>
    <n v="50.64"/>
    <x v="0"/>
    <n v="4"/>
    <x v="0"/>
    <x v="0"/>
    <n v="2"/>
  </r>
  <r>
    <s v="ORD-03054"/>
    <d v="2023-08-14T00:00:00"/>
    <s v="CUST26906"/>
    <x v="207"/>
    <n v="39"/>
    <x v="1"/>
    <x v="2"/>
    <x v="3"/>
    <x v="5"/>
    <x v="6"/>
    <s v="Smartphone"/>
    <n v="1"/>
    <n v="34885.370000000003"/>
    <x v="39"/>
    <n v="44683.38"/>
    <n v="3420.51"/>
    <n v="85.38"/>
    <x v="3"/>
    <n v="4"/>
    <x v="0"/>
    <x v="3"/>
    <n v="3"/>
  </r>
  <r>
    <s v="ORD-03543"/>
    <d v="2024-03-20T00:00:00"/>
    <s v="CUST14777"/>
    <x v="208"/>
    <n v="60"/>
    <x v="2"/>
    <x v="1"/>
    <x v="1"/>
    <x v="10"/>
    <x v="1"/>
    <s v="Bed Frame"/>
    <n v="7"/>
    <n v="28445.23"/>
    <x v="12"/>
    <n v="189614.18"/>
    <n v="42435.49"/>
    <n v="18.04"/>
    <x v="4"/>
    <n v="2"/>
    <x v="0"/>
    <x v="2"/>
    <n v="10"/>
  </r>
  <r>
    <s v="ORD-02803"/>
    <d v="2023-04-30T00:00:00"/>
    <s v="CUST07347"/>
    <x v="209"/>
    <n v="28"/>
    <x v="0"/>
    <x v="2"/>
    <x v="0"/>
    <x v="0"/>
    <x v="6"/>
    <s v="Smartwatch"/>
    <n v="6"/>
    <n v="64360.23"/>
    <x v="18"/>
    <n v="385580.53"/>
    <n v="28776.57"/>
    <n v="55.31"/>
    <x v="0"/>
    <n v="1"/>
    <x v="0"/>
    <x v="0"/>
    <n v="1"/>
  </r>
  <r>
    <s v="ORD-03231"/>
    <d v="2023-10-29T00:00:00"/>
    <s v="CUST88608"/>
    <x v="66"/>
    <n v="50"/>
    <x v="1"/>
    <x v="0"/>
    <x v="4"/>
    <x v="17"/>
    <x v="0"/>
    <s v="Sunscreen"/>
    <n v="2"/>
    <n v="1820.95"/>
    <x v="7"/>
    <n v="2961.7"/>
    <n v="1317.61"/>
    <n v="69.89"/>
    <x v="5"/>
    <n v="4"/>
    <x v="0"/>
    <x v="0"/>
    <n v="5"/>
  </r>
  <r>
    <s v="ORD-02672"/>
    <d v="2023-03-01T00:00:00"/>
    <s v="CUST97216"/>
    <x v="19"/>
    <n v="29"/>
    <x v="0"/>
    <x v="2"/>
    <x v="3"/>
    <x v="15"/>
    <x v="6"/>
    <s v="Headphones"/>
    <n v="6"/>
    <n v="78301.55"/>
    <x v="27"/>
    <n v="446345.61"/>
    <n v="61437.599999999999"/>
    <n v="87.28"/>
    <x v="1"/>
    <n v="4"/>
    <x v="0"/>
    <x v="0"/>
    <n v="7"/>
  </r>
  <r>
    <s v="ORD-00232"/>
    <d v="2020-04-11T00:00:00"/>
    <s v="CUST30800"/>
    <x v="170"/>
    <n v="36"/>
    <x v="1"/>
    <x v="1"/>
    <x v="1"/>
    <x v="10"/>
    <x v="0"/>
    <s v="Perfume"/>
    <n v="4"/>
    <n v="171.85"/>
    <x v="13"/>
    <n v="902.31"/>
    <n v="591.14"/>
    <n v="34.270000000000003"/>
    <x v="0"/>
    <n v="3"/>
    <x v="0"/>
    <x v="3"/>
    <n v="8"/>
  </r>
  <r>
    <s v="ORD-00522"/>
    <d v="2020-08-19T00:00:00"/>
    <s v="CUST28496"/>
    <x v="41"/>
    <n v="49"/>
    <x v="1"/>
    <x v="2"/>
    <x v="4"/>
    <x v="17"/>
    <x v="1"/>
    <s v="Desk"/>
    <n v="3"/>
    <n v="28093.41"/>
    <x v="38"/>
    <n v="80865.399999999994"/>
    <n v="14166.32"/>
    <n v="69.8"/>
    <x v="5"/>
    <n v="3"/>
    <x v="1"/>
    <x v="1"/>
    <n v="3"/>
  </r>
  <r>
    <s v="ORD-03797"/>
    <d v="2024-07-09T00:00:00"/>
    <s v="CUST19882"/>
    <x v="115"/>
    <n v="30"/>
    <x v="0"/>
    <x v="0"/>
    <x v="2"/>
    <x v="13"/>
    <x v="6"/>
    <s v="Headphones"/>
    <n v="3"/>
    <n v="39483.93"/>
    <x v="5"/>
    <n v="188221.16"/>
    <n v="17116.650000000001"/>
    <n v="68.56"/>
    <x v="4"/>
    <n v="3"/>
    <x v="1"/>
    <x v="1"/>
    <n v="2"/>
  </r>
  <r>
    <s v="ORD-03327"/>
    <d v="2023-10-12T00:00:00"/>
    <s v="CUST05689"/>
    <x v="210"/>
    <n v="30"/>
    <x v="0"/>
    <x v="0"/>
    <x v="2"/>
    <x v="14"/>
    <x v="5"/>
    <s v="Cooking Oil"/>
    <n v="9"/>
    <n v="407.05"/>
    <x v="25"/>
    <n v="1997.66"/>
    <n v="139.6"/>
    <n v="72.88"/>
    <x v="5"/>
    <n v="4"/>
    <x v="0"/>
    <x v="2"/>
    <n v="6"/>
  </r>
  <r>
    <s v="ORD-03907"/>
    <d v="2024-08-16T00:00:00"/>
    <s v="CUST07299"/>
    <x v="86"/>
    <n v="46"/>
    <x v="1"/>
    <x v="2"/>
    <x v="1"/>
    <x v="10"/>
    <x v="4"/>
    <s v="Yoga Mat"/>
    <n v="9"/>
    <n v="3110.88"/>
    <x v="12"/>
    <n v="29090.53"/>
    <n v="4498.07"/>
    <n v="43.42"/>
    <x v="1"/>
    <n v="2"/>
    <x v="0"/>
    <x v="0"/>
    <n v="8"/>
  </r>
  <r>
    <s v="ORD-02613"/>
    <d v="2023-02-09T00:00:00"/>
    <s v="CUST69520"/>
    <x v="20"/>
    <n v="18"/>
    <x v="3"/>
    <x v="0"/>
    <x v="2"/>
    <x v="9"/>
    <x v="4"/>
    <s v="Yoga Mat"/>
    <n v="1"/>
    <n v="12495.08"/>
    <x v="23"/>
    <n v="9249.06"/>
    <n v="1686.4"/>
    <n v="55.06"/>
    <x v="3"/>
    <n v="5"/>
    <x v="0"/>
    <x v="0"/>
    <n v="9"/>
  </r>
  <r>
    <s v="ORD-04164"/>
    <d v="2024-12-14T00:00:00"/>
    <s v="CUST96903"/>
    <x v="117"/>
    <n v="46"/>
    <x v="1"/>
    <x v="1"/>
    <x v="2"/>
    <x v="4"/>
    <x v="1"/>
    <s v="Chair"/>
    <n v="1"/>
    <n v="9449.94"/>
    <x v="7"/>
    <n v="7223.61"/>
    <n v="2224.5100000000002"/>
    <n v="32.57"/>
    <x v="4"/>
    <n v="1"/>
    <x v="1"/>
    <x v="1"/>
    <n v="2"/>
  </r>
  <r>
    <s v="ORD-01065"/>
    <d v="2021-04-27T00:00:00"/>
    <s v="CUST39633"/>
    <x v="211"/>
    <n v="35"/>
    <x v="0"/>
    <x v="0"/>
    <x v="1"/>
    <x v="3"/>
    <x v="6"/>
    <s v="Headphones"/>
    <n v="8"/>
    <n v="30314.74"/>
    <x v="29"/>
    <n v="283224.55"/>
    <n v="33093.14"/>
    <n v="68.75"/>
    <x v="3"/>
    <n v="1"/>
    <x v="1"/>
    <x v="1"/>
    <n v="9"/>
  </r>
  <r>
    <s v="ORD-00656"/>
    <d v="2020-10-22T00:00:00"/>
    <s v="CUST42875"/>
    <x v="0"/>
    <n v="26"/>
    <x v="0"/>
    <x v="1"/>
    <x v="4"/>
    <x v="17"/>
    <x v="4"/>
    <s v="Cycle"/>
    <n v="1"/>
    <n v="12380.73"/>
    <x v="27"/>
    <n v="8294.2999999999993"/>
    <n v="2144.64"/>
    <n v="80.23"/>
    <x v="3"/>
    <n v="4"/>
    <x v="0"/>
    <x v="2"/>
    <n v="5"/>
  </r>
  <r>
    <s v="ORD-03479"/>
    <d v="2024-02-21T00:00:00"/>
    <s v="CUST39897"/>
    <x v="212"/>
    <n v="30"/>
    <x v="0"/>
    <x v="1"/>
    <x v="4"/>
    <x v="18"/>
    <x v="6"/>
    <s v="Headphones"/>
    <n v="3"/>
    <n v="50121.13"/>
    <x v="15"/>
    <n v="130268.18"/>
    <n v="18524"/>
    <n v="68.489999999999995"/>
    <x v="0"/>
    <n v="5"/>
    <x v="0"/>
    <x v="2"/>
    <n v="4"/>
  </r>
  <r>
    <s v="ORD-03008"/>
    <d v="2023-07-26T00:00:00"/>
    <s v="CUST03875"/>
    <x v="193"/>
    <n v="35"/>
    <x v="0"/>
    <x v="1"/>
    <x v="2"/>
    <x v="13"/>
    <x v="4"/>
    <s v="Tennis Racket"/>
    <n v="5"/>
    <n v="1956.54"/>
    <x v="33"/>
    <n v="10411.35"/>
    <n v="2723.2"/>
    <n v="60.98"/>
    <x v="4"/>
    <n v="3"/>
    <x v="0"/>
    <x v="0"/>
    <n v="3"/>
  </r>
  <r>
    <s v="ORD-03519"/>
    <d v="2024-03-09T00:00:00"/>
    <s v="CUST89317"/>
    <x v="180"/>
    <n v="28"/>
    <x v="0"/>
    <x v="1"/>
    <x v="2"/>
    <x v="14"/>
    <x v="6"/>
    <s v="Laptop"/>
    <n v="5"/>
    <n v="35958.57"/>
    <x v="37"/>
    <n v="180888.8"/>
    <n v="18318.66"/>
    <n v="45.69"/>
    <x v="4"/>
    <n v="1"/>
    <x v="0"/>
    <x v="0"/>
    <n v="6"/>
  </r>
  <r>
    <s v="ORD-01731"/>
    <d v="2022-02-08T00:00:00"/>
    <s v="CUST81381"/>
    <x v="213"/>
    <n v="65"/>
    <x v="2"/>
    <x v="0"/>
    <x v="2"/>
    <x v="13"/>
    <x v="5"/>
    <s v="Flour"/>
    <n v="10"/>
    <n v="299.20999999999998"/>
    <x v="36"/>
    <n v="2491.46"/>
    <n v="268.35000000000002"/>
    <n v="16.739999999999998"/>
    <x v="5"/>
    <n v="3"/>
    <x v="0"/>
    <x v="0"/>
    <n v="9"/>
  </r>
  <r>
    <s v="ORD-02322"/>
    <d v="2022-10-05T00:00:00"/>
    <s v="CUST93809"/>
    <x v="214"/>
    <n v="44"/>
    <x v="1"/>
    <x v="1"/>
    <x v="1"/>
    <x v="11"/>
    <x v="1"/>
    <s v="Bookshelf"/>
    <n v="8"/>
    <n v="32195.15"/>
    <x v="15"/>
    <n v="191258.73"/>
    <n v="53878.3"/>
    <n v="67.87"/>
    <x v="2"/>
    <n v="2"/>
    <x v="0"/>
    <x v="0"/>
    <n v="4"/>
  </r>
  <r>
    <s v="ORD-02365"/>
    <d v="2022-10-18T00:00:00"/>
    <s v="CUST12074"/>
    <x v="197"/>
    <n v="51"/>
    <x v="2"/>
    <x v="2"/>
    <x v="2"/>
    <x v="4"/>
    <x v="4"/>
    <s v="Football"/>
    <n v="10"/>
    <n v="14562.6"/>
    <x v="35"/>
    <n v="86000.34"/>
    <n v="18267.52"/>
    <n v="33.549999999999997"/>
    <x v="2"/>
    <n v="5"/>
    <x v="0"/>
    <x v="0"/>
    <n v="4"/>
  </r>
  <r>
    <s v="ORD-00115"/>
    <d v="2020-02-12T00:00:00"/>
    <s v="CUST05374"/>
    <x v="147"/>
    <n v="39"/>
    <x v="1"/>
    <x v="2"/>
    <x v="4"/>
    <x v="18"/>
    <x v="0"/>
    <s v="Hair Oil"/>
    <n v="6"/>
    <n v="1270.3599999999999"/>
    <x v="29"/>
    <n v="5747.77"/>
    <n v="2669"/>
    <n v="62.46"/>
    <x v="1"/>
    <n v="3"/>
    <x v="0"/>
    <x v="0"/>
    <n v="8"/>
  </r>
  <r>
    <s v="ORD-01557"/>
    <d v="2021-11-29T00:00:00"/>
    <s v="CUST23869"/>
    <x v="190"/>
    <n v="54"/>
    <x v="2"/>
    <x v="1"/>
    <x v="4"/>
    <x v="7"/>
    <x v="2"/>
    <s v="Fiction Novel"/>
    <n v="3"/>
    <n v="789.1"/>
    <x v="20"/>
    <n v="1449.86"/>
    <n v="562.04"/>
    <n v="72.430000000000007"/>
    <x v="4"/>
    <n v="3"/>
    <x v="0"/>
    <x v="2"/>
    <n v="2"/>
  </r>
  <r>
    <s v="ORD-00800"/>
    <d v="2020-12-30T00:00:00"/>
    <s v="CUST77423"/>
    <x v="215"/>
    <n v="33"/>
    <x v="0"/>
    <x v="1"/>
    <x v="3"/>
    <x v="5"/>
    <x v="6"/>
    <s v="Camera"/>
    <n v="7"/>
    <n v="56504.32"/>
    <x v="25"/>
    <n v="197546.47"/>
    <n v="21532.46"/>
    <n v="53.78"/>
    <x v="2"/>
    <n v="5"/>
    <x v="0"/>
    <x v="0"/>
    <n v="1"/>
  </r>
  <r>
    <s v="ORD-02381"/>
    <d v="2022-10-28T00:00:00"/>
    <s v="CUST35452"/>
    <x v="216"/>
    <n v="36"/>
    <x v="1"/>
    <x v="2"/>
    <x v="2"/>
    <x v="14"/>
    <x v="6"/>
    <s v="Camera"/>
    <n v="6"/>
    <n v="6441.62"/>
    <x v="23"/>
    <n v="31528.73"/>
    <n v="5997.64"/>
    <n v="53.2"/>
    <x v="1"/>
    <n v="3"/>
    <x v="0"/>
    <x v="2"/>
    <n v="8"/>
  </r>
  <r>
    <s v="ORD-01862"/>
    <d v="2022-04-02T00:00:00"/>
    <s v="CUST38887"/>
    <x v="184"/>
    <n v="39"/>
    <x v="1"/>
    <x v="1"/>
    <x v="0"/>
    <x v="2"/>
    <x v="5"/>
    <s v="Dal (1kg)"/>
    <n v="3"/>
    <n v="475.6"/>
    <x v="20"/>
    <n v="1586.7"/>
    <n v="154.07"/>
    <n v="65.63"/>
    <x v="3"/>
    <n v="1"/>
    <x v="0"/>
    <x v="3"/>
    <n v="10"/>
  </r>
  <r>
    <s v="ORD-04033"/>
    <d v="2024-10-16T00:00:00"/>
    <s v="CUST01456"/>
    <x v="217"/>
    <n v="40"/>
    <x v="1"/>
    <x v="1"/>
    <x v="1"/>
    <x v="3"/>
    <x v="1"/>
    <s v="Chair"/>
    <n v="2"/>
    <n v="8590.5300000000007"/>
    <x v="37"/>
    <n v="12705.04"/>
    <n v="3529.2"/>
    <n v="40.590000000000003"/>
    <x v="3"/>
    <n v="5"/>
    <x v="0"/>
    <x v="0"/>
    <n v="6"/>
  </r>
  <r>
    <s v="ORD-04061"/>
    <d v="2024-10-27T00:00:00"/>
    <s v="CUST83988"/>
    <x v="218"/>
    <n v="18"/>
    <x v="3"/>
    <x v="2"/>
    <x v="2"/>
    <x v="14"/>
    <x v="1"/>
    <s v="Bed Frame"/>
    <n v="1"/>
    <n v="14589.01"/>
    <x v="33"/>
    <n v="13208.25"/>
    <n v="3174.45"/>
    <n v="52.97"/>
    <x v="3"/>
    <n v="3"/>
    <x v="0"/>
    <x v="0"/>
    <n v="1"/>
  </r>
  <r>
    <s v="ORD-02662"/>
    <d v="2023-02-27T00:00:00"/>
    <s v="CUST02913"/>
    <x v="219"/>
    <n v="32"/>
    <x v="0"/>
    <x v="2"/>
    <x v="3"/>
    <x v="16"/>
    <x v="2"/>
    <s v="Fiction Novel"/>
    <n v="2"/>
    <n v="484.9"/>
    <x v="39"/>
    <n v="1040.24"/>
    <n v="423.7"/>
    <n v="69.41"/>
    <x v="5"/>
    <n v="1"/>
    <x v="0"/>
    <x v="0"/>
    <n v="10"/>
  </r>
  <r>
    <s v="ORD-01421"/>
    <d v="2021-10-02T00:00:00"/>
    <s v="CUST32538"/>
    <x v="172"/>
    <n v="24"/>
    <x v="3"/>
    <x v="1"/>
    <x v="4"/>
    <x v="7"/>
    <x v="6"/>
    <s v="Laptop"/>
    <n v="10"/>
    <n v="23157.51"/>
    <x v="9"/>
    <n v="176221.6"/>
    <n v="21453.69"/>
    <n v="53.6"/>
    <x v="5"/>
    <n v="3"/>
    <x v="0"/>
    <x v="0"/>
    <n v="4"/>
  </r>
  <r>
    <s v="ORD-02686"/>
    <d v="2023-03-11T00:00:00"/>
    <s v="CUST63976"/>
    <x v="155"/>
    <n v="42"/>
    <x v="1"/>
    <x v="0"/>
    <x v="4"/>
    <x v="17"/>
    <x v="3"/>
    <s v="Jacket"/>
    <n v="8"/>
    <n v="570.17999999999995"/>
    <x v="8"/>
    <n v="5294.75"/>
    <n v="1738.46"/>
    <n v="56.28"/>
    <x v="3"/>
    <n v="2"/>
    <x v="0"/>
    <x v="0"/>
    <n v="4"/>
  </r>
  <r>
    <s v="ORD-02630"/>
    <d v="2023-02-14T00:00:00"/>
    <s v="CUST21078"/>
    <x v="220"/>
    <n v="33"/>
    <x v="0"/>
    <x v="2"/>
    <x v="2"/>
    <x v="14"/>
    <x v="6"/>
    <s v="Laptop"/>
    <n v="9"/>
    <n v="41854.410000000003"/>
    <x v="30"/>
    <n v="247342.73"/>
    <n v="30449.06"/>
    <n v="42.16"/>
    <x v="0"/>
    <n v="2"/>
    <x v="0"/>
    <x v="0"/>
    <n v="8"/>
  </r>
  <r>
    <s v="ORD-01893"/>
    <d v="2022-04-16T00:00:00"/>
    <s v="CUST98008"/>
    <x v="85"/>
    <n v="39"/>
    <x v="1"/>
    <x v="2"/>
    <x v="1"/>
    <x v="3"/>
    <x v="3"/>
    <s v="Dress"/>
    <n v="3"/>
    <n v="3710.29"/>
    <x v="28"/>
    <n v="14616.34"/>
    <n v="5360.81"/>
    <n v="62.88"/>
    <x v="2"/>
    <n v="4"/>
    <x v="0"/>
    <x v="0"/>
    <n v="4"/>
  </r>
  <r>
    <s v="ORD-01702"/>
    <d v="2022-01-30T00:00:00"/>
    <s v="CUST81394"/>
    <x v="221"/>
    <n v="27"/>
    <x v="0"/>
    <x v="0"/>
    <x v="2"/>
    <x v="4"/>
    <x v="0"/>
    <s v="Hair Oil"/>
    <n v="10"/>
    <n v="2477.1"/>
    <x v="36"/>
    <n v="19204"/>
    <n v="9210.86"/>
    <n v="24.71"/>
    <x v="3"/>
    <n v="5"/>
    <x v="0"/>
    <x v="2"/>
    <n v="8"/>
  </r>
  <r>
    <s v="ORD-00781"/>
    <d v="2020-12-21T00:00:00"/>
    <s v="CUST92097"/>
    <x v="222"/>
    <n v="44"/>
    <x v="1"/>
    <x v="0"/>
    <x v="4"/>
    <x v="17"/>
    <x v="4"/>
    <s v="Cycle"/>
    <n v="8"/>
    <n v="12540.64"/>
    <x v="31"/>
    <n v="54877.82"/>
    <n v="12900.73"/>
    <n v="44.66"/>
    <x v="4"/>
    <n v="1"/>
    <x v="0"/>
    <x v="0"/>
    <n v="8"/>
  </r>
  <r>
    <s v="ORD-00983"/>
    <d v="2021-03-24T00:00:00"/>
    <s v="CUST01477"/>
    <x v="204"/>
    <n v="49"/>
    <x v="1"/>
    <x v="2"/>
    <x v="2"/>
    <x v="9"/>
    <x v="4"/>
    <s v="Yoga Mat"/>
    <n v="7"/>
    <n v="2782.21"/>
    <x v="11"/>
    <n v="13694.75"/>
    <n v="1856.34"/>
    <n v="60.88"/>
    <x v="5"/>
    <n v="3"/>
    <x v="0"/>
    <x v="0"/>
    <n v="4"/>
  </r>
  <r>
    <s v="ORD-01403"/>
    <d v="2021-09-25T00:00:00"/>
    <s v="CUST02694"/>
    <x v="223"/>
    <n v="19"/>
    <x v="3"/>
    <x v="0"/>
    <x v="1"/>
    <x v="6"/>
    <x v="0"/>
    <s v="Hair Oil"/>
    <n v="7"/>
    <n v="210.31"/>
    <x v="37"/>
    <n v="1209"/>
    <n v="600.88"/>
    <n v="67.459999999999994"/>
    <x v="4"/>
    <n v="5"/>
    <x v="1"/>
    <x v="1"/>
    <n v="6"/>
  </r>
  <r>
    <s v="ORD-03034"/>
    <d v="2023-08-05T00:00:00"/>
    <s v="CUST76477"/>
    <x v="191"/>
    <n v="33"/>
    <x v="0"/>
    <x v="2"/>
    <x v="3"/>
    <x v="12"/>
    <x v="1"/>
    <s v="Chair"/>
    <n v="2"/>
    <n v="27227.5"/>
    <x v="23"/>
    <n v="53652.43"/>
    <n v="18467.900000000001"/>
    <n v="69.069999999999993"/>
    <x v="5"/>
    <n v="5"/>
    <x v="0"/>
    <x v="0"/>
    <n v="9"/>
  </r>
  <r>
    <s v="ORD-03420"/>
    <d v="2024-01-22T00:00:00"/>
    <s v="CUST83939"/>
    <x v="224"/>
    <n v="49"/>
    <x v="1"/>
    <x v="0"/>
    <x v="1"/>
    <x v="11"/>
    <x v="4"/>
    <s v="Tennis Racket"/>
    <n v="2"/>
    <n v="11637.71"/>
    <x v="13"/>
    <n v="20228.5"/>
    <n v="3894.99"/>
    <n v="49.76"/>
    <x v="1"/>
    <n v="4"/>
    <x v="1"/>
    <x v="1"/>
    <n v="6"/>
  </r>
  <r>
    <s v="ORD-00379"/>
    <d v="2020-06-10T00:00:00"/>
    <s v="CUST57932"/>
    <x v="225"/>
    <n v="24"/>
    <x v="3"/>
    <x v="0"/>
    <x v="1"/>
    <x v="3"/>
    <x v="3"/>
    <s v="Jeans"/>
    <n v="2"/>
    <n v="1835.19"/>
    <x v="13"/>
    <n v="4360.6899999999996"/>
    <n v="1812.7"/>
    <n v="37.119999999999997"/>
    <x v="1"/>
    <n v="5"/>
    <x v="0"/>
    <x v="0"/>
    <n v="2"/>
  </r>
  <r>
    <s v="ORD-00734"/>
    <d v="2020-12-01T00:00:00"/>
    <s v="CUST76439"/>
    <x v="211"/>
    <n v="25"/>
    <x v="3"/>
    <x v="1"/>
    <x v="1"/>
    <x v="11"/>
    <x v="3"/>
    <s v="Dress"/>
    <n v="2"/>
    <n v="3263.53"/>
    <x v="12"/>
    <n v="3766.06"/>
    <n v="1284.73"/>
    <n v="57.51"/>
    <x v="5"/>
    <n v="2"/>
    <x v="0"/>
    <x v="0"/>
    <n v="10"/>
  </r>
  <r>
    <s v="ORD-01911"/>
    <d v="2022-04-24T00:00:00"/>
    <s v="CUST11183"/>
    <x v="6"/>
    <n v="19"/>
    <x v="3"/>
    <x v="2"/>
    <x v="3"/>
    <x v="16"/>
    <x v="2"/>
    <s v="Fiction Novel"/>
    <n v="5"/>
    <n v="610.98"/>
    <x v="31"/>
    <n v="3679.38"/>
    <n v="1422.56"/>
    <n v="53.99"/>
    <x v="2"/>
    <n v="4"/>
    <x v="0"/>
    <x v="0"/>
    <n v="4"/>
  </r>
  <r>
    <s v="ORD-02647"/>
    <d v="2023-02-18T00:00:00"/>
    <s v="CUST98321"/>
    <x v="46"/>
    <n v="30"/>
    <x v="0"/>
    <x v="0"/>
    <x v="2"/>
    <x v="9"/>
    <x v="2"/>
    <s v="Cook Book"/>
    <n v="4"/>
    <n v="1488.05"/>
    <x v="31"/>
    <n v="5878.72"/>
    <n v="1895.88"/>
    <n v="33.950000000000003"/>
    <x v="0"/>
    <n v="3"/>
    <x v="1"/>
    <x v="1"/>
    <n v="9"/>
  </r>
  <r>
    <s v="ORD-00664"/>
    <d v="2020-10-28T00:00:00"/>
    <s v="CUST76842"/>
    <x v="89"/>
    <n v="47"/>
    <x v="1"/>
    <x v="2"/>
    <x v="4"/>
    <x v="17"/>
    <x v="2"/>
    <s v="Textbook"/>
    <n v="8"/>
    <n v="513.63"/>
    <x v="2"/>
    <n v="2804.09"/>
    <n v="1009.57"/>
    <n v="48.54"/>
    <x v="2"/>
    <n v="4"/>
    <x v="0"/>
    <x v="0"/>
    <n v="1"/>
  </r>
  <r>
    <s v="ORD-00346"/>
    <d v="2020-05-28T00:00:00"/>
    <s v="CUST21580"/>
    <x v="120"/>
    <n v="35"/>
    <x v="0"/>
    <x v="1"/>
    <x v="3"/>
    <x v="16"/>
    <x v="5"/>
    <s v="Sugar"/>
    <n v="9"/>
    <n v="213.6"/>
    <x v="18"/>
    <n v="1665.43"/>
    <n v="193.99"/>
    <n v="101.52"/>
    <x v="5"/>
    <n v="4"/>
    <x v="0"/>
    <x v="2"/>
    <n v="4"/>
  </r>
  <r>
    <s v="ORD-03434"/>
    <d v="2024-01-29T00:00:00"/>
    <s v="CUST36372"/>
    <x v="60"/>
    <n v="26"/>
    <x v="0"/>
    <x v="1"/>
    <x v="2"/>
    <x v="4"/>
    <x v="0"/>
    <s v="Sunscreen"/>
    <n v="4"/>
    <n v="1120.04"/>
    <x v="24"/>
    <n v="4784.7"/>
    <n v="1051.2"/>
    <n v="70.2"/>
    <x v="3"/>
    <n v="5"/>
    <x v="0"/>
    <x v="0"/>
    <n v="6"/>
  </r>
  <r>
    <s v="ORD-00495"/>
    <d v="2020-08-05T00:00:00"/>
    <s v="CUST95892"/>
    <x v="60"/>
    <n v="40"/>
    <x v="1"/>
    <x v="1"/>
    <x v="3"/>
    <x v="12"/>
    <x v="5"/>
    <s v="Rice (5kg)"/>
    <n v="4"/>
    <n v="57.97"/>
    <x v="39"/>
    <n v="258.54000000000002"/>
    <n v="16.670000000000002"/>
    <n v="74.150000000000006"/>
    <x v="5"/>
    <n v="3"/>
    <x v="0"/>
    <x v="0"/>
    <n v="9"/>
  </r>
  <r>
    <s v="ORD-01008"/>
    <d v="2021-04-01T00:00:00"/>
    <s v="CUST58835"/>
    <x v="93"/>
    <n v="45"/>
    <x v="1"/>
    <x v="0"/>
    <x v="1"/>
    <x v="3"/>
    <x v="5"/>
    <s v="Flour"/>
    <n v="2"/>
    <n v="438.16"/>
    <x v="15"/>
    <n v="855.21"/>
    <n v="70.3"/>
    <n v="76.819999999999993"/>
    <x v="0"/>
    <n v="5"/>
    <x v="0"/>
    <x v="0"/>
    <n v="2"/>
  </r>
  <r>
    <s v="ORD-01435"/>
    <d v="2021-10-08T00:00:00"/>
    <s v="CUST41321"/>
    <x v="226"/>
    <n v="23"/>
    <x v="3"/>
    <x v="0"/>
    <x v="2"/>
    <x v="13"/>
    <x v="5"/>
    <s v="Cooking Oil"/>
    <n v="5"/>
    <n v="312.3"/>
    <x v="9"/>
    <n v="1270.29"/>
    <n v="110.96"/>
    <n v="25.67"/>
    <x v="2"/>
    <n v="3"/>
    <x v="0"/>
    <x v="0"/>
    <n v="8"/>
  </r>
  <r>
    <s v="ORD-03713"/>
    <d v="2024-07-06T00:00:00"/>
    <s v="CUST56250"/>
    <x v="227"/>
    <n v="26"/>
    <x v="0"/>
    <x v="2"/>
    <x v="4"/>
    <x v="7"/>
    <x v="3"/>
    <s v="T-Shirt"/>
    <n v="8"/>
    <n v="3182.92"/>
    <x v="2"/>
    <n v="35409.06"/>
    <n v="17485.080000000002"/>
    <n v="81.77"/>
    <x v="4"/>
    <n v="5"/>
    <x v="0"/>
    <x v="0"/>
    <n v="9"/>
  </r>
  <r>
    <s v="ORD-02022"/>
    <d v="2022-06-10T00:00:00"/>
    <s v="CUST15844"/>
    <x v="228"/>
    <n v="39"/>
    <x v="1"/>
    <x v="2"/>
    <x v="3"/>
    <x v="12"/>
    <x v="3"/>
    <s v="Kurta"/>
    <n v="3"/>
    <n v="1256.1600000000001"/>
    <x v="28"/>
    <n v="5186.09"/>
    <n v="2331.2600000000002"/>
    <n v="90.36"/>
    <x v="1"/>
    <n v="5"/>
    <x v="0"/>
    <x v="0"/>
    <n v="9"/>
  </r>
  <r>
    <s v="ORD-00138"/>
    <d v="2020-02-24T00:00:00"/>
    <s v="CUST54691"/>
    <x v="215"/>
    <n v="27"/>
    <x v="0"/>
    <x v="2"/>
    <x v="3"/>
    <x v="5"/>
    <x v="0"/>
    <s v="Sunscreen"/>
    <n v="3"/>
    <n v="1655.54"/>
    <x v="15"/>
    <n v="2825.92"/>
    <n v="1777.23"/>
    <n v="81.69"/>
    <x v="4"/>
    <n v="3"/>
    <x v="0"/>
    <x v="0"/>
    <n v="5"/>
  </r>
  <r>
    <s v="ORD-02813"/>
    <d v="2023-05-04T00:00:00"/>
    <s v="CUST45426"/>
    <x v="193"/>
    <n v="20"/>
    <x v="3"/>
    <x v="1"/>
    <x v="4"/>
    <x v="8"/>
    <x v="0"/>
    <s v="Lipstick"/>
    <n v="6"/>
    <n v="2373.35"/>
    <x v="25"/>
    <n v="15281.74"/>
    <n v="8565.14"/>
    <n v="54.97"/>
    <x v="2"/>
    <n v="3"/>
    <x v="0"/>
    <x v="0"/>
    <n v="3"/>
  </r>
  <r>
    <s v="ORD-02397"/>
    <d v="2022-11-02T00:00:00"/>
    <s v="CUST53890"/>
    <x v="229"/>
    <n v="46"/>
    <x v="1"/>
    <x v="1"/>
    <x v="2"/>
    <x v="13"/>
    <x v="3"/>
    <s v="Dress"/>
    <n v="3"/>
    <n v="1457.48"/>
    <x v="8"/>
    <n v="3326.03"/>
    <n v="1139.23"/>
    <n v="47.06"/>
    <x v="3"/>
    <n v="5"/>
    <x v="0"/>
    <x v="0"/>
    <n v="10"/>
  </r>
  <r>
    <s v="ORD-00617"/>
    <d v="2020-10-03T00:00:00"/>
    <s v="CUST56731"/>
    <x v="225"/>
    <n v="52"/>
    <x v="2"/>
    <x v="2"/>
    <x v="4"/>
    <x v="7"/>
    <x v="6"/>
    <s v="Smartwatch"/>
    <n v="4"/>
    <n v="72305.61"/>
    <x v="13"/>
    <n v="221219.87"/>
    <n v="28168.080000000002"/>
    <n v="54.29"/>
    <x v="0"/>
    <n v="4"/>
    <x v="1"/>
    <x v="1"/>
    <n v="10"/>
  </r>
  <r>
    <s v="ORD-03961"/>
    <d v="2024-09-04T00:00:00"/>
    <s v="CUST41469"/>
    <x v="217"/>
    <n v="28"/>
    <x v="0"/>
    <x v="0"/>
    <x v="0"/>
    <x v="0"/>
    <x v="6"/>
    <s v="Smartphone"/>
    <n v="3"/>
    <n v="57941.59"/>
    <x v="2"/>
    <n v="202708.19"/>
    <n v="27362.05"/>
    <n v="70.62"/>
    <x v="3"/>
    <n v="2"/>
    <x v="1"/>
    <x v="1"/>
    <n v="5"/>
  </r>
  <r>
    <s v="ORD-04195"/>
    <d v="2024-12-28T00:00:00"/>
    <s v="CUST13220"/>
    <x v="41"/>
    <n v="36"/>
    <x v="1"/>
    <x v="1"/>
    <x v="3"/>
    <x v="15"/>
    <x v="1"/>
    <s v="Desk"/>
    <n v="9"/>
    <n v="21875.15"/>
    <x v="5"/>
    <n v="161990.01"/>
    <n v="51700.42"/>
    <n v="87.08"/>
    <x v="3"/>
    <n v="4"/>
    <x v="0"/>
    <x v="0"/>
    <n v="10"/>
  </r>
  <r>
    <s v="ORD-03605"/>
    <d v="2024-04-19T00:00:00"/>
    <s v="CUST13355"/>
    <x v="230"/>
    <n v="31"/>
    <x v="0"/>
    <x v="1"/>
    <x v="0"/>
    <x v="1"/>
    <x v="6"/>
    <s v="Headphones"/>
    <n v="5"/>
    <n v="48881.01"/>
    <x v="10"/>
    <n v="271257.62"/>
    <n v="14499.23"/>
    <n v="74.540000000000006"/>
    <x v="4"/>
    <n v="4"/>
    <x v="0"/>
    <x v="3"/>
    <n v="2"/>
  </r>
  <r>
    <s v="ORD-01381"/>
    <d v="2021-09-15T00:00:00"/>
    <s v="CUST67856"/>
    <x v="46"/>
    <n v="46"/>
    <x v="1"/>
    <x v="1"/>
    <x v="3"/>
    <x v="15"/>
    <x v="2"/>
    <s v="Comic Book"/>
    <n v="1"/>
    <n v="1391.59"/>
    <x v="8"/>
    <n v="1424.19"/>
    <n v="496.68"/>
    <n v="84.05"/>
    <x v="5"/>
    <n v="4"/>
    <x v="0"/>
    <x v="3"/>
    <n v="5"/>
  </r>
  <r>
    <s v="ORD-02719"/>
    <d v="2023-03-25T00:00:00"/>
    <s v="CUST07357"/>
    <x v="62"/>
    <n v="24"/>
    <x v="3"/>
    <x v="2"/>
    <x v="0"/>
    <x v="1"/>
    <x v="1"/>
    <s v="Bed Frame"/>
    <n v="6"/>
    <n v="16778.259999999998"/>
    <x v="14"/>
    <n v="79749.850000000006"/>
    <n v="20899.580000000002"/>
    <n v="68.680000000000007"/>
    <x v="4"/>
    <n v="3"/>
    <x v="0"/>
    <x v="0"/>
    <n v="9"/>
  </r>
  <r>
    <s v="ORD-00779"/>
    <d v="2020-12-19T00:00:00"/>
    <s v="CUST99814"/>
    <x v="78"/>
    <n v="51"/>
    <x v="2"/>
    <x v="2"/>
    <x v="2"/>
    <x v="4"/>
    <x v="6"/>
    <s v="Camera"/>
    <n v="9"/>
    <n v="59205.69"/>
    <x v="10"/>
    <n v="281237.44"/>
    <n v="26659.17"/>
    <n v="68.680000000000007"/>
    <x v="0"/>
    <n v="4"/>
    <x v="0"/>
    <x v="0"/>
    <n v="8"/>
  </r>
  <r>
    <s v="ORD-04101"/>
    <d v="2024-11-16T00:00:00"/>
    <s v="CUST53114"/>
    <x v="231"/>
    <n v="35"/>
    <x v="0"/>
    <x v="2"/>
    <x v="0"/>
    <x v="19"/>
    <x v="6"/>
    <s v="Headphones"/>
    <n v="3"/>
    <n v="36271.47"/>
    <x v="0"/>
    <n v="106383.22"/>
    <n v="8562.92"/>
    <n v="64.31"/>
    <x v="3"/>
    <n v="2"/>
    <x v="1"/>
    <x v="1"/>
    <n v="10"/>
  </r>
  <r>
    <s v="ORD-03749"/>
    <d v="2024-06-21T00:00:00"/>
    <s v="CUST71536"/>
    <x v="232"/>
    <n v="49"/>
    <x v="1"/>
    <x v="0"/>
    <x v="2"/>
    <x v="14"/>
    <x v="2"/>
    <s v="Fiction Novel"/>
    <n v="6"/>
    <n v="587.29999999999995"/>
    <x v="37"/>
    <n v="4643.97"/>
    <n v="1923.83"/>
    <n v="52.24"/>
    <x v="5"/>
    <n v="5"/>
    <x v="0"/>
    <x v="0"/>
    <n v="5"/>
  </r>
  <r>
    <s v="ORD-01544"/>
    <d v="2021-11-23T00:00:00"/>
    <s v="CUST03481"/>
    <x v="233"/>
    <n v="23"/>
    <x v="3"/>
    <x v="0"/>
    <x v="4"/>
    <x v="18"/>
    <x v="1"/>
    <s v="Bed Frame"/>
    <n v="7"/>
    <n v="32709.32"/>
    <x v="7"/>
    <n v="154037.82999999999"/>
    <n v="40170.160000000003"/>
    <n v="86.06"/>
    <x v="2"/>
    <n v="2"/>
    <x v="0"/>
    <x v="0"/>
    <n v="1"/>
  </r>
  <r>
    <s v="ORD-01040"/>
    <d v="2021-04-17T00:00:00"/>
    <s v="CUST99976"/>
    <x v="29"/>
    <n v="20"/>
    <x v="3"/>
    <x v="1"/>
    <x v="1"/>
    <x v="11"/>
    <x v="5"/>
    <s v="Dal (1kg)"/>
    <n v="7"/>
    <n v="228.64"/>
    <x v="2"/>
    <n v="1426.02"/>
    <n v="99.2"/>
    <n v="68.16"/>
    <x v="5"/>
    <n v="1"/>
    <x v="0"/>
    <x v="0"/>
    <n v="8"/>
  </r>
  <r>
    <s v="ORD-01527"/>
    <d v="2021-11-17T00:00:00"/>
    <s v="CUST25719"/>
    <x v="234"/>
    <n v="42"/>
    <x v="1"/>
    <x v="1"/>
    <x v="2"/>
    <x v="14"/>
    <x v="5"/>
    <s v="Tea"/>
    <n v="3"/>
    <n v="308.05"/>
    <x v="36"/>
    <n v="531.13"/>
    <n v="41.25"/>
    <n v="45.78"/>
    <x v="2"/>
    <n v="3"/>
    <x v="0"/>
    <x v="0"/>
    <n v="2"/>
  </r>
  <r>
    <s v="ORD-03296"/>
    <d v="2023-11-25T00:00:00"/>
    <s v="CUST49836"/>
    <x v="232"/>
    <n v="32"/>
    <x v="0"/>
    <x v="1"/>
    <x v="1"/>
    <x v="6"/>
    <x v="3"/>
    <s v="Saree"/>
    <n v="4"/>
    <n v="2037.61"/>
    <x v="32"/>
    <n v="7459.65"/>
    <n v="2991.98"/>
    <n v="28.18"/>
    <x v="2"/>
    <n v="1"/>
    <x v="1"/>
    <x v="1"/>
    <n v="7"/>
  </r>
  <r>
    <s v="ORD-02542"/>
    <d v="2023-01-09T00:00:00"/>
    <s v="CUST20603"/>
    <x v="6"/>
    <n v="47"/>
    <x v="1"/>
    <x v="1"/>
    <x v="2"/>
    <x v="9"/>
    <x v="1"/>
    <s v="Desk"/>
    <n v="4"/>
    <n v="16407.34"/>
    <x v="19"/>
    <n v="51661.63"/>
    <n v="18819.990000000002"/>
    <n v="55.63"/>
    <x v="2"/>
    <n v="3"/>
    <x v="0"/>
    <x v="0"/>
    <n v="7"/>
  </r>
  <r>
    <s v="ORD-00886"/>
    <d v="2021-02-04T00:00:00"/>
    <s v="CUST50029"/>
    <x v="235"/>
    <n v="27"/>
    <x v="0"/>
    <x v="1"/>
    <x v="0"/>
    <x v="0"/>
    <x v="3"/>
    <s v="T-Shirt"/>
    <n v="10"/>
    <n v="1064.5"/>
    <x v="33"/>
    <n v="8259.5300000000007"/>
    <n v="3321.3"/>
    <n v="64.42"/>
    <x v="2"/>
    <n v="4"/>
    <x v="0"/>
    <x v="0"/>
    <n v="9"/>
  </r>
  <r>
    <s v="ORD-02510"/>
    <d v="2022-12-25T00:00:00"/>
    <s v="CUST29676"/>
    <x v="236"/>
    <n v="43"/>
    <x v="1"/>
    <x v="1"/>
    <x v="4"/>
    <x v="17"/>
    <x v="0"/>
    <s v="Shampoo"/>
    <n v="4"/>
    <n v="1024.2"/>
    <x v="12"/>
    <n v="2046.31"/>
    <n v="485.53"/>
    <n v="57.96"/>
    <x v="5"/>
    <n v="2"/>
    <x v="0"/>
    <x v="0"/>
    <n v="9"/>
  </r>
  <r>
    <s v="ORD-03352"/>
    <d v="2023-12-20T00:00:00"/>
    <s v="CUST97209"/>
    <x v="24"/>
    <n v="36"/>
    <x v="1"/>
    <x v="2"/>
    <x v="4"/>
    <x v="7"/>
    <x v="4"/>
    <s v="Cricket Bat"/>
    <n v="5"/>
    <n v="11277.04"/>
    <x v="13"/>
    <n v="47607.55"/>
    <n v="14946.09"/>
    <n v="96.43"/>
    <x v="1"/>
    <n v="2"/>
    <x v="0"/>
    <x v="3"/>
    <n v="8"/>
  </r>
  <r>
    <s v="ORD-03714"/>
    <d v="2024-06-07T00:00:00"/>
    <s v="CUST48600"/>
    <x v="237"/>
    <n v="23"/>
    <x v="3"/>
    <x v="2"/>
    <x v="3"/>
    <x v="16"/>
    <x v="3"/>
    <s v="Saree"/>
    <n v="6"/>
    <n v="3566.25"/>
    <x v="36"/>
    <n v="31426.55"/>
    <n v="12874.37"/>
    <n v="94.51"/>
    <x v="1"/>
    <n v="5"/>
    <x v="0"/>
    <x v="0"/>
    <n v="2"/>
  </r>
  <r>
    <s v="ORD-00737"/>
    <d v="2020-12-02T00:00:00"/>
    <s v="CUST84086"/>
    <x v="57"/>
    <n v="21"/>
    <x v="3"/>
    <x v="0"/>
    <x v="2"/>
    <x v="4"/>
    <x v="5"/>
    <s v="Tea"/>
    <n v="9"/>
    <n v="335.03"/>
    <x v="14"/>
    <n v="1431.69"/>
    <n v="93.14"/>
    <n v="59.48"/>
    <x v="5"/>
    <n v="4"/>
    <x v="1"/>
    <x v="1"/>
    <n v="1"/>
  </r>
  <r>
    <s v="ORD-02712"/>
    <d v="2023-03-22T00:00:00"/>
    <s v="CUST21655"/>
    <x v="190"/>
    <n v="29"/>
    <x v="0"/>
    <x v="1"/>
    <x v="2"/>
    <x v="13"/>
    <x v="5"/>
    <s v="Sugar"/>
    <n v="8"/>
    <n v="172.53"/>
    <x v="3"/>
    <n v="1491.46"/>
    <n v="177.24"/>
    <n v="47.93"/>
    <x v="3"/>
    <n v="3"/>
    <x v="0"/>
    <x v="0"/>
    <n v="4"/>
  </r>
  <r>
    <s v="ORD-03079"/>
    <d v="2023-08-22T00:00:00"/>
    <s v="CUST74717"/>
    <x v="210"/>
    <n v="24"/>
    <x v="3"/>
    <x v="2"/>
    <x v="3"/>
    <x v="5"/>
    <x v="4"/>
    <s v="Cricket Bat"/>
    <n v="1"/>
    <n v="7788.48"/>
    <x v="31"/>
    <n v="9678.82"/>
    <n v="2560.56"/>
    <n v="67.88"/>
    <x v="1"/>
    <n v="4"/>
    <x v="0"/>
    <x v="3"/>
    <n v="3"/>
  </r>
  <r>
    <s v="ORD-00093"/>
    <d v="2020-02-06T00:00:00"/>
    <s v="CUST28742"/>
    <x v="238"/>
    <n v="38"/>
    <x v="1"/>
    <x v="2"/>
    <x v="3"/>
    <x v="16"/>
    <x v="0"/>
    <s v="Hair Oil"/>
    <n v="3"/>
    <n v="1535.87"/>
    <x v="8"/>
    <n v="3186.03"/>
    <n v="1346.8"/>
    <n v="86.51"/>
    <x v="2"/>
    <n v="5"/>
    <x v="1"/>
    <x v="1"/>
    <n v="7"/>
  </r>
  <r>
    <s v="ORD-02847"/>
    <d v="2023-05-25T00:00:00"/>
    <s v="CUST62909"/>
    <x v="107"/>
    <n v="31"/>
    <x v="0"/>
    <x v="2"/>
    <x v="0"/>
    <x v="2"/>
    <x v="5"/>
    <s v="Flour"/>
    <n v="8"/>
    <n v="399.28"/>
    <x v="38"/>
    <n v="5100.96"/>
    <n v="406.96"/>
    <n v="62.93"/>
    <x v="2"/>
    <n v="4"/>
    <x v="0"/>
    <x v="3"/>
    <n v="2"/>
  </r>
  <r>
    <s v="ORD-03053"/>
    <d v="2023-08-13T00:00:00"/>
    <s v="CUST70734"/>
    <x v="29"/>
    <n v="30"/>
    <x v="0"/>
    <x v="2"/>
    <x v="1"/>
    <x v="10"/>
    <x v="1"/>
    <s v="Desk"/>
    <n v="10"/>
    <n v="5902.83"/>
    <x v="26"/>
    <n v="61642.35"/>
    <n v="21436.01"/>
    <n v="63.39"/>
    <x v="3"/>
    <n v="3"/>
    <x v="0"/>
    <x v="0"/>
    <n v="7"/>
  </r>
  <r>
    <s v="ORD-03942"/>
    <d v="2024-08-27T00:00:00"/>
    <s v="CUST76909"/>
    <x v="218"/>
    <n v="29"/>
    <x v="0"/>
    <x v="0"/>
    <x v="4"/>
    <x v="17"/>
    <x v="4"/>
    <s v="Yoga Mat"/>
    <n v="9"/>
    <n v="4499.21"/>
    <x v="29"/>
    <n v="57299.76"/>
    <n v="12249.26"/>
    <n v="66.59"/>
    <x v="5"/>
    <n v="2"/>
    <x v="0"/>
    <x v="0"/>
    <n v="4"/>
  </r>
  <r>
    <s v="ORD-00201"/>
    <d v="2020-03-30T00:00:00"/>
    <s v="CUST39806"/>
    <x v="239"/>
    <n v="27"/>
    <x v="0"/>
    <x v="1"/>
    <x v="0"/>
    <x v="0"/>
    <x v="0"/>
    <s v="Face Cream"/>
    <n v="4"/>
    <n v="2430.1"/>
    <x v="13"/>
    <n v="8709.27"/>
    <n v="5472.38"/>
    <n v="60.42"/>
    <x v="0"/>
    <n v="5"/>
    <x v="0"/>
    <x v="0"/>
    <n v="1"/>
  </r>
  <r>
    <s v="ORD-00582"/>
    <d v="2020-09-17T00:00:00"/>
    <s v="CUST42583"/>
    <x v="240"/>
    <n v="31"/>
    <x v="0"/>
    <x v="1"/>
    <x v="4"/>
    <x v="7"/>
    <x v="2"/>
    <s v="Cook Book"/>
    <n v="1"/>
    <n v="587.49"/>
    <x v="32"/>
    <n v="560.42999999999995"/>
    <n v="178.2"/>
    <n v="82.7"/>
    <x v="0"/>
    <n v="3"/>
    <x v="0"/>
    <x v="0"/>
    <n v="6"/>
  </r>
  <r>
    <s v="ORD-02281"/>
    <d v="2022-09-18T00:00:00"/>
    <s v="CUST68153"/>
    <x v="47"/>
    <n v="45"/>
    <x v="1"/>
    <x v="2"/>
    <x v="2"/>
    <x v="4"/>
    <x v="0"/>
    <s v="Perfume"/>
    <n v="9"/>
    <n v="2226.0700000000002"/>
    <x v="31"/>
    <n v="18524.57"/>
    <n v="7612.81"/>
    <n v="50.45"/>
    <x v="1"/>
    <n v="4"/>
    <x v="0"/>
    <x v="0"/>
    <n v="2"/>
  </r>
  <r>
    <s v="ORD-02777"/>
    <d v="2023-04-17T00:00:00"/>
    <s v="CUST15930"/>
    <x v="241"/>
    <n v="33"/>
    <x v="0"/>
    <x v="2"/>
    <x v="2"/>
    <x v="13"/>
    <x v="0"/>
    <s v="Face Cream"/>
    <n v="6"/>
    <n v="438.59"/>
    <x v="26"/>
    <n v="2826.56"/>
    <n v="1014.02"/>
    <n v="64.81"/>
    <x v="5"/>
    <n v="3"/>
    <x v="1"/>
    <x v="1"/>
    <n v="9"/>
  </r>
  <r>
    <s v="ORD-01949"/>
    <d v="2022-05-11T00:00:00"/>
    <s v="CUST55786"/>
    <x v="242"/>
    <n v="20"/>
    <x v="3"/>
    <x v="2"/>
    <x v="4"/>
    <x v="18"/>
    <x v="0"/>
    <s v="Face Cream"/>
    <n v="6"/>
    <n v="2429.19"/>
    <x v="14"/>
    <n v="14916.43"/>
    <n v="8055.68"/>
    <n v="40.450000000000003"/>
    <x v="4"/>
    <n v="2"/>
    <x v="0"/>
    <x v="0"/>
    <n v="10"/>
  </r>
  <r>
    <s v="ORD-01516"/>
    <d v="2021-11-14T00:00:00"/>
    <s v="CUST58345"/>
    <x v="9"/>
    <n v="24"/>
    <x v="3"/>
    <x v="1"/>
    <x v="4"/>
    <x v="8"/>
    <x v="6"/>
    <s v="Smartphone"/>
    <n v="7"/>
    <n v="19882.939999999999"/>
    <x v="10"/>
    <n v="79433.81"/>
    <n v="8287.36"/>
    <n v="61"/>
    <x v="1"/>
    <n v="1"/>
    <x v="0"/>
    <x v="3"/>
    <n v="3"/>
  </r>
  <r>
    <s v="ORD-02846"/>
    <d v="2023-05-25T00:00:00"/>
    <s v="CUST56492"/>
    <x v="146"/>
    <n v="35"/>
    <x v="0"/>
    <x v="0"/>
    <x v="4"/>
    <x v="8"/>
    <x v="1"/>
    <s v="Wardrobe"/>
    <n v="10"/>
    <n v="31142.23"/>
    <x v="9"/>
    <n v="475250.99"/>
    <n v="133297.06"/>
    <n v="90.65"/>
    <x v="4"/>
    <n v="4"/>
    <x v="0"/>
    <x v="2"/>
    <n v="1"/>
  </r>
  <r>
    <s v="ORD-03441"/>
    <d v="2024-02-01T00:00:00"/>
    <s v="CUST02308"/>
    <x v="21"/>
    <n v="21"/>
    <x v="3"/>
    <x v="2"/>
    <x v="4"/>
    <x v="17"/>
    <x v="6"/>
    <s v="Smartwatch"/>
    <n v="6"/>
    <n v="71178.539999999994"/>
    <x v="38"/>
    <n v="482509.98"/>
    <n v="50570.5"/>
    <n v="74.900000000000006"/>
    <x v="4"/>
    <n v="3"/>
    <x v="0"/>
    <x v="0"/>
    <n v="2"/>
  </r>
  <r>
    <s v="ORD-01690"/>
    <d v="2022-01-23T00:00:00"/>
    <s v="CUST13726"/>
    <x v="40"/>
    <n v="42"/>
    <x v="1"/>
    <x v="1"/>
    <x v="3"/>
    <x v="12"/>
    <x v="2"/>
    <s v="Self-Help Book"/>
    <n v="1"/>
    <n v="293.64999999999998"/>
    <x v="11"/>
    <n v="216.04"/>
    <n v="87.2"/>
    <n v="77.91"/>
    <x v="3"/>
    <n v="3"/>
    <x v="0"/>
    <x v="3"/>
    <n v="3"/>
  </r>
  <r>
    <s v="ORD-01139"/>
    <d v="2021-05-29T00:00:00"/>
    <s v="CUST11240"/>
    <x v="243"/>
    <n v="37"/>
    <x v="1"/>
    <x v="1"/>
    <x v="0"/>
    <x v="19"/>
    <x v="3"/>
    <s v="Saree"/>
    <n v="5"/>
    <n v="3466.72"/>
    <x v="7"/>
    <n v="22647.02"/>
    <n v="8403.2999999999993"/>
    <n v="47.97"/>
    <x v="5"/>
    <n v="3"/>
    <x v="0"/>
    <x v="4"/>
    <n v="8"/>
  </r>
  <r>
    <s v="ORD-01042"/>
    <d v="2021-04-18T00:00:00"/>
    <s v="CUST52708"/>
    <x v="244"/>
    <n v="31"/>
    <x v="0"/>
    <x v="2"/>
    <x v="2"/>
    <x v="9"/>
    <x v="0"/>
    <s v="Lipstick"/>
    <n v="7"/>
    <n v="1384.15"/>
    <x v="37"/>
    <n v="10118.86"/>
    <n v="4454.79"/>
    <n v="62.32"/>
    <x v="0"/>
    <n v="4"/>
    <x v="0"/>
    <x v="0"/>
    <n v="9"/>
  </r>
  <r>
    <s v="ORD-00028"/>
    <d v="2020-01-11T00:00:00"/>
    <s v="CUST03400"/>
    <x v="204"/>
    <n v="23"/>
    <x v="3"/>
    <x v="0"/>
    <x v="1"/>
    <x v="11"/>
    <x v="4"/>
    <s v="Football"/>
    <n v="7"/>
    <n v="12178.99"/>
    <x v="5"/>
    <n v="66009.55"/>
    <n v="17076.439999999999"/>
    <n v="51.51"/>
    <x v="4"/>
    <n v="5"/>
    <x v="0"/>
    <x v="2"/>
    <n v="10"/>
  </r>
  <r>
    <s v="ORD-03478"/>
    <d v="2024-02-20T00:00:00"/>
    <s v="CUST86909"/>
    <x v="190"/>
    <n v="44"/>
    <x v="1"/>
    <x v="2"/>
    <x v="1"/>
    <x v="10"/>
    <x v="5"/>
    <s v="Rice (5kg)"/>
    <n v="7"/>
    <n v="447.52"/>
    <x v="25"/>
    <n v="2656.34"/>
    <n v="182.91"/>
    <n v="47.41"/>
    <x v="2"/>
    <n v="3"/>
    <x v="0"/>
    <x v="0"/>
    <n v="5"/>
  </r>
  <r>
    <s v="ORD-00350"/>
    <d v="2020-05-30T00:00:00"/>
    <s v="CUST72810"/>
    <x v="150"/>
    <n v="26"/>
    <x v="0"/>
    <x v="0"/>
    <x v="3"/>
    <x v="12"/>
    <x v="3"/>
    <s v="Kurta"/>
    <n v="10"/>
    <n v="2738.51"/>
    <x v="9"/>
    <n v="31229.97"/>
    <n v="10815.02"/>
    <n v="81.19"/>
    <x v="3"/>
    <n v="5"/>
    <x v="0"/>
    <x v="0"/>
    <n v="4"/>
  </r>
  <r>
    <s v="ORD-02052"/>
    <d v="2022-06-23T00:00:00"/>
    <s v="CUST10079"/>
    <x v="245"/>
    <n v="29"/>
    <x v="0"/>
    <x v="0"/>
    <x v="4"/>
    <x v="7"/>
    <x v="6"/>
    <s v="Smartwatch"/>
    <n v="8"/>
    <n v="48445.16"/>
    <x v="26"/>
    <n v="371584.08"/>
    <n v="63270.83"/>
    <n v="70.06"/>
    <x v="2"/>
    <n v="5"/>
    <x v="0"/>
    <x v="0"/>
    <n v="8"/>
  </r>
  <r>
    <s v="ORD-01961"/>
    <d v="2022-05-16T00:00:00"/>
    <s v="CUST60023"/>
    <x v="246"/>
    <n v="32"/>
    <x v="0"/>
    <x v="2"/>
    <x v="0"/>
    <x v="0"/>
    <x v="4"/>
    <s v="Dumbbells"/>
    <n v="6"/>
    <n v="1826.8"/>
    <x v="16"/>
    <n v="14790.65"/>
    <n v="3473.29"/>
    <n v="74.41"/>
    <x v="3"/>
    <n v="2"/>
    <x v="1"/>
    <x v="1"/>
    <n v="6"/>
  </r>
  <r>
    <s v="ORD-00317"/>
    <d v="2020-05-19T00:00:00"/>
    <s v="CUST52213"/>
    <x v="151"/>
    <n v="53"/>
    <x v="2"/>
    <x v="1"/>
    <x v="4"/>
    <x v="7"/>
    <x v="5"/>
    <s v="Rice (5kg)"/>
    <n v="4"/>
    <n v="429.54"/>
    <x v="29"/>
    <n v="2163.54"/>
    <n v="148.28"/>
    <n v="61.97"/>
    <x v="3"/>
    <n v="2"/>
    <x v="1"/>
    <x v="1"/>
    <n v="7"/>
  </r>
  <r>
    <s v="ORD-03440"/>
    <d v="2024-02-01T00:00:00"/>
    <s v="CUST60633"/>
    <x v="209"/>
    <n v="28"/>
    <x v="0"/>
    <x v="0"/>
    <x v="3"/>
    <x v="16"/>
    <x v="3"/>
    <s v="Dress"/>
    <n v="6"/>
    <n v="604.17999999999995"/>
    <x v="33"/>
    <n v="2790.47"/>
    <n v="661.77"/>
    <n v="84.73"/>
    <x v="0"/>
    <n v="5"/>
    <x v="0"/>
    <x v="0"/>
    <n v="2"/>
  </r>
  <r>
    <s v="ORD-00318"/>
    <d v="2020-05-20T00:00:00"/>
    <s v="CUST80292"/>
    <x v="247"/>
    <n v="20"/>
    <x v="3"/>
    <x v="1"/>
    <x v="1"/>
    <x v="6"/>
    <x v="4"/>
    <s v="Tennis Racket"/>
    <n v="7"/>
    <n v="4673.1899999999996"/>
    <x v="30"/>
    <n v="25140.26"/>
    <n v="7454.48"/>
    <n v="59.8"/>
    <x v="2"/>
    <n v="1"/>
    <x v="0"/>
    <x v="0"/>
    <n v="4"/>
  </r>
  <r>
    <s v="ORD-02292"/>
    <d v="2022-09-21T00:00:00"/>
    <s v="CUST08013"/>
    <x v="41"/>
    <n v="41"/>
    <x v="1"/>
    <x v="1"/>
    <x v="3"/>
    <x v="15"/>
    <x v="4"/>
    <s v="Yoga Mat"/>
    <n v="2"/>
    <n v="8645.73"/>
    <x v="27"/>
    <n v="14376.69"/>
    <n v="3461.36"/>
    <n v="94.07"/>
    <x v="1"/>
    <n v="4"/>
    <x v="1"/>
    <x v="1"/>
    <n v="3"/>
  </r>
  <r>
    <s v="ORD-04161"/>
    <d v="2024-12-11T00:00:00"/>
    <s v="CUST28262"/>
    <x v="248"/>
    <n v="22"/>
    <x v="3"/>
    <x v="0"/>
    <x v="4"/>
    <x v="18"/>
    <x v="5"/>
    <s v="Rice (5kg)"/>
    <n v="3"/>
    <n v="55.73"/>
    <x v="15"/>
    <n v="132.26"/>
    <n v="9.16"/>
    <n v="67.069999999999993"/>
    <x v="3"/>
    <n v="4"/>
    <x v="1"/>
    <x v="1"/>
    <n v="9"/>
  </r>
  <r>
    <s v="ORD-02099"/>
    <d v="2022-07-12T00:00:00"/>
    <s v="CUST13620"/>
    <x v="77"/>
    <n v="39"/>
    <x v="1"/>
    <x v="0"/>
    <x v="4"/>
    <x v="17"/>
    <x v="0"/>
    <s v="Shampoo"/>
    <n v="4"/>
    <n v="1632.26"/>
    <x v="17"/>
    <n v="5867.49"/>
    <n v="2226.87"/>
    <n v="61.99"/>
    <x v="4"/>
    <n v="4"/>
    <x v="0"/>
    <x v="0"/>
    <n v="7"/>
  </r>
  <r>
    <s v="ORD-00129"/>
    <d v="2020-02-19T00:00:00"/>
    <s v="CUST20302"/>
    <x v="43"/>
    <n v="48"/>
    <x v="1"/>
    <x v="1"/>
    <x v="4"/>
    <x v="7"/>
    <x v="3"/>
    <s v="Saree"/>
    <n v="8"/>
    <n v="967.73"/>
    <x v="21"/>
    <n v="4117.6000000000004"/>
    <n v="1596.92"/>
    <n v="73.930000000000007"/>
    <x v="3"/>
    <n v="3"/>
    <x v="1"/>
    <x v="1"/>
    <n v="6"/>
  </r>
  <r>
    <s v="ORD-03339"/>
    <d v="2023-12-16T00:00:00"/>
    <s v="CUST29727"/>
    <x v="137"/>
    <n v="29"/>
    <x v="0"/>
    <x v="0"/>
    <x v="4"/>
    <x v="18"/>
    <x v="1"/>
    <s v="Desk"/>
    <n v="9"/>
    <n v="14900.48"/>
    <x v="33"/>
    <n v="103163.26"/>
    <n v="31355.08"/>
    <n v="45.89"/>
    <x v="0"/>
    <n v="4"/>
    <x v="0"/>
    <x v="0"/>
    <n v="9"/>
  </r>
  <r>
    <s v="ORD-02780"/>
    <d v="2023-04-18T00:00:00"/>
    <s v="CUST00961"/>
    <x v="219"/>
    <n v="37"/>
    <x v="1"/>
    <x v="2"/>
    <x v="1"/>
    <x v="10"/>
    <x v="0"/>
    <s v="Perfume"/>
    <n v="8"/>
    <n v="899.3"/>
    <x v="2"/>
    <n v="8975.56"/>
    <n v="3421.59"/>
    <n v="71.55"/>
    <x v="3"/>
    <n v="2"/>
    <x v="0"/>
    <x v="0"/>
    <n v="3"/>
  </r>
  <r>
    <s v="ORD-01597"/>
    <d v="2021-12-14T00:00:00"/>
    <s v="CUST58607"/>
    <x v="128"/>
    <n v="25"/>
    <x v="3"/>
    <x v="0"/>
    <x v="1"/>
    <x v="11"/>
    <x v="0"/>
    <s v="Face Cream"/>
    <n v="1"/>
    <n v="2412.42"/>
    <x v="4"/>
    <n v="1867.03"/>
    <n v="770.96"/>
    <n v="51.08"/>
    <x v="2"/>
    <n v="1"/>
    <x v="0"/>
    <x v="0"/>
    <n v="10"/>
  </r>
  <r>
    <s v="ORD-02643"/>
    <d v="2023-02-17T00:00:00"/>
    <s v="CUST02524"/>
    <x v="71"/>
    <n v="50"/>
    <x v="1"/>
    <x v="0"/>
    <x v="0"/>
    <x v="19"/>
    <x v="4"/>
    <s v="Cricket Bat"/>
    <n v="6"/>
    <n v="9703.74"/>
    <x v="31"/>
    <n v="52648.79"/>
    <n v="8966.19"/>
    <n v="50.19"/>
    <x v="1"/>
    <n v="1"/>
    <x v="0"/>
    <x v="0"/>
    <n v="7"/>
  </r>
  <r>
    <s v="ORD-03637"/>
    <d v="2024-04-30T00:00:00"/>
    <s v="CUST91185"/>
    <x v="249"/>
    <n v="19"/>
    <x v="3"/>
    <x v="1"/>
    <x v="1"/>
    <x v="10"/>
    <x v="0"/>
    <s v="Face Cream"/>
    <n v="3"/>
    <n v="2213"/>
    <x v="39"/>
    <n v="9293.85"/>
    <n v="4453.78"/>
    <n v="86.73"/>
    <x v="1"/>
    <n v="4"/>
    <x v="0"/>
    <x v="0"/>
    <n v="10"/>
  </r>
  <r>
    <s v="ORD-02974"/>
    <d v="2023-07-11T00:00:00"/>
    <s v="CUST06333"/>
    <x v="68"/>
    <n v="44"/>
    <x v="1"/>
    <x v="1"/>
    <x v="2"/>
    <x v="4"/>
    <x v="3"/>
    <s v="Jacket"/>
    <n v="6"/>
    <n v="1202.81"/>
    <x v="0"/>
    <n v="9663.61"/>
    <n v="2700.5"/>
    <n v="84.89"/>
    <x v="5"/>
    <n v="1"/>
    <x v="1"/>
    <x v="1"/>
    <n v="6"/>
  </r>
  <r>
    <s v="ORD-03801"/>
    <d v="2024-07-11T00:00:00"/>
    <s v="CUST68786"/>
    <x v="21"/>
    <n v="38"/>
    <x v="1"/>
    <x v="1"/>
    <x v="0"/>
    <x v="0"/>
    <x v="4"/>
    <s v="Football"/>
    <n v="2"/>
    <n v="13574.46"/>
    <x v="35"/>
    <n v="32632.91"/>
    <n v="9812.2999999999993"/>
    <n v="49.47"/>
    <x v="5"/>
    <n v="3"/>
    <x v="0"/>
    <x v="0"/>
    <n v="7"/>
  </r>
  <r>
    <s v="ORD-01247"/>
    <d v="2021-07-16T00:00:00"/>
    <s v="CUST10958"/>
    <x v="250"/>
    <n v="52"/>
    <x v="2"/>
    <x v="0"/>
    <x v="2"/>
    <x v="13"/>
    <x v="4"/>
    <s v="Tennis Racket"/>
    <n v="9"/>
    <n v="10077.49"/>
    <x v="14"/>
    <n v="84123.31"/>
    <n v="16599.27"/>
    <n v="71.95"/>
    <x v="2"/>
    <n v="3"/>
    <x v="0"/>
    <x v="0"/>
    <n v="2"/>
  </r>
  <r>
    <s v="ORD-00428"/>
    <d v="2020-08-07T00:00:00"/>
    <s v="CUST48382"/>
    <x v="251"/>
    <n v="47"/>
    <x v="1"/>
    <x v="2"/>
    <x v="1"/>
    <x v="10"/>
    <x v="5"/>
    <s v="Flour"/>
    <n v="4"/>
    <n v="443.03"/>
    <x v="18"/>
    <n v="1593.89"/>
    <n v="115.6"/>
    <n v="71.819999999999993"/>
    <x v="0"/>
    <n v="4"/>
    <x v="0"/>
    <x v="3"/>
    <n v="2"/>
  </r>
  <r>
    <s v="ORD-03405"/>
    <d v="2024-01-14T00:00:00"/>
    <s v="CUST34808"/>
    <x v="247"/>
    <n v="36"/>
    <x v="1"/>
    <x v="0"/>
    <x v="2"/>
    <x v="13"/>
    <x v="6"/>
    <s v="Smartwatch"/>
    <n v="1"/>
    <n v="16829.03"/>
    <x v="8"/>
    <n v="16558.810000000001"/>
    <n v="2537.33"/>
    <n v="43.96"/>
    <x v="3"/>
    <n v="1"/>
    <x v="1"/>
    <x v="1"/>
    <n v="9"/>
  </r>
  <r>
    <s v="ORD-03621"/>
    <d v="2024-04-23T00:00:00"/>
    <s v="CUST65858"/>
    <x v="252"/>
    <n v="24"/>
    <x v="3"/>
    <x v="2"/>
    <x v="3"/>
    <x v="16"/>
    <x v="3"/>
    <s v="Kurta"/>
    <n v="10"/>
    <n v="3066.81"/>
    <x v="4"/>
    <n v="47758.51"/>
    <n v="19208.34"/>
    <n v="77.64"/>
    <x v="5"/>
    <n v="2"/>
    <x v="0"/>
    <x v="0"/>
    <n v="9"/>
  </r>
  <r>
    <s v="ORD-02736"/>
    <d v="2023-03-30T00:00:00"/>
    <s v="CUST35540"/>
    <x v="237"/>
    <n v="26"/>
    <x v="0"/>
    <x v="0"/>
    <x v="0"/>
    <x v="2"/>
    <x v="3"/>
    <s v="Dress"/>
    <n v="8"/>
    <n v="1829.04"/>
    <x v="27"/>
    <n v="14780.74"/>
    <n v="6166.69"/>
    <n v="80.06"/>
    <x v="5"/>
    <n v="3"/>
    <x v="0"/>
    <x v="2"/>
    <n v="4"/>
  </r>
  <r>
    <s v="ORD-01999"/>
    <d v="2022-06-01T00:00:00"/>
    <s v="CUST83431"/>
    <x v="6"/>
    <n v="53"/>
    <x v="2"/>
    <x v="1"/>
    <x v="0"/>
    <x v="0"/>
    <x v="0"/>
    <s v="Sunscreen"/>
    <n v="7"/>
    <n v="1167.8599999999999"/>
    <x v="7"/>
    <n v="10729.59"/>
    <n v="5022.26"/>
    <n v="56.89"/>
    <x v="0"/>
    <n v="2"/>
    <x v="0"/>
    <x v="0"/>
    <n v="8"/>
  </r>
  <r>
    <s v="ORD-02823"/>
    <d v="2023-05-11T00:00:00"/>
    <s v="CUST96063"/>
    <x v="253"/>
    <n v="25"/>
    <x v="3"/>
    <x v="1"/>
    <x v="2"/>
    <x v="13"/>
    <x v="6"/>
    <s v="Smartphone"/>
    <n v="9"/>
    <n v="6647.49"/>
    <x v="14"/>
    <n v="68948.2"/>
    <n v="8595.8799999999992"/>
    <n v="51.47"/>
    <x v="2"/>
    <n v="4"/>
    <x v="0"/>
    <x v="0"/>
    <n v="8"/>
  </r>
  <r>
    <s v="ORD-01937"/>
    <d v="2022-05-05T00:00:00"/>
    <s v="CUST01091"/>
    <x v="144"/>
    <n v="32"/>
    <x v="0"/>
    <x v="0"/>
    <x v="0"/>
    <x v="19"/>
    <x v="0"/>
    <s v="Shampoo"/>
    <n v="3"/>
    <n v="1685.48"/>
    <x v="28"/>
    <n v="6564.17"/>
    <n v="3034.89"/>
    <n v="79.19"/>
    <x v="0"/>
    <n v="1"/>
    <x v="0"/>
    <x v="2"/>
    <n v="1"/>
  </r>
  <r>
    <s v="ORD-01851"/>
    <d v="2022-03-30T00:00:00"/>
    <s v="CUST81634"/>
    <x v="254"/>
    <n v="36"/>
    <x v="1"/>
    <x v="0"/>
    <x v="0"/>
    <x v="1"/>
    <x v="6"/>
    <s v="Tablet"/>
    <n v="1"/>
    <n v="28957.64"/>
    <x v="30"/>
    <n v="18619.849999999999"/>
    <n v="1514.95"/>
    <n v="63.73"/>
    <x v="0"/>
    <n v="5"/>
    <x v="0"/>
    <x v="0"/>
    <n v="10"/>
  </r>
  <r>
    <s v="ORD-03966"/>
    <d v="2024-09-07T00:00:00"/>
    <s v="CUST46541"/>
    <x v="48"/>
    <n v="32"/>
    <x v="0"/>
    <x v="1"/>
    <x v="3"/>
    <x v="16"/>
    <x v="0"/>
    <s v="Perfume"/>
    <n v="3"/>
    <n v="1229.8800000000001"/>
    <x v="31"/>
    <n v="4385.2700000000004"/>
    <n v="2310.7399999999998"/>
    <n v="75.88"/>
    <x v="3"/>
    <n v="5"/>
    <x v="0"/>
    <x v="4"/>
    <n v="4"/>
  </r>
  <r>
    <s v="ORD-02914"/>
    <d v="2023-06-13T00:00:00"/>
    <s v="CUST62247"/>
    <x v="255"/>
    <n v="47"/>
    <x v="1"/>
    <x v="0"/>
    <x v="4"/>
    <x v="17"/>
    <x v="3"/>
    <s v="Saree"/>
    <n v="2"/>
    <n v="1474.66"/>
    <x v="31"/>
    <n v="3493.62"/>
    <n v="1237.1500000000001"/>
    <n v="83"/>
    <x v="2"/>
    <n v="2"/>
    <x v="0"/>
    <x v="0"/>
    <n v="9"/>
  </r>
  <r>
    <s v="ORD-03096"/>
    <d v="2023-08-30T00:00:00"/>
    <s v="CUST81977"/>
    <x v="84"/>
    <n v="35"/>
    <x v="0"/>
    <x v="2"/>
    <x v="3"/>
    <x v="5"/>
    <x v="5"/>
    <s v="Dal (1kg)"/>
    <n v="9"/>
    <n v="132.91"/>
    <x v="6"/>
    <n v="1379.32"/>
    <n v="95.16"/>
    <n v="84.31"/>
    <x v="2"/>
    <n v="1"/>
    <x v="0"/>
    <x v="0"/>
    <n v="4"/>
  </r>
  <r>
    <s v="ORD-02175"/>
    <d v="2022-08-12T00:00:00"/>
    <s v="CUST77531"/>
    <x v="171"/>
    <n v="37"/>
    <x v="1"/>
    <x v="0"/>
    <x v="4"/>
    <x v="8"/>
    <x v="0"/>
    <s v="Shampoo"/>
    <n v="2"/>
    <n v="2364.83"/>
    <x v="16"/>
    <n v="5331.18"/>
    <n v="2254.41"/>
    <n v="60.96"/>
    <x v="1"/>
    <n v="1"/>
    <x v="0"/>
    <x v="0"/>
    <n v="4"/>
  </r>
  <r>
    <s v="ORD-03027"/>
    <d v="2023-08-04T00:00:00"/>
    <s v="CUST20866"/>
    <x v="102"/>
    <n v="26"/>
    <x v="0"/>
    <x v="2"/>
    <x v="0"/>
    <x v="19"/>
    <x v="4"/>
    <s v="Yoga Mat"/>
    <n v="10"/>
    <n v="10231.86"/>
    <x v="30"/>
    <n v="98825.46"/>
    <n v="17642.86"/>
    <n v="40.200000000000003"/>
    <x v="3"/>
    <n v="2"/>
    <x v="0"/>
    <x v="0"/>
    <n v="9"/>
  </r>
  <r>
    <s v="ORD-03598"/>
    <d v="2024-04-14T00:00:00"/>
    <s v="CUST37246"/>
    <x v="99"/>
    <n v="22"/>
    <x v="3"/>
    <x v="2"/>
    <x v="3"/>
    <x v="5"/>
    <x v="2"/>
    <s v="Biography"/>
    <n v="1"/>
    <n v="675.6"/>
    <x v="32"/>
    <n v="960.99"/>
    <n v="301.26"/>
    <n v="94.17"/>
    <x v="5"/>
    <n v="5"/>
    <x v="0"/>
    <x v="3"/>
    <n v="5"/>
  </r>
  <r>
    <s v="ORD-02959"/>
    <d v="2023-07-06T00:00:00"/>
    <s v="CUST01768"/>
    <x v="175"/>
    <n v="34"/>
    <x v="0"/>
    <x v="2"/>
    <x v="1"/>
    <x v="10"/>
    <x v="6"/>
    <s v="Headphones"/>
    <n v="3"/>
    <n v="69702.559999999998"/>
    <x v="21"/>
    <n v="204235.41"/>
    <n v="30667.19"/>
    <n v="72.010000000000005"/>
    <x v="1"/>
    <n v="5"/>
    <x v="0"/>
    <x v="0"/>
    <n v="2"/>
  </r>
  <r>
    <s v="ORD-03349"/>
    <d v="2023-12-20T00:00:00"/>
    <s v="CUST44606"/>
    <x v="45"/>
    <n v="59"/>
    <x v="2"/>
    <x v="1"/>
    <x v="3"/>
    <x v="16"/>
    <x v="0"/>
    <s v="Face Cream"/>
    <n v="4"/>
    <n v="1670.09"/>
    <x v="40"/>
    <n v="3402.85"/>
    <n v="1861.74"/>
    <n v="94.95"/>
    <x v="4"/>
    <n v="1"/>
    <x v="1"/>
    <x v="1"/>
    <n v="6"/>
  </r>
  <r>
    <s v="ORD-03923"/>
    <d v="2024-08-20T00:00:00"/>
    <s v="CUST86711"/>
    <x v="256"/>
    <n v="20"/>
    <x v="3"/>
    <x v="2"/>
    <x v="0"/>
    <x v="2"/>
    <x v="1"/>
    <s v="Bed Frame"/>
    <n v="7"/>
    <n v="14200.86"/>
    <x v="1"/>
    <n v="123743.08"/>
    <n v="37065.68"/>
    <n v="54.52"/>
    <x v="0"/>
    <n v="2"/>
    <x v="0"/>
    <x v="0"/>
    <n v="10"/>
  </r>
  <r>
    <s v="ORD-01417"/>
    <d v="2021-09-30T00:00:00"/>
    <s v="CUST32469"/>
    <x v="47"/>
    <n v="31"/>
    <x v="0"/>
    <x v="0"/>
    <x v="3"/>
    <x v="5"/>
    <x v="2"/>
    <s v="Comic Book"/>
    <n v="3"/>
    <n v="751.24"/>
    <x v="14"/>
    <n v="1754.21"/>
    <n v="458.13"/>
    <n v="103.5"/>
    <x v="0"/>
    <n v="3"/>
    <x v="0"/>
    <x v="0"/>
    <n v="10"/>
  </r>
  <r>
    <s v="ORD-03066"/>
    <d v="2023-08-18T00:00:00"/>
    <s v="CUST82969"/>
    <x v="197"/>
    <n v="50"/>
    <x v="1"/>
    <x v="2"/>
    <x v="4"/>
    <x v="17"/>
    <x v="1"/>
    <s v="Wardrobe"/>
    <n v="7"/>
    <n v="34829.83"/>
    <x v="23"/>
    <n v="251225.51"/>
    <n v="87253.16"/>
    <n v="74.92"/>
    <x v="1"/>
    <n v="1"/>
    <x v="0"/>
    <x v="0"/>
    <n v="9"/>
  </r>
  <r>
    <s v="ORD-00432"/>
    <d v="2020-07-09T00:00:00"/>
    <s v="CUST05737"/>
    <x v="79"/>
    <n v="36"/>
    <x v="1"/>
    <x v="1"/>
    <x v="4"/>
    <x v="18"/>
    <x v="3"/>
    <s v="T-Shirt"/>
    <n v="2"/>
    <n v="2956.54"/>
    <x v="22"/>
    <n v="4033.47"/>
    <n v="1730.04"/>
    <n v="80.22"/>
    <x v="0"/>
    <n v="4"/>
    <x v="0"/>
    <x v="0"/>
    <n v="3"/>
  </r>
  <r>
    <s v="ORD-03073"/>
    <d v="2023-08-20T00:00:00"/>
    <s v="CUST40607"/>
    <x v="257"/>
    <n v="29"/>
    <x v="0"/>
    <x v="0"/>
    <x v="1"/>
    <x v="3"/>
    <x v="4"/>
    <s v="Tennis Racket"/>
    <n v="4"/>
    <n v="5660.42"/>
    <x v="27"/>
    <n v="22682.85"/>
    <n v="4781.05"/>
    <n v="52.61"/>
    <x v="4"/>
    <n v="5"/>
    <x v="0"/>
    <x v="3"/>
    <n v="6"/>
  </r>
  <r>
    <s v="ORD-00064"/>
    <d v="2020-01-23T00:00:00"/>
    <s v="CUST37898"/>
    <x v="258"/>
    <n v="53"/>
    <x v="2"/>
    <x v="2"/>
    <x v="2"/>
    <x v="14"/>
    <x v="3"/>
    <s v="Kurta"/>
    <n v="1"/>
    <n v="3054"/>
    <x v="13"/>
    <n v="2217.29"/>
    <n v="558.25"/>
    <n v="82.49"/>
    <x v="1"/>
    <n v="4"/>
    <x v="0"/>
    <x v="0"/>
    <n v="9"/>
  </r>
  <r>
    <s v="ORD-03968"/>
    <d v="2024-09-08T00:00:00"/>
    <s v="CUST99406"/>
    <x v="41"/>
    <n v="28"/>
    <x v="0"/>
    <x v="1"/>
    <x v="0"/>
    <x v="2"/>
    <x v="3"/>
    <s v="Jeans"/>
    <n v="1"/>
    <n v="3018.11"/>
    <x v="24"/>
    <n v="3776.1"/>
    <n v="922.32"/>
    <n v="65.86"/>
    <x v="0"/>
    <n v="3"/>
    <x v="0"/>
    <x v="2"/>
    <n v="3"/>
  </r>
  <r>
    <s v="ORD-00447"/>
    <d v="2020-07-16T00:00:00"/>
    <s v="CUST75670"/>
    <x v="259"/>
    <n v="20"/>
    <x v="3"/>
    <x v="1"/>
    <x v="3"/>
    <x v="5"/>
    <x v="2"/>
    <s v="Biography"/>
    <n v="4"/>
    <n v="585.03"/>
    <x v="40"/>
    <n v="1538.2"/>
    <n v="656.23"/>
    <n v="105.88"/>
    <x v="5"/>
    <n v="5"/>
    <x v="0"/>
    <x v="0"/>
    <n v="1"/>
  </r>
  <r>
    <s v="ORD-00174"/>
    <d v="2020-03-16T00:00:00"/>
    <s v="CUST91348"/>
    <x v="260"/>
    <n v="35"/>
    <x v="0"/>
    <x v="1"/>
    <x v="2"/>
    <x v="13"/>
    <x v="5"/>
    <s v="Flour"/>
    <n v="9"/>
    <n v="167.67"/>
    <x v="15"/>
    <n v="1072.27"/>
    <n v="93.59"/>
    <n v="68.23"/>
    <x v="2"/>
    <n v="1"/>
    <x v="0"/>
    <x v="0"/>
    <n v="7"/>
  </r>
  <r>
    <s v="ORD-03612"/>
    <d v="2024-04-21T00:00:00"/>
    <s v="CUST81078"/>
    <x v="105"/>
    <n v="46"/>
    <x v="1"/>
    <x v="2"/>
    <x v="2"/>
    <x v="9"/>
    <x v="2"/>
    <s v="Fiction Novel"/>
    <n v="9"/>
    <n v="518.92999999999995"/>
    <x v="20"/>
    <n v="6095.48"/>
    <n v="2092.3200000000002"/>
    <n v="33.549999999999997"/>
    <x v="5"/>
    <n v="3"/>
    <x v="0"/>
    <x v="0"/>
    <n v="3"/>
  </r>
  <r>
    <s v="ORD-04098"/>
    <d v="2024-11-15T00:00:00"/>
    <s v="CUST64023"/>
    <x v="252"/>
    <n v="23"/>
    <x v="3"/>
    <x v="0"/>
    <x v="4"/>
    <x v="17"/>
    <x v="1"/>
    <s v="Desk"/>
    <n v="9"/>
    <n v="21959.46"/>
    <x v="26"/>
    <n v="157002.59"/>
    <n v="28723.82"/>
    <n v="58.03"/>
    <x v="0"/>
    <n v="1"/>
    <x v="0"/>
    <x v="0"/>
    <n v="3"/>
  </r>
  <r>
    <s v="ORD-03243"/>
    <d v="2023-11-02T00:00:00"/>
    <s v="CUST21449"/>
    <x v="135"/>
    <n v="36"/>
    <x v="1"/>
    <x v="1"/>
    <x v="1"/>
    <x v="10"/>
    <x v="1"/>
    <s v="Bed Frame"/>
    <n v="6"/>
    <n v="12617.99"/>
    <x v="28"/>
    <n v="66859.47"/>
    <n v="19527.7"/>
    <n v="32.57"/>
    <x v="0"/>
    <n v="4"/>
    <x v="0"/>
    <x v="0"/>
    <n v="9"/>
  </r>
  <r>
    <s v="ORD-00153"/>
    <d v="2020-03-03T00:00:00"/>
    <s v="CUST65087"/>
    <x v="78"/>
    <n v="35"/>
    <x v="0"/>
    <x v="2"/>
    <x v="3"/>
    <x v="16"/>
    <x v="2"/>
    <s v="Cook Book"/>
    <n v="1"/>
    <n v="928.19"/>
    <x v="10"/>
    <n v="699.17"/>
    <n v="249.77"/>
    <n v="65.349999999999994"/>
    <x v="5"/>
    <n v="5"/>
    <x v="0"/>
    <x v="2"/>
    <n v="9"/>
  </r>
  <r>
    <s v="ORD-01408"/>
    <d v="2021-09-26T00:00:00"/>
    <s v="CUST69520"/>
    <x v="261"/>
    <n v="31"/>
    <x v="0"/>
    <x v="1"/>
    <x v="0"/>
    <x v="0"/>
    <x v="3"/>
    <s v="Jacket"/>
    <n v="6"/>
    <n v="1744.18"/>
    <x v="33"/>
    <n v="8503.76"/>
    <n v="2737.92"/>
    <n v="72.31"/>
    <x v="2"/>
    <n v="5"/>
    <x v="0"/>
    <x v="3"/>
    <n v="5"/>
  </r>
  <r>
    <s v="ORD-02425"/>
    <d v="2022-11-15T00:00:00"/>
    <s v="CUST81941"/>
    <x v="262"/>
    <n v="36"/>
    <x v="1"/>
    <x v="0"/>
    <x v="2"/>
    <x v="13"/>
    <x v="4"/>
    <s v="Football"/>
    <n v="4"/>
    <n v="1627.2"/>
    <x v="34"/>
    <n v="3842.87"/>
    <n v="894.8"/>
    <n v="32.06"/>
    <x v="1"/>
    <n v="4"/>
    <x v="0"/>
    <x v="0"/>
    <n v="1"/>
  </r>
  <r>
    <s v="ORD-01605"/>
    <d v="2021-12-16T00:00:00"/>
    <s v="CUST74310"/>
    <x v="225"/>
    <n v="29"/>
    <x v="0"/>
    <x v="2"/>
    <x v="0"/>
    <x v="1"/>
    <x v="3"/>
    <s v="Dress"/>
    <n v="1"/>
    <n v="3977.51"/>
    <x v="25"/>
    <n v="1958.29"/>
    <n v="447.76"/>
    <n v="61.65"/>
    <x v="4"/>
    <n v="1"/>
    <x v="0"/>
    <x v="0"/>
    <n v="9"/>
  </r>
  <r>
    <s v="ORD-03886"/>
    <d v="2024-08-09T00:00:00"/>
    <s v="CUST37843"/>
    <x v="263"/>
    <n v="22"/>
    <x v="3"/>
    <x v="1"/>
    <x v="0"/>
    <x v="0"/>
    <x v="2"/>
    <s v="Cook Book"/>
    <n v="10"/>
    <n v="742.8"/>
    <x v="23"/>
    <n v="7769.9"/>
    <n v="2273.34"/>
    <n v="49.53"/>
    <x v="2"/>
    <n v="5"/>
    <x v="0"/>
    <x v="0"/>
    <n v="2"/>
  </r>
  <r>
    <s v="ORD-00508"/>
    <d v="2020-08-13T00:00:00"/>
    <s v="CUST12889"/>
    <x v="101"/>
    <n v="21"/>
    <x v="3"/>
    <x v="1"/>
    <x v="0"/>
    <x v="1"/>
    <x v="5"/>
    <s v="Sugar"/>
    <n v="10"/>
    <n v="321.17"/>
    <x v="21"/>
    <n v="2171.58"/>
    <n v="181.47"/>
    <n v="51.28"/>
    <x v="5"/>
    <n v="5"/>
    <x v="0"/>
    <x v="0"/>
    <n v="1"/>
  </r>
  <r>
    <s v="ORD-02799"/>
    <d v="2023-04-28T00:00:00"/>
    <s v="CUST04344"/>
    <x v="135"/>
    <n v="35"/>
    <x v="0"/>
    <x v="2"/>
    <x v="4"/>
    <x v="17"/>
    <x v="5"/>
    <s v="Flour"/>
    <n v="10"/>
    <n v="310.75"/>
    <x v="12"/>
    <n v="2966.57"/>
    <n v="220.38"/>
    <n v="68.83"/>
    <x v="1"/>
    <n v="3"/>
    <x v="0"/>
    <x v="0"/>
    <n v="7"/>
  </r>
  <r>
    <s v="ORD-03209"/>
    <d v="2023-10-19T00:00:00"/>
    <s v="CUST57413"/>
    <x v="264"/>
    <n v="23"/>
    <x v="3"/>
    <x v="2"/>
    <x v="1"/>
    <x v="11"/>
    <x v="4"/>
    <s v="Cycle"/>
    <n v="3"/>
    <n v="13795.34"/>
    <x v="30"/>
    <n v="30187.27"/>
    <n v="7482.85"/>
    <n v="39.479999999999997"/>
    <x v="3"/>
    <n v="5"/>
    <x v="0"/>
    <x v="0"/>
    <n v="9"/>
  </r>
  <r>
    <s v="ORD-02760"/>
    <d v="2023-04-10T00:00:00"/>
    <s v="CUST27593"/>
    <x v="265"/>
    <n v="49"/>
    <x v="1"/>
    <x v="0"/>
    <x v="0"/>
    <x v="19"/>
    <x v="4"/>
    <s v="Cycle"/>
    <n v="3"/>
    <n v="11672.79"/>
    <x v="26"/>
    <n v="39508.65"/>
    <n v="10514.43"/>
    <n v="77.349999999999994"/>
    <x v="1"/>
    <n v="2"/>
    <x v="0"/>
    <x v="3"/>
    <n v="2"/>
  </r>
  <r>
    <s v="ORD-01910"/>
    <d v="2022-04-24T00:00:00"/>
    <s v="CUST00866"/>
    <x v="100"/>
    <n v="18"/>
    <x v="3"/>
    <x v="2"/>
    <x v="1"/>
    <x v="6"/>
    <x v="6"/>
    <s v="Tablet"/>
    <n v="1"/>
    <n v="23696.79"/>
    <x v="21"/>
    <n v="19360.650000000001"/>
    <n v="2981.96"/>
    <n v="18.02"/>
    <x v="1"/>
    <n v="4"/>
    <x v="0"/>
    <x v="0"/>
    <n v="9"/>
  </r>
  <r>
    <s v="ORD-03867"/>
    <d v="2024-08-05T00:00:00"/>
    <s v="CUST39793"/>
    <x v="105"/>
    <n v="48"/>
    <x v="1"/>
    <x v="0"/>
    <x v="4"/>
    <x v="8"/>
    <x v="6"/>
    <s v="Laptop"/>
    <n v="8"/>
    <n v="50411.34"/>
    <x v="2"/>
    <n v="538833.63"/>
    <n v="74291.94"/>
    <n v="56.86"/>
    <x v="4"/>
    <n v="2"/>
    <x v="0"/>
    <x v="0"/>
    <n v="7"/>
  </r>
  <r>
    <s v="ORD-00740"/>
    <d v="2020-12-03T00:00:00"/>
    <s v="CUST43436"/>
    <x v="131"/>
    <n v="36"/>
    <x v="1"/>
    <x v="2"/>
    <x v="3"/>
    <x v="15"/>
    <x v="0"/>
    <s v="Face Cream"/>
    <n v="5"/>
    <n v="1245.93"/>
    <x v="1"/>
    <n v="3724.57"/>
    <n v="1585.85"/>
    <n v="84.66"/>
    <x v="2"/>
    <n v="4"/>
    <x v="0"/>
    <x v="0"/>
    <n v="4"/>
  </r>
  <r>
    <s v="ORD-03403"/>
    <d v="2024-01-13T00:00:00"/>
    <s v="CUST49423"/>
    <x v="81"/>
    <n v="43"/>
    <x v="1"/>
    <x v="0"/>
    <x v="2"/>
    <x v="14"/>
    <x v="1"/>
    <s v="Bed Frame"/>
    <n v="4"/>
    <n v="10877.51"/>
    <x v="17"/>
    <n v="25389.56"/>
    <n v="5507.59"/>
    <n v="72.069999999999993"/>
    <x v="5"/>
    <n v="5"/>
    <x v="0"/>
    <x v="0"/>
    <n v="9"/>
  </r>
  <r>
    <s v="ORD-03091"/>
    <d v="2023-08-29T00:00:00"/>
    <s v="CUST39206"/>
    <x v="266"/>
    <n v="32"/>
    <x v="0"/>
    <x v="1"/>
    <x v="4"/>
    <x v="8"/>
    <x v="1"/>
    <s v="Desk"/>
    <n v="6"/>
    <n v="11929.15"/>
    <x v="19"/>
    <n v="90019.76"/>
    <n v="15285.49"/>
    <n v="66.849999999999994"/>
    <x v="5"/>
    <n v="5"/>
    <x v="0"/>
    <x v="2"/>
    <n v="4"/>
  </r>
  <r>
    <s v="ORD-02040"/>
    <d v="2022-06-17T00:00:00"/>
    <s v="CUST10264"/>
    <x v="145"/>
    <n v="21"/>
    <x v="3"/>
    <x v="1"/>
    <x v="2"/>
    <x v="14"/>
    <x v="0"/>
    <s v="Hair Oil"/>
    <n v="9"/>
    <n v="217.37"/>
    <x v="37"/>
    <n v="2271.02"/>
    <n v="949.07"/>
    <n v="51.63"/>
    <x v="1"/>
    <n v="2"/>
    <x v="1"/>
    <x v="1"/>
    <n v="8"/>
  </r>
  <r>
    <s v="ORD-03367"/>
    <d v="2023-12-29T00:00:00"/>
    <s v="CUST44669"/>
    <x v="267"/>
    <n v="33"/>
    <x v="0"/>
    <x v="1"/>
    <x v="1"/>
    <x v="3"/>
    <x v="6"/>
    <s v="Smartphone"/>
    <n v="4"/>
    <n v="76576.240000000005"/>
    <x v="21"/>
    <n v="154095.35999999999"/>
    <n v="19680.310000000001"/>
    <n v="60.02"/>
    <x v="5"/>
    <n v="5"/>
    <x v="0"/>
    <x v="0"/>
    <n v="2"/>
  </r>
  <r>
    <s v="ORD-00724"/>
    <d v="2020-11-27T00:00:00"/>
    <s v="CUST48812"/>
    <x v="150"/>
    <n v="25"/>
    <x v="3"/>
    <x v="1"/>
    <x v="2"/>
    <x v="9"/>
    <x v="4"/>
    <s v="Yoga Mat"/>
    <n v="1"/>
    <n v="8581.84"/>
    <x v="2"/>
    <n v="4599.3500000000004"/>
    <n v="941.93"/>
    <n v="62.41"/>
    <x v="4"/>
    <n v="3"/>
    <x v="0"/>
    <x v="0"/>
    <n v="6"/>
  </r>
  <r>
    <s v="ORD-00841"/>
    <d v="2021-01-20T00:00:00"/>
    <s v="CUST59671"/>
    <x v="104"/>
    <n v="28"/>
    <x v="0"/>
    <x v="2"/>
    <x v="3"/>
    <x v="15"/>
    <x v="5"/>
    <s v="Rice (5kg)"/>
    <n v="4"/>
    <n v="246.81"/>
    <x v="18"/>
    <n v="564.98"/>
    <n v="41.55"/>
    <n v="95.51"/>
    <x v="2"/>
    <n v="2"/>
    <x v="0"/>
    <x v="2"/>
    <n v="6"/>
  </r>
  <r>
    <s v="ORD-02230"/>
    <d v="2022-08-30T00:00:00"/>
    <s v="CUST49677"/>
    <x v="268"/>
    <n v="36"/>
    <x v="1"/>
    <x v="1"/>
    <x v="3"/>
    <x v="16"/>
    <x v="4"/>
    <s v="Dumbbells"/>
    <n v="5"/>
    <n v="13503.49"/>
    <x v="16"/>
    <n v="73166.710000000006"/>
    <n v="10338.379999999999"/>
    <n v="81.11"/>
    <x v="0"/>
    <n v="3"/>
    <x v="0"/>
    <x v="0"/>
    <n v="9"/>
  </r>
  <r>
    <s v="ORD-02694"/>
    <d v="2023-03-14T00:00:00"/>
    <s v="CUST76215"/>
    <x v="138"/>
    <n v="49"/>
    <x v="1"/>
    <x v="2"/>
    <x v="2"/>
    <x v="13"/>
    <x v="3"/>
    <s v="T-Shirt"/>
    <n v="9"/>
    <n v="3251.19"/>
    <x v="19"/>
    <n v="25267.42"/>
    <n v="8081.15"/>
    <n v="70.98"/>
    <x v="0"/>
    <n v="2"/>
    <x v="1"/>
    <x v="1"/>
    <n v="9"/>
  </r>
  <r>
    <s v="ORD-03260"/>
    <d v="2023-11-09T00:00:00"/>
    <s v="CUST04203"/>
    <x v="23"/>
    <n v="41"/>
    <x v="1"/>
    <x v="2"/>
    <x v="1"/>
    <x v="3"/>
    <x v="0"/>
    <s v="Hair Oil"/>
    <n v="4"/>
    <n v="1738.78"/>
    <x v="16"/>
    <n v="5920.27"/>
    <n v="1693.39"/>
    <n v="61.38"/>
    <x v="5"/>
    <n v="1"/>
    <x v="1"/>
    <x v="1"/>
    <n v="2"/>
  </r>
  <r>
    <s v="ORD-00624"/>
    <d v="2020-10-06T00:00:00"/>
    <s v="CUST07175"/>
    <x v="269"/>
    <n v="44"/>
    <x v="1"/>
    <x v="0"/>
    <x v="3"/>
    <x v="16"/>
    <x v="6"/>
    <s v="Smartwatch"/>
    <n v="8"/>
    <n v="67654.44"/>
    <x v="4"/>
    <n v="436216.85"/>
    <n v="54905.07"/>
    <n v="62.12"/>
    <x v="1"/>
    <n v="2"/>
    <x v="0"/>
    <x v="4"/>
    <n v="6"/>
  </r>
  <r>
    <s v="ORD-02814"/>
    <d v="2023-05-04T00:00:00"/>
    <s v="CUST78368"/>
    <x v="207"/>
    <n v="31"/>
    <x v="0"/>
    <x v="0"/>
    <x v="3"/>
    <x v="15"/>
    <x v="3"/>
    <s v="Jeans"/>
    <n v="3"/>
    <n v="3314.75"/>
    <x v="29"/>
    <n v="15452.12"/>
    <n v="3519.97"/>
    <n v="85.4"/>
    <x v="0"/>
    <n v="2"/>
    <x v="0"/>
    <x v="0"/>
    <n v="8"/>
  </r>
  <r>
    <s v="ORD-02201"/>
    <d v="2022-08-17T00:00:00"/>
    <s v="CUST38678"/>
    <x v="86"/>
    <n v="25"/>
    <x v="3"/>
    <x v="0"/>
    <x v="0"/>
    <x v="1"/>
    <x v="6"/>
    <s v="Headphones"/>
    <n v="4"/>
    <n v="67647.58"/>
    <x v="16"/>
    <n v="353527.87"/>
    <n v="36275.65"/>
    <n v="52.43"/>
    <x v="1"/>
    <n v="2"/>
    <x v="0"/>
    <x v="0"/>
    <n v="8"/>
  </r>
  <r>
    <s v="ORD-02795"/>
    <d v="2023-04-26T00:00:00"/>
    <s v="CUST45978"/>
    <x v="270"/>
    <n v="26"/>
    <x v="0"/>
    <x v="0"/>
    <x v="0"/>
    <x v="0"/>
    <x v="0"/>
    <s v="Shampoo"/>
    <n v="8"/>
    <n v="566.96"/>
    <x v="21"/>
    <n v="4268.95"/>
    <n v="2029.92"/>
    <n v="60.59"/>
    <x v="0"/>
    <n v="3"/>
    <x v="0"/>
    <x v="0"/>
    <n v="5"/>
  </r>
  <r>
    <s v="ORD-00097"/>
    <d v="2020-02-07T00:00:00"/>
    <s v="CUST92061"/>
    <x v="271"/>
    <n v="27"/>
    <x v="0"/>
    <x v="1"/>
    <x v="4"/>
    <x v="8"/>
    <x v="0"/>
    <s v="Hair Oil"/>
    <n v="1"/>
    <n v="918.65"/>
    <x v="32"/>
    <n v="643.64"/>
    <n v="333.85"/>
    <n v="73.92"/>
    <x v="3"/>
    <n v="3"/>
    <x v="0"/>
    <x v="3"/>
    <n v="10"/>
  </r>
  <r>
    <s v="ORD-03102"/>
    <d v="2023-09-03T00:00:00"/>
    <s v="CUST37184"/>
    <x v="272"/>
    <n v="25"/>
    <x v="3"/>
    <x v="0"/>
    <x v="1"/>
    <x v="6"/>
    <x v="1"/>
    <s v="Bed Frame"/>
    <n v="1"/>
    <n v="11522.93"/>
    <x v="4"/>
    <n v="10840.71"/>
    <n v="3173.42"/>
    <n v="65.430000000000007"/>
    <x v="4"/>
    <n v="5"/>
    <x v="0"/>
    <x v="0"/>
    <n v="5"/>
  </r>
  <r>
    <s v="ORD-03648"/>
    <d v="2024-05-04T00:00:00"/>
    <s v="CUST67942"/>
    <x v="225"/>
    <n v="28"/>
    <x v="0"/>
    <x v="0"/>
    <x v="0"/>
    <x v="2"/>
    <x v="6"/>
    <s v="Tablet"/>
    <n v="2"/>
    <n v="32171.040000000001"/>
    <x v="39"/>
    <n v="95994.28"/>
    <n v="9495.02"/>
    <n v="70.88"/>
    <x v="0"/>
    <n v="3"/>
    <x v="1"/>
    <x v="1"/>
    <n v="7"/>
  </r>
  <r>
    <s v="ORD-02349"/>
    <d v="2022-10-13T00:00:00"/>
    <s v="CUST17978"/>
    <x v="166"/>
    <n v="55"/>
    <x v="2"/>
    <x v="1"/>
    <x v="1"/>
    <x v="10"/>
    <x v="6"/>
    <s v="Laptop"/>
    <n v="7"/>
    <n v="16843.150000000001"/>
    <x v="21"/>
    <n v="63975.839999999997"/>
    <n v="8190.65"/>
    <n v="81.28"/>
    <x v="2"/>
    <n v="3"/>
    <x v="0"/>
    <x v="0"/>
    <n v="3"/>
  </r>
  <r>
    <s v="ORD-02944"/>
    <d v="2023-06-30T00:00:00"/>
    <s v="CUST91370"/>
    <x v="241"/>
    <n v="41"/>
    <x v="1"/>
    <x v="1"/>
    <x v="2"/>
    <x v="4"/>
    <x v="4"/>
    <s v="Dumbbells"/>
    <n v="7"/>
    <n v="4046"/>
    <x v="38"/>
    <n v="44053.34"/>
    <n v="9372.6299999999992"/>
    <n v="42.33"/>
    <x v="0"/>
    <n v="2"/>
    <x v="0"/>
    <x v="0"/>
    <n v="6"/>
  </r>
  <r>
    <s v="ORD-03085"/>
    <d v="2023-08-25T00:00:00"/>
    <s v="CUST66243"/>
    <x v="273"/>
    <n v="31"/>
    <x v="0"/>
    <x v="1"/>
    <x v="2"/>
    <x v="14"/>
    <x v="2"/>
    <s v="Fiction Novel"/>
    <n v="10"/>
    <n v="260.93"/>
    <x v="19"/>
    <n v="3566.39"/>
    <n v="1435.04"/>
    <n v="28.36"/>
    <x v="2"/>
    <n v="3"/>
    <x v="0"/>
    <x v="0"/>
    <n v="1"/>
  </r>
  <r>
    <s v="ORD-00116"/>
    <d v="2020-02-12T00:00:00"/>
    <s v="CUST51634"/>
    <x v="191"/>
    <n v="52"/>
    <x v="2"/>
    <x v="0"/>
    <x v="3"/>
    <x v="5"/>
    <x v="4"/>
    <s v="Tennis Racket"/>
    <n v="4"/>
    <n v="5949.42"/>
    <x v="14"/>
    <n v="11315.53"/>
    <n v="2670.63"/>
    <n v="82.54"/>
    <x v="1"/>
    <n v="5"/>
    <x v="0"/>
    <x v="0"/>
    <n v="4"/>
  </r>
  <r>
    <s v="ORD-02593"/>
    <d v="2023-02-01T00:00:00"/>
    <s v="CUST54751"/>
    <x v="111"/>
    <n v="40"/>
    <x v="1"/>
    <x v="0"/>
    <x v="1"/>
    <x v="6"/>
    <x v="0"/>
    <s v="Shampoo"/>
    <n v="3"/>
    <n v="2052.63"/>
    <x v="33"/>
    <n v="5621.99"/>
    <n v="2360.34"/>
    <n v="38.92"/>
    <x v="2"/>
    <n v="5"/>
    <x v="0"/>
    <x v="0"/>
    <n v="8"/>
  </r>
  <r>
    <s v="ORD-03379"/>
    <d v="2023-12-31T00:00:00"/>
    <s v="CUST97050"/>
    <x v="207"/>
    <n v="47"/>
    <x v="1"/>
    <x v="2"/>
    <x v="4"/>
    <x v="8"/>
    <x v="4"/>
    <s v="Yoga Mat"/>
    <n v="3"/>
    <n v="2123.23"/>
    <x v="38"/>
    <n v="4790.25"/>
    <n v="1126.6600000000001"/>
    <n v="78.63"/>
    <x v="5"/>
    <n v="1"/>
    <x v="0"/>
    <x v="0"/>
    <n v="10"/>
  </r>
  <r>
    <s v="ORD-01829"/>
    <d v="2022-03-22T00:00:00"/>
    <s v="CUST59422"/>
    <x v="274"/>
    <n v="44"/>
    <x v="1"/>
    <x v="1"/>
    <x v="1"/>
    <x v="6"/>
    <x v="0"/>
    <s v="Face Cream"/>
    <n v="1"/>
    <n v="2044.93"/>
    <x v="37"/>
    <n v="1828.13"/>
    <n v="565"/>
    <n v="44.76"/>
    <x v="4"/>
    <n v="2"/>
    <x v="1"/>
    <x v="1"/>
    <n v="2"/>
  </r>
  <r>
    <s v="ORD-03261"/>
    <d v="2023-11-09T00:00:00"/>
    <s v="CUST80345"/>
    <x v="11"/>
    <n v="32"/>
    <x v="0"/>
    <x v="0"/>
    <x v="4"/>
    <x v="8"/>
    <x v="6"/>
    <s v="Laptop"/>
    <n v="4"/>
    <n v="71997.600000000006"/>
    <x v="0"/>
    <n v="238162.29"/>
    <n v="25389.57"/>
    <n v="76.900000000000006"/>
    <x v="2"/>
    <n v="2"/>
    <x v="0"/>
    <x v="0"/>
    <n v="3"/>
  </r>
  <r>
    <s v="ORD-02239"/>
    <d v="2022-09-03T00:00:00"/>
    <s v="CUST33232"/>
    <x v="198"/>
    <n v="57"/>
    <x v="2"/>
    <x v="1"/>
    <x v="0"/>
    <x v="19"/>
    <x v="3"/>
    <s v="T-Shirt"/>
    <n v="3"/>
    <n v="3199.67"/>
    <x v="4"/>
    <n v="9330.68"/>
    <n v="3697.29"/>
    <n v="67.55"/>
    <x v="4"/>
    <n v="5"/>
    <x v="0"/>
    <x v="0"/>
    <n v="9"/>
  </r>
  <r>
    <s v="ORD-00922"/>
    <d v="2021-02-22T00:00:00"/>
    <s v="CUST58356"/>
    <x v="199"/>
    <n v="38"/>
    <x v="1"/>
    <x v="1"/>
    <x v="0"/>
    <x v="2"/>
    <x v="2"/>
    <s v="Textbook"/>
    <n v="4"/>
    <n v="386.28"/>
    <x v="25"/>
    <n v="1032.77"/>
    <n v="513.15"/>
    <n v="50.89"/>
    <x v="1"/>
    <n v="5"/>
    <x v="0"/>
    <x v="0"/>
    <n v="5"/>
  </r>
  <r>
    <s v="ORD-00807"/>
    <d v="2021-01-04T00:00:00"/>
    <s v="CUST38805"/>
    <x v="80"/>
    <n v="26"/>
    <x v="0"/>
    <x v="2"/>
    <x v="0"/>
    <x v="19"/>
    <x v="1"/>
    <s v="Desk"/>
    <n v="2"/>
    <n v="7006.2"/>
    <x v="27"/>
    <n v="8461.81"/>
    <n v="2133.62"/>
    <n v="67.349999999999994"/>
    <x v="4"/>
    <n v="2"/>
    <x v="0"/>
    <x v="0"/>
    <n v="7"/>
  </r>
  <r>
    <s v="ORD-00434"/>
    <d v="2020-07-09T00:00:00"/>
    <s v="CUST66878"/>
    <x v="118"/>
    <n v="28"/>
    <x v="0"/>
    <x v="1"/>
    <x v="3"/>
    <x v="16"/>
    <x v="2"/>
    <s v="Self-Help Book"/>
    <n v="2"/>
    <n v="472.49"/>
    <x v="33"/>
    <n v="1015.04"/>
    <n v="475.52"/>
    <n v="89.97"/>
    <x v="3"/>
    <n v="2"/>
    <x v="0"/>
    <x v="0"/>
    <n v="1"/>
  </r>
  <r>
    <s v="ORD-03887"/>
    <d v="2024-08-10T00:00:00"/>
    <s v="CUST50038"/>
    <x v="237"/>
    <n v="32"/>
    <x v="0"/>
    <x v="0"/>
    <x v="3"/>
    <x v="5"/>
    <x v="0"/>
    <s v="Face Cream"/>
    <n v="6"/>
    <n v="1237.08"/>
    <x v="0"/>
    <n v="10495.02"/>
    <n v="5178.08"/>
    <n v="78.37"/>
    <x v="1"/>
    <n v="3"/>
    <x v="0"/>
    <x v="0"/>
    <n v="10"/>
  </r>
  <r>
    <s v="ORD-03010"/>
    <d v="2023-07-27T00:00:00"/>
    <s v="CUST41279"/>
    <x v="275"/>
    <n v="43"/>
    <x v="1"/>
    <x v="1"/>
    <x v="4"/>
    <x v="7"/>
    <x v="6"/>
    <s v="Smartwatch"/>
    <n v="4"/>
    <n v="14557.67"/>
    <x v="2"/>
    <n v="78608.45"/>
    <n v="9451.4500000000007"/>
    <n v="67.92"/>
    <x v="0"/>
    <n v="2"/>
    <x v="0"/>
    <x v="3"/>
    <n v="5"/>
  </r>
  <r>
    <s v="ORD-01239"/>
    <d v="2021-07-13T00:00:00"/>
    <s v="CUST27651"/>
    <x v="276"/>
    <n v="36"/>
    <x v="1"/>
    <x v="2"/>
    <x v="0"/>
    <x v="19"/>
    <x v="5"/>
    <s v="Rice (5kg)"/>
    <n v="4"/>
    <n v="88.17"/>
    <x v="20"/>
    <n v="435.55"/>
    <n v="36.130000000000003"/>
    <n v="74.3"/>
    <x v="2"/>
    <n v="1"/>
    <x v="1"/>
    <x v="1"/>
    <n v="7"/>
  </r>
  <r>
    <s v="ORD-00015"/>
    <d v="2020-01-05T00:00:00"/>
    <s v="CUST32301"/>
    <x v="277"/>
    <n v="41"/>
    <x v="1"/>
    <x v="0"/>
    <x v="4"/>
    <x v="8"/>
    <x v="5"/>
    <s v="Tea"/>
    <n v="6"/>
    <n v="375.14"/>
    <x v="36"/>
    <n v="1288.33"/>
    <n v="89.5"/>
    <n v="54.85"/>
    <x v="0"/>
    <n v="1"/>
    <x v="0"/>
    <x v="0"/>
    <n v="9"/>
  </r>
  <r>
    <s v="ORD-03772"/>
    <d v="2024-06-30T00:00:00"/>
    <s v="CUST20093"/>
    <x v="16"/>
    <n v="38"/>
    <x v="1"/>
    <x v="2"/>
    <x v="3"/>
    <x v="16"/>
    <x v="3"/>
    <s v="Jeans"/>
    <n v="1"/>
    <n v="940.26"/>
    <x v="7"/>
    <n v="1246.04"/>
    <n v="538.04"/>
    <n v="74.319999999999993"/>
    <x v="0"/>
    <n v="5"/>
    <x v="0"/>
    <x v="0"/>
    <n v="4"/>
  </r>
  <r>
    <s v="ORD-03934"/>
    <d v="2024-08-25T00:00:00"/>
    <s v="CUST52420"/>
    <x v="278"/>
    <n v="37"/>
    <x v="1"/>
    <x v="0"/>
    <x v="1"/>
    <x v="10"/>
    <x v="2"/>
    <s v="Textbook"/>
    <n v="4"/>
    <n v="504.03"/>
    <x v="32"/>
    <n v="2819.84"/>
    <n v="1074.69"/>
    <n v="58.2"/>
    <x v="1"/>
    <n v="5"/>
    <x v="0"/>
    <x v="0"/>
    <n v="1"/>
  </r>
  <r>
    <s v="ORD-03468"/>
    <d v="2024-02-13T00:00:00"/>
    <s v="CUST47776"/>
    <x v="279"/>
    <n v="38"/>
    <x v="1"/>
    <x v="2"/>
    <x v="4"/>
    <x v="8"/>
    <x v="5"/>
    <s v="Cooking Oil"/>
    <n v="9"/>
    <n v="121.9"/>
    <x v="23"/>
    <n v="818.88"/>
    <n v="88.91"/>
    <n v="66.37"/>
    <x v="0"/>
    <n v="5"/>
    <x v="0"/>
    <x v="0"/>
    <n v="9"/>
  </r>
  <r>
    <s v="ORD-00677"/>
    <d v="2020-11-02T00:00:00"/>
    <s v="CUST61386"/>
    <x v="272"/>
    <n v="40"/>
    <x v="1"/>
    <x v="0"/>
    <x v="2"/>
    <x v="4"/>
    <x v="6"/>
    <s v="Headphones"/>
    <n v="10"/>
    <n v="28972.39"/>
    <x v="30"/>
    <n v="130564.4"/>
    <n v="13703.51"/>
    <n v="50.2"/>
    <x v="1"/>
    <n v="3"/>
    <x v="0"/>
    <x v="0"/>
    <n v="8"/>
  </r>
  <r>
    <s v="ORD-00503"/>
    <d v="2020-08-11T00:00:00"/>
    <s v="CUST41086"/>
    <x v="254"/>
    <n v="38"/>
    <x v="1"/>
    <x v="0"/>
    <x v="4"/>
    <x v="17"/>
    <x v="4"/>
    <s v="Football"/>
    <n v="10"/>
    <n v="12293.17"/>
    <x v="12"/>
    <n v="106448.38"/>
    <n v="22757.35"/>
    <n v="56.34"/>
    <x v="1"/>
    <n v="4"/>
    <x v="0"/>
    <x v="0"/>
    <n v="6"/>
  </r>
  <r>
    <s v="ORD-01657"/>
    <d v="2022-01-08T00:00:00"/>
    <s v="CUST72051"/>
    <x v="280"/>
    <n v="32"/>
    <x v="0"/>
    <x v="0"/>
    <x v="0"/>
    <x v="0"/>
    <x v="0"/>
    <s v="Sunscreen"/>
    <n v="2"/>
    <n v="332.8"/>
    <x v="27"/>
    <n v="429.47"/>
    <n v="235.77"/>
    <n v="47.12"/>
    <x v="5"/>
    <n v="1"/>
    <x v="0"/>
    <x v="0"/>
    <n v="2"/>
  </r>
  <r>
    <s v="ORD-03364"/>
    <d v="2023-12-28T00:00:00"/>
    <s v="CUST81812"/>
    <x v="281"/>
    <n v="20"/>
    <x v="3"/>
    <x v="2"/>
    <x v="2"/>
    <x v="13"/>
    <x v="3"/>
    <s v="T-Shirt"/>
    <n v="3"/>
    <n v="2696.4"/>
    <x v="36"/>
    <n v="5511.95"/>
    <n v="1848.17"/>
    <n v="57.33"/>
    <x v="3"/>
    <n v="5"/>
    <x v="0"/>
    <x v="0"/>
    <n v="10"/>
  </r>
  <r>
    <s v="ORD-01705"/>
    <d v="2022-01-30T00:00:00"/>
    <s v="CUST77601"/>
    <x v="282"/>
    <n v="54"/>
    <x v="2"/>
    <x v="1"/>
    <x v="0"/>
    <x v="0"/>
    <x v="1"/>
    <s v="Wardrobe"/>
    <n v="5"/>
    <n v="15638.22"/>
    <x v="9"/>
    <n v="53952.69"/>
    <n v="13304.82"/>
    <n v="71.64"/>
    <x v="3"/>
    <n v="1"/>
    <x v="0"/>
    <x v="0"/>
    <n v="4"/>
  </r>
  <r>
    <s v="ORD-00050"/>
    <d v="2020-01-19T00:00:00"/>
    <s v="CUST20234"/>
    <x v="200"/>
    <n v="30"/>
    <x v="0"/>
    <x v="1"/>
    <x v="4"/>
    <x v="17"/>
    <x v="3"/>
    <s v="Jacket"/>
    <n v="9"/>
    <n v="1560.64"/>
    <x v="13"/>
    <n v="9605.16"/>
    <n v="2702.45"/>
    <n v="71.03"/>
    <x v="2"/>
    <n v="5"/>
    <x v="0"/>
    <x v="0"/>
    <n v="4"/>
  </r>
  <r>
    <s v="ORD-03151"/>
    <d v="2023-09-27T00:00:00"/>
    <s v="CUST28094"/>
    <x v="283"/>
    <n v="39"/>
    <x v="1"/>
    <x v="0"/>
    <x v="3"/>
    <x v="5"/>
    <x v="4"/>
    <s v="Dumbbells"/>
    <n v="5"/>
    <n v="3167.34"/>
    <x v="2"/>
    <n v="17024.05"/>
    <n v="2543.83"/>
    <n v="66.83"/>
    <x v="4"/>
    <n v="4"/>
    <x v="0"/>
    <x v="0"/>
    <n v="10"/>
  </r>
  <r>
    <s v="ORD-01746"/>
    <d v="2022-02-14T00:00:00"/>
    <s v="CUST09453"/>
    <x v="284"/>
    <n v="30"/>
    <x v="0"/>
    <x v="0"/>
    <x v="2"/>
    <x v="9"/>
    <x v="3"/>
    <s v="Jeans"/>
    <n v="4"/>
    <n v="3616.81"/>
    <x v="5"/>
    <n v="14243.78"/>
    <n v="3640.83"/>
    <n v="40.58"/>
    <x v="0"/>
    <n v="4"/>
    <x v="0"/>
    <x v="3"/>
    <n v="2"/>
  </r>
  <r>
    <s v="ORD-01671"/>
    <d v="2022-01-17T00:00:00"/>
    <s v="CUST45922"/>
    <x v="285"/>
    <n v="44"/>
    <x v="1"/>
    <x v="1"/>
    <x v="1"/>
    <x v="3"/>
    <x v="0"/>
    <s v="Lipstick"/>
    <n v="9"/>
    <n v="1064.67"/>
    <x v="30"/>
    <n v="5679.24"/>
    <n v="3280.89"/>
    <n v="74.790000000000006"/>
    <x v="2"/>
    <n v="4"/>
    <x v="1"/>
    <x v="1"/>
    <n v="10"/>
  </r>
  <r>
    <s v="ORD-00944"/>
    <d v="2021-03-02T00:00:00"/>
    <s v="CUST74789"/>
    <x v="145"/>
    <n v="32"/>
    <x v="0"/>
    <x v="0"/>
    <x v="2"/>
    <x v="9"/>
    <x v="5"/>
    <s v="Sugar"/>
    <n v="9"/>
    <n v="172.48"/>
    <x v="31"/>
    <n v="1373.62"/>
    <n v="111.05"/>
    <n v="48.27"/>
    <x v="0"/>
    <n v="2"/>
    <x v="0"/>
    <x v="0"/>
    <n v="6"/>
  </r>
  <r>
    <s v="ORD-02251"/>
    <d v="2022-09-08T00:00:00"/>
    <s v="CUST41014"/>
    <x v="286"/>
    <n v="26"/>
    <x v="0"/>
    <x v="1"/>
    <x v="0"/>
    <x v="1"/>
    <x v="1"/>
    <s v="Bed Frame"/>
    <n v="2"/>
    <n v="21391.95"/>
    <x v="32"/>
    <n v="42758.89"/>
    <n v="8615.36"/>
    <n v="88.4"/>
    <x v="0"/>
    <n v="2"/>
    <x v="1"/>
    <x v="1"/>
    <n v="3"/>
  </r>
  <r>
    <s v="ORD-00466"/>
    <d v="2020-07-24T00:00:00"/>
    <s v="CUST73065"/>
    <x v="287"/>
    <n v="35"/>
    <x v="0"/>
    <x v="2"/>
    <x v="1"/>
    <x v="10"/>
    <x v="3"/>
    <s v="T-Shirt"/>
    <n v="1"/>
    <n v="2855.2"/>
    <x v="36"/>
    <n v="3015.82"/>
    <n v="1580.35"/>
    <n v="65.12"/>
    <x v="2"/>
    <n v="1"/>
    <x v="0"/>
    <x v="0"/>
    <n v="1"/>
  </r>
  <r>
    <s v="ORD-01518"/>
    <d v="2021-11-15T00:00:00"/>
    <s v="CUST66356"/>
    <x v="21"/>
    <n v="45"/>
    <x v="1"/>
    <x v="0"/>
    <x v="0"/>
    <x v="1"/>
    <x v="3"/>
    <s v="Jacket"/>
    <n v="2"/>
    <n v="1623.15"/>
    <x v="30"/>
    <n v="1938.25"/>
    <n v="726.9"/>
    <n v="45.5"/>
    <x v="3"/>
    <n v="3"/>
    <x v="0"/>
    <x v="4"/>
    <n v="2"/>
  </r>
  <r>
    <s v="ORD-01384"/>
    <d v="2021-09-17T00:00:00"/>
    <s v="CUST19005"/>
    <x v="10"/>
    <n v="38"/>
    <x v="1"/>
    <x v="1"/>
    <x v="3"/>
    <x v="15"/>
    <x v="3"/>
    <s v="T-Shirt"/>
    <n v="1"/>
    <n v="581.13"/>
    <x v="5"/>
    <n v="664.52"/>
    <n v="237.69"/>
    <n v="85.55"/>
    <x v="2"/>
    <n v="2"/>
    <x v="0"/>
    <x v="0"/>
    <n v="4"/>
  </r>
  <r>
    <s v="ORD-00383"/>
    <d v="2020-06-12T00:00:00"/>
    <s v="CUST78014"/>
    <x v="103"/>
    <n v="39"/>
    <x v="1"/>
    <x v="0"/>
    <x v="1"/>
    <x v="6"/>
    <x v="3"/>
    <s v="T-Shirt"/>
    <n v="8"/>
    <n v="2755.32"/>
    <x v="33"/>
    <n v="24539.81"/>
    <n v="6803.51"/>
    <n v="48.26"/>
    <x v="4"/>
    <n v="1"/>
    <x v="0"/>
    <x v="0"/>
    <n v="4"/>
  </r>
  <r>
    <s v="ORD-01525"/>
    <d v="2021-11-17T00:00:00"/>
    <s v="CUST73027"/>
    <x v="164"/>
    <n v="28"/>
    <x v="0"/>
    <x v="1"/>
    <x v="3"/>
    <x v="12"/>
    <x v="5"/>
    <s v="Dal (1kg)"/>
    <n v="4"/>
    <n v="421.33"/>
    <x v="1"/>
    <n v="1026.6500000000001"/>
    <n v="97.18"/>
    <n v="82"/>
    <x v="3"/>
    <n v="1"/>
    <x v="0"/>
    <x v="0"/>
    <n v="10"/>
  </r>
  <r>
    <s v="ORD-02930"/>
    <d v="2023-06-21T00:00:00"/>
    <s v="CUST27302"/>
    <x v="272"/>
    <n v="29"/>
    <x v="0"/>
    <x v="0"/>
    <x v="0"/>
    <x v="2"/>
    <x v="0"/>
    <s v="Shampoo"/>
    <n v="10"/>
    <n v="325.56"/>
    <x v="10"/>
    <n v="3569.04"/>
    <n v="1816.65"/>
    <n v="46.14"/>
    <x v="3"/>
    <n v="1"/>
    <x v="0"/>
    <x v="2"/>
    <n v="3"/>
  </r>
  <r>
    <s v="ORD-01440"/>
    <d v="2021-10-11T00:00:00"/>
    <s v="CUST84528"/>
    <x v="152"/>
    <n v="36"/>
    <x v="1"/>
    <x v="1"/>
    <x v="2"/>
    <x v="4"/>
    <x v="2"/>
    <s v="Textbook"/>
    <n v="10"/>
    <n v="1279.2"/>
    <x v="2"/>
    <n v="10694.49"/>
    <n v="4612.59"/>
    <n v="38.619999999999997"/>
    <x v="1"/>
    <n v="1"/>
    <x v="0"/>
    <x v="3"/>
    <n v="6"/>
  </r>
  <r>
    <s v="ORD-03307"/>
    <d v="2023-12-01T00:00:00"/>
    <s v="CUST74033"/>
    <x v="121"/>
    <n v="46"/>
    <x v="1"/>
    <x v="0"/>
    <x v="2"/>
    <x v="4"/>
    <x v="0"/>
    <s v="Shampoo"/>
    <n v="1"/>
    <n v="2427.6999999999998"/>
    <x v="38"/>
    <n v="1734.31"/>
    <n v="605.52"/>
    <n v="48.85"/>
    <x v="3"/>
    <n v="2"/>
    <x v="0"/>
    <x v="0"/>
    <n v="1"/>
  </r>
  <r>
    <s v="ORD-01634"/>
    <d v="2021-12-29T00:00:00"/>
    <s v="CUST19177"/>
    <x v="76"/>
    <n v="55"/>
    <x v="2"/>
    <x v="1"/>
    <x v="2"/>
    <x v="13"/>
    <x v="3"/>
    <s v="Jacket"/>
    <n v="6"/>
    <n v="2259.04"/>
    <x v="21"/>
    <n v="6753.1"/>
    <n v="2777.61"/>
    <n v="41.85"/>
    <x v="5"/>
    <n v="2"/>
    <x v="0"/>
    <x v="0"/>
    <n v="6"/>
  </r>
  <r>
    <s v="ORD-00772"/>
    <d v="2020-12-15T00:00:00"/>
    <s v="CUST40808"/>
    <x v="288"/>
    <n v="50"/>
    <x v="1"/>
    <x v="2"/>
    <x v="2"/>
    <x v="13"/>
    <x v="1"/>
    <s v="Sofa"/>
    <n v="1"/>
    <n v="21726.1"/>
    <x v="12"/>
    <n v="9976.2800000000007"/>
    <n v="2817.21"/>
    <n v="57.05"/>
    <x v="3"/>
    <n v="4"/>
    <x v="0"/>
    <x v="2"/>
    <n v="7"/>
  </r>
  <r>
    <s v="ORD-03958"/>
    <d v="2024-09-04T00:00:00"/>
    <s v="CUST05507"/>
    <x v="94"/>
    <n v="41"/>
    <x v="1"/>
    <x v="1"/>
    <x v="1"/>
    <x v="3"/>
    <x v="4"/>
    <s v="Dumbbells"/>
    <n v="9"/>
    <n v="796.29"/>
    <x v="11"/>
    <n v="7659.05"/>
    <n v="1887.36"/>
    <n v="52.86"/>
    <x v="4"/>
    <n v="2"/>
    <x v="0"/>
    <x v="0"/>
    <n v="2"/>
  </r>
  <r>
    <s v="ORD-01896"/>
    <d v="2022-04-17T00:00:00"/>
    <s v="CUST56422"/>
    <x v="133"/>
    <n v="23"/>
    <x v="3"/>
    <x v="2"/>
    <x v="3"/>
    <x v="16"/>
    <x v="4"/>
    <s v="Cricket Bat"/>
    <n v="1"/>
    <n v="8106.93"/>
    <x v="23"/>
    <n v="7375.32"/>
    <n v="1061.19"/>
    <n v="82.98"/>
    <x v="3"/>
    <n v="3"/>
    <x v="0"/>
    <x v="0"/>
    <n v="4"/>
  </r>
  <r>
    <s v="ORD-02041"/>
    <d v="2022-06-18T00:00:00"/>
    <s v="CUST04308"/>
    <x v="261"/>
    <n v="29"/>
    <x v="0"/>
    <x v="0"/>
    <x v="3"/>
    <x v="16"/>
    <x v="6"/>
    <s v="Smartwatch"/>
    <n v="8"/>
    <n v="15107.58"/>
    <x v="7"/>
    <n v="173570.72"/>
    <n v="21830.12"/>
    <n v="77.28"/>
    <x v="2"/>
    <n v="4"/>
    <x v="0"/>
    <x v="0"/>
    <n v="10"/>
  </r>
  <r>
    <s v="ORD-00078"/>
    <d v="2020-01-29T00:00:00"/>
    <s v="CUST03970"/>
    <x v="289"/>
    <n v="21"/>
    <x v="3"/>
    <x v="1"/>
    <x v="4"/>
    <x v="7"/>
    <x v="1"/>
    <s v="Chair"/>
    <n v="7"/>
    <n v="4470.7299999999996"/>
    <x v="32"/>
    <n v="22350.68"/>
    <n v="8417.6200000000008"/>
    <n v="45.52"/>
    <x v="2"/>
    <n v="4"/>
    <x v="0"/>
    <x v="0"/>
    <n v="6"/>
  </r>
  <r>
    <s v="ORD-00305"/>
    <d v="2020-05-12T00:00:00"/>
    <s v="CUST10300"/>
    <x v="103"/>
    <n v="35"/>
    <x v="0"/>
    <x v="1"/>
    <x v="3"/>
    <x v="15"/>
    <x v="4"/>
    <s v="Yoga Mat"/>
    <n v="5"/>
    <n v="6852.57"/>
    <x v="36"/>
    <n v="30208.26"/>
    <n v="8215.56"/>
    <n v="100.86"/>
    <x v="1"/>
    <n v="5"/>
    <x v="0"/>
    <x v="0"/>
    <n v="10"/>
  </r>
  <r>
    <s v="ORD-01684"/>
    <d v="2022-01-21T00:00:00"/>
    <s v="CUST67104"/>
    <x v="290"/>
    <n v="36"/>
    <x v="1"/>
    <x v="1"/>
    <x v="2"/>
    <x v="9"/>
    <x v="4"/>
    <s v="Cricket Bat"/>
    <n v="1"/>
    <n v="14530.7"/>
    <x v="31"/>
    <n v="10169.91"/>
    <n v="2350.09"/>
    <n v="60.97"/>
    <x v="4"/>
    <n v="3"/>
    <x v="1"/>
    <x v="1"/>
    <n v="8"/>
  </r>
  <r>
    <s v="ORD-02637"/>
    <d v="2023-02-16T00:00:00"/>
    <s v="CUST01385"/>
    <x v="291"/>
    <n v="35"/>
    <x v="0"/>
    <x v="0"/>
    <x v="4"/>
    <x v="7"/>
    <x v="2"/>
    <s v="Textbook"/>
    <n v="6"/>
    <n v="893.91"/>
    <x v="7"/>
    <n v="5253.1"/>
    <n v="1937.64"/>
    <n v="87.48"/>
    <x v="0"/>
    <n v="4"/>
    <x v="0"/>
    <x v="3"/>
    <n v="4"/>
  </r>
  <r>
    <s v="ORD-00013"/>
    <d v="2020-04-01T00:00:00"/>
    <s v="CUST86980"/>
    <x v="21"/>
    <n v="31"/>
    <x v="0"/>
    <x v="0"/>
    <x v="3"/>
    <x v="15"/>
    <x v="5"/>
    <s v="Rice (5kg)"/>
    <n v="5"/>
    <n v="380.73"/>
    <x v="22"/>
    <n v="891.35"/>
    <n v="63.05"/>
    <n v="69.349999999999994"/>
    <x v="4"/>
    <n v="5"/>
    <x v="0"/>
    <x v="3"/>
    <n v="4"/>
  </r>
  <r>
    <s v="ORD-04159"/>
    <d v="2024-12-11T00:00:00"/>
    <s v="CUST56892"/>
    <x v="292"/>
    <n v="19"/>
    <x v="3"/>
    <x v="0"/>
    <x v="4"/>
    <x v="7"/>
    <x v="6"/>
    <s v="Camera"/>
    <n v="10"/>
    <n v="19562.84"/>
    <x v="27"/>
    <n v="159763.82"/>
    <n v="22214.02"/>
    <n v="80.650000000000006"/>
    <x v="1"/>
    <n v="5"/>
    <x v="0"/>
    <x v="3"/>
    <n v="10"/>
  </r>
  <r>
    <s v="ORD-03080"/>
    <d v="2023-08-22T00:00:00"/>
    <s v="CUST34629"/>
    <x v="293"/>
    <n v="37"/>
    <x v="1"/>
    <x v="1"/>
    <x v="1"/>
    <x v="10"/>
    <x v="5"/>
    <s v="Flour"/>
    <n v="9"/>
    <n v="460.52"/>
    <x v="6"/>
    <n v="3659.71"/>
    <n v="327.33999999999997"/>
    <n v="48.79"/>
    <x v="1"/>
    <n v="5"/>
    <x v="0"/>
    <x v="4"/>
    <n v="7"/>
  </r>
  <r>
    <s v="ORD-02720"/>
    <d v="2023-03-26T00:00:00"/>
    <s v="CUST36373"/>
    <x v="294"/>
    <n v="52"/>
    <x v="2"/>
    <x v="1"/>
    <x v="4"/>
    <x v="8"/>
    <x v="5"/>
    <s v="Cooking Oil"/>
    <n v="7"/>
    <n v="448.17"/>
    <x v="38"/>
    <n v="3507.4"/>
    <n v="212.91"/>
    <n v="34.25"/>
    <x v="1"/>
    <n v="5"/>
    <x v="0"/>
    <x v="0"/>
    <n v="2"/>
  </r>
  <r>
    <s v="ORD-02315"/>
    <d v="2022-10-03T00:00:00"/>
    <s v="CUST44222"/>
    <x v="295"/>
    <n v="37"/>
    <x v="1"/>
    <x v="1"/>
    <x v="2"/>
    <x v="14"/>
    <x v="5"/>
    <s v="Rice (5kg)"/>
    <n v="4"/>
    <n v="385.4"/>
    <x v="29"/>
    <n v="1455"/>
    <n v="86.48"/>
    <n v="49.02"/>
    <x v="2"/>
    <n v="5"/>
    <x v="0"/>
    <x v="0"/>
    <n v="9"/>
  </r>
  <r>
    <s v="ORD-00568"/>
    <d v="2020-09-10T00:00:00"/>
    <s v="CUST35377"/>
    <x v="190"/>
    <n v="49"/>
    <x v="1"/>
    <x v="2"/>
    <x v="0"/>
    <x v="2"/>
    <x v="1"/>
    <s v="Bed Frame"/>
    <n v="9"/>
    <n v="31653.11"/>
    <x v="6"/>
    <n v="185665.67"/>
    <n v="62381.83"/>
    <n v="74.88"/>
    <x v="0"/>
    <n v="3"/>
    <x v="0"/>
    <x v="0"/>
    <n v="2"/>
  </r>
  <r>
    <s v="ORD-00896"/>
    <d v="2021-02-07T00:00:00"/>
    <s v="CUST89978"/>
    <x v="146"/>
    <n v="45"/>
    <x v="1"/>
    <x v="2"/>
    <x v="3"/>
    <x v="16"/>
    <x v="6"/>
    <s v="Smartphone"/>
    <n v="3"/>
    <n v="72774.78"/>
    <x v="19"/>
    <n v="179559.91"/>
    <n v="15904.32"/>
    <n v="90.91"/>
    <x v="4"/>
    <n v="5"/>
    <x v="0"/>
    <x v="0"/>
    <n v="6"/>
  </r>
  <r>
    <s v="ORD-02261"/>
    <d v="2022-09-11T00:00:00"/>
    <s v="CUST28968"/>
    <x v="296"/>
    <n v="25"/>
    <x v="3"/>
    <x v="0"/>
    <x v="0"/>
    <x v="2"/>
    <x v="6"/>
    <s v="Camera"/>
    <n v="5"/>
    <n v="48089.2"/>
    <x v="36"/>
    <n v="248755.47"/>
    <n v="16926"/>
    <n v="96.45"/>
    <x v="0"/>
    <n v="4"/>
    <x v="0"/>
    <x v="0"/>
    <n v="9"/>
  </r>
  <r>
    <s v="ORD-04151"/>
    <d v="2024-12-07T00:00:00"/>
    <s v="CUST43686"/>
    <x v="297"/>
    <n v="23"/>
    <x v="3"/>
    <x v="1"/>
    <x v="2"/>
    <x v="9"/>
    <x v="5"/>
    <s v="Rice (5kg)"/>
    <n v="4"/>
    <n v="471.4"/>
    <x v="25"/>
    <n v="1216.57"/>
    <n v="70.680000000000007"/>
    <n v="52.55"/>
    <x v="1"/>
    <n v="4"/>
    <x v="0"/>
    <x v="0"/>
    <n v="9"/>
  </r>
  <r>
    <s v="ORD-01430"/>
    <d v="2021-07-10T00:00:00"/>
    <s v="CUST37845"/>
    <x v="298"/>
    <n v="25"/>
    <x v="3"/>
    <x v="1"/>
    <x v="3"/>
    <x v="5"/>
    <x v="2"/>
    <s v="Fiction Novel"/>
    <n v="2"/>
    <n v="986.99"/>
    <x v="6"/>
    <n v="1052.33"/>
    <n v="405.51"/>
    <n v="79.62"/>
    <x v="0"/>
    <n v="2"/>
    <x v="1"/>
    <x v="1"/>
    <n v="4"/>
  </r>
  <r>
    <s v="ORD-02884"/>
    <d v="2023-06-03T00:00:00"/>
    <s v="CUST30359"/>
    <x v="299"/>
    <n v="33"/>
    <x v="0"/>
    <x v="2"/>
    <x v="0"/>
    <x v="19"/>
    <x v="2"/>
    <s v="Textbook"/>
    <n v="1"/>
    <n v="1090.31"/>
    <x v="26"/>
    <n v="1249.54"/>
    <n v="613.99"/>
    <n v="61.28"/>
    <x v="5"/>
    <n v="3"/>
    <x v="0"/>
    <x v="0"/>
    <n v="9"/>
  </r>
  <r>
    <s v="ORD-00529"/>
    <d v="2020-08-22T00:00:00"/>
    <s v="CUST06871"/>
    <x v="300"/>
    <n v="27"/>
    <x v="0"/>
    <x v="2"/>
    <x v="4"/>
    <x v="18"/>
    <x v="4"/>
    <s v="Football"/>
    <n v="7"/>
    <n v="9110.75"/>
    <x v="15"/>
    <n v="47812.7"/>
    <n v="10019.9"/>
    <n v="90.53"/>
    <x v="3"/>
    <n v="2"/>
    <x v="0"/>
    <x v="0"/>
    <n v="7"/>
  </r>
  <r>
    <s v="ORD-01422"/>
    <d v="2021-10-02T00:00:00"/>
    <s v="CUST97273"/>
    <x v="301"/>
    <n v="37"/>
    <x v="1"/>
    <x v="1"/>
    <x v="2"/>
    <x v="4"/>
    <x v="4"/>
    <s v="Cricket Bat"/>
    <n v="10"/>
    <n v="12010.26"/>
    <x v="21"/>
    <n v="68019.81"/>
    <n v="13038.75"/>
    <n v="77.19"/>
    <x v="4"/>
    <n v="1"/>
    <x v="0"/>
    <x v="0"/>
    <n v="10"/>
  </r>
  <r>
    <s v="ORD-00894"/>
    <d v="2021-02-05T00:00:00"/>
    <s v="CUST78346"/>
    <x v="301"/>
    <n v="47"/>
    <x v="1"/>
    <x v="0"/>
    <x v="3"/>
    <x v="5"/>
    <x v="2"/>
    <s v="Self-Help Book"/>
    <n v="10"/>
    <n v="1043.44"/>
    <x v="14"/>
    <n v="5862.96"/>
    <n v="2186.1999999999998"/>
    <n v="79.989999999999995"/>
    <x v="0"/>
    <n v="2"/>
    <x v="0"/>
    <x v="0"/>
    <n v="6"/>
  </r>
  <r>
    <s v="ORD-01172"/>
    <d v="2021-06-09T00:00:00"/>
    <s v="CUST46531"/>
    <x v="56"/>
    <n v="33"/>
    <x v="0"/>
    <x v="2"/>
    <x v="4"/>
    <x v="8"/>
    <x v="1"/>
    <s v="Bookshelf"/>
    <n v="3"/>
    <n v="33795.769999999997"/>
    <x v="34"/>
    <n v="90617.58"/>
    <n v="32809.370000000003"/>
    <n v="71.569999999999993"/>
    <x v="4"/>
    <n v="5"/>
    <x v="0"/>
    <x v="0"/>
    <n v="9"/>
  </r>
  <r>
    <s v="ORD-03633"/>
    <d v="2024-04-28T00:00:00"/>
    <s v="CUST94304"/>
    <x v="190"/>
    <n v="35"/>
    <x v="0"/>
    <x v="1"/>
    <x v="1"/>
    <x v="6"/>
    <x v="2"/>
    <s v="Self-Help Book"/>
    <n v="9"/>
    <n v="499.65"/>
    <x v="4"/>
    <n v="7343.37"/>
    <n v="2521.34"/>
    <n v="39.04"/>
    <x v="3"/>
    <n v="2"/>
    <x v="0"/>
    <x v="0"/>
    <n v="2"/>
  </r>
  <r>
    <s v="ORD-02970"/>
    <d v="2023-07-09T00:00:00"/>
    <s v="CUST03472"/>
    <x v="201"/>
    <n v="35"/>
    <x v="0"/>
    <x v="2"/>
    <x v="4"/>
    <x v="7"/>
    <x v="2"/>
    <s v="Self-Help Book"/>
    <n v="7"/>
    <n v="900.55"/>
    <x v="6"/>
    <n v="6552.28"/>
    <n v="1538.11"/>
    <n v="67.3"/>
    <x v="5"/>
    <n v="5"/>
    <x v="0"/>
    <x v="0"/>
    <n v="3"/>
  </r>
  <r>
    <s v="ORD-01114"/>
    <d v="2021-05-17T00:00:00"/>
    <s v="CUST93051"/>
    <x v="302"/>
    <n v="34"/>
    <x v="0"/>
    <x v="2"/>
    <x v="2"/>
    <x v="9"/>
    <x v="6"/>
    <s v="Camera"/>
    <n v="7"/>
    <n v="46170.239999999998"/>
    <x v="6"/>
    <n v="258421.55"/>
    <n v="33391.1"/>
    <n v="40.35"/>
    <x v="5"/>
    <n v="5"/>
    <x v="0"/>
    <x v="0"/>
    <n v="2"/>
  </r>
  <r>
    <s v="ORD-03800"/>
    <d v="2024-07-10T00:00:00"/>
    <s v="CUST91283"/>
    <x v="55"/>
    <n v="27"/>
    <x v="0"/>
    <x v="2"/>
    <x v="4"/>
    <x v="17"/>
    <x v="4"/>
    <s v="Yoga Mat"/>
    <n v="10"/>
    <n v="9793.2999999999993"/>
    <x v="26"/>
    <n v="101289.99"/>
    <n v="21064.94"/>
    <n v="62.81"/>
    <x v="2"/>
    <n v="2"/>
    <x v="0"/>
    <x v="0"/>
    <n v="9"/>
  </r>
  <r>
    <s v="ORD-03557"/>
    <d v="2024-03-26T00:00:00"/>
    <s v="CUST80826"/>
    <x v="281"/>
    <n v="48"/>
    <x v="1"/>
    <x v="2"/>
    <x v="1"/>
    <x v="10"/>
    <x v="4"/>
    <s v="Dumbbells"/>
    <n v="4"/>
    <n v="1266.6400000000001"/>
    <x v="32"/>
    <n v="6923.51"/>
    <n v="754.21"/>
    <n v="67.58"/>
    <x v="5"/>
    <n v="3"/>
    <x v="0"/>
    <x v="0"/>
    <n v="3"/>
  </r>
  <r>
    <s v="ORD-01952"/>
    <d v="2022-05-13T00:00:00"/>
    <s v="CUST78875"/>
    <x v="9"/>
    <n v="44"/>
    <x v="1"/>
    <x v="0"/>
    <x v="3"/>
    <x v="5"/>
    <x v="5"/>
    <s v="Cooking Oil"/>
    <n v="3"/>
    <n v="284.88"/>
    <x v="26"/>
    <n v="817.39"/>
    <n v="50.93"/>
    <n v="105.48"/>
    <x v="4"/>
    <n v="3"/>
    <x v="1"/>
    <x v="1"/>
    <n v="10"/>
  </r>
  <r>
    <s v="ORD-03988"/>
    <d v="2024-09-15T00:00:00"/>
    <s v="CUST06985"/>
    <x v="269"/>
    <n v="39"/>
    <x v="1"/>
    <x v="0"/>
    <x v="4"/>
    <x v="7"/>
    <x v="4"/>
    <s v="Dumbbells"/>
    <n v="2"/>
    <n v="10400.51"/>
    <x v="40"/>
    <n v="16571.32"/>
    <n v="3945.31"/>
    <n v="79.88"/>
    <x v="1"/>
    <n v="2"/>
    <x v="0"/>
    <x v="0"/>
    <n v="5"/>
  </r>
  <r>
    <s v="ORD-00777"/>
    <d v="2020-12-18T00:00:00"/>
    <s v="CUST52222"/>
    <x v="300"/>
    <n v="38"/>
    <x v="1"/>
    <x v="2"/>
    <x v="2"/>
    <x v="13"/>
    <x v="4"/>
    <s v="Yoga Mat"/>
    <n v="3"/>
    <n v="3464.74"/>
    <x v="3"/>
    <n v="5170.4799999999996"/>
    <n v="757.08"/>
    <n v="50.42"/>
    <x v="5"/>
    <n v="3"/>
    <x v="0"/>
    <x v="0"/>
    <n v="7"/>
  </r>
  <r>
    <s v="ORD-02091"/>
    <d v="2022-07-09T00:00:00"/>
    <s v="CUST74431"/>
    <x v="234"/>
    <n v="44"/>
    <x v="1"/>
    <x v="2"/>
    <x v="4"/>
    <x v="8"/>
    <x v="6"/>
    <s v="Smartwatch"/>
    <n v="4"/>
    <n v="6126.05"/>
    <x v="2"/>
    <n v="32461.48"/>
    <n v="3172.94"/>
    <n v="65.78"/>
    <x v="1"/>
    <n v="4"/>
    <x v="0"/>
    <x v="0"/>
    <n v="10"/>
  </r>
  <r>
    <s v="ORD-01534"/>
    <d v="2021-11-19T00:00:00"/>
    <s v="CUST28621"/>
    <x v="137"/>
    <n v="44"/>
    <x v="1"/>
    <x v="0"/>
    <x v="2"/>
    <x v="4"/>
    <x v="6"/>
    <s v="Laptop"/>
    <n v="7"/>
    <n v="37336.980000000003"/>
    <x v="1"/>
    <n v="165469.13"/>
    <n v="22951.1"/>
    <n v="40.450000000000003"/>
    <x v="1"/>
    <n v="2"/>
    <x v="0"/>
    <x v="0"/>
    <n v="2"/>
  </r>
  <r>
    <s v="ORD-01342"/>
    <d v="2021-08-26T00:00:00"/>
    <s v="CUST97259"/>
    <x v="303"/>
    <n v="18"/>
    <x v="3"/>
    <x v="1"/>
    <x v="2"/>
    <x v="14"/>
    <x v="5"/>
    <s v="Cooking Oil"/>
    <n v="7"/>
    <n v="438.39"/>
    <x v="38"/>
    <n v="3296.41"/>
    <n v="234.24"/>
    <n v="28.61"/>
    <x v="3"/>
    <n v="4"/>
    <x v="0"/>
    <x v="3"/>
    <n v="3"/>
  </r>
  <r>
    <s v="ORD-00718"/>
    <d v="2020-11-24T00:00:00"/>
    <s v="CUST87168"/>
    <x v="120"/>
    <n v="32"/>
    <x v="0"/>
    <x v="2"/>
    <x v="0"/>
    <x v="2"/>
    <x v="5"/>
    <s v="Rice (5kg)"/>
    <n v="6"/>
    <n v="79.33"/>
    <x v="11"/>
    <n v="270.5"/>
    <n v="23.07"/>
    <n v="33.119999999999997"/>
    <x v="5"/>
    <n v="1"/>
    <x v="0"/>
    <x v="0"/>
    <n v="2"/>
  </r>
  <r>
    <s v="ORD-00732"/>
    <d v="2020-12-01T00:00:00"/>
    <s v="CUST50773"/>
    <x v="304"/>
    <n v="38"/>
    <x v="1"/>
    <x v="1"/>
    <x v="2"/>
    <x v="14"/>
    <x v="1"/>
    <s v="Bed Frame"/>
    <n v="10"/>
    <n v="19507.14"/>
    <x v="37"/>
    <n v="102410.73"/>
    <n v="29631.5"/>
    <n v="47.48"/>
    <x v="0"/>
    <n v="2"/>
    <x v="1"/>
    <x v="1"/>
    <n v="2"/>
  </r>
  <r>
    <s v="ORD-01041"/>
    <d v="2021-04-17T00:00:00"/>
    <s v="CUST54549"/>
    <x v="202"/>
    <n v="26"/>
    <x v="0"/>
    <x v="1"/>
    <x v="4"/>
    <x v="17"/>
    <x v="5"/>
    <s v="Rice (5kg)"/>
    <n v="7"/>
    <n v="481.39"/>
    <x v="33"/>
    <n v="3271.29"/>
    <n v="361.25"/>
    <n v="82.25"/>
    <x v="5"/>
    <n v="1"/>
    <x v="0"/>
    <x v="0"/>
    <n v="7"/>
  </r>
  <r>
    <s v="ORD-03263"/>
    <d v="2023-11-10T00:00:00"/>
    <s v="CUST94911"/>
    <x v="305"/>
    <n v="23"/>
    <x v="3"/>
    <x v="1"/>
    <x v="2"/>
    <x v="13"/>
    <x v="1"/>
    <s v="Wardrobe"/>
    <n v="7"/>
    <n v="31424.240000000002"/>
    <x v="35"/>
    <n v="128843.9"/>
    <n v="46085.23"/>
    <n v="53.66"/>
    <x v="0"/>
    <n v="5"/>
    <x v="0"/>
    <x v="0"/>
    <n v="8"/>
  </r>
  <r>
    <s v="ORD-01119"/>
    <d v="2021-05-19T00:00:00"/>
    <s v="CUST96816"/>
    <x v="45"/>
    <n v="30"/>
    <x v="0"/>
    <x v="0"/>
    <x v="1"/>
    <x v="3"/>
    <x v="1"/>
    <s v="Wardrobe"/>
    <n v="4"/>
    <n v="3717.76"/>
    <x v="20"/>
    <n v="16660.91"/>
    <n v="4463.8999999999996"/>
    <n v="8.31"/>
    <x v="1"/>
    <n v="2"/>
    <x v="0"/>
    <x v="2"/>
    <n v="9"/>
  </r>
  <r>
    <s v="ORD-01552"/>
    <d v="2021-11-28T00:00:00"/>
    <s v="CUST17708"/>
    <x v="92"/>
    <n v="26"/>
    <x v="0"/>
    <x v="2"/>
    <x v="3"/>
    <x v="5"/>
    <x v="2"/>
    <s v="Textbook"/>
    <n v="6"/>
    <n v="730.36"/>
    <x v="23"/>
    <n v="2369.15"/>
    <n v="1034.9100000000001"/>
    <n v="94.11"/>
    <x v="2"/>
    <n v="3"/>
    <x v="0"/>
    <x v="0"/>
    <n v="8"/>
  </r>
  <r>
    <s v="ORD-00087"/>
    <d v="2020-02-04T00:00:00"/>
    <s v="CUST92405"/>
    <x v="184"/>
    <n v="19"/>
    <x v="3"/>
    <x v="2"/>
    <x v="4"/>
    <x v="17"/>
    <x v="1"/>
    <s v="Desk"/>
    <n v="9"/>
    <n v="31457.07"/>
    <x v="39"/>
    <n v="190620.36"/>
    <n v="52175.19"/>
    <n v="103.27"/>
    <x v="2"/>
    <n v="3"/>
    <x v="0"/>
    <x v="0"/>
    <n v="6"/>
  </r>
  <r>
    <s v="ORD-01058"/>
    <d v="2021-04-24T00:00:00"/>
    <s v="CUST42637"/>
    <x v="251"/>
    <n v="21"/>
    <x v="3"/>
    <x v="2"/>
    <x v="1"/>
    <x v="10"/>
    <x v="3"/>
    <s v="Kurta"/>
    <n v="9"/>
    <n v="905.46"/>
    <x v="26"/>
    <n v="6527.94"/>
    <n v="2985.32"/>
    <n v="40.75"/>
    <x v="5"/>
    <n v="3"/>
    <x v="1"/>
    <x v="1"/>
    <n v="2"/>
  </r>
  <r>
    <s v="ORD-01248"/>
    <d v="2021-07-16T00:00:00"/>
    <s v="CUST02073"/>
    <x v="252"/>
    <n v="28"/>
    <x v="0"/>
    <x v="1"/>
    <x v="0"/>
    <x v="1"/>
    <x v="3"/>
    <s v="Dress"/>
    <n v="3"/>
    <n v="1871.08"/>
    <x v="13"/>
    <n v="7720.71"/>
    <n v="2716.63"/>
    <n v="65.48"/>
    <x v="2"/>
    <n v="1"/>
    <x v="0"/>
    <x v="0"/>
    <n v="7"/>
  </r>
  <r>
    <s v="ORD-00659"/>
    <d v="2020-10-22T00:00:00"/>
    <s v="CUST20907"/>
    <x v="66"/>
    <n v="21"/>
    <x v="3"/>
    <x v="0"/>
    <x v="3"/>
    <x v="16"/>
    <x v="6"/>
    <s v="Smartphone"/>
    <n v="7"/>
    <n v="53035.199999999997"/>
    <x v="26"/>
    <n v="212011.56"/>
    <n v="26192.61"/>
    <n v="82.3"/>
    <x v="4"/>
    <n v="1"/>
    <x v="1"/>
    <x v="1"/>
    <n v="6"/>
  </r>
  <r>
    <s v="ORD-00866"/>
    <d v="2021-01-30T00:00:00"/>
    <s v="CUST71222"/>
    <x v="306"/>
    <n v="59"/>
    <x v="2"/>
    <x v="0"/>
    <x v="1"/>
    <x v="3"/>
    <x v="6"/>
    <s v="Tablet"/>
    <n v="3"/>
    <n v="69155.55"/>
    <x v="15"/>
    <n v="102960.53"/>
    <n v="11911.08"/>
    <n v="54.42"/>
    <x v="1"/>
    <n v="3"/>
    <x v="0"/>
    <x v="0"/>
    <n v="9"/>
  </r>
  <r>
    <s v="ORD-02674"/>
    <d v="2023-03-02T00:00:00"/>
    <s v="CUST43411"/>
    <x v="247"/>
    <n v="27"/>
    <x v="0"/>
    <x v="0"/>
    <x v="2"/>
    <x v="9"/>
    <x v="0"/>
    <s v="Hair Oil"/>
    <n v="2"/>
    <n v="920.67"/>
    <x v="27"/>
    <n v="1821.82"/>
    <n v="918.21"/>
    <n v="61.3"/>
    <x v="3"/>
    <n v="4"/>
    <x v="0"/>
    <x v="0"/>
    <n v="3"/>
  </r>
  <r>
    <s v="ORD-01520"/>
    <d v="2021-11-15T00:00:00"/>
    <s v="CUST85696"/>
    <x v="307"/>
    <n v="39"/>
    <x v="1"/>
    <x v="2"/>
    <x v="1"/>
    <x v="11"/>
    <x v="5"/>
    <s v="Rice (5kg)"/>
    <n v="2"/>
    <n v="260.24"/>
    <x v="3"/>
    <n v="245.84"/>
    <n v="24.47"/>
    <n v="73.44"/>
    <x v="4"/>
    <n v="5"/>
    <x v="0"/>
    <x v="0"/>
    <n v="2"/>
  </r>
  <r>
    <s v="ORD-00479"/>
    <d v="2020-07-31T00:00:00"/>
    <s v="CUST08721"/>
    <x v="38"/>
    <n v="28"/>
    <x v="0"/>
    <x v="2"/>
    <x v="0"/>
    <x v="2"/>
    <x v="3"/>
    <s v="Jacket"/>
    <n v="8"/>
    <n v="3369.18"/>
    <x v="28"/>
    <n v="29990.07"/>
    <n v="10760.08"/>
    <n v="65.099999999999994"/>
    <x v="4"/>
    <n v="3"/>
    <x v="0"/>
    <x v="0"/>
    <n v="10"/>
  </r>
  <r>
    <s v="ORD-03969"/>
    <d v="2024-09-08T00:00:00"/>
    <s v="CUST60604"/>
    <x v="196"/>
    <n v="25"/>
    <x v="3"/>
    <x v="2"/>
    <x v="4"/>
    <x v="7"/>
    <x v="5"/>
    <s v="Sugar"/>
    <n v="3"/>
    <n v="449.53"/>
    <x v="33"/>
    <n v="1417.4"/>
    <n v="70.52"/>
    <n v="77.45"/>
    <x v="4"/>
    <n v="4"/>
    <x v="0"/>
    <x v="4"/>
    <n v="10"/>
  </r>
  <r>
    <s v="ORD-01869"/>
    <d v="2022-04-04T00:00:00"/>
    <s v="CUST89646"/>
    <x v="73"/>
    <n v="45"/>
    <x v="1"/>
    <x v="1"/>
    <x v="3"/>
    <x v="16"/>
    <x v="4"/>
    <s v="Football"/>
    <n v="3"/>
    <n v="1955.47"/>
    <x v="31"/>
    <n v="6238.78"/>
    <n v="1430"/>
    <n v="93.12"/>
    <x v="2"/>
    <n v="3"/>
    <x v="0"/>
    <x v="3"/>
    <n v="3"/>
  </r>
  <r>
    <s v="ORD-03181"/>
    <d v="2023-10-07T00:00:00"/>
    <s v="CUST05659"/>
    <x v="251"/>
    <n v="22"/>
    <x v="3"/>
    <x v="0"/>
    <x v="2"/>
    <x v="14"/>
    <x v="5"/>
    <s v="Tea"/>
    <n v="2"/>
    <n v="216.82"/>
    <x v="12"/>
    <n v="255.27"/>
    <n v="22.97"/>
    <n v="53.52"/>
    <x v="5"/>
    <n v="5"/>
    <x v="1"/>
    <x v="1"/>
    <n v="4"/>
  </r>
  <r>
    <s v="ORD-00572"/>
    <d v="2020-09-12T00:00:00"/>
    <s v="CUST64941"/>
    <x v="194"/>
    <n v="46"/>
    <x v="1"/>
    <x v="1"/>
    <x v="2"/>
    <x v="14"/>
    <x v="4"/>
    <s v="Yoga Mat"/>
    <n v="2"/>
    <n v="7907.75"/>
    <x v="37"/>
    <n v="11417.09"/>
    <n v="2439.2600000000002"/>
    <n v="30.79"/>
    <x v="4"/>
    <n v="4"/>
    <x v="0"/>
    <x v="4"/>
    <n v="10"/>
  </r>
  <r>
    <s v="ORD-00095"/>
    <d v="2020-02-06T00:00:00"/>
    <s v="CUST17595"/>
    <x v="308"/>
    <n v="30"/>
    <x v="0"/>
    <x v="0"/>
    <x v="1"/>
    <x v="10"/>
    <x v="0"/>
    <s v="Face Cream"/>
    <n v="5"/>
    <n v="1398.56"/>
    <x v="38"/>
    <n v="5755.36"/>
    <n v="2371.83"/>
    <n v="41.33"/>
    <x v="2"/>
    <n v="1"/>
    <x v="0"/>
    <x v="0"/>
    <n v="2"/>
  </r>
  <r>
    <s v="ORD-00386"/>
    <d v="2020-06-13T00:00:00"/>
    <s v="CUST61530"/>
    <x v="37"/>
    <n v="18"/>
    <x v="3"/>
    <x v="2"/>
    <x v="4"/>
    <x v="17"/>
    <x v="5"/>
    <s v="Sugar"/>
    <n v="9"/>
    <n v="264.60000000000002"/>
    <x v="40"/>
    <n v="1805.25"/>
    <n v="107.92"/>
    <n v="70.83"/>
    <x v="0"/>
    <n v="5"/>
    <x v="0"/>
    <x v="0"/>
    <n v="1"/>
  </r>
  <r>
    <s v="ORD-01321"/>
    <d v="2021-08-16T00:00:00"/>
    <s v="CUST60359"/>
    <x v="309"/>
    <n v="42"/>
    <x v="1"/>
    <x v="2"/>
    <x v="1"/>
    <x v="3"/>
    <x v="2"/>
    <s v="Self-Help Book"/>
    <n v="3"/>
    <n v="886.35"/>
    <x v="15"/>
    <n v="2878.52"/>
    <n v="1205.8900000000001"/>
    <n v="51.22"/>
    <x v="1"/>
    <n v="1"/>
    <x v="0"/>
    <x v="0"/>
    <n v="6"/>
  </r>
  <r>
    <s v="ORD-03432"/>
    <d v="2024-01-26T00:00:00"/>
    <s v="CUST93500"/>
    <x v="309"/>
    <n v="35"/>
    <x v="0"/>
    <x v="0"/>
    <x v="0"/>
    <x v="2"/>
    <x v="2"/>
    <s v="Textbook"/>
    <n v="6"/>
    <n v="589.55999999999995"/>
    <x v="30"/>
    <n v="2123.41"/>
    <n v="728.31"/>
    <n v="73.88"/>
    <x v="2"/>
    <n v="2"/>
    <x v="1"/>
    <x v="1"/>
    <n v="3"/>
  </r>
  <r>
    <s v="ORD-01995"/>
    <d v="2022-05-30T00:00:00"/>
    <s v="CUST56565"/>
    <x v="65"/>
    <n v="25"/>
    <x v="3"/>
    <x v="0"/>
    <x v="3"/>
    <x v="15"/>
    <x v="5"/>
    <s v="Tea"/>
    <n v="9"/>
    <n v="363.51"/>
    <x v="37"/>
    <n v="3460.81"/>
    <n v="307.14999999999998"/>
    <n v="84.69"/>
    <x v="2"/>
    <n v="4"/>
    <x v="1"/>
    <x v="1"/>
    <n v="7"/>
  </r>
  <r>
    <s v="ORD-02537"/>
    <d v="2023-01-06T00:00:00"/>
    <s v="CUST57903"/>
    <x v="123"/>
    <n v="22"/>
    <x v="3"/>
    <x v="2"/>
    <x v="2"/>
    <x v="9"/>
    <x v="5"/>
    <s v="Flour"/>
    <n v="6"/>
    <n v="303.67"/>
    <x v="28"/>
    <n v="1631.61"/>
    <n v="129.1"/>
    <n v="66.2"/>
    <x v="5"/>
    <n v="1"/>
    <x v="0"/>
    <x v="4"/>
    <n v="7"/>
  </r>
  <r>
    <s v="ORD-01383"/>
    <d v="2021-09-16T00:00:00"/>
    <s v="CUST61824"/>
    <x v="83"/>
    <n v="52"/>
    <x v="2"/>
    <x v="2"/>
    <x v="0"/>
    <x v="1"/>
    <x v="1"/>
    <s v="Bed Frame"/>
    <n v="9"/>
    <n v="28138.720000000001"/>
    <x v="24"/>
    <n v="267856.83"/>
    <n v="58224.65"/>
    <n v="61.16"/>
    <x v="0"/>
    <n v="4"/>
    <x v="0"/>
    <x v="0"/>
    <n v="1"/>
  </r>
  <r>
    <s v="ORD-01382"/>
    <d v="2021-09-16T00:00:00"/>
    <s v="CUST87197"/>
    <x v="98"/>
    <n v="41"/>
    <x v="1"/>
    <x v="0"/>
    <x v="2"/>
    <x v="4"/>
    <x v="4"/>
    <s v="Cycle"/>
    <n v="6"/>
    <n v="3598.68"/>
    <x v="32"/>
    <n v="22421.86"/>
    <n v="6008.67"/>
    <n v="56.7"/>
    <x v="5"/>
    <n v="2"/>
    <x v="0"/>
    <x v="0"/>
    <n v="8"/>
  </r>
  <r>
    <s v="ORD-01607"/>
    <d v="2021-12-18T00:00:00"/>
    <s v="CUST44100"/>
    <x v="242"/>
    <n v="66"/>
    <x v="2"/>
    <x v="1"/>
    <x v="2"/>
    <x v="14"/>
    <x v="2"/>
    <s v="Biography"/>
    <n v="5"/>
    <n v="199.85"/>
    <x v="16"/>
    <n v="616.48"/>
    <n v="277.39999999999998"/>
    <n v="37.229999999999997"/>
    <x v="3"/>
    <n v="3"/>
    <x v="0"/>
    <x v="0"/>
    <n v="2"/>
  </r>
  <r>
    <s v="ORD-01983"/>
    <d v="2022-05-26T00:00:00"/>
    <s v="CUST55032"/>
    <x v="62"/>
    <n v="26"/>
    <x v="0"/>
    <x v="1"/>
    <x v="1"/>
    <x v="10"/>
    <x v="4"/>
    <s v="Dumbbells"/>
    <n v="3"/>
    <n v="6064.09"/>
    <x v="13"/>
    <n v="24706.43"/>
    <n v="6641.4"/>
    <n v="55.09"/>
    <x v="3"/>
    <n v="2"/>
    <x v="0"/>
    <x v="0"/>
    <n v="6"/>
  </r>
  <r>
    <s v="ORD-01533"/>
    <d v="2021-11-19T00:00:00"/>
    <s v="CUST14357"/>
    <x v="310"/>
    <n v="33"/>
    <x v="0"/>
    <x v="1"/>
    <x v="3"/>
    <x v="5"/>
    <x v="3"/>
    <s v="Dress"/>
    <n v="8"/>
    <n v="1386.86"/>
    <x v="13"/>
    <n v="8547.02"/>
    <n v="2698.05"/>
    <n v="71.34"/>
    <x v="1"/>
    <n v="4"/>
    <x v="0"/>
    <x v="0"/>
    <n v="9"/>
  </r>
  <r>
    <s v="ORD-00790"/>
    <d v="2020-12-26T00:00:00"/>
    <s v="CUST03149"/>
    <x v="121"/>
    <n v="36"/>
    <x v="1"/>
    <x v="0"/>
    <x v="4"/>
    <x v="18"/>
    <x v="5"/>
    <s v="Tea"/>
    <n v="8"/>
    <n v="312.61"/>
    <x v="10"/>
    <n v="1360.85"/>
    <n v="78.900000000000006"/>
    <n v="88.49"/>
    <x v="5"/>
    <n v="4"/>
    <x v="0"/>
    <x v="0"/>
    <n v="9"/>
  </r>
  <r>
    <s v="ORD-02988"/>
    <d v="2023-07-18T00:00:00"/>
    <s v="CUST14176"/>
    <x v="237"/>
    <n v="27"/>
    <x v="0"/>
    <x v="0"/>
    <x v="1"/>
    <x v="11"/>
    <x v="6"/>
    <s v="Smartwatch"/>
    <n v="2"/>
    <n v="30216.69"/>
    <x v="31"/>
    <n v="77559.67"/>
    <n v="9624.5300000000007"/>
    <n v="80.069999999999993"/>
    <x v="1"/>
    <n v="2"/>
    <x v="0"/>
    <x v="3"/>
    <n v="5"/>
  </r>
  <r>
    <s v="ORD-01713"/>
    <d v="2022-02-01T00:00:00"/>
    <s v="CUST87459"/>
    <x v="311"/>
    <n v="22"/>
    <x v="3"/>
    <x v="0"/>
    <x v="4"/>
    <x v="18"/>
    <x v="3"/>
    <s v="T-Shirt"/>
    <n v="9"/>
    <n v="766.29"/>
    <x v="12"/>
    <n v="4890.43"/>
    <n v="1599.31"/>
    <n v="46.79"/>
    <x v="4"/>
    <n v="1"/>
    <x v="0"/>
    <x v="0"/>
    <n v="7"/>
  </r>
  <r>
    <s v="ORD-02220"/>
    <d v="2022-08-26T00:00:00"/>
    <s v="CUST94861"/>
    <x v="58"/>
    <n v="63"/>
    <x v="2"/>
    <x v="2"/>
    <x v="0"/>
    <x v="2"/>
    <x v="4"/>
    <s v="Tennis Racket"/>
    <n v="1"/>
    <n v="9516.5400000000009"/>
    <x v="16"/>
    <n v="11604.33"/>
    <n v="2275.4"/>
    <n v="75.61"/>
    <x v="0"/>
    <n v="4"/>
    <x v="0"/>
    <x v="3"/>
    <n v="4"/>
  </r>
  <r>
    <s v="ORD-04056"/>
    <d v="2024-10-25T00:00:00"/>
    <s v="CUST85837"/>
    <x v="225"/>
    <n v="37"/>
    <x v="1"/>
    <x v="2"/>
    <x v="2"/>
    <x v="4"/>
    <x v="3"/>
    <s v="T-Shirt"/>
    <n v="3"/>
    <n v="1187.4000000000001"/>
    <x v="34"/>
    <n v="2772.19"/>
    <n v="1166.8800000000001"/>
    <n v="39.79"/>
    <x v="2"/>
    <n v="5"/>
    <x v="0"/>
    <x v="0"/>
    <n v="7"/>
  </r>
  <r>
    <s v="ORD-03871"/>
    <d v="2024-08-06T00:00:00"/>
    <s v="CUST30080"/>
    <x v="240"/>
    <n v="40"/>
    <x v="1"/>
    <x v="0"/>
    <x v="4"/>
    <x v="17"/>
    <x v="1"/>
    <s v="Sofa"/>
    <n v="8"/>
    <n v="29325.03"/>
    <x v="30"/>
    <n v="238669.42"/>
    <n v="54334.41"/>
    <n v="57.12"/>
    <x v="2"/>
    <n v="5"/>
    <x v="0"/>
    <x v="0"/>
    <n v="2"/>
  </r>
  <r>
    <s v="ORD-02903"/>
    <d v="2023-06-08T00:00:00"/>
    <s v="CUST35531"/>
    <x v="93"/>
    <n v="39"/>
    <x v="1"/>
    <x v="2"/>
    <x v="1"/>
    <x v="10"/>
    <x v="3"/>
    <s v="Jacket"/>
    <n v="7"/>
    <n v="983.45"/>
    <x v="13"/>
    <n v="11834.57"/>
    <n v="3889.86"/>
    <n v="67.48"/>
    <x v="0"/>
    <n v="4"/>
    <x v="1"/>
    <x v="1"/>
    <n v="10"/>
  </r>
  <r>
    <s v="ORD-02065"/>
    <d v="2022-06-30T00:00:00"/>
    <s v="CUST70033"/>
    <x v="298"/>
    <n v="31"/>
    <x v="0"/>
    <x v="0"/>
    <x v="3"/>
    <x v="12"/>
    <x v="0"/>
    <s v="Lipstick"/>
    <n v="3"/>
    <n v="1275.56"/>
    <x v="6"/>
    <n v="3369.84"/>
    <n v="1461.23"/>
    <n v="99.3"/>
    <x v="2"/>
    <n v="5"/>
    <x v="0"/>
    <x v="0"/>
    <n v="2"/>
  </r>
  <r>
    <s v="ORD-03223"/>
    <d v="2023-10-26T00:00:00"/>
    <s v="CUST08748"/>
    <x v="275"/>
    <n v="44"/>
    <x v="1"/>
    <x v="0"/>
    <x v="1"/>
    <x v="10"/>
    <x v="2"/>
    <s v="Fiction Novel"/>
    <n v="2"/>
    <n v="357.54"/>
    <x v="40"/>
    <n v="449.09"/>
    <n v="210.08"/>
    <n v="68.599999999999994"/>
    <x v="5"/>
    <n v="4"/>
    <x v="0"/>
    <x v="0"/>
    <n v="2"/>
  </r>
  <r>
    <s v="ORD-02611"/>
    <d v="2023-02-07T00:00:00"/>
    <s v="CUST82751"/>
    <x v="155"/>
    <n v="24"/>
    <x v="3"/>
    <x v="2"/>
    <x v="2"/>
    <x v="14"/>
    <x v="2"/>
    <s v="Comic Book"/>
    <n v="9"/>
    <n v="1219.1099999999999"/>
    <x v="32"/>
    <n v="11967.15"/>
    <n v="4663.6899999999996"/>
    <n v="73.88"/>
    <x v="0"/>
    <n v="1"/>
    <x v="0"/>
    <x v="0"/>
    <n v="9"/>
  </r>
  <r>
    <s v="ORD-00288"/>
    <d v="2020-05-07T00:00:00"/>
    <s v="CUST56916"/>
    <x v="105"/>
    <n v="38"/>
    <x v="1"/>
    <x v="0"/>
    <x v="0"/>
    <x v="0"/>
    <x v="2"/>
    <s v="Cook Book"/>
    <n v="2"/>
    <n v="713.5"/>
    <x v="13"/>
    <n v="1825.08"/>
    <n v="867.87"/>
    <n v="54.38"/>
    <x v="0"/>
    <n v="3"/>
    <x v="0"/>
    <x v="0"/>
    <n v="3"/>
  </r>
  <r>
    <s v="ORD-00962"/>
    <d v="2021-03-13T00:00:00"/>
    <s v="CUST30724"/>
    <x v="275"/>
    <n v="51"/>
    <x v="2"/>
    <x v="2"/>
    <x v="2"/>
    <x v="9"/>
    <x v="5"/>
    <s v="Sugar"/>
    <n v="5"/>
    <n v="432.25"/>
    <x v="5"/>
    <n v="2079.81"/>
    <n v="177.78"/>
    <n v="37.049999999999997"/>
    <x v="1"/>
    <n v="2"/>
    <x v="0"/>
    <x v="0"/>
    <n v="10"/>
  </r>
  <r>
    <s v="ORD-00911"/>
    <d v="2021-02-11T00:00:00"/>
    <s v="CUST78268"/>
    <x v="312"/>
    <n v="21"/>
    <x v="3"/>
    <x v="2"/>
    <x v="3"/>
    <x v="12"/>
    <x v="4"/>
    <s v="Football"/>
    <n v="6"/>
    <n v="9644.7800000000007"/>
    <x v="9"/>
    <n v="53077.760000000002"/>
    <n v="12558.1"/>
    <n v="95.75"/>
    <x v="0"/>
    <n v="3"/>
    <x v="0"/>
    <x v="3"/>
    <n v="9"/>
  </r>
  <r>
    <s v="ORD-02833"/>
    <d v="2023-05-18T00:00:00"/>
    <s v="CUST95416"/>
    <x v="216"/>
    <n v="51"/>
    <x v="2"/>
    <x v="0"/>
    <x v="2"/>
    <x v="13"/>
    <x v="2"/>
    <s v="Textbook"/>
    <n v="6"/>
    <n v="473"/>
    <x v="31"/>
    <n v="4064.17"/>
    <n v="1153.73"/>
    <n v="55.81"/>
    <x v="3"/>
    <n v="1"/>
    <x v="1"/>
    <x v="1"/>
    <n v="4"/>
  </r>
  <r>
    <s v="ORD-00691"/>
    <d v="2020-11-09T00:00:00"/>
    <s v="CUST03760"/>
    <x v="202"/>
    <n v="36"/>
    <x v="1"/>
    <x v="0"/>
    <x v="4"/>
    <x v="17"/>
    <x v="3"/>
    <s v="Saree"/>
    <n v="9"/>
    <n v="1818.25"/>
    <x v="7"/>
    <n v="10464.16"/>
    <n v="4513.75"/>
    <n v="74.959999999999994"/>
    <x v="1"/>
    <n v="4"/>
    <x v="0"/>
    <x v="0"/>
    <n v="4"/>
  </r>
  <r>
    <s v="ORD-02089"/>
    <d v="2022-07-09T00:00:00"/>
    <s v="CUST77763"/>
    <x v="313"/>
    <n v="25"/>
    <x v="3"/>
    <x v="0"/>
    <x v="2"/>
    <x v="14"/>
    <x v="1"/>
    <s v="Bed Frame"/>
    <n v="6"/>
    <n v="28297.1"/>
    <x v="25"/>
    <n v="183102.21"/>
    <n v="41267.82"/>
    <n v="77.25"/>
    <x v="3"/>
    <n v="1"/>
    <x v="0"/>
    <x v="0"/>
    <n v="3"/>
  </r>
  <r>
    <s v="ORD-03147"/>
    <d v="2023-09-26T00:00:00"/>
    <s v="CUST30274"/>
    <x v="244"/>
    <n v="29"/>
    <x v="0"/>
    <x v="1"/>
    <x v="4"/>
    <x v="7"/>
    <x v="4"/>
    <s v="Football"/>
    <n v="1"/>
    <n v="12275.23"/>
    <x v="32"/>
    <n v="12167.28"/>
    <n v="2949.77"/>
    <n v="58.94"/>
    <x v="0"/>
    <n v="3"/>
    <x v="1"/>
    <x v="1"/>
    <n v="6"/>
  </r>
  <r>
    <s v="ORD-02100"/>
    <d v="2022-07-13T00:00:00"/>
    <s v="CUST74233"/>
    <x v="314"/>
    <n v="28"/>
    <x v="0"/>
    <x v="1"/>
    <x v="1"/>
    <x v="6"/>
    <x v="5"/>
    <s v="Rice (5kg)"/>
    <n v="2"/>
    <n v="116.27"/>
    <x v="12"/>
    <n v="240.6"/>
    <n v="20.5"/>
    <n v="46.11"/>
    <x v="2"/>
    <n v="2"/>
    <x v="0"/>
    <x v="4"/>
    <n v="9"/>
  </r>
  <r>
    <s v="ORD-02626"/>
    <d v="2023-02-14T00:00:00"/>
    <s v="CUST69406"/>
    <x v="92"/>
    <n v="47"/>
    <x v="1"/>
    <x v="1"/>
    <x v="2"/>
    <x v="13"/>
    <x v="6"/>
    <s v="Smartwatch"/>
    <n v="10"/>
    <n v="19057.82"/>
    <x v="26"/>
    <n v="148714.97"/>
    <n v="19803.29"/>
    <n v="66.52"/>
    <x v="5"/>
    <n v="1"/>
    <x v="1"/>
    <x v="1"/>
    <n v="10"/>
  </r>
  <r>
    <s v="ORD-02079"/>
    <d v="2022-07-06T00:00:00"/>
    <s v="CUST04011"/>
    <x v="296"/>
    <n v="42"/>
    <x v="1"/>
    <x v="0"/>
    <x v="4"/>
    <x v="8"/>
    <x v="3"/>
    <s v="T-Shirt"/>
    <n v="8"/>
    <n v="946.16"/>
    <x v="35"/>
    <n v="7291.61"/>
    <n v="3065.47"/>
    <n v="76.81"/>
    <x v="4"/>
    <n v="2"/>
    <x v="0"/>
    <x v="0"/>
    <n v="8"/>
  </r>
  <r>
    <s v="ORD-02750"/>
    <d v="2023-04-05T00:00:00"/>
    <s v="CUST50334"/>
    <x v="57"/>
    <n v="19"/>
    <x v="3"/>
    <x v="0"/>
    <x v="0"/>
    <x v="2"/>
    <x v="3"/>
    <s v="Kurta"/>
    <n v="2"/>
    <n v="3794.57"/>
    <x v="28"/>
    <n v="9475.19"/>
    <n v="3916.81"/>
    <n v="23.37"/>
    <x v="1"/>
    <n v="5"/>
    <x v="0"/>
    <x v="0"/>
    <n v="3"/>
  </r>
  <r>
    <s v="ORD-00858"/>
    <d v="2021-01-26T00:00:00"/>
    <s v="CUST72879"/>
    <x v="34"/>
    <n v="27"/>
    <x v="0"/>
    <x v="0"/>
    <x v="1"/>
    <x v="3"/>
    <x v="4"/>
    <s v="Dumbbells"/>
    <n v="7"/>
    <n v="14159.23"/>
    <x v="20"/>
    <n v="67291.55"/>
    <n v="15098.91"/>
    <n v="65.260000000000005"/>
    <x v="1"/>
    <n v="5"/>
    <x v="0"/>
    <x v="3"/>
    <n v="1"/>
  </r>
  <r>
    <s v="ORD-00655"/>
    <d v="2020-10-21T00:00:00"/>
    <s v="CUST05466"/>
    <x v="315"/>
    <n v="36"/>
    <x v="1"/>
    <x v="2"/>
    <x v="0"/>
    <x v="2"/>
    <x v="1"/>
    <s v="Bed Frame"/>
    <n v="8"/>
    <n v="32918.629999999997"/>
    <x v="1"/>
    <n v="208563.97"/>
    <n v="70073.179999999993"/>
    <n v="49.07"/>
    <x v="3"/>
    <n v="3"/>
    <x v="0"/>
    <x v="0"/>
    <n v="1"/>
  </r>
  <r>
    <s v="ORD-02447"/>
    <d v="2022-11-28T00:00:00"/>
    <s v="CUST28654"/>
    <x v="217"/>
    <n v="34"/>
    <x v="0"/>
    <x v="1"/>
    <x v="2"/>
    <x v="4"/>
    <x v="5"/>
    <s v="Tea"/>
    <n v="3"/>
    <n v="394.51"/>
    <x v="28"/>
    <n v="858.05"/>
    <n v="56.54"/>
    <n v="50.11"/>
    <x v="4"/>
    <n v="2"/>
    <x v="0"/>
    <x v="3"/>
    <n v="7"/>
  </r>
  <r>
    <s v="ORD-03981"/>
    <d v="2024-09-12T00:00:00"/>
    <s v="CUST77329"/>
    <x v="76"/>
    <n v="34"/>
    <x v="0"/>
    <x v="2"/>
    <x v="1"/>
    <x v="11"/>
    <x v="5"/>
    <s v="Rice (5kg)"/>
    <n v="8"/>
    <n v="383.85"/>
    <x v="40"/>
    <n v="2308.0500000000002"/>
    <n v="155.62"/>
    <n v="57.65"/>
    <x v="2"/>
    <n v="1"/>
    <x v="0"/>
    <x v="0"/>
    <n v="10"/>
  </r>
  <r>
    <s v="ORD-03668"/>
    <d v="2024-05-13T00:00:00"/>
    <s v="CUST73443"/>
    <x v="20"/>
    <n v="21"/>
    <x v="3"/>
    <x v="2"/>
    <x v="3"/>
    <x v="5"/>
    <x v="1"/>
    <s v="Wardrobe"/>
    <n v="6"/>
    <n v="17147.62"/>
    <x v="38"/>
    <n v="182249.65"/>
    <n v="41080.800000000003"/>
    <n v="87.27"/>
    <x v="3"/>
    <n v="1"/>
    <x v="0"/>
    <x v="0"/>
    <n v="4"/>
  </r>
  <r>
    <s v="ORD-00312"/>
    <d v="2020-05-16T00:00:00"/>
    <s v="CUST15821"/>
    <x v="316"/>
    <n v="39"/>
    <x v="1"/>
    <x v="2"/>
    <x v="2"/>
    <x v="4"/>
    <x v="3"/>
    <s v="Kurta"/>
    <n v="1"/>
    <n v="507.78"/>
    <x v="31"/>
    <n v="592.57000000000005"/>
    <n v="186.17"/>
    <n v="30.01"/>
    <x v="2"/>
    <n v="1"/>
    <x v="0"/>
    <x v="0"/>
    <n v="10"/>
  </r>
  <r>
    <s v="ORD-02446"/>
    <d v="2022-11-28T00:00:00"/>
    <s v="CUST10062"/>
    <x v="239"/>
    <n v="65"/>
    <x v="2"/>
    <x v="2"/>
    <x v="2"/>
    <x v="9"/>
    <x v="0"/>
    <s v="Lipstick"/>
    <n v="3"/>
    <n v="2301.12"/>
    <x v="5"/>
    <n v="5967.23"/>
    <n v="3374.68"/>
    <n v="44.75"/>
    <x v="0"/>
    <n v="3"/>
    <x v="0"/>
    <x v="0"/>
    <n v="9"/>
  </r>
  <r>
    <s v="ORD-01508"/>
    <d v="2021-11-08T00:00:00"/>
    <s v="CUST17295"/>
    <x v="156"/>
    <n v="36"/>
    <x v="1"/>
    <x v="0"/>
    <x v="4"/>
    <x v="8"/>
    <x v="3"/>
    <s v="Jacket"/>
    <n v="8"/>
    <n v="371.01"/>
    <x v="28"/>
    <n v="2211.38"/>
    <n v="677.75"/>
    <n v="90.52"/>
    <x v="0"/>
    <n v="3"/>
    <x v="0"/>
    <x v="0"/>
    <n v="4"/>
  </r>
  <r>
    <s v="ORD-02907"/>
    <d v="2023-06-10T00:00:00"/>
    <s v="CUST44256"/>
    <x v="52"/>
    <n v="46"/>
    <x v="1"/>
    <x v="0"/>
    <x v="0"/>
    <x v="2"/>
    <x v="6"/>
    <s v="Headphones"/>
    <n v="9"/>
    <n v="31196.73"/>
    <x v="9"/>
    <n v="368280.67"/>
    <n v="38060.11"/>
    <n v="59.85"/>
    <x v="4"/>
    <n v="1"/>
    <x v="0"/>
    <x v="0"/>
    <n v="1"/>
  </r>
  <r>
    <s v="ORD-00260"/>
    <d v="2020-04-24T00:00:00"/>
    <s v="CUST61424"/>
    <x v="146"/>
    <n v="33"/>
    <x v="0"/>
    <x v="1"/>
    <x v="3"/>
    <x v="15"/>
    <x v="1"/>
    <s v="Bed Frame"/>
    <n v="5"/>
    <n v="26679.1"/>
    <x v="1"/>
    <n v="122018.19"/>
    <n v="34943.360000000001"/>
    <n v="84.72"/>
    <x v="2"/>
    <n v="4"/>
    <x v="0"/>
    <x v="3"/>
    <n v="6"/>
  </r>
  <r>
    <s v="ORD-03119"/>
    <d v="2023-09-09T00:00:00"/>
    <s v="CUST59443"/>
    <x v="79"/>
    <n v="42"/>
    <x v="1"/>
    <x v="2"/>
    <x v="2"/>
    <x v="4"/>
    <x v="1"/>
    <s v="Bed Frame"/>
    <n v="5"/>
    <n v="12592.51"/>
    <x v="12"/>
    <n v="61837.22"/>
    <n v="19148.11"/>
    <n v="45.88"/>
    <x v="4"/>
    <n v="1"/>
    <x v="1"/>
    <x v="1"/>
    <n v="5"/>
  </r>
  <r>
    <s v="ORD-00420"/>
    <d v="2020-07-05T00:00:00"/>
    <s v="CUST53531"/>
    <x v="17"/>
    <n v="30"/>
    <x v="0"/>
    <x v="2"/>
    <x v="1"/>
    <x v="3"/>
    <x v="6"/>
    <s v="Laptop"/>
    <n v="3"/>
    <n v="65806.63"/>
    <x v="22"/>
    <n v="148143.49"/>
    <n v="17001.53"/>
    <n v="32.06"/>
    <x v="1"/>
    <n v="2"/>
    <x v="0"/>
    <x v="0"/>
    <n v="10"/>
  </r>
  <r>
    <s v="ORD-02767"/>
    <d v="2023-04-13T00:00:00"/>
    <s v="CUST75550"/>
    <x v="59"/>
    <n v="53"/>
    <x v="2"/>
    <x v="1"/>
    <x v="4"/>
    <x v="7"/>
    <x v="5"/>
    <s v="Cooking Oil"/>
    <n v="5"/>
    <n v="185.61"/>
    <x v="23"/>
    <n v="977.56"/>
    <n v="69.040000000000006"/>
    <n v="58.1"/>
    <x v="1"/>
    <n v="5"/>
    <x v="0"/>
    <x v="0"/>
    <n v="2"/>
  </r>
  <r>
    <s v="ORD-00456"/>
    <d v="2020-07-20T00:00:00"/>
    <s v="CUST76466"/>
    <x v="297"/>
    <n v="56"/>
    <x v="2"/>
    <x v="2"/>
    <x v="1"/>
    <x v="6"/>
    <x v="5"/>
    <s v="Rice (5kg)"/>
    <n v="8"/>
    <n v="353.32"/>
    <x v="35"/>
    <n v="2484.7800000000002"/>
    <n v="174.59"/>
    <n v="72.56"/>
    <x v="5"/>
    <n v="3"/>
    <x v="0"/>
    <x v="3"/>
    <n v="5"/>
  </r>
  <r>
    <s v="ORD-03233"/>
    <d v="2023-10-30T00:00:00"/>
    <s v="CUST27413"/>
    <x v="317"/>
    <n v="23"/>
    <x v="3"/>
    <x v="2"/>
    <x v="4"/>
    <x v="17"/>
    <x v="3"/>
    <s v="Jacket"/>
    <n v="8"/>
    <n v="1084.06"/>
    <x v="36"/>
    <n v="7119.27"/>
    <n v="2636.93"/>
    <n v="74.709999999999994"/>
    <x v="1"/>
    <n v="5"/>
    <x v="0"/>
    <x v="2"/>
    <n v="3"/>
  </r>
  <r>
    <s v="ORD-02244"/>
    <d v="2022-09-06T00:00:00"/>
    <s v="CUST41690"/>
    <x v="40"/>
    <n v="37"/>
    <x v="1"/>
    <x v="1"/>
    <x v="1"/>
    <x v="6"/>
    <x v="5"/>
    <s v="Tea"/>
    <n v="10"/>
    <n v="133.19999999999999"/>
    <x v="18"/>
    <n v="1074.27"/>
    <n v="100.19"/>
    <n v="64.48"/>
    <x v="1"/>
    <n v="3"/>
    <x v="0"/>
    <x v="0"/>
    <n v="8"/>
  </r>
  <r>
    <s v="ORD-01182"/>
    <d v="2021-06-15T00:00:00"/>
    <s v="CUST88678"/>
    <x v="318"/>
    <n v="40"/>
    <x v="1"/>
    <x v="2"/>
    <x v="0"/>
    <x v="19"/>
    <x v="6"/>
    <s v="Smartphone"/>
    <n v="9"/>
    <n v="72408.179999999993"/>
    <x v="3"/>
    <n v="748589.49"/>
    <n v="103509.24"/>
    <n v="41.95"/>
    <x v="0"/>
    <n v="5"/>
    <x v="0"/>
    <x v="0"/>
    <n v="3"/>
  </r>
  <r>
    <s v="ORD-01343"/>
    <d v="2021-08-26T00:00:00"/>
    <s v="CUST26367"/>
    <x v="319"/>
    <n v="55"/>
    <x v="2"/>
    <x v="2"/>
    <x v="3"/>
    <x v="15"/>
    <x v="4"/>
    <s v="Tennis Racket"/>
    <n v="4"/>
    <n v="14419.59"/>
    <x v="14"/>
    <n v="44932.24"/>
    <n v="11862.97"/>
    <n v="63.9"/>
    <x v="4"/>
    <n v="2"/>
    <x v="0"/>
    <x v="0"/>
    <n v="4"/>
  </r>
  <r>
    <s v="ORD-01071"/>
    <d v="2021-04-29T00:00:00"/>
    <s v="CUST61699"/>
    <x v="61"/>
    <n v="31"/>
    <x v="0"/>
    <x v="0"/>
    <x v="1"/>
    <x v="6"/>
    <x v="1"/>
    <s v="Wardrobe"/>
    <n v="1"/>
    <n v="2601.5100000000002"/>
    <x v="4"/>
    <n v="3057.58"/>
    <n v="856.37"/>
    <n v="47.41"/>
    <x v="5"/>
    <n v="2"/>
    <x v="1"/>
    <x v="1"/>
    <n v="9"/>
  </r>
  <r>
    <s v="ORD-00102"/>
    <d v="2020-02-08T00:00:00"/>
    <s v="CUST59146"/>
    <x v="320"/>
    <n v="39"/>
    <x v="1"/>
    <x v="1"/>
    <x v="3"/>
    <x v="16"/>
    <x v="5"/>
    <s v="Cooking Oil"/>
    <n v="4"/>
    <n v="151.09"/>
    <x v="4"/>
    <n v="515.74"/>
    <n v="42.51"/>
    <n v="80.209999999999994"/>
    <x v="0"/>
    <n v="2"/>
    <x v="0"/>
    <x v="0"/>
    <n v="10"/>
  </r>
  <r>
    <s v="ORD-00755"/>
    <d v="2020-12-08T00:00:00"/>
    <s v="CUST00745"/>
    <x v="296"/>
    <n v="40"/>
    <x v="1"/>
    <x v="0"/>
    <x v="3"/>
    <x v="16"/>
    <x v="6"/>
    <s v="Camera"/>
    <n v="9"/>
    <n v="71873.78"/>
    <x v="24"/>
    <n v="456663.98"/>
    <n v="59316.97"/>
    <n v="91.31"/>
    <x v="3"/>
    <n v="5"/>
    <x v="0"/>
    <x v="0"/>
    <n v="7"/>
  </r>
  <r>
    <s v="ORD-04058"/>
    <d v="2024-10-26T00:00:00"/>
    <s v="CUST87657"/>
    <x v="277"/>
    <n v="27"/>
    <x v="0"/>
    <x v="0"/>
    <x v="0"/>
    <x v="19"/>
    <x v="0"/>
    <s v="Shampoo"/>
    <n v="6"/>
    <n v="2486.23"/>
    <x v="38"/>
    <n v="13804.56"/>
    <n v="6763.76"/>
    <n v="65.88"/>
    <x v="2"/>
    <n v="4"/>
    <x v="1"/>
    <x v="1"/>
    <n v="8"/>
  </r>
  <r>
    <s v="ORD-00795"/>
    <d v="2020-12-28T00:00:00"/>
    <s v="CUST00853"/>
    <x v="281"/>
    <n v="52"/>
    <x v="2"/>
    <x v="1"/>
    <x v="1"/>
    <x v="6"/>
    <x v="5"/>
    <s v="Cooking Oil"/>
    <n v="7"/>
    <n v="103.75"/>
    <x v="18"/>
    <n v="344.42"/>
    <n v="34.770000000000003"/>
    <n v="67.069999999999993"/>
    <x v="0"/>
    <n v="5"/>
    <x v="0"/>
    <x v="0"/>
    <n v="4"/>
  </r>
  <r>
    <s v="ORD-01270"/>
    <d v="2021-07-27T00:00:00"/>
    <s v="CUST77971"/>
    <x v="112"/>
    <n v="26"/>
    <x v="0"/>
    <x v="0"/>
    <x v="4"/>
    <x v="7"/>
    <x v="5"/>
    <s v="Rice (5kg)"/>
    <n v="8"/>
    <n v="239.96"/>
    <x v="30"/>
    <n v="1605.72"/>
    <n v="116.65"/>
    <n v="35.590000000000003"/>
    <x v="3"/>
    <n v="3"/>
    <x v="0"/>
    <x v="0"/>
    <n v="4"/>
  </r>
  <r>
    <s v="ORD-03213"/>
    <d v="2023-10-21T00:00:00"/>
    <s v="CUST91826"/>
    <x v="321"/>
    <n v="40"/>
    <x v="1"/>
    <x v="1"/>
    <x v="2"/>
    <x v="9"/>
    <x v="1"/>
    <s v="Sofa"/>
    <n v="10"/>
    <n v="6877.63"/>
    <x v="18"/>
    <n v="49127.13"/>
    <n v="15040.93"/>
    <n v="38.46"/>
    <x v="3"/>
    <n v="3"/>
    <x v="0"/>
    <x v="0"/>
    <n v="8"/>
  </r>
  <r>
    <s v="ORD-02929"/>
    <d v="2023-06-21T00:00:00"/>
    <s v="CUST82307"/>
    <x v="322"/>
    <n v="28"/>
    <x v="0"/>
    <x v="0"/>
    <x v="0"/>
    <x v="0"/>
    <x v="6"/>
    <s v="Camera"/>
    <n v="8"/>
    <n v="11278.1"/>
    <x v="21"/>
    <n v="103626.93"/>
    <n v="9357.16"/>
    <n v="60.7"/>
    <x v="5"/>
    <n v="3"/>
    <x v="0"/>
    <x v="0"/>
    <n v="8"/>
  </r>
  <r>
    <s v="ORD-01441"/>
    <d v="2021-10-11T00:00:00"/>
    <s v="CUST46668"/>
    <x v="323"/>
    <n v="36"/>
    <x v="1"/>
    <x v="2"/>
    <x v="0"/>
    <x v="19"/>
    <x v="2"/>
    <s v="Biography"/>
    <n v="7"/>
    <n v="1187.0999999999999"/>
    <x v="19"/>
    <n v="6671.63"/>
    <n v="2154.79"/>
    <n v="88.18"/>
    <x v="1"/>
    <n v="3"/>
    <x v="0"/>
    <x v="0"/>
    <n v="5"/>
  </r>
  <r>
    <s v="ORD-01615"/>
    <d v="2021-12-24T00:00:00"/>
    <s v="CUST49728"/>
    <x v="212"/>
    <n v="32"/>
    <x v="0"/>
    <x v="2"/>
    <x v="1"/>
    <x v="3"/>
    <x v="3"/>
    <s v="Jacket"/>
    <n v="3"/>
    <n v="3628.14"/>
    <x v="27"/>
    <n v="6186.65"/>
    <n v="2322.3200000000002"/>
    <n v="52.79"/>
    <x v="1"/>
    <n v="2"/>
    <x v="0"/>
    <x v="0"/>
    <n v="1"/>
  </r>
  <r>
    <s v="ORD-02739"/>
    <d v="2023-03-31T00:00:00"/>
    <s v="CUST55589"/>
    <x v="139"/>
    <n v="36"/>
    <x v="1"/>
    <x v="0"/>
    <x v="2"/>
    <x v="4"/>
    <x v="4"/>
    <s v="Tennis Racket"/>
    <n v="8"/>
    <n v="12824.11"/>
    <x v="38"/>
    <n v="124055.48"/>
    <n v="29606.32"/>
    <n v="76.78"/>
    <x v="2"/>
    <n v="2"/>
    <x v="0"/>
    <x v="0"/>
    <n v="6"/>
  </r>
  <r>
    <s v="ORD-02536"/>
    <d v="2023-01-06T00:00:00"/>
    <s v="CUST18948"/>
    <x v="324"/>
    <n v="51"/>
    <x v="2"/>
    <x v="0"/>
    <x v="0"/>
    <x v="1"/>
    <x v="0"/>
    <s v="Perfume"/>
    <n v="3"/>
    <n v="1967.85"/>
    <x v="35"/>
    <n v="3268.13"/>
    <n v="1309.3499999999999"/>
    <n v="55"/>
    <x v="2"/>
    <n v="3"/>
    <x v="0"/>
    <x v="0"/>
    <n v="2"/>
  </r>
  <r>
    <s v="ORD-03905"/>
    <d v="2024-08-15T00:00:00"/>
    <s v="CUST19408"/>
    <x v="235"/>
    <n v="37"/>
    <x v="1"/>
    <x v="0"/>
    <x v="3"/>
    <x v="12"/>
    <x v="5"/>
    <s v="Rice (5kg)"/>
    <n v="9"/>
    <n v="239.9"/>
    <x v="35"/>
    <n v="2368.54"/>
    <n v="226.16"/>
    <n v="93.43"/>
    <x v="2"/>
    <n v="5"/>
    <x v="0"/>
    <x v="0"/>
    <n v="1"/>
  </r>
  <r>
    <s v="ORD-00750"/>
    <d v="2020-12-07T00:00:00"/>
    <s v="CUST88589"/>
    <x v="325"/>
    <n v="47"/>
    <x v="1"/>
    <x v="2"/>
    <x v="0"/>
    <x v="1"/>
    <x v="0"/>
    <s v="Sunscreen"/>
    <n v="2"/>
    <n v="2232.87"/>
    <x v="13"/>
    <n v="2646.86"/>
    <n v="806.76"/>
    <n v="54.23"/>
    <x v="4"/>
    <n v="2"/>
    <x v="0"/>
    <x v="3"/>
    <n v="8"/>
  </r>
  <r>
    <s v="ORD-01082"/>
    <d v="2021-05-04T00:00:00"/>
    <s v="CUST69812"/>
    <x v="326"/>
    <n v="44"/>
    <x v="1"/>
    <x v="1"/>
    <x v="3"/>
    <x v="16"/>
    <x v="2"/>
    <s v="Comic Book"/>
    <n v="10"/>
    <n v="924.25"/>
    <x v="12"/>
    <n v="8777.25"/>
    <n v="3626.02"/>
    <n v="85.57"/>
    <x v="2"/>
    <n v="4"/>
    <x v="0"/>
    <x v="0"/>
    <n v="10"/>
  </r>
  <r>
    <s v="ORD-01028"/>
    <d v="2021-04-11T00:00:00"/>
    <s v="CUST33135"/>
    <x v="193"/>
    <n v="40"/>
    <x v="1"/>
    <x v="2"/>
    <x v="3"/>
    <x v="12"/>
    <x v="2"/>
    <s v="Biography"/>
    <n v="9"/>
    <n v="910.81"/>
    <x v="31"/>
    <n v="8709.8799999999992"/>
    <n v="4127.79"/>
    <n v="59.89"/>
    <x v="5"/>
    <n v="4"/>
    <x v="0"/>
    <x v="0"/>
    <n v="9"/>
  </r>
  <r>
    <s v="ORD-00895"/>
    <d v="2021-02-06T00:00:00"/>
    <s v="CUST68309"/>
    <x v="167"/>
    <n v="19"/>
    <x v="3"/>
    <x v="0"/>
    <x v="1"/>
    <x v="6"/>
    <x v="1"/>
    <s v="Bookshelf"/>
    <n v="8"/>
    <n v="10068.23"/>
    <x v="11"/>
    <n v="63872.39"/>
    <n v="14763.69"/>
    <n v="69.23"/>
    <x v="2"/>
    <n v="3"/>
    <x v="0"/>
    <x v="0"/>
    <n v="9"/>
  </r>
  <r>
    <s v="ORD-03097"/>
    <d v="2023-08-30T00:00:00"/>
    <s v="CUST96631"/>
    <x v="173"/>
    <n v="26"/>
    <x v="0"/>
    <x v="2"/>
    <x v="2"/>
    <x v="4"/>
    <x v="0"/>
    <s v="Shampoo"/>
    <n v="6"/>
    <n v="398.85"/>
    <x v="2"/>
    <n v="2675.94"/>
    <n v="1500.2"/>
    <n v="56.56"/>
    <x v="5"/>
    <n v="2"/>
    <x v="0"/>
    <x v="0"/>
    <n v="10"/>
  </r>
  <r>
    <s v="ORD-03816"/>
    <d v="2024-07-18T00:00:00"/>
    <s v="CUST84507"/>
    <x v="255"/>
    <n v="43"/>
    <x v="1"/>
    <x v="2"/>
    <x v="0"/>
    <x v="1"/>
    <x v="3"/>
    <s v="Jeans"/>
    <n v="4"/>
    <n v="2908.06"/>
    <x v="1"/>
    <n v="14896.36"/>
    <n v="4991.17"/>
    <n v="65.75"/>
    <x v="2"/>
    <n v="5"/>
    <x v="0"/>
    <x v="0"/>
    <n v="8"/>
  </r>
  <r>
    <s v="ORD-03490"/>
    <d v="2024-02-26T00:00:00"/>
    <s v="CUST29539"/>
    <x v="278"/>
    <n v="50"/>
    <x v="1"/>
    <x v="1"/>
    <x v="3"/>
    <x v="16"/>
    <x v="6"/>
    <s v="Headphones"/>
    <n v="3"/>
    <n v="60157.14"/>
    <x v="29"/>
    <n v="169372.37"/>
    <n v="28219.11"/>
    <n v="69.5"/>
    <x v="2"/>
    <n v="4"/>
    <x v="0"/>
    <x v="0"/>
    <n v="7"/>
  </r>
  <r>
    <s v="ORD-02075"/>
    <d v="2022-07-04T00:00:00"/>
    <s v="CUST98678"/>
    <x v="316"/>
    <n v="63"/>
    <x v="2"/>
    <x v="1"/>
    <x v="0"/>
    <x v="2"/>
    <x v="6"/>
    <s v="Laptop"/>
    <n v="9"/>
    <n v="34736.78"/>
    <x v="17"/>
    <n v="281102.55"/>
    <n v="27723.9"/>
    <n v="59.96"/>
    <x v="0"/>
    <n v="3"/>
    <x v="0"/>
    <x v="0"/>
    <n v="4"/>
  </r>
  <r>
    <s v="ORD-00159"/>
    <d v="2020-03-07T00:00:00"/>
    <s v="CUST53040"/>
    <x v="327"/>
    <n v="32"/>
    <x v="0"/>
    <x v="1"/>
    <x v="1"/>
    <x v="3"/>
    <x v="4"/>
    <s v="Yoga Mat"/>
    <n v="8"/>
    <n v="6252.97"/>
    <x v="33"/>
    <n v="42140.22"/>
    <n v="7612.27"/>
    <n v="48.73"/>
    <x v="3"/>
    <n v="3"/>
    <x v="0"/>
    <x v="0"/>
    <n v="3"/>
  </r>
  <r>
    <s v="ORD-00486"/>
    <d v="2020-08-03T00:00:00"/>
    <s v="CUST70631"/>
    <x v="169"/>
    <n v="42"/>
    <x v="1"/>
    <x v="1"/>
    <x v="4"/>
    <x v="17"/>
    <x v="2"/>
    <s v="Comic Book"/>
    <n v="8"/>
    <n v="989.77"/>
    <x v="21"/>
    <n v="5866.43"/>
    <n v="2254.31"/>
    <n v="76.760000000000005"/>
    <x v="2"/>
    <n v="5"/>
    <x v="0"/>
    <x v="4"/>
    <n v="1"/>
  </r>
  <r>
    <s v="ORD-00348"/>
    <d v="2020-05-30T00:00:00"/>
    <s v="CUST36817"/>
    <x v="35"/>
    <n v="29"/>
    <x v="0"/>
    <x v="0"/>
    <x v="4"/>
    <x v="17"/>
    <x v="2"/>
    <s v="Biography"/>
    <n v="8"/>
    <n v="466.9"/>
    <x v="21"/>
    <n v="2857.33"/>
    <n v="1125"/>
    <n v="79.08"/>
    <x v="2"/>
    <n v="2"/>
    <x v="0"/>
    <x v="0"/>
    <n v="10"/>
  </r>
  <r>
    <s v="ORD-03138"/>
    <d v="2023-09-17T00:00:00"/>
    <s v="CUST63631"/>
    <x v="274"/>
    <n v="38"/>
    <x v="1"/>
    <x v="0"/>
    <x v="2"/>
    <x v="4"/>
    <x v="4"/>
    <s v="Dumbbells"/>
    <n v="4"/>
    <n v="3391.86"/>
    <x v="8"/>
    <n v="15450.95"/>
    <n v="3325.04"/>
    <n v="68.459999999999994"/>
    <x v="3"/>
    <n v="3"/>
    <x v="0"/>
    <x v="2"/>
    <n v="2"/>
  </r>
  <r>
    <s v="ORD-01347"/>
    <d v="2021-08-29T00:00:00"/>
    <s v="CUST43896"/>
    <x v="37"/>
    <n v="24"/>
    <x v="3"/>
    <x v="2"/>
    <x v="3"/>
    <x v="12"/>
    <x v="4"/>
    <s v="Tennis Racket"/>
    <n v="1"/>
    <n v="3087.59"/>
    <x v="16"/>
    <n v="3563.24"/>
    <n v="769.67"/>
    <n v="85.46"/>
    <x v="3"/>
    <n v="2"/>
    <x v="0"/>
    <x v="0"/>
    <n v="4"/>
  </r>
  <r>
    <s v="ORD-03544"/>
    <d v="2024-03-20T00:00:00"/>
    <s v="CUST29796"/>
    <x v="10"/>
    <n v="39"/>
    <x v="1"/>
    <x v="0"/>
    <x v="2"/>
    <x v="14"/>
    <x v="4"/>
    <s v="Cricket Bat"/>
    <n v="4"/>
    <n v="14899.55"/>
    <x v="32"/>
    <n v="60345.97"/>
    <n v="12084.3"/>
    <n v="21.44"/>
    <x v="2"/>
    <n v="4"/>
    <x v="0"/>
    <x v="0"/>
    <n v="7"/>
  </r>
  <r>
    <s v="ORD-03719"/>
    <d v="2024-06-10T00:00:00"/>
    <s v="CUST03355"/>
    <x v="169"/>
    <n v="43"/>
    <x v="1"/>
    <x v="0"/>
    <x v="4"/>
    <x v="17"/>
    <x v="4"/>
    <s v="Cricket Bat"/>
    <n v="2"/>
    <n v="3506.29"/>
    <x v="10"/>
    <n v="9018.0300000000007"/>
    <n v="1718.02"/>
    <n v="58.97"/>
    <x v="4"/>
    <n v="5"/>
    <x v="0"/>
    <x v="3"/>
    <n v="4"/>
  </r>
  <r>
    <s v="ORD-02654"/>
    <d v="2023-02-23T00:00:00"/>
    <s v="CUST39288"/>
    <x v="54"/>
    <n v="25"/>
    <x v="3"/>
    <x v="1"/>
    <x v="3"/>
    <x v="15"/>
    <x v="0"/>
    <s v="Shampoo"/>
    <n v="5"/>
    <n v="259.07"/>
    <x v="4"/>
    <n v="1306.8599999999999"/>
    <n v="672.76"/>
    <n v="91.02"/>
    <x v="4"/>
    <n v="5"/>
    <x v="0"/>
    <x v="0"/>
    <n v="9"/>
  </r>
  <r>
    <s v="ORD-02687"/>
    <d v="2023-03-12T00:00:00"/>
    <s v="CUST74163"/>
    <x v="72"/>
    <n v="24"/>
    <x v="3"/>
    <x v="2"/>
    <x v="1"/>
    <x v="3"/>
    <x v="3"/>
    <s v="Saree"/>
    <n v="3"/>
    <n v="1200.51"/>
    <x v="17"/>
    <n v="2711.94"/>
    <n v="952.86"/>
    <n v="10.029999999999999"/>
    <x v="0"/>
    <n v="3"/>
    <x v="0"/>
    <x v="0"/>
    <n v="5"/>
  </r>
  <r>
    <s v="ORD-00801"/>
    <d v="2020-12-30T00:00:00"/>
    <s v="CUST09674"/>
    <x v="73"/>
    <n v="20"/>
    <x v="3"/>
    <x v="0"/>
    <x v="0"/>
    <x v="0"/>
    <x v="3"/>
    <s v="T-Shirt"/>
    <n v="4"/>
    <n v="3596.85"/>
    <x v="15"/>
    <n v="7577.9"/>
    <n v="2505.62"/>
    <n v="61.39"/>
    <x v="0"/>
    <n v="1"/>
    <x v="1"/>
    <x v="1"/>
    <n v="7"/>
  </r>
  <r>
    <s v="ORD-01572"/>
    <d v="2021-12-03T00:00:00"/>
    <s v="CUST23827"/>
    <x v="232"/>
    <n v="24"/>
    <x v="3"/>
    <x v="2"/>
    <x v="1"/>
    <x v="6"/>
    <x v="3"/>
    <s v="Jacket"/>
    <n v="7"/>
    <n v="2400.11"/>
    <x v="7"/>
    <n v="9585.11"/>
    <n v="3359.68"/>
    <n v="55.43"/>
    <x v="4"/>
    <n v="2"/>
    <x v="0"/>
    <x v="0"/>
    <n v="10"/>
  </r>
  <r>
    <s v="ORD-02756"/>
    <d v="2023-08-04T00:00:00"/>
    <s v="CUST40199"/>
    <x v="284"/>
    <n v="33"/>
    <x v="0"/>
    <x v="0"/>
    <x v="0"/>
    <x v="19"/>
    <x v="3"/>
    <s v="T-Shirt"/>
    <n v="3"/>
    <n v="2494.29"/>
    <x v="39"/>
    <n v="9558.85"/>
    <n v="3760.45"/>
    <n v="54.2"/>
    <x v="2"/>
    <n v="3"/>
    <x v="0"/>
    <x v="0"/>
    <n v="8"/>
  </r>
  <r>
    <s v="ORD-03626"/>
    <d v="2024-04-26T00:00:00"/>
    <s v="CUST12779"/>
    <x v="33"/>
    <n v="25"/>
    <x v="3"/>
    <x v="2"/>
    <x v="3"/>
    <x v="15"/>
    <x v="6"/>
    <s v="Camera"/>
    <n v="2"/>
    <n v="36881.480000000003"/>
    <x v="5"/>
    <n v="101185.85"/>
    <n v="16236.72"/>
    <n v="67.63"/>
    <x v="1"/>
    <n v="4"/>
    <x v="0"/>
    <x v="0"/>
    <n v="8"/>
  </r>
  <r>
    <s v="ORD-00207"/>
    <d v="2020-04-01T00:00:00"/>
    <s v="CUST97019"/>
    <x v="328"/>
    <n v="31"/>
    <x v="0"/>
    <x v="0"/>
    <x v="2"/>
    <x v="13"/>
    <x v="0"/>
    <s v="Shampoo"/>
    <n v="4"/>
    <n v="2105.61"/>
    <x v="6"/>
    <n v="5688.97"/>
    <n v="2865.09"/>
    <n v="70.930000000000007"/>
    <x v="4"/>
    <n v="4"/>
    <x v="0"/>
    <x v="0"/>
    <n v="6"/>
  </r>
  <r>
    <s v="ORD-03929"/>
    <d v="2024-08-23T00:00:00"/>
    <s v="CUST39906"/>
    <x v="92"/>
    <n v="33"/>
    <x v="0"/>
    <x v="0"/>
    <x v="4"/>
    <x v="18"/>
    <x v="2"/>
    <s v="Fiction Novel"/>
    <n v="1"/>
    <n v="1473.01"/>
    <x v="34"/>
    <n v="1432.65"/>
    <n v="578.62"/>
    <n v="72.78"/>
    <x v="4"/>
    <n v="3"/>
    <x v="0"/>
    <x v="0"/>
    <n v="1"/>
  </r>
  <r>
    <s v="ORD-00686"/>
    <d v="2020-11-07T00:00:00"/>
    <s v="CUST38079"/>
    <x v="181"/>
    <n v="23"/>
    <x v="3"/>
    <x v="2"/>
    <x v="1"/>
    <x v="3"/>
    <x v="2"/>
    <s v="Cook Book"/>
    <n v="2"/>
    <n v="1020.32"/>
    <x v="40"/>
    <n v="969.44"/>
    <n v="436.92"/>
    <n v="35.61"/>
    <x v="0"/>
    <n v="4"/>
    <x v="0"/>
    <x v="0"/>
    <n v="5"/>
  </r>
  <r>
    <s v="ORD-00029"/>
    <d v="2020-01-11T00:00:00"/>
    <s v="CUST78062"/>
    <x v="277"/>
    <n v="29"/>
    <x v="0"/>
    <x v="1"/>
    <x v="0"/>
    <x v="2"/>
    <x v="3"/>
    <s v="Jeans"/>
    <n v="8"/>
    <n v="2738.08"/>
    <x v="8"/>
    <n v="15129.46"/>
    <n v="7413.18"/>
    <n v="61.16"/>
    <x v="0"/>
    <n v="1"/>
    <x v="0"/>
    <x v="0"/>
    <n v="9"/>
  </r>
  <r>
    <s v="ORD-01666"/>
    <d v="2022-01-13T00:00:00"/>
    <s v="CUST87705"/>
    <x v="262"/>
    <n v="35"/>
    <x v="0"/>
    <x v="1"/>
    <x v="2"/>
    <x v="14"/>
    <x v="6"/>
    <s v="Camera"/>
    <n v="5"/>
    <n v="49380.11"/>
    <x v="26"/>
    <n v="163008.07999999999"/>
    <n v="20346.12"/>
    <n v="62.16"/>
    <x v="5"/>
    <n v="2"/>
    <x v="0"/>
    <x v="0"/>
    <n v="8"/>
  </r>
  <r>
    <s v="ORD-00265"/>
    <d v="2020-04-26T00:00:00"/>
    <s v="CUST32861"/>
    <x v="38"/>
    <n v="36"/>
    <x v="1"/>
    <x v="1"/>
    <x v="3"/>
    <x v="12"/>
    <x v="4"/>
    <s v="Cricket Bat"/>
    <n v="9"/>
    <n v="12444.32"/>
    <x v="9"/>
    <n v="106749.94"/>
    <n v="24509.37"/>
    <n v="90.94"/>
    <x v="4"/>
    <n v="4"/>
    <x v="0"/>
    <x v="2"/>
    <n v="9"/>
  </r>
  <r>
    <s v="ORD-03060"/>
    <d v="2023-08-17T00:00:00"/>
    <s v="CUST71865"/>
    <x v="85"/>
    <n v="19"/>
    <x v="3"/>
    <x v="2"/>
    <x v="1"/>
    <x v="3"/>
    <x v="0"/>
    <s v="Shampoo"/>
    <n v="7"/>
    <n v="100.31"/>
    <x v="21"/>
    <n v="600.84"/>
    <n v="277.58"/>
    <n v="67.27"/>
    <x v="0"/>
    <n v="1"/>
    <x v="0"/>
    <x v="3"/>
    <n v="9"/>
  </r>
  <r>
    <s v="ORD-04134"/>
    <d v="2024-12-02T00:00:00"/>
    <s v="CUST52437"/>
    <x v="329"/>
    <n v="24"/>
    <x v="3"/>
    <x v="2"/>
    <x v="3"/>
    <x v="5"/>
    <x v="1"/>
    <s v="Wardrobe"/>
    <n v="5"/>
    <n v="14663.57"/>
    <x v="40"/>
    <n v="43871.43"/>
    <n v="8682.18"/>
    <n v="101.24"/>
    <x v="3"/>
    <n v="4"/>
    <x v="0"/>
    <x v="0"/>
    <n v="3"/>
  </r>
  <r>
    <s v="ORD-02567"/>
    <d v="2023-01-17T00:00:00"/>
    <s v="CUST46311"/>
    <x v="53"/>
    <n v="21"/>
    <x v="3"/>
    <x v="2"/>
    <x v="2"/>
    <x v="9"/>
    <x v="5"/>
    <s v="Tea"/>
    <n v="1"/>
    <n v="235.69"/>
    <x v="23"/>
    <n v="145.65"/>
    <n v="13.54"/>
    <n v="59.77"/>
    <x v="1"/>
    <n v="5"/>
    <x v="0"/>
    <x v="0"/>
    <n v="3"/>
  </r>
  <r>
    <s v="ORD-00021"/>
    <d v="2020-01-08T00:00:00"/>
    <s v="CUST80727"/>
    <x v="74"/>
    <n v="49"/>
    <x v="1"/>
    <x v="1"/>
    <x v="2"/>
    <x v="4"/>
    <x v="4"/>
    <s v="Cycle"/>
    <n v="10"/>
    <n v="510.46"/>
    <x v="30"/>
    <n v="3117.15"/>
    <n v="595.15"/>
    <n v="69.010000000000005"/>
    <x v="1"/>
    <n v="4"/>
    <x v="0"/>
    <x v="0"/>
    <n v="3"/>
  </r>
  <r>
    <s v="ORD-02242"/>
    <d v="2022-09-04T00:00:00"/>
    <s v="CUST95868"/>
    <x v="300"/>
    <n v="31"/>
    <x v="0"/>
    <x v="2"/>
    <x v="4"/>
    <x v="18"/>
    <x v="1"/>
    <s v="Wardrobe"/>
    <n v="8"/>
    <n v="4977.01"/>
    <x v="12"/>
    <n v="33795.379999999997"/>
    <n v="9634.2000000000007"/>
    <n v="84.09"/>
    <x v="4"/>
    <n v="4"/>
    <x v="0"/>
    <x v="0"/>
    <n v="8"/>
  </r>
  <r>
    <s v="ORD-04147"/>
    <d v="2024-12-06T00:00:00"/>
    <s v="CUST95344"/>
    <x v="138"/>
    <n v="32"/>
    <x v="0"/>
    <x v="1"/>
    <x v="0"/>
    <x v="1"/>
    <x v="0"/>
    <s v="Lipstick"/>
    <n v="8"/>
    <n v="1064.92"/>
    <x v="6"/>
    <n v="5754.84"/>
    <n v="2941.97"/>
    <n v="55.05"/>
    <x v="2"/>
    <n v="5"/>
    <x v="0"/>
    <x v="0"/>
    <n v="5"/>
  </r>
  <r>
    <s v="ORD-00668"/>
    <d v="2020-10-29T00:00:00"/>
    <s v="CUST19944"/>
    <x v="259"/>
    <n v="21"/>
    <x v="3"/>
    <x v="1"/>
    <x v="0"/>
    <x v="1"/>
    <x v="6"/>
    <s v="Tablet"/>
    <n v="3"/>
    <n v="14080.67"/>
    <x v="21"/>
    <n v="17734.88"/>
    <n v="1519.64"/>
    <n v="63.63"/>
    <x v="3"/>
    <n v="2"/>
    <x v="1"/>
    <x v="1"/>
    <n v="7"/>
  </r>
  <r>
    <s v="ORD-02934"/>
    <d v="2023-06-27T00:00:00"/>
    <s v="CUST34229"/>
    <x v="8"/>
    <n v="50"/>
    <x v="1"/>
    <x v="2"/>
    <x v="2"/>
    <x v="13"/>
    <x v="4"/>
    <s v="Football"/>
    <n v="9"/>
    <n v="13111.09"/>
    <x v="10"/>
    <n v="128078.44"/>
    <n v="31164.9"/>
    <n v="62.85"/>
    <x v="5"/>
    <n v="3"/>
    <x v="0"/>
    <x v="0"/>
    <n v="9"/>
  </r>
  <r>
    <s v="ORD-02266"/>
    <d v="2022-09-12T00:00:00"/>
    <s v="CUST21061"/>
    <x v="311"/>
    <n v="23"/>
    <x v="3"/>
    <x v="1"/>
    <x v="0"/>
    <x v="1"/>
    <x v="0"/>
    <s v="Shampoo"/>
    <n v="10"/>
    <n v="767.55"/>
    <x v="34"/>
    <n v="6213.65"/>
    <n v="2480.34"/>
    <n v="45.37"/>
    <x v="2"/>
    <n v="4"/>
    <x v="0"/>
    <x v="0"/>
    <n v="5"/>
  </r>
  <r>
    <s v="ORD-04076"/>
    <d v="2024-11-01T00:00:00"/>
    <s v="CUST95354"/>
    <x v="330"/>
    <n v="57"/>
    <x v="2"/>
    <x v="2"/>
    <x v="3"/>
    <x v="15"/>
    <x v="0"/>
    <s v="Lipstick"/>
    <n v="7"/>
    <n v="680.72"/>
    <x v="0"/>
    <n v="3896.02"/>
    <n v="1700.03"/>
    <n v="71.25"/>
    <x v="5"/>
    <n v="5"/>
    <x v="0"/>
    <x v="0"/>
    <n v="2"/>
  </r>
  <r>
    <s v="ORD-03563"/>
    <d v="2024-03-28T00:00:00"/>
    <s v="CUST46277"/>
    <x v="157"/>
    <n v="30"/>
    <x v="0"/>
    <x v="1"/>
    <x v="0"/>
    <x v="19"/>
    <x v="1"/>
    <s v="Chair"/>
    <n v="8"/>
    <n v="32965.83"/>
    <x v="11"/>
    <n v="300897.34999999998"/>
    <n v="94953.31"/>
    <n v="68.39"/>
    <x v="0"/>
    <n v="5"/>
    <x v="0"/>
    <x v="0"/>
    <n v="10"/>
  </r>
  <r>
    <s v="ORD-02321"/>
    <d v="2022-10-05T00:00:00"/>
    <s v="CUST59579"/>
    <x v="99"/>
    <n v="47"/>
    <x v="1"/>
    <x v="0"/>
    <x v="1"/>
    <x v="11"/>
    <x v="0"/>
    <s v="Hair Oil"/>
    <n v="9"/>
    <n v="2425.6799999999998"/>
    <x v="31"/>
    <n v="13573.13"/>
    <n v="3678.22"/>
    <n v="64.69"/>
    <x v="4"/>
    <n v="1"/>
    <x v="0"/>
    <x v="0"/>
    <n v="9"/>
  </r>
  <r>
    <s v="ORD-03945"/>
    <d v="2024-08-28T00:00:00"/>
    <s v="CUST92249"/>
    <x v="234"/>
    <n v="36"/>
    <x v="1"/>
    <x v="2"/>
    <x v="4"/>
    <x v="8"/>
    <x v="5"/>
    <s v="Flour"/>
    <n v="2"/>
    <n v="483.36"/>
    <x v="1"/>
    <n v="1284.6300000000001"/>
    <n v="91.4"/>
    <n v="55.77"/>
    <x v="4"/>
    <n v="4"/>
    <x v="0"/>
    <x v="0"/>
    <n v="8"/>
  </r>
  <r>
    <s v="ORD-01563"/>
    <d v="2021-11-30T00:00:00"/>
    <s v="CUST36817"/>
    <x v="93"/>
    <n v="41"/>
    <x v="1"/>
    <x v="1"/>
    <x v="3"/>
    <x v="12"/>
    <x v="2"/>
    <s v="Self-Help Book"/>
    <n v="9"/>
    <n v="433.76"/>
    <x v="30"/>
    <n v="1929.18"/>
    <n v="781.78"/>
    <n v="97.16"/>
    <x v="1"/>
    <n v="4"/>
    <x v="0"/>
    <x v="2"/>
    <n v="2"/>
  </r>
  <r>
    <s v="ORD-00545"/>
    <d v="2020-08-29T00:00:00"/>
    <s v="CUST34020"/>
    <x v="151"/>
    <n v="19"/>
    <x v="3"/>
    <x v="0"/>
    <x v="3"/>
    <x v="12"/>
    <x v="6"/>
    <s v="Smartwatch"/>
    <n v="3"/>
    <n v="17253.63"/>
    <x v="28"/>
    <n v="55070.91"/>
    <n v="5633.84"/>
    <n v="79.989999999999995"/>
    <x v="5"/>
    <n v="5"/>
    <x v="0"/>
    <x v="0"/>
    <n v="6"/>
  </r>
  <r>
    <s v="ORD-00909"/>
    <d v="2021-02-10T00:00:00"/>
    <s v="CUST63944"/>
    <x v="278"/>
    <n v="23"/>
    <x v="3"/>
    <x v="1"/>
    <x v="0"/>
    <x v="19"/>
    <x v="6"/>
    <s v="Smartphone"/>
    <n v="7"/>
    <n v="60825.33"/>
    <x v="40"/>
    <n v="203704.25"/>
    <n v="27664.1"/>
    <n v="67.78"/>
    <x v="1"/>
    <n v="1"/>
    <x v="0"/>
    <x v="0"/>
    <n v="8"/>
  </r>
  <r>
    <s v="ORD-03437"/>
    <d v="2024-01-30T00:00:00"/>
    <s v="CUST14095"/>
    <x v="133"/>
    <n v="24"/>
    <x v="3"/>
    <x v="2"/>
    <x v="3"/>
    <x v="12"/>
    <x v="0"/>
    <s v="Sunscreen"/>
    <n v="8"/>
    <n v="1335.64"/>
    <x v="23"/>
    <n v="7442.31"/>
    <n v="2973.2"/>
    <n v="94.12"/>
    <x v="5"/>
    <n v="1"/>
    <x v="0"/>
    <x v="3"/>
    <n v="6"/>
  </r>
  <r>
    <s v="ORD-02631"/>
    <d v="2023-02-15T00:00:00"/>
    <s v="CUST32596"/>
    <x v="263"/>
    <n v="27"/>
    <x v="0"/>
    <x v="2"/>
    <x v="0"/>
    <x v="1"/>
    <x v="3"/>
    <s v="Dress"/>
    <n v="7"/>
    <n v="668.17"/>
    <x v="32"/>
    <n v="4502.68"/>
    <n v="1133.27"/>
    <n v="38.590000000000003"/>
    <x v="4"/>
    <n v="5"/>
    <x v="0"/>
    <x v="0"/>
    <n v="8"/>
  </r>
  <r>
    <s v="ORD-00525"/>
    <d v="2020-08-20T00:00:00"/>
    <s v="CUST73074"/>
    <x v="235"/>
    <n v="33"/>
    <x v="0"/>
    <x v="2"/>
    <x v="4"/>
    <x v="17"/>
    <x v="3"/>
    <s v="Jacket"/>
    <n v="1"/>
    <n v="392.55"/>
    <x v="16"/>
    <n v="420.97"/>
    <n v="161.71"/>
    <n v="71.09"/>
    <x v="3"/>
    <n v="5"/>
    <x v="0"/>
    <x v="4"/>
    <n v="4"/>
  </r>
  <r>
    <s v="ORD-02703"/>
    <d v="2023-03-16T00:00:00"/>
    <s v="CUST53601"/>
    <x v="331"/>
    <n v="35"/>
    <x v="0"/>
    <x v="1"/>
    <x v="1"/>
    <x v="11"/>
    <x v="2"/>
    <s v="Cook Book"/>
    <n v="8"/>
    <n v="600.71"/>
    <x v="2"/>
    <n v="4278.59"/>
    <n v="1539.55"/>
    <n v="24.97"/>
    <x v="0"/>
    <n v="1"/>
    <x v="0"/>
    <x v="0"/>
    <n v="9"/>
  </r>
  <r>
    <s v="ORD-04083"/>
    <d v="2024-11-06T00:00:00"/>
    <s v="CUST32744"/>
    <x v="123"/>
    <n v="37"/>
    <x v="1"/>
    <x v="0"/>
    <x v="1"/>
    <x v="6"/>
    <x v="1"/>
    <s v="Wardrobe"/>
    <n v="5"/>
    <n v="2536.86"/>
    <x v="21"/>
    <n v="7801.91"/>
    <n v="1900.47"/>
    <n v="68.13"/>
    <x v="0"/>
    <n v="2"/>
    <x v="0"/>
    <x v="2"/>
    <n v="7"/>
  </r>
  <r>
    <s v="ORD-02199"/>
    <d v="2022-08-16T00:00:00"/>
    <s v="CUST65100"/>
    <x v="332"/>
    <n v="41"/>
    <x v="1"/>
    <x v="2"/>
    <x v="3"/>
    <x v="16"/>
    <x v="2"/>
    <s v="Fiction Novel"/>
    <n v="2"/>
    <n v="244.36"/>
    <x v="9"/>
    <n v="485.28"/>
    <n v="192.95"/>
    <n v="79.16"/>
    <x v="2"/>
    <n v="2"/>
    <x v="0"/>
    <x v="4"/>
    <n v="2"/>
  </r>
  <r>
    <s v="ORD-00901"/>
    <d v="2021-02-08T00:00:00"/>
    <s v="CUST88807"/>
    <x v="164"/>
    <n v="30"/>
    <x v="0"/>
    <x v="0"/>
    <x v="0"/>
    <x v="2"/>
    <x v="2"/>
    <s v="Fiction Novel"/>
    <n v="2"/>
    <n v="583.34"/>
    <x v="27"/>
    <n v="678.92"/>
    <n v="261.88"/>
    <n v="72.31"/>
    <x v="2"/>
    <n v="5"/>
    <x v="0"/>
    <x v="0"/>
    <n v="5"/>
  </r>
  <r>
    <s v="ORD-04149"/>
    <d v="2024-12-07T00:00:00"/>
    <s v="CUST54782"/>
    <x v="272"/>
    <n v="37"/>
    <x v="1"/>
    <x v="2"/>
    <x v="1"/>
    <x v="11"/>
    <x v="2"/>
    <s v="Textbook"/>
    <n v="8"/>
    <n v="519.04999999999995"/>
    <x v="30"/>
    <n v="2627.87"/>
    <n v="1117.94"/>
    <n v="51.28"/>
    <x v="0"/>
    <n v="2"/>
    <x v="0"/>
    <x v="0"/>
    <n v="10"/>
  </r>
  <r>
    <s v="ORD-00638"/>
    <d v="2020-12-10T00:00:00"/>
    <s v="CUST17767"/>
    <x v="32"/>
    <n v="37"/>
    <x v="1"/>
    <x v="2"/>
    <x v="3"/>
    <x v="5"/>
    <x v="6"/>
    <s v="Smartwatch"/>
    <n v="10"/>
    <n v="23990.02"/>
    <x v="38"/>
    <n v="188453.46"/>
    <n v="26897.47"/>
    <n v="73.319999999999993"/>
    <x v="2"/>
    <n v="4"/>
    <x v="0"/>
    <x v="0"/>
    <n v="8"/>
  </r>
  <r>
    <s v="ORD-00010"/>
    <d v="2020-03-01T00:00:00"/>
    <s v="CUST07407"/>
    <x v="232"/>
    <n v="26"/>
    <x v="0"/>
    <x v="1"/>
    <x v="4"/>
    <x v="17"/>
    <x v="3"/>
    <s v="Jacket"/>
    <n v="1"/>
    <n v="1792.52"/>
    <x v="22"/>
    <n v="862.61"/>
    <n v="322.56"/>
    <n v="69.84"/>
    <x v="1"/>
    <n v="4"/>
    <x v="1"/>
    <x v="1"/>
    <n v="8"/>
  </r>
  <r>
    <s v="ORD-01250"/>
    <d v="2021-07-17T00:00:00"/>
    <s v="CUST20121"/>
    <x v="26"/>
    <n v="39"/>
    <x v="1"/>
    <x v="1"/>
    <x v="3"/>
    <x v="5"/>
    <x v="1"/>
    <s v="Bed Frame"/>
    <n v="2"/>
    <n v="9066.85"/>
    <x v="25"/>
    <n v="13846.15"/>
    <n v="3812.64"/>
    <n v="91.56"/>
    <x v="1"/>
    <n v="1"/>
    <x v="0"/>
    <x v="0"/>
    <n v="9"/>
  </r>
  <r>
    <s v="ORD-01550"/>
    <d v="2021-11-27T00:00:00"/>
    <s v="CUST66901"/>
    <x v="87"/>
    <n v="35"/>
    <x v="0"/>
    <x v="2"/>
    <x v="0"/>
    <x v="0"/>
    <x v="4"/>
    <s v="Football"/>
    <n v="9"/>
    <n v="13211.32"/>
    <x v="2"/>
    <n v="81467.429999999993"/>
    <n v="18155"/>
    <n v="52.32"/>
    <x v="4"/>
    <n v="3"/>
    <x v="0"/>
    <x v="0"/>
    <n v="5"/>
  </r>
  <r>
    <s v="ORD-03192"/>
    <d v="2023-10-14T00:00:00"/>
    <s v="CUST23779"/>
    <x v="57"/>
    <n v="39"/>
    <x v="1"/>
    <x v="0"/>
    <x v="2"/>
    <x v="14"/>
    <x v="4"/>
    <s v="Football"/>
    <n v="9"/>
    <n v="9769.82"/>
    <x v="18"/>
    <n v="64012.37"/>
    <n v="13161.33"/>
    <n v="50.8"/>
    <x v="5"/>
    <n v="4"/>
    <x v="0"/>
    <x v="0"/>
    <n v="6"/>
  </r>
  <r>
    <s v="ORD-01356"/>
    <d v="2021-09-03T00:00:00"/>
    <s v="CUST36316"/>
    <x v="172"/>
    <n v="44"/>
    <x v="1"/>
    <x v="1"/>
    <x v="1"/>
    <x v="10"/>
    <x v="4"/>
    <s v="Yoga Mat"/>
    <n v="5"/>
    <n v="9013.26"/>
    <x v="12"/>
    <n v="36168.33"/>
    <n v="10509.8"/>
    <n v="35.94"/>
    <x v="4"/>
    <n v="5"/>
    <x v="0"/>
    <x v="3"/>
    <n v="7"/>
  </r>
  <r>
    <s v="ORD-00789"/>
    <d v="2020-12-26T00:00:00"/>
    <s v="CUST67387"/>
    <x v="160"/>
    <n v="41"/>
    <x v="1"/>
    <x v="0"/>
    <x v="2"/>
    <x v="9"/>
    <x v="0"/>
    <s v="Lipstick"/>
    <n v="4"/>
    <n v="2326.66"/>
    <x v="32"/>
    <n v="5850.88"/>
    <n v="3176.85"/>
    <n v="61.42"/>
    <x v="4"/>
    <n v="5"/>
    <x v="0"/>
    <x v="3"/>
    <n v="10"/>
  </r>
  <r>
    <s v="ORD-03113"/>
    <d v="2023-09-07T00:00:00"/>
    <s v="CUST73185"/>
    <x v="333"/>
    <n v="29"/>
    <x v="0"/>
    <x v="0"/>
    <x v="2"/>
    <x v="14"/>
    <x v="3"/>
    <s v="T-Shirt"/>
    <n v="3"/>
    <n v="3741.92"/>
    <x v="11"/>
    <n v="11519.71"/>
    <n v="2740.01"/>
    <n v="58.8"/>
    <x v="2"/>
    <n v="4"/>
    <x v="0"/>
    <x v="2"/>
    <n v="1"/>
  </r>
  <r>
    <s v="ORD-03918"/>
    <d v="2024-08-20T00:00:00"/>
    <s v="CUST09195"/>
    <x v="334"/>
    <n v="30"/>
    <x v="0"/>
    <x v="0"/>
    <x v="1"/>
    <x v="6"/>
    <x v="3"/>
    <s v="Jeans"/>
    <n v="5"/>
    <n v="1293.07"/>
    <x v="6"/>
    <n v="6223.33"/>
    <n v="2335.41"/>
    <n v="34.43"/>
    <x v="4"/>
    <n v="4"/>
    <x v="0"/>
    <x v="0"/>
    <n v="9"/>
  </r>
  <r>
    <s v="ORD-00952"/>
    <d v="2021-03-07T00:00:00"/>
    <s v="CUST97126"/>
    <x v="254"/>
    <n v="28"/>
    <x v="0"/>
    <x v="0"/>
    <x v="3"/>
    <x v="16"/>
    <x v="4"/>
    <s v="Yoga Mat"/>
    <n v="9"/>
    <n v="6483.35"/>
    <x v="37"/>
    <n v="52222.52"/>
    <n v="13820.97"/>
    <n v="74.83"/>
    <x v="4"/>
    <n v="4"/>
    <x v="0"/>
    <x v="0"/>
    <n v="2"/>
  </r>
  <r>
    <s v="ORD-00512"/>
    <d v="2020-08-14T00:00:00"/>
    <s v="CUST98505"/>
    <x v="136"/>
    <n v="27"/>
    <x v="0"/>
    <x v="2"/>
    <x v="3"/>
    <x v="12"/>
    <x v="0"/>
    <s v="Face Cream"/>
    <n v="2"/>
    <n v="1236.47"/>
    <x v="1"/>
    <n v="2416.41"/>
    <n v="1007.86"/>
    <n v="85.88"/>
    <x v="4"/>
    <n v="3"/>
    <x v="0"/>
    <x v="0"/>
    <n v="8"/>
  </r>
  <r>
    <s v="ORD-01236"/>
    <d v="2021-07-12T00:00:00"/>
    <s v="CUST30009"/>
    <x v="152"/>
    <n v="30"/>
    <x v="0"/>
    <x v="0"/>
    <x v="0"/>
    <x v="2"/>
    <x v="0"/>
    <s v="Shampoo"/>
    <n v="7"/>
    <n v="1236.43"/>
    <x v="8"/>
    <n v="10957.9"/>
    <n v="4556.58"/>
    <n v="72.78"/>
    <x v="0"/>
    <n v="2"/>
    <x v="0"/>
    <x v="0"/>
    <n v="7"/>
  </r>
  <r>
    <s v="ORD-01618"/>
    <d v="2021-12-25T00:00:00"/>
    <s v="CUST82777"/>
    <x v="216"/>
    <n v="53"/>
    <x v="2"/>
    <x v="2"/>
    <x v="0"/>
    <x v="0"/>
    <x v="4"/>
    <s v="Dumbbells"/>
    <n v="5"/>
    <n v="7179.94"/>
    <x v="35"/>
    <n v="21400.720000000001"/>
    <n v="2403.1999999999998"/>
    <n v="65.86"/>
    <x v="0"/>
    <n v="2"/>
    <x v="0"/>
    <x v="0"/>
    <n v="8"/>
  </r>
  <r>
    <s v="ORD-03286"/>
    <d v="2023-11-19T00:00:00"/>
    <s v="CUST81972"/>
    <x v="47"/>
    <n v="32"/>
    <x v="0"/>
    <x v="0"/>
    <x v="3"/>
    <x v="15"/>
    <x v="3"/>
    <s v="Jacket"/>
    <n v="8"/>
    <n v="2288.2600000000002"/>
    <x v="3"/>
    <n v="12023.58"/>
    <n v="4024.97"/>
    <n v="89.83"/>
    <x v="0"/>
    <n v="2"/>
    <x v="0"/>
    <x v="0"/>
    <n v="1"/>
  </r>
  <r>
    <s v="ORD-02164"/>
    <d v="2022-08-06T00:00:00"/>
    <s v="CUST84076"/>
    <x v="289"/>
    <n v="20"/>
    <x v="3"/>
    <x v="0"/>
    <x v="3"/>
    <x v="12"/>
    <x v="2"/>
    <s v="Self-Help Book"/>
    <n v="4"/>
    <n v="529.17999999999995"/>
    <x v="6"/>
    <n v="1721.22"/>
    <n v="611.14"/>
    <n v="96.64"/>
    <x v="4"/>
    <n v="5"/>
    <x v="0"/>
    <x v="0"/>
    <n v="8"/>
  </r>
  <r>
    <s v="ORD-03645"/>
    <d v="2024-05-04T00:00:00"/>
    <s v="CUST40711"/>
    <x v="329"/>
    <n v="33"/>
    <x v="0"/>
    <x v="1"/>
    <x v="1"/>
    <x v="3"/>
    <x v="5"/>
    <s v="Cooking Oil"/>
    <n v="4"/>
    <n v="413.23"/>
    <x v="31"/>
    <n v="2226.94"/>
    <n v="97.94"/>
    <n v="29.46"/>
    <x v="1"/>
    <n v="4"/>
    <x v="0"/>
    <x v="0"/>
    <n v="9"/>
  </r>
  <r>
    <s v="ORD-01602"/>
    <d v="2021-12-15T00:00:00"/>
    <s v="CUST98061"/>
    <x v="68"/>
    <n v="41"/>
    <x v="1"/>
    <x v="1"/>
    <x v="3"/>
    <x v="12"/>
    <x v="5"/>
    <s v="Tea"/>
    <n v="5"/>
    <n v="273.75"/>
    <x v="28"/>
    <n v="1113.01"/>
    <n v="84.56"/>
    <n v="81.92"/>
    <x v="0"/>
    <n v="1"/>
    <x v="0"/>
    <x v="0"/>
    <n v="5"/>
  </r>
  <r>
    <s v="ORD-02308"/>
    <d v="2022-09-30T00:00:00"/>
    <s v="CUST13492"/>
    <x v="86"/>
    <n v="35"/>
    <x v="0"/>
    <x v="2"/>
    <x v="2"/>
    <x v="9"/>
    <x v="2"/>
    <s v="Self-Help Book"/>
    <n v="4"/>
    <n v="288.41000000000003"/>
    <x v="38"/>
    <n v="1085.19"/>
    <n v="430.86"/>
    <n v="39.44"/>
    <x v="0"/>
    <n v="5"/>
    <x v="1"/>
    <x v="1"/>
    <n v="1"/>
  </r>
  <r>
    <s v="ORD-03457"/>
    <d v="2024-02-08T00:00:00"/>
    <s v="CUST62784"/>
    <x v="23"/>
    <n v="27"/>
    <x v="0"/>
    <x v="0"/>
    <x v="3"/>
    <x v="16"/>
    <x v="2"/>
    <s v="Cook Book"/>
    <n v="5"/>
    <n v="219.86"/>
    <x v="26"/>
    <n v="937.39"/>
    <n v="344.23"/>
    <n v="95.23"/>
    <x v="2"/>
    <n v="1"/>
    <x v="0"/>
    <x v="0"/>
    <n v="10"/>
  </r>
  <r>
    <s v="ORD-03725"/>
    <d v="2024-06-13T00:00:00"/>
    <s v="CUST34762"/>
    <x v="5"/>
    <n v="51"/>
    <x v="2"/>
    <x v="0"/>
    <x v="3"/>
    <x v="12"/>
    <x v="6"/>
    <s v="Headphones"/>
    <n v="3"/>
    <n v="45977.54"/>
    <x v="17"/>
    <n v="157351.1"/>
    <n v="16766.5"/>
    <n v="89.69"/>
    <x v="2"/>
    <n v="5"/>
    <x v="0"/>
    <x v="0"/>
    <n v="9"/>
  </r>
  <r>
    <s v="ORD-00240"/>
    <d v="2020-04-14T00:00:00"/>
    <s v="CUST66088"/>
    <x v="74"/>
    <n v="18"/>
    <x v="3"/>
    <x v="1"/>
    <x v="4"/>
    <x v="7"/>
    <x v="4"/>
    <s v="Dumbbells"/>
    <n v="4"/>
    <n v="11868.91"/>
    <x v="36"/>
    <n v="43004.45"/>
    <n v="13078.71"/>
    <n v="70.61"/>
    <x v="1"/>
    <n v="3"/>
    <x v="0"/>
    <x v="0"/>
    <n v="6"/>
  </r>
  <r>
    <s v="ORD-01538"/>
    <d v="2021-11-20T00:00:00"/>
    <s v="CUST30276"/>
    <x v="190"/>
    <n v="20"/>
    <x v="3"/>
    <x v="1"/>
    <x v="3"/>
    <x v="12"/>
    <x v="6"/>
    <s v="Smartphone"/>
    <n v="8"/>
    <n v="72878.210000000006"/>
    <x v="29"/>
    <n v="377991.95"/>
    <n v="53581.94"/>
    <n v="69.63"/>
    <x v="3"/>
    <n v="3"/>
    <x v="0"/>
    <x v="0"/>
    <n v="7"/>
  </r>
  <r>
    <s v="ORD-00246"/>
    <d v="2020-04-18T00:00:00"/>
    <s v="CUST40327"/>
    <x v="105"/>
    <n v="60"/>
    <x v="2"/>
    <x v="0"/>
    <x v="1"/>
    <x v="10"/>
    <x v="0"/>
    <s v="Sunscreen"/>
    <n v="8"/>
    <n v="336.17"/>
    <x v="20"/>
    <n v="2459.79"/>
    <n v="1286.21"/>
    <n v="63.3"/>
    <x v="0"/>
    <n v="4"/>
    <x v="0"/>
    <x v="0"/>
    <n v="10"/>
  </r>
  <r>
    <s v="ORD-01653"/>
    <d v="2022-01-07T00:00:00"/>
    <s v="CUST39228"/>
    <x v="154"/>
    <n v="38"/>
    <x v="1"/>
    <x v="2"/>
    <x v="4"/>
    <x v="18"/>
    <x v="6"/>
    <s v="Tablet"/>
    <n v="5"/>
    <n v="67069.95"/>
    <x v="34"/>
    <n v="187015.17"/>
    <n v="19234.099999999999"/>
    <n v="53.96"/>
    <x v="1"/>
    <n v="2"/>
    <x v="0"/>
    <x v="4"/>
    <n v="6"/>
  </r>
  <r>
    <s v="ORD-00549"/>
    <d v="2020-08-31T00:00:00"/>
    <s v="CUST39184"/>
    <x v="335"/>
    <n v="27"/>
    <x v="0"/>
    <x v="1"/>
    <x v="3"/>
    <x v="12"/>
    <x v="5"/>
    <s v="Sugar"/>
    <n v="1"/>
    <n v="295.3"/>
    <x v="39"/>
    <n v="375.59"/>
    <n v="17.329999999999998"/>
    <n v="91.95"/>
    <x v="3"/>
    <n v="5"/>
    <x v="0"/>
    <x v="0"/>
    <n v="9"/>
  </r>
  <r>
    <s v="ORD-02531"/>
    <d v="2023-01-03T00:00:00"/>
    <s v="CUST65173"/>
    <x v="78"/>
    <n v="24"/>
    <x v="3"/>
    <x v="0"/>
    <x v="2"/>
    <x v="14"/>
    <x v="0"/>
    <s v="Face Cream"/>
    <n v="9"/>
    <n v="2041.21"/>
    <x v="3"/>
    <n v="13435.71"/>
    <n v="8442.25"/>
    <n v="45.75"/>
    <x v="5"/>
    <n v="3"/>
    <x v="0"/>
    <x v="2"/>
    <n v="1"/>
  </r>
  <r>
    <s v="ORD-01426"/>
    <d v="2021-10-05T00:00:00"/>
    <s v="CUST08147"/>
    <x v="265"/>
    <n v="58"/>
    <x v="2"/>
    <x v="0"/>
    <x v="2"/>
    <x v="9"/>
    <x v="3"/>
    <s v="Dress"/>
    <n v="2"/>
    <n v="469.65"/>
    <x v="9"/>
    <n v="775.74"/>
    <n v="185.8"/>
    <n v="32.03"/>
    <x v="2"/>
    <n v="1"/>
    <x v="1"/>
    <x v="1"/>
    <n v="3"/>
  </r>
  <r>
    <s v="ORD-03686"/>
    <d v="2024-05-19T00:00:00"/>
    <s v="CUST39920"/>
    <x v="336"/>
    <n v="45"/>
    <x v="1"/>
    <x v="0"/>
    <x v="1"/>
    <x v="11"/>
    <x v="4"/>
    <s v="Dumbbells"/>
    <n v="1"/>
    <n v="9074.17"/>
    <x v="0"/>
    <n v="12971.64"/>
    <n v="3182.4"/>
    <n v="43.12"/>
    <x v="1"/>
    <n v="4"/>
    <x v="0"/>
    <x v="0"/>
    <n v="9"/>
  </r>
  <r>
    <s v="ORD-01694"/>
    <d v="2022-01-26T00:00:00"/>
    <s v="CUST30040"/>
    <x v="316"/>
    <n v="24"/>
    <x v="3"/>
    <x v="1"/>
    <x v="0"/>
    <x v="2"/>
    <x v="6"/>
    <s v="Tablet"/>
    <n v="4"/>
    <n v="30494.73"/>
    <x v="40"/>
    <n v="68016.240000000005"/>
    <n v="8846.49"/>
    <n v="53.6"/>
    <x v="0"/>
    <n v="2"/>
    <x v="0"/>
    <x v="0"/>
    <n v="4"/>
  </r>
  <r>
    <s v="ORD-01035"/>
    <d v="2021-04-14T00:00:00"/>
    <s v="CUST49938"/>
    <x v="21"/>
    <n v="38"/>
    <x v="1"/>
    <x v="1"/>
    <x v="2"/>
    <x v="9"/>
    <x v="1"/>
    <s v="Sofa"/>
    <n v="7"/>
    <n v="31419.94"/>
    <x v="28"/>
    <n v="237087.2"/>
    <n v="58133.19"/>
    <n v="36.96"/>
    <x v="0"/>
    <n v="5"/>
    <x v="0"/>
    <x v="0"/>
    <n v="5"/>
  </r>
  <r>
    <s v="ORD-02114"/>
    <d v="2022-07-19T00:00:00"/>
    <s v="CUST71584"/>
    <x v="259"/>
    <n v="28"/>
    <x v="0"/>
    <x v="2"/>
    <x v="4"/>
    <x v="8"/>
    <x v="1"/>
    <s v="Sofa"/>
    <n v="2"/>
    <n v="23522.83"/>
    <x v="7"/>
    <n v="53090.46"/>
    <n v="18316.25"/>
    <n v="70.069999999999993"/>
    <x v="1"/>
    <n v="2"/>
    <x v="0"/>
    <x v="0"/>
    <n v="8"/>
  </r>
  <r>
    <s v="ORD-03137"/>
    <d v="2023-09-17T00:00:00"/>
    <s v="CUST53427"/>
    <x v="109"/>
    <n v="26"/>
    <x v="0"/>
    <x v="0"/>
    <x v="0"/>
    <x v="0"/>
    <x v="4"/>
    <s v="Yoga Mat"/>
    <n v="8"/>
    <n v="10683.75"/>
    <x v="8"/>
    <n v="113358.26"/>
    <n v="26416.639999999999"/>
    <n v="59.9"/>
    <x v="2"/>
    <n v="1"/>
    <x v="0"/>
    <x v="0"/>
    <n v="7"/>
  </r>
  <r>
    <s v="ORD-01438"/>
    <d v="2021-10-10T00:00:00"/>
    <s v="CUST54455"/>
    <x v="196"/>
    <n v="57"/>
    <x v="2"/>
    <x v="2"/>
    <x v="4"/>
    <x v="8"/>
    <x v="2"/>
    <s v="Comic Book"/>
    <n v="8"/>
    <n v="1196.3800000000001"/>
    <x v="1"/>
    <n v="8445.01"/>
    <n v="3179.69"/>
    <n v="71.87"/>
    <x v="5"/>
    <n v="2"/>
    <x v="0"/>
    <x v="0"/>
    <n v="4"/>
  </r>
  <r>
    <s v="ORD-02064"/>
    <d v="2022-06-29T00:00:00"/>
    <s v="CUST47972"/>
    <x v="122"/>
    <n v="28"/>
    <x v="0"/>
    <x v="2"/>
    <x v="0"/>
    <x v="0"/>
    <x v="0"/>
    <s v="Lipstick"/>
    <n v="7"/>
    <n v="854.71"/>
    <x v="32"/>
    <n v="7728.92"/>
    <n v="3265.65"/>
    <n v="55.34"/>
    <x v="4"/>
    <n v="3"/>
    <x v="0"/>
    <x v="0"/>
    <n v="2"/>
  </r>
  <r>
    <s v="ORD-02545"/>
    <d v="2023-01-10T00:00:00"/>
    <s v="CUST44757"/>
    <x v="271"/>
    <n v="27"/>
    <x v="0"/>
    <x v="0"/>
    <x v="4"/>
    <x v="8"/>
    <x v="2"/>
    <s v="Biography"/>
    <n v="5"/>
    <n v="1209.77"/>
    <x v="3"/>
    <n v="4481.5600000000004"/>
    <n v="1760.45"/>
    <n v="48.73"/>
    <x v="0"/>
    <n v="1"/>
    <x v="0"/>
    <x v="0"/>
    <n v="10"/>
  </r>
  <r>
    <s v="ORD-01051"/>
    <d v="2021-04-20T00:00:00"/>
    <s v="CUST83773"/>
    <x v="31"/>
    <n v="34"/>
    <x v="0"/>
    <x v="1"/>
    <x v="4"/>
    <x v="18"/>
    <x v="3"/>
    <s v="Saree"/>
    <n v="5"/>
    <n v="2726.58"/>
    <x v="31"/>
    <n v="15369.71"/>
    <n v="5460.97"/>
    <n v="55.2"/>
    <x v="1"/>
    <n v="4"/>
    <x v="0"/>
    <x v="0"/>
    <n v="3"/>
  </r>
  <r>
    <s v="ORD-02111"/>
    <d v="2022-07-18T00:00:00"/>
    <s v="CUST33335"/>
    <x v="147"/>
    <n v="48"/>
    <x v="1"/>
    <x v="1"/>
    <x v="0"/>
    <x v="0"/>
    <x v="1"/>
    <s v="Sofa"/>
    <n v="10"/>
    <n v="28298.23"/>
    <x v="15"/>
    <n v="341316.69"/>
    <n v="107787.95"/>
    <n v="94.71"/>
    <x v="0"/>
    <n v="4"/>
    <x v="0"/>
    <x v="0"/>
    <n v="4"/>
  </r>
  <r>
    <s v="ORD-00109"/>
    <d v="2020-02-10T00:00:00"/>
    <s v="CUST69131"/>
    <x v="86"/>
    <n v="37"/>
    <x v="1"/>
    <x v="0"/>
    <x v="2"/>
    <x v="14"/>
    <x v="1"/>
    <s v="Wardrobe"/>
    <n v="8"/>
    <n v="18758.18"/>
    <x v="38"/>
    <n v="112518.3"/>
    <n v="31415.21"/>
    <n v="56.55"/>
    <x v="5"/>
    <n v="5"/>
    <x v="0"/>
    <x v="2"/>
    <n v="6"/>
  </r>
  <r>
    <s v="ORD-00580"/>
    <d v="2020-09-17T00:00:00"/>
    <s v="CUST77116"/>
    <x v="310"/>
    <n v="55"/>
    <x v="2"/>
    <x v="0"/>
    <x v="4"/>
    <x v="7"/>
    <x v="6"/>
    <s v="Camera"/>
    <n v="10"/>
    <n v="74981.27"/>
    <x v="8"/>
    <n v="822702.48"/>
    <n v="98591.29"/>
    <n v="90.58"/>
    <x v="0"/>
    <n v="1"/>
    <x v="1"/>
    <x v="1"/>
    <n v="5"/>
  </r>
  <r>
    <s v="ORD-01507"/>
    <d v="2021-11-07T00:00:00"/>
    <s v="CUST40530"/>
    <x v="329"/>
    <n v="24"/>
    <x v="3"/>
    <x v="0"/>
    <x v="4"/>
    <x v="18"/>
    <x v="5"/>
    <s v="Flour"/>
    <n v="10"/>
    <n v="108.51"/>
    <x v="13"/>
    <n v="907.65"/>
    <n v="97.79"/>
    <n v="67.08"/>
    <x v="0"/>
    <n v="3"/>
    <x v="1"/>
    <x v="1"/>
    <n v="10"/>
  </r>
  <r>
    <s v="ORD-00547"/>
    <d v="2020-08-30T00:00:00"/>
    <s v="CUST60580"/>
    <x v="49"/>
    <n v="53"/>
    <x v="2"/>
    <x v="2"/>
    <x v="4"/>
    <x v="7"/>
    <x v="1"/>
    <s v="Sofa"/>
    <n v="8"/>
    <n v="13159.22"/>
    <x v="20"/>
    <n v="82824.149999999994"/>
    <n v="28653.14"/>
    <n v="55.64"/>
    <x v="3"/>
    <n v="4"/>
    <x v="1"/>
    <x v="1"/>
    <n v="8"/>
  </r>
  <r>
    <s v="ORD-00924"/>
    <d v="2021-02-22T00:00:00"/>
    <s v="CUST61112"/>
    <x v="233"/>
    <n v="44"/>
    <x v="1"/>
    <x v="0"/>
    <x v="3"/>
    <x v="15"/>
    <x v="5"/>
    <s v="Cooking Oil"/>
    <n v="1"/>
    <n v="227.48"/>
    <x v="38"/>
    <n v="175.14"/>
    <n v="15.49"/>
    <n v="47.37"/>
    <x v="1"/>
    <n v="1"/>
    <x v="0"/>
    <x v="4"/>
    <n v="4"/>
  </r>
  <r>
    <s v="ORD-01081"/>
    <d v="2021-05-04T00:00:00"/>
    <s v="CUST44184"/>
    <x v="73"/>
    <n v="29"/>
    <x v="0"/>
    <x v="1"/>
    <x v="0"/>
    <x v="2"/>
    <x v="6"/>
    <s v="Camera"/>
    <n v="1"/>
    <n v="22006.34"/>
    <x v="38"/>
    <n v="26028.1"/>
    <n v="3707.24"/>
    <n v="40.729999999999997"/>
    <x v="0"/>
    <n v="2"/>
    <x v="1"/>
    <x v="1"/>
    <n v="10"/>
  </r>
  <r>
    <s v="ORD-00275"/>
    <d v="2020-05-01T00:00:00"/>
    <s v="CUST24667"/>
    <x v="320"/>
    <n v="41"/>
    <x v="1"/>
    <x v="1"/>
    <x v="1"/>
    <x v="10"/>
    <x v="1"/>
    <s v="Chair"/>
    <n v="8"/>
    <n v="31845.06"/>
    <x v="29"/>
    <n v="300720.71999999997"/>
    <n v="100251.26"/>
    <n v="38.42"/>
    <x v="3"/>
    <n v="1"/>
    <x v="0"/>
    <x v="0"/>
    <n v="10"/>
  </r>
  <r>
    <s v="ORD-03517"/>
    <d v="2024-03-09T00:00:00"/>
    <s v="CUST27360"/>
    <x v="50"/>
    <n v="30"/>
    <x v="0"/>
    <x v="0"/>
    <x v="2"/>
    <x v="4"/>
    <x v="6"/>
    <s v="Camera"/>
    <n v="9"/>
    <n v="16973.28"/>
    <x v="28"/>
    <n v="208512.34"/>
    <n v="29073.1"/>
    <n v="35"/>
    <x v="2"/>
    <n v="4"/>
    <x v="0"/>
    <x v="2"/>
    <n v="4"/>
  </r>
  <r>
    <s v="ORD-01472"/>
    <d v="2021-10-24T00:00:00"/>
    <s v="CUST26553"/>
    <x v="221"/>
    <n v="27"/>
    <x v="0"/>
    <x v="0"/>
    <x v="4"/>
    <x v="17"/>
    <x v="6"/>
    <s v="Smartwatch"/>
    <n v="3"/>
    <n v="33682.54"/>
    <x v="26"/>
    <n v="62547.07"/>
    <n v="8775.98"/>
    <n v="56.02"/>
    <x v="2"/>
    <n v="1"/>
    <x v="1"/>
    <x v="1"/>
    <n v="3"/>
  </r>
  <r>
    <s v="ORD-01299"/>
    <d v="2021-08-09T00:00:00"/>
    <s v="CUST07041"/>
    <x v="107"/>
    <n v="28"/>
    <x v="0"/>
    <x v="1"/>
    <x v="3"/>
    <x v="15"/>
    <x v="4"/>
    <s v="Yoga Mat"/>
    <n v="6"/>
    <n v="8185.51"/>
    <x v="37"/>
    <n v="46089.54"/>
    <n v="10034.219999999999"/>
    <n v="86.32"/>
    <x v="3"/>
    <n v="4"/>
    <x v="1"/>
    <x v="1"/>
    <n v="9"/>
  </r>
  <r>
    <s v="ORD-00951"/>
    <d v="2021-03-07T00:00:00"/>
    <s v="CUST39186"/>
    <x v="110"/>
    <n v="30"/>
    <x v="0"/>
    <x v="0"/>
    <x v="1"/>
    <x v="6"/>
    <x v="3"/>
    <s v="T-Shirt"/>
    <n v="10"/>
    <n v="2879.31"/>
    <x v="14"/>
    <n v="19680.419999999998"/>
    <n v="5641.8"/>
    <n v="64.13"/>
    <x v="0"/>
    <n v="2"/>
    <x v="0"/>
    <x v="0"/>
    <n v="4"/>
  </r>
  <r>
    <s v="ORD-03695"/>
    <d v="2024-05-23T00:00:00"/>
    <s v="CUST26394"/>
    <x v="224"/>
    <n v="27"/>
    <x v="0"/>
    <x v="1"/>
    <x v="4"/>
    <x v="8"/>
    <x v="5"/>
    <s v="Cooking Oil"/>
    <n v="9"/>
    <n v="399.43"/>
    <x v="29"/>
    <n v="5735.84"/>
    <n v="223.77"/>
    <n v="65.8"/>
    <x v="1"/>
    <n v="1"/>
    <x v="0"/>
    <x v="0"/>
    <n v="4"/>
  </r>
  <r>
    <s v="ORD-01830"/>
    <d v="2022-03-24T00:00:00"/>
    <s v="CUST13979"/>
    <x v="96"/>
    <n v="28"/>
    <x v="0"/>
    <x v="0"/>
    <x v="4"/>
    <x v="18"/>
    <x v="2"/>
    <s v="Cook Book"/>
    <n v="9"/>
    <n v="200.61"/>
    <x v="12"/>
    <n v="1329.23"/>
    <n v="806.66"/>
    <n v="52.8"/>
    <x v="5"/>
    <n v="4"/>
    <x v="0"/>
    <x v="0"/>
    <n v="9"/>
  </r>
  <r>
    <s v="ORD-01148"/>
    <d v="2021-05-30T00:00:00"/>
    <s v="CUST00645"/>
    <x v="102"/>
    <n v="22"/>
    <x v="3"/>
    <x v="1"/>
    <x v="3"/>
    <x v="16"/>
    <x v="2"/>
    <s v="Fiction Novel"/>
    <n v="8"/>
    <n v="1088.97"/>
    <x v="3"/>
    <n v="9425.16"/>
    <n v="4003.12"/>
    <n v="52.99"/>
    <x v="5"/>
    <n v="1"/>
    <x v="0"/>
    <x v="2"/>
    <n v="4"/>
  </r>
  <r>
    <s v="ORD-01953"/>
    <d v="2022-05-13T00:00:00"/>
    <s v="CUST12422"/>
    <x v="221"/>
    <n v="33"/>
    <x v="0"/>
    <x v="2"/>
    <x v="2"/>
    <x v="13"/>
    <x v="2"/>
    <s v="Self-Help Book"/>
    <n v="8"/>
    <n v="941.99"/>
    <x v="40"/>
    <n v="6393.22"/>
    <n v="2237.36"/>
    <n v="56.26"/>
    <x v="1"/>
    <n v="1"/>
    <x v="1"/>
    <x v="1"/>
    <n v="9"/>
  </r>
  <r>
    <s v="ORD-01811"/>
    <d v="2022-03-12T00:00:00"/>
    <s v="CUST60426"/>
    <x v="16"/>
    <n v="41"/>
    <x v="1"/>
    <x v="1"/>
    <x v="4"/>
    <x v="17"/>
    <x v="4"/>
    <s v="Dumbbells"/>
    <n v="7"/>
    <n v="14019.83"/>
    <x v="10"/>
    <n v="84559.35"/>
    <n v="18758.650000000001"/>
    <n v="70.819999999999993"/>
    <x v="0"/>
    <n v="5"/>
    <x v="0"/>
    <x v="0"/>
    <n v="1"/>
  </r>
  <r>
    <s v="ORD-03384"/>
    <d v="2024-01-03T00:00:00"/>
    <s v="CUST17189"/>
    <x v="281"/>
    <n v="37"/>
    <x v="1"/>
    <x v="0"/>
    <x v="1"/>
    <x v="3"/>
    <x v="4"/>
    <s v="Dumbbells"/>
    <n v="8"/>
    <n v="14903.83"/>
    <x v="11"/>
    <n v="89199.08"/>
    <n v="18401.75"/>
    <n v="76.17"/>
    <x v="1"/>
    <n v="4"/>
    <x v="0"/>
    <x v="0"/>
    <n v="10"/>
  </r>
  <r>
    <s v="ORD-01217"/>
    <d v="2021-07-03T00:00:00"/>
    <s v="CUST73651"/>
    <x v="144"/>
    <n v="37"/>
    <x v="1"/>
    <x v="1"/>
    <x v="2"/>
    <x v="9"/>
    <x v="2"/>
    <s v="Cook Book"/>
    <n v="9"/>
    <n v="1146.99"/>
    <x v="34"/>
    <n v="9257.42"/>
    <n v="2753.44"/>
    <n v="59.09"/>
    <x v="4"/>
    <n v="4"/>
    <x v="0"/>
    <x v="3"/>
    <n v="9"/>
  </r>
  <r>
    <s v="ORD-02217"/>
    <d v="2022-08-26T00:00:00"/>
    <s v="CUST06113"/>
    <x v="37"/>
    <n v="31"/>
    <x v="0"/>
    <x v="1"/>
    <x v="4"/>
    <x v="7"/>
    <x v="0"/>
    <s v="Shampoo"/>
    <n v="6"/>
    <n v="1131.18"/>
    <x v="28"/>
    <n v="8793.4599999999991"/>
    <n v="4445.68"/>
    <n v="69.489999999999995"/>
    <x v="3"/>
    <n v="1"/>
    <x v="0"/>
    <x v="0"/>
    <n v="8"/>
  </r>
  <r>
    <s v="ORD-01503"/>
    <d v="2021-11-06T00:00:00"/>
    <s v="CUST60626"/>
    <x v="229"/>
    <n v="31"/>
    <x v="0"/>
    <x v="2"/>
    <x v="4"/>
    <x v="17"/>
    <x v="5"/>
    <s v="Sugar"/>
    <n v="7"/>
    <n v="249.21"/>
    <x v="36"/>
    <n v="1256.75"/>
    <n v="96.16"/>
    <n v="61.25"/>
    <x v="2"/>
    <n v="3"/>
    <x v="0"/>
    <x v="3"/>
    <n v="4"/>
  </r>
  <r>
    <s v="ORD-01415"/>
    <d v="2021-09-30T00:00:00"/>
    <s v="CUST50601"/>
    <x v="71"/>
    <n v="31"/>
    <x v="0"/>
    <x v="1"/>
    <x v="0"/>
    <x v="0"/>
    <x v="5"/>
    <s v="Tea"/>
    <n v="3"/>
    <n v="297.63"/>
    <x v="4"/>
    <n v="1094.67"/>
    <n v="141.65"/>
    <n v="49.55"/>
    <x v="3"/>
    <n v="1"/>
    <x v="1"/>
    <x v="1"/>
    <n v="8"/>
  </r>
  <r>
    <s v="ORD-02994"/>
    <d v="2023-07-20T00:00:00"/>
    <s v="CUST67685"/>
    <x v="74"/>
    <n v="42"/>
    <x v="1"/>
    <x v="0"/>
    <x v="4"/>
    <x v="8"/>
    <x v="3"/>
    <s v="Jeans"/>
    <n v="5"/>
    <n v="2755.15"/>
    <x v="34"/>
    <n v="12440.45"/>
    <n v="4470.63"/>
    <n v="73.319999999999993"/>
    <x v="4"/>
    <n v="5"/>
    <x v="0"/>
    <x v="0"/>
    <n v="7"/>
  </r>
  <r>
    <s v="ORD-01140"/>
    <d v="2021-05-29T00:00:00"/>
    <s v="CUST57705"/>
    <x v="160"/>
    <n v="55"/>
    <x v="2"/>
    <x v="1"/>
    <x v="1"/>
    <x v="3"/>
    <x v="6"/>
    <s v="Camera"/>
    <n v="10"/>
    <n v="36516.81"/>
    <x v="9"/>
    <n v="494382.28"/>
    <n v="58795.08"/>
    <n v="53.99"/>
    <x v="5"/>
    <n v="4"/>
    <x v="0"/>
    <x v="0"/>
    <n v="4"/>
  </r>
  <r>
    <s v="ORD-03069"/>
    <d v="2023-08-19T00:00:00"/>
    <s v="CUST13129"/>
    <x v="66"/>
    <n v="36"/>
    <x v="1"/>
    <x v="0"/>
    <x v="3"/>
    <x v="16"/>
    <x v="5"/>
    <s v="Cooking Oil"/>
    <n v="9"/>
    <n v="461.84"/>
    <x v="29"/>
    <n v="5002.24"/>
    <n v="440.52"/>
    <n v="74.88"/>
    <x v="2"/>
    <n v="2"/>
    <x v="0"/>
    <x v="0"/>
    <n v="5"/>
  </r>
  <r>
    <s v="ORD-02668"/>
    <d v="2023-02-28T00:00:00"/>
    <s v="CUST00301"/>
    <x v="196"/>
    <n v="19"/>
    <x v="3"/>
    <x v="0"/>
    <x v="0"/>
    <x v="0"/>
    <x v="2"/>
    <s v="Textbook"/>
    <n v="9"/>
    <n v="1227.77"/>
    <x v="32"/>
    <n v="10383.44"/>
    <n v="4289.2700000000004"/>
    <n v="74.78"/>
    <x v="2"/>
    <n v="2"/>
    <x v="1"/>
    <x v="1"/>
    <n v="1"/>
  </r>
  <r>
    <s v="ORD-00995"/>
    <d v="2021-03-29T00:00:00"/>
    <s v="CUST31960"/>
    <x v="277"/>
    <n v="47"/>
    <x v="1"/>
    <x v="1"/>
    <x v="2"/>
    <x v="13"/>
    <x v="3"/>
    <s v="T-Shirt"/>
    <n v="10"/>
    <n v="3992.44"/>
    <x v="7"/>
    <n v="37327.01"/>
    <n v="12430.23"/>
    <n v="40.58"/>
    <x v="0"/>
    <n v="5"/>
    <x v="0"/>
    <x v="0"/>
    <n v="2"/>
  </r>
  <r>
    <s v="ORD-02617"/>
    <d v="2023-02-10T00:00:00"/>
    <s v="CUST17877"/>
    <x v="337"/>
    <n v="44"/>
    <x v="1"/>
    <x v="0"/>
    <x v="2"/>
    <x v="13"/>
    <x v="5"/>
    <s v="Dal (1kg)"/>
    <n v="8"/>
    <n v="364.69"/>
    <x v="19"/>
    <n v="2876.59"/>
    <n v="173.21"/>
    <n v="36.26"/>
    <x v="2"/>
    <n v="5"/>
    <x v="0"/>
    <x v="0"/>
    <n v="5"/>
  </r>
  <r>
    <s v="ORD-00850"/>
    <d v="2021-01-22T00:00:00"/>
    <s v="CUST69680"/>
    <x v="338"/>
    <n v="36"/>
    <x v="1"/>
    <x v="2"/>
    <x v="1"/>
    <x v="6"/>
    <x v="6"/>
    <s v="Tablet"/>
    <n v="6"/>
    <n v="10944.15"/>
    <x v="11"/>
    <n v="42423.95"/>
    <n v="5320.38"/>
    <n v="63.46"/>
    <x v="4"/>
    <n v="1"/>
    <x v="0"/>
    <x v="4"/>
    <n v="8"/>
  </r>
  <r>
    <s v="ORD-03153"/>
    <d v="2023-09-29T00:00:00"/>
    <s v="CUST93955"/>
    <x v="255"/>
    <n v="24"/>
    <x v="3"/>
    <x v="2"/>
    <x v="2"/>
    <x v="14"/>
    <x v="6"/>
    <s v="Headphones"/>
    <n v="9"/>
    <n v="56863.21"/>
    <x v="37"/>
    <n v="470774.92"/>
    <n v="62906"/>
    <n v="36.46"/>
    <x v="2"/>
    <n v="3"/>
    <x v="0"/>
    <x v="0"/>
    <n v="3"/>
  </r>
  <r>
    <s v="ORD-02808"/>
    <d v="2023-05-03T00:00:00"/>
    <s v="CUST74228"/>
    <x v="237"/>
    <n v="48"/>
    <x v="1"/>
    <x v="1"/>
    <x v="1"/>
    <x v="6"/>
    <x v="2"/>
    <s v="Comic Book"/>
    <n v="1"/>
    <n v="769.04"/>
    <x v="19"/>
    <n v="1113.83"/>
    <n v="505.12"/>
    <n v="46.7"/>
    <x v="1"/>
    <n v="1"/>
    <x v="0"/>
    <x v="0"/>
    <n v="10"/>
  </r>
  <r>
    <s v="ORD-01127"/>
    <d v="2021-05-24T00:00:00"/>
    <s v="CUST44836"/>
    <x v="116"/>
    <n v="42"/>
    <x v="1"/>
    <x v="1"/>
    <x v="2"/>
    <x v="14"/>
    <x v="4"/>
    <s v="Cycle"/>
    <n v="9"/>
    <n v="13067.04"/>
    <x v="3"/>
    <n v="129179.48"/>
    <n v="17264.66"/>
    <n v="58.55"/>
    <x v="2"/>
    <n v="1"/>
    <x v="1"/>
    <x v="1"/>
    <n v="4"/>
  </r>
  <r>
    <s v="ORD-00464"/>
    <d v="2020-07-23T00:00:00"/>
    <s v="CUST22675"/>
    <x v="251"/>
    <n v="46"/>
    <x v="1"/>
    <x v="1"/>
    <x v="0"/>
    <x v="0"/>
    <x v="1"/>
    <s v="Bookshelf"/>
    <n v="6"/>
    <n v="12344.66"/>
    <x v="4"/>
    <n v="93910.03"/>
    <n v="32713"/>
    <n v="34.26"/>
    <x v="3"/>
    <n v="2"/>
    <x v="0"/>
    <x v="0"/>
    <n v="6"/>
  </r>
  <r>
    <s v="ORD-00898"/>
    <d v="2021-02-07T00:00:00"/>
    <s v="CUST48501"/>
    <x v="224"/>
    <n v="22"/>
    <x v="3"/>
    <x v="0"/>
    <x v="3"/>
    <x v="12"/>
    <x v="2"/>
    <s v="Comic Book"/>
    <n v="9"/>
    <n v="682.41"/>
    <x v="40"/>
    <n v="3288.5"/>
    <n v="950.54"/>
    <n v="73.23"/>
    <x v="3"/>
    <n v="4"/>
    <x v="0"/>
    <x v="3"/>
    <n v="7"/>
  </r>
  <r>
    <s v="ORD-00642"/>
    <d v="2020-10-13T00:00:00"/>
    <s v="CUST75414"/>
    <x v="339"/>
    <n v="35"/>
    <x v="0"/>
    <x v="0"/>
    <x v="2"/>
    <x v="14"/>
    <x v="6"/>
    <s v="Tablet"/>
    <n v="7"/>
    <n v="42976.47"/>
    <x v="18"/>
    <n v="173058.34"/>
    <n v="20091.830000000002"/>
    <n v="60.6"/>
    <x v="2"/>
    <n v="1"/>
    <x v="0"/>
    <x v="0"/>
    <n v="2"/>
  </r>
  <r>
    <s v="ORD-00639"/>
    <d v="2020-10-12T00:00:00"/>
    <s v="CUST32361"/>
    <x v="269"/>
    <n v="29"/>
    <x v="0"/>
    <x v="1"/>
    <x v="4"/>
    <x v="18"/>
    <x v="3"/>
    <s v="Jacket"/>
    <n v="9"/>
    <n v="3720.46"/>
    <x v="33"/>
    <n v="25352.89"/>
    <n v="8663.42"/>
    <n v="69.62"/>
    <x v="1"/>
    <n v="3"/>
    <x v="0"/>
    <x v="0"/>
    <n v="10"/>
  </r>
  <r>
    <s v="ORD-00330"/>
    <d v="2020-05-23T00:00:00"/>
    <s v="CUST60862"/>
    <x v="201"/>
    <n v="42"/>
    <x v="1"/>
    <x v="0"/>
    <x v="1"/>
    <x v="11"/>
    <x v="5"/>
    <s v="Tea"/>
    <n v="5"/>
    <n v="340.16"/>
    <x v="6"/>
    <n v="1501.76"/>
    <n v="96.24"/>
    <n v="58.79"/>
    <x v="4"/>
    <n v="1"/>
    <x v="0"/>
    <x v="0"/>
    <n v="3"/>
  </r>
  <r>
    <s v="ORD-00919"/>
    <d v="2021-02-17T00:00:00"/>
    <s v="CUST83261"/>
    <x v="340"/>
    <n v="25"/>
    <x v="3"/>
    <x v="2"/>
    <x v="0"/>
    <x v="2"/>
    <x v="4"/>
    <s v="Cricket Bat"/>
    <n v="1"/>
    <n v="14980.35"/>
    <x v="29"/>
    <n v="16007.63"/>
    <n v="3501.94"/>
    <n v="66.95"/>
    <x v="3"/>
    <n v="5"/>
    <x v="0"/>
    <x v="0"/>
    <n v="8"/>
  </r>
  <r>
    <s v="ORD-03509"/>
    <d v="2024-03-04T00:00:00"/>
    <s v="CUST87841"/>
    <x v="31"/>
    <n v="34"/>
    <x v="0"/>
    <x v="0"/>
    <x v="0"/>
    <x v="2"/>
    <x v="6"/>
    <s v="Smartwatch"/>
    <n v="7"/>
    <n v="34398.85"/>
    <x v="18"/>
    <n v="211978.75"/>
    <n v="22144.21"/>
    <n v="71.38"/>
    <x v="2"/>
    <n v="1"/>
    <x v="1"/>
    <x v="1"/>
    <n v="5"/>
  </r>
  <r>
    <s v="ORD-00643"/>
    <d v="2020-10-14T00:00:00"/>
    <s v="CUST54148"/>
    <x v="294"/>
    <n v="44"/>
    <x v="1"/>
    <x v="0"/>
    <x v="1"/>
    <x v="10"/>
    <x v="0"/>
    <s v="Hair Oil"/>
    <n v="10"/>
    <n v="447.27"/>
    <x v="7"/>
    <n v="2458.6999999999998"/>
    <n v="1150.1300000000001"/>
    <n v="45.79"/>
    <x v="5"/>
    <n v="4"/>
    <x v="0"/>
    <x v="0"/>
    <n v="5"/>
  </r>
  <r>
    <s v="ORD-00218"/>
    <d v="2020-04-04T00:00:00"/>
    <s v="CUST80333"/>
    <x v="259"/>
    <n v="58"/>
    <x v="2"/>
    <x v="1"/>
    <x v="4"/>
    <x v="8"/>
    <x v="2"/>
    <s v="Fiction Novel"/>
    <n v="2"/>
    <n v="640.98"/>
    <x v="28"/>
    <n v="1372.2"/>
    <n v="437.79"/>
    <n v="68.680000000000007"/>
    <x v="4"/>
    <n v="2"/>
    <x v="0"/>
    <x v="0"/>
    <n v="5"/>
  </r>
  <r>
    <s v="ORD-00135"/>
    <d v="2020-02-23T00:00:00"/>
    <s v="CUST09673"/>
    <x v="22"/>
    <n v="41"/>
    <x v="1"/>
    <x v="0"/>
    <x v="0"/>
    <x v="0"/>
    <x v="6"/>
    <s v="Tablet"/>
    <n v="9"/>
    <n v="39365.339999999997"/>
    <x v="7"/>
    <n v="210085.4"/>
    <n v="19908.38"/>
    <n v="56.84"/>
    <x v="0"/>
    <n v="4"/>
    <x v="0"/>
    <x v="0"/>
    <n v="8"/>
  </r>
  <r>
    <s v="ORD-02572"/>
    <d v="2023-01-25T00:00:00"/>
    <s v="CUST19082"/>
    <x v="40"/>
    <n v="38"/>
    <x v="1"/>
    <x v="1"/>
    <x v="0"/>
    <x v="19"/>
    <x v="3"/>
    <s v="Jeans"/>
    <n v="8"/>
    <n v="3747.11"/>
    <x v="7"/>
    <n v="25653.59"/>
    <n v="8023.16"/>
    <n v="35.729999999999997"/>
    <x v="5"/>
    <n v="5"/>
    <x v="0"/>
    <x v="2"/>
    <n v="1"/>
  </r>
  <r>
    <s v="ORD-02527"/>
    <d v="2023-01-02T00:00:00"/>
    <s v="CUST06675"/>
    <x v="39"/>
    <n v="20"/>
    <x v="3"/>
    <x v="2"/>
    <x v="2"/>
    <x v="4"/>
    <x v="2"/>
    <s v="Textbook"/>
    <n v="7"/>
    <n v="1431.35"/>
    <x v="33"/>
    <n v="8558.35"/>
    <n v="3547.79"/>
    <n v="60.84"/>
    <x v="4"/>
    <n v="1"/>
    <x v="1"/>
    <x v="1"/>
    <n v="2"/>
  </r>
  <r>
    <s v="ORD-00705"/>
    <d v="2020-11-16T00:00:00"/>
    <s v="CUST82661"/>
    <x v="98"/>
    <n v="26"/>
    <x v="0"/>
    <x v="0"/>
    <x v="3"/>
    <x v="15"/>
    <x v="0"/>
    <s v="Hair Oil"/>
    <n v="1"/>
    <n v="2036.13"/>
    <x v="14"/>
    <n v="999.56"/>
    <n v="371.42"/>
    <n v="70.989999999999995"/>
    <x v="2"/>
    <n v="1"/>
    <x v="0"/>
    <x v="3"/>
    <n v="6"/>
  </r>
  <r>
    <s v="ORD-01488"/>
    <d v="2021-10-31T00:00:00"/>
    <s v="CUST63879"/>
    <x v="200"/>
    <n v="23"/>
    <x v="3"/>
    <x v="0"/>
    <x v="2"/>
    <x v="4"/>
    <x v="5"/>
    <s v="Rice (5kg)"/>
    <n v="2"/>
    <n v="499.3"/>
    <x v="29"/>
    <n v="838.13"/>
    <n v="80.06"/>
    <n v="69.89"/>
    <x v="3"/>
    <n v="4"/>
    <x v="0"/>
    <x v="0"/>
    <n v="3"/>
  </r>
  <r>
    <s v="ORD-03808"/>
    <d v="2024-07-13T00:00:00"/>
    <s v="CUST03800"/>
    <x v="233"/>
    <n v="36"/>
    <x v="1"/>
    <x v="1"/>
    <x v="4"/>
    <x v="7"/>
    <x v="3"/>
    <s v="Kurta"/>
    <n v="4"/>
    <n v="3455.27"/>
    <x v="24"/>
    <n v="20334.29"/>
    <n v="8527.59"/>
    <n v="73.069999999999993"/>
    <x v="1"/>
    <n v="2"/>
    <x v="0"/>
    <x v="0"/>
    <n v="9"/>
  </r>
  <r>
    <s v="ORD-00133"/>
    <d v="2020-02-20T00:00:00"/>
    <s v="CUST06416"/>
    <x v="262"/>
    <n v="28"/>
    <x v="0"/>
    <x v="0"/>
    <x v="0"/>
    <x v="19"/>
    <x v="2"/>
    <s v="Textbook"/>
    <n v="9"/>
    <n v="657.44"/>
    <x v="24"/>
    <n v="5550.8"/>
    <n v="1842.41"/>
    <n v="53.36"/>
    <x v="1"/>
    <n v="1"/>
    <x v="0"/>
    <x v="2"/>
    <n v="9"/>
  </r>
  <r>
    <s v="ORD-02267"/>
    <d v="2022-09-13T00:00:00"/>
    <s v="CUST18261"/>
    <x v="151"/>
    <n v="35"/>
    <x v="0"/>
    <x v="0"/>
    <x v="2"/>
    <x v="9"/>
    <x v="0"/>
    <s v="Perfume"/>
    <n v="1"/>
    <n v="2480.5"/>
    <x v="16"/>
    <n v="2697.26"/>
    <n v="1008.27"/>
    <n v="42.84"/>
    <x v="4"/>
    <n v="2"/>
    <x v="1"/>
    <x v="1"/>
    <n v="9"/>
  </r>
  <r>
    <s v="ORD-03854"/>
    <d v="2024-08-01T00:00:00"/>
    <s v="CUST17266"/>
    <x v="230"/>
    <n v="24"/>
    <x v="3"/>
    <x v="0"/>
    <x v="3"/>
    <x v="5"/>
    <x v="2"/>
    <s v="Textbook"/>
    <n v="5"/>
    <n v="303.27999999999997"/>
    <x v="27"/>
    <n v="1696.93"/>
    <n v="651.04"/>
    <n v="68.98"/>
    <x v="3"/>
    <n v="5"/>
    <x v="0"/>
    <x v="0"/>
    <n v="6"/>
  </r>
  <r>
    <s v="ORD-02441"/>
    <d v="2022-11-25T00:00:00"/>
    <s v="CUST43234"/>
    <x v="216"/>
    <n v="45"/>
    <x v="1"/>
    <x v="0"/>
    <x v="2"/>
    <x v="4"/>
    <x v="4"/>
    <s v="Yoga Mat"/>
    <n v="9"/>
    <n v="8750.14"/>
    <x v="37"/>
    <n v="54615.07"/>
    <n v="15670.41"/>
    <n v="45.73"/>
    <x v="4"/>
    <n v="2"/>
    <x v="0"/>
    <x v="0"/>
    <n v="8"/>
  </r>
  <r>
    <s v="ORD-00675"/>
    <d v="2020-11-01T00:00:00"/>
    <s v="CUST59612"/>
    <x v="158"/>
    <n v="18"/>
    <x v="3"/>
    <x v="1"/>
    <x v="0"/>
    <x v="1"/>
    <x v="5"/>
    <s v="Flour"/>
    <n v="4"/>
    <n v="326.66000000000003"/>
    <x v="4"/>
    <n v="986.8"/>
    <n v="70.77"/>
    <n v="46.22"/>
    <x v="4"/>
    <n v="4"/>
    <x v="0"/>
    <x v="0"/>
    <n v="1"/>
  </r>
  <r>
    <s v="ORD-04167"/>
    <d v="2024-12-15T00:00:00"/>
    <s v="CUST06213"/>
    <x v="17"/>
    <n v="29"/>
    <x v="0"/>
    <x v="1"/>
    <x v="3"/>
    <x v="15"/>
    <x v="1"/>
    <s v="Bed Frame"/>
    <n v="9"/>
    <n v="26558.959999999999"/>
    <x v="9"/>
    <n v="191023.49"/>
    <n v="41485.81"/>
    <n v="110.49"/>
    <x v="5"/>
    <n v="3"/>
    <x v="1"/>
    <x v="1"/>
    <n v="6"/>
  </r>
  <r>
    <s v="ORD-03855"/>
    <d v="2024-08-01T00:00:00"/>
    <s v="CUST83631"/>
    <x v="260"/>
    <n v="49"/>
    <x v="1"/>
    <x v="1"/>
    <x v="2"/>
    <x v="13"/>
    <x v="4"/>
    <s v="Dumbbells"/>
    <n v="9"/>
    <n v="2947.21"/>
    <x v="11"/>
    <n v="31412.17"/>
    <n v="5480.32"/>
    <n v="42.11"/>
    <x v="5"/>
    <n v="3"/>
    <x v="0"/>
    <x v="0"/>
    <n v="7"/>
  </r>
  <r>
    <s v="ORD-03190"/>
    <d v="2023-10-12T00:00:00"/>
    <s v="CUST24234"/>
    <x v="166"/>
    <n v="32"/>
    <x v="0"/>
    <x v="1"/>
    <x v="3"/>
    <x v="16"/>
    <x v="2"/>
    <s v="Cook Book"/>
    <n v="4"/>
    <n v="1290.01"/>
    <x v="24"/>
    <n v="6137.27"/>
    <n v="2840.6"/>
    <n v="68.69"/>
    <x v="2"/>
    <n v="2"/>
    <x v="0"/>
    <x v="4"/>
    <n v="6"/>
  </r>
  <r>
    <s v="ORD-03757"/>
    <d v="2024-06-24T00:00:00"/>
    <s v="CUST96410"/>
    <x v="215"/>
    <n v="51"/>
    <x v="2"/>
    <x v="0"/>
    <x v="4"/>
    <x v="18"/>
    <x v="2"/>
    <s v="Cook Book"/>
    <n v="5"/>
    <n v="961.89"/>
    <x v="5"/>
    <n v="7627.11"/>
    <n v="3502.92"/>
    <n v="70.62"/>
    <x v="3"/>
    <n v="4"/>
    <x v="0"/>
    <x v="0"/>
    <n v="3"/>
  </r>
  <r>
    <s v="ORD-02500"/>
    <d v="2022-12-21T00:00:00"/>
    <s v="CUST39273"/>
    <x v="213"/>
    <n v="35"/>
    <x v="0"/>
    <x v="1"/>
    <x v="2"/>
    <x v="13"/>
    <x v="5"/>
    <s v="Dal (1kg)"/>
    <n v="2"/>
    <n v="87.85"/>
    <x v="36"/>
    <n v="103.31"/>
    <n v="6.42"/>
    <n v="63.89"/>
    <x v="0"/>
    <n v="1"/>
    <x v="0"/>
    <x v="0"/>
    <n v="10"/>
  </r>
  <r>
    <s v="ORD-02344"/>
    <d v="2022-10-11T00:00:00"/>
    <s v="CUST14351"/>
    <x v="82"/>
    <n v="33"/>
    <x v="0"/>
    <x v="1"/>
    <x v="4"/>
    <x v="18"/>
    <x v="1"/>
    <s v="Wardrobe"/>
    <n v="10"/>
    <n v="33036.39"/>
    <x v="7"/>
    <n v="296109.08"/>
    <n v="94051.67"/>
    <n v="73.88"/>
    <x v="4"/>
    <n v="4"/>
    <x v="0"/>
    <x v="0"/>
    <n v="3"/>
  </r>
  <r>
    <s v="ORD-03341"/>
    <d v="2023-12-16T00:00:00"/>
    <s v="CUST62991"/>
    <x v="70"/>
    <n v="25"/>
    <x v="3"/>
    <x v="2"/>
    <x v="2"/>
    <x v="13"/>
    <x v="6"/>
    <s v="Smartwatch"/>
    <n v="3"/>
    <n v="32029.32"/>
    <x v="4"/>
    <n v="75119.27"/>
    <n v="11139.42"/>
    <n v="73.87"/>
    <x v="4"/>
    <n v="2"/>
    <x v="0"/>
    <x v="0"/>
    <n v="3"/>
  </r>
  <r>
    <s v="ORD-03571"/>
    <d v="2024-03-30T00:00:00"/>
    <s v="CUST52512"/>
    <x v="298"/>
    <n v="25"/>
    <x v="3"/>
    <x v="1"/>
    <x v="2"/>
    <x v="13"/>
    <x v="3"/>
    <s v="Jacket"/>
    <n v="4"/>
    <n v="2828.85"/>
    <x v="25"/>
    <n v="10952.86"/>
    <n v="3943.46"/>
    <n v="76.099999999999994"/>
    <x v="0"/>
    <n v="3"/>
    <x v="0"/>
    <x v="2"/>
    <n v="3"/>
  </r>
  <r>
    <s v="ORD-01181"/>
    <d v="2021-06-15T00:00:00"/>
    <s v="CUST78578"/>
    <x v="341"/>
    <n v="40"/>
    <x v="1"/>
    <x v="1"/>
    <x v="1"/>
    <x v="6"/>
    <x v="6"/>
    <s v="Laptop"/>
    <n v="1"/>
    <n v="47536.69"/>
    <x v="1"/>
    <n v="48541.55"/>
    <n v="7443.68"/>
    <n v="39.99"/>
    <x v="3"/>
    <n v="3"/>
    <x v="0"/>
    <x v="2"/>
    <n v="4"/>
  </r>
  <r>
    <s v="ORD-01135"/>
    <d v="2021-05-27T00:00:00"/>
    <s v="CUST96639"/>
    <x v="53"/>
    <n v="28"/>
    <x v="0"/>
    <x v="2"/>
    <x v="3"/>
    <x v="12"/>
    <x v="4"/>
    <s v="Cycle"/>
    <n v="6"/>
    <n v="6132.4"/>
    <x v="1"/>
    <n v="43423.68"/>
    <n v="6267.62"/>
    <n v="83.58"/>
    <x v="1"/>
    <n v="3"/>
    <x v="0"/>
    <x v="0"/>
    <n v="3"/>
  </r>
  <r>
    <s v="ORD-01837"/>
    <d v="2022-03-25T00:00:00"/>
    <s v="CUST54771"/>
    <x v="335"/>
    <n v="26"/>
    <x v="0"/>
    <x v="0"/>
    <x v="4"/>
    <x v="18"/>
    <x v="4"/>
    <s v="Yoga Mat"/>
    <n v="9"/>
    <n v="8324.77"/>
    <x v="5"/>
    <n v="78776.929999999993"/>
    <n v="19757.509999999998"/>
    <n v="114.04"/>
    <x v="5"/>
    <n v="4"/>
    <x v="0"/>
    <x v="3"/>
    <n v="3"/>
  </r>
  <r>
    <s v="ORD-03375"/>
    <d v="2023-12-31T00:00:00"/>
    <s v="CUST69853"/>
    <x v="310"/>
    <n v="26"/>
    <x v="0"/>
    <x v="1"/>
    <x v="3"/>
    <x v="5"/>
    <x v="6"/>
    <s v="Camera"/>
    <n v="1"/>
    <n v="39921.4"/>
    <x v="37"/>
    <n v="29027.34"/>
    <n v="4657.8"/>
    <n v="79.95"/>
    <x v="3"/>
    <n v="5"/>
    <x v="0"/>
    <x v="0"/>
    <n v="1"/>
  </r>
  <r>
    <s v="ORD-00352"/>
    <d v="2020-05-31T00:00:00"/>
    <s v="CUST23957"/>
    <x v="342"/>
    <n v="36"/>
    <x v="1"/>
    <x v="0"/>
    <x v="0"/>
    <x v="2"/>
    <x v="4"/>
    <s v="Dumbbells"/>
    <n v="3"/>
    <n v="5934.84"/>
    <x v="17"/>
    <n v="13742.69"/>
    <n v="3428.34"/>
    <n v="72.22"/>
    <x v="2"/>
    <n v="4"/>
    <x v="0"/>
    <x v="3"/>
    <n v="2"/>
  </r>
  <r>
    <s v="ORD-03565"/>
    <d v="2024-03-28T00:00:00"/>
    <s v="CUST40074"/>
    <x v="17"/>
    <n v="59"/>
    <x v="2"/>
    <x v="0"/>
    <x v="0"/>
    <x v="0"/>
    <x v="5"/>
    <s v="Rice (5kg)"/>
    <n v="9"/>
    <n v="158.32"/>
    <x v="3"/>
    <n v="1561.49"/>
    <n v="114.52"/>
    <n v="64.86"/>
    <x v="1"/>
    <n v="3"/>
    <x v="0"/>
    <x v="0"/>
    <n v="10"/>
  </r>
  <r>
    <s v="ORD-03987"/>
    <d v="2024-09-15T00:00:00"/>
    <s v="CUST84905"/>
    <x v="120"/>
    <n v="28"/>
    <x v="0"/>
    <x v="0"/>
    <x v="3"/>
    <x v="15"/>
    <x v="5"/>
    <s v="Flour"/>
    <n v="10"/>
    <n v="394.18"/>
    <x v="38"/>
    <n v="4349.83"/>
    <n v="380.98"/>
    <n v="90.1"/>
    <x v="4"/>
    <n v="3"/>
    <x v="0"/>
    <x v="0"/>
    <n v="3"/>
  </r>
  <r>
    <s v="ORD-03045"/>
    <d v="2023-08-10T00:00:00"/>
    <s v="CUST54485"/>
    <x v="315"/>
    <n v="42"/>
    <x v="1"/>
    <x v="0"/>
    <x v="4"/>
    <x v="7"/>
    <x v="5"/>
    <s v="Tea"/>
    <n v="4"/>
    <n v="474.68"/>
    <x v="25"/>
    <n v="1844.79"/>
    <n v="156.82"/>
    <n v="41.43"/>
    <x v="3"/>
    <n v="3"/>
    <x v="0"/>
    <x v="0"/>
    <n v="7"/>
  </r>
  <r>
    <s v="ORD-03187"/>
    <d v="2023-10-09T00:00:00"/>
    <s v="CUST63003"/>
    <x v="45"/>
    <n v="40"/>
    <x v="1"/>
    <x v="2"/>
    <x v="1"/>
    <x v="11"/>
    <x v="6"/>
    <s v="Smartphone"/>
    <n v="2"/>
    <n v="15759.44"/>
    <x v="7"/>
    <n v="30120.16"/>
    <n v="3914.94"/>
    <n v="66.72"/>
    <x v="5"/>
    <n v="5"/>
    <x v="0"/>
    <x v="0"/>
    <n v="10"/>
  </r>
  <r>
    <s v="ORD-02112"/>
    <d v="2022-07-18T00:00:00"/>
    <s v="CUST60338"/>
    <x v="80"/>
    <n v="33"/>
    <x v="0"/>
    <x v="2"/>
    <x v="2"/>
    <x v="4"/>
    <x v="1"/>
    <s v="Chair"/>
    <n v="4"/>
    <n v="3037.37"/>
    <x v="39"/>
    <n v="12378.84"/>
    <n v="3013.5"/>
    <n v="45.31"/>
    <x v="0"/>
    <n v="3"/>
    <x v="0"/>
    <x v="2"/>
    <n v="4"/>
  </r>
  <r>
    <s v="ORD-03828"/>
    <d v="2024-07-22T00:00:00"/>
    <s v="CUST16772"/>
    <x v="340"/>
    <n v="35"/>
    <x v="0"/>
    <x v="1"/>
    <x v="1"/>
    <x v="11"/>
    <x v="6"/>
    <s v="Smartwatch"/>
    <n v="3"/>
    <n v="45894.21"/>
    <x v="38"/>
    <n v="191499.56"/>
    <n v="29426.2"/>
    <n v="51.2"/>
    <x v="4"/>
    <n v="2"/>
    <x v="0"/>
    <x v="0"/>
    <n v="3"/>
  </r>
  <r>
    <s v="ORD-00769"/>
    <d v="2020-12-14T00:00:00"/>
    <s v="CUST22535"/>
    <x v="287"/>
    <n v="27"/>
    <x v="0"/>
    <x v="2"/>
    <x v="1"/>
    <x v="3"/>
    <x v="1"/>
    <s v="Desk"/>
    <n v="9"/>
    <n v="20678.490000000002"/>
    <x v="34"/>
    <n v="87908.479999999996"/>
    <n v="33141.699999999997"/>
    <n v="46.74"/>
    <x v="3"/>
    <n v="2"/>
    <x v="0"/>
    <x v="0"/>
    <n v="5"/>
  </r>
  <r>
    <s v="ORD-01203"/>
    <d v="2021-06-26T00:00:00"/>
    <s v="CUST20494"/>
    <x v="323"/>
    <n v="58"/>
    <x v="2"/>
    <x v="1"/>
    <x v="4"/>
    <x v="17"/>
    <x v="3"/>
    <s v="Dress"/>
    <n v="1"/>
    <n v="3505.24"/>
    <x v="35"/>
    <n v="3938.32"/>
    <n v="1621.58"/>
    <n v="55.77"/>
    <x v="4"/>
    <n v="3"/>
    <x v="0"/>
    <x v="0"/>
    <n v="9"/>
  </r>
  <r>
    <s v="ORD-03754"/>
    <d v="2024-06-23T00:00:00"/>
    <s v="CUST83515"/>
    <x v="324"/>
    <n v="33"/>
    <x v="0"/>
    <x v="0"/>
    <x v="3"/>
    <x v="5"/>
    <x v="5"/>
    <s v="Dal (1kg)"/>
    <n v="9"/>
    <n v="298.83"/>
    <x v="39"/>
    <n v="4084.65"/>
    <n v="279.52999999999997"/>
    <n v="55.65"/>
    <x v="1"/>
    <n v="1"/>
    <x v="1"/>
    <x v="1"/>
    <n v="1"/>
  </r>
  <r>
    <s v="ORD-01404"/>
    <d v="2021-09-25T00:00:00"/>
    <s v="CUST34886"/>
    <x v="24"/>
    <n v="25"/>
    <x v="3"/>
    <x v="2"/>
    <x v="3"/>
    <x v="16"/>
    <x v="2"/>
    <s v="Fiction Novel"/>
    <n v="10"/>
    <n v="350.58"/>
    <x v="18"/>
    <n v="2561.17"/>
    <n v="916.75"/>
    <n v="95"/>
    <x v="4"/>
    <n v="5"/>
    <x v="0"/>
    <x v="0"/>
    <n v="7"/>
  </r>
  <r>
    <s v="ORD-00023"/>
    <d v="2020-01-09T00:00:00"/>
    <s v="CUST78914"/>
    <x v="343"/>
    <n v="44"/>
    <x v="1"/>
    <x v="2"/>
    <x v="0"/>
    <x v="19"/>
    <x v="1"/>
    <s v="Desk"/>
    <n v="8"/>
    <n v="12654.92"/>
    <x v="6"/>
    <n v="44039.5"/>
    <n v="13136.75"/>
    <n v="75.7"/>
    <x v="2"/>
    <n v="1"/>
    <x v="0"/>
    <x v="0"/>
    <n v="1"/>
  </r>
  <r>
    <s v="ORD-03438"/>
    <d v="2024-01-30T00:00:00"/>
    <s v="CUST66705"/>
    <x v="344"/>
    <n v="51"/>
    <x v="2"/>
    <x v="1"/>
    <x v="0"/>
    <x v="19"/>
    <x v="2"/>
    <s v="Self-Help Book"/>
    <n v="4"/>
    <n v="523"/>
    <x v="26"/>
    <n v="1458.67"/>
    <n v="432"/>
    <n v="42.17"/>
    <x v="4"/>
    <n v="4"/>
    <x v="0"/>
    <x v="0"/>
    <n v="5"/>
  </r>
  <r>
    <s v="ORD-02818"/>
    <d v="2023-09-05T00:00:00"/>
    <s v="CUST11582"/>
    <x v="128"/>
    <n v="36"/>
    <x v="1"/>
    <x v="2"/>
    <x v="1"/>
    <x v="6"/>
    <x v="0"/>
    <s v="Shampoo"/>
    <n v="5"/>
    <n v="576.73"/>
    <x v="16"/>
    <n v="4465.04"/>
    <n v="1617.65"/>
    <n v="61.27"/>
    <x v="1"/>
    <n v="4"/>
    <x v="0"/>
    <x v="2"/>
    <n v="2"/>
  </r>
  <r>
    <s v="ORD-03416"/>
    <d v="2024-01-21T00:00:00"/>
    <s v="CUST98563"/>
    <x v="345"/>
    <n v="27"/>
    <x v="0"/>
    <x v="2"/>
    <x v="0"/>
    <x v="2"/>
    <x v="5"/>
    <s v="Dal (1kg)"/>
    <n v="10"/>
    <n v="406.98"/>
    <x v="19"/>
    <n v="3726.88"/>
    <n v="185.43"/>
    <n v="17.510000000000002"/>
    <x v="5"/>
    <n v="3"/>
    <x v="0"/>
    <x v="2"/>
    <n v="1"/>
  </r>
  <r>
    <s v="ORD-00351"/>
    <d v="2020-05-31T00:00:00"/>
    <s v="CUST05560"/>
    <x v="123"/>
    <n v="36"/>
    <x v="1"/>
    <x v="1"/>
    <x v="0"/>
    <x v="2"/>
    <x v="4"/>
    <s v="Yoga Mat"/>
    <n v="9"/>
    <n v="13555.14"/>
    <x v="33"/>
    <n v="120212"/>
    <n v="36132.18"/>
    <n v="93.89"/>
    <x v="4"/>
    <n v="5"/>
    <x v="0"/>
    <x v="0"/>
    <n v="7"/>
  </r>
  <r>
    <s v="ORD-02653"/>
    <d v="2023-02-22T00:00:00"/>
    <s v="CUST19008"/>
    <x v="157"/>
    <n v="46"/>
    <x v="1"/>
    <x v="2"/>
    <x v="1"/>
    <x v="3"/>
    <x v="2"/>
    <s v="Cook Book"/>
    <n v="6"/>
    <n v="821.9"/>
    <x v="38"/>
    <n v="4718.43"/>
    <n v="1271.26"/>
    <n v="24.77"/>
    <x v="0"/>
    <n v="4"/>
    <x v="0"/>
    <x v="0"/>
    <n v="5"/>
  </r>
  <r>
    <s v="ORD-00604"/>
    <d v="2020-09-26T00:00:00"/>
    <s v="CUST47446"/>
    <x v="284"/>
    <n v="23"/>
    <x v="3"/>
    <x v="1"/>
    <x v="3"/>
    <x v="12"/>
    <x v="1"/>
    <s v="Desk"/>
    <n v="4"/>
    <n v="10669.95"/>
    <x v="21"/>
    <n v="27756.98"/>
    <n v="9717.32"/>
    <n v="73.78"/>
    <x v="1"/>
    <n v="1"/>
    <x v="0"/>
    <x v="0"/>
    <n v="2"/>
  </r>
  <r>
    <s v="ORD-00768"/>
    <d v="2020-12-14T00:00:00"/>
    <s v="CUST47322"/>
    <x v="256"/>
    <n v="32"/>
    <x v="0"/>
    <x v="2"/>
    <x v="1"/>
    <x v="10"/>
    <x v="4"/>
    <s v="Tennis Racket"/>
    <n v="4"/>
    <n v="3803.71"/>
    <x v="39"/>
    <n v="9647.73"/>
    <n v="1808.82"/>
    <n v="75.19"/>
    <x v="2"/>
    <n v="4"/>
    <x v="0"/>
    <x v="0"/>
    <n v="9"/>
  </r>
  <r>
    <s v="ORD-00596"/>
    <d v="2020-09-24T00:00:00"/>
    <s v="CUST30793"/>
    <x v="196"/>
    <n v="29"/>
    <x v="0"/>
    <x v="0"/>
    <x v="2"/>
    <x v="13"/>
    <x v="0"/>
    <s v="Face Cream"/>
    <n v="2"/>
    <n v="2372.2399999999998"/>
    <x v="20"/>
    <n v="3450.53"/>
    <n v="1389.92"/>
    <n v="51.38"/>
    <x v="1"/>
    <n v="5"/>
    <x v="0"/>
    <x v="0"/>
    <n v="1"/>
  </r>
  <r>
    <s v="ORD-02256"/>
    <d v="2022-09-10T00:00:00"/>
    <s v="CUST76072"/>
    <x v="346"/>
    <n v="21"/>
    <x v="3"/>
    <x v="1"/>
    <x v="0"/>
    <x v="19"/>
    <x v="1"/>
    <s v="Bookshelf"/>
    <n v="9"/>
    <n v="29503.49"/>
    <x v="4"/>
    <n v="295846.81"/>
    <n v="62680.47"/>
    <n v="44.27"/>
    <x v="0"/>
    <n v="1"/>
    <x v="0"/>
    <x v="3"/>
    <n v="3"/>
  </r>
  <r>
    <s v="ORD-01241"/>
    <d v="2021-07-14T00:00:00"/>
    <s v="CUST61863"/>
    <x v="347"/>
    <n v="35"/>
    <x v="0"/>
    <x v="2"/>
    <x v="3"/>
    <x v="12"/>
    <x v="5"/>
    <s v="Rice (5kg)"/>
    <n v="7"/>
    <n v="245.58"/>
    <x v="27"/>
    <n v="1697.64"/>
    <n v="173.17"/>
    <n v="84.93"/>
    <x v="2"/>
    <n v="5"/>
    <x v="0"/>
    <x v="0"/>
    <n v="3"/>
  </r>
  <r>
    <s v="ORD-01000"/>
    <d v="2021-03-30T00:00:00"/>
    <s v="CUST98974"/>
    <x v="86"/>
    <n v="38"/>
    <x v="1"/>
    <x v="2"/>
    <x v="4"/>
    <x v="18"/>
    <x v="2"/>
    <s v="Cook Book"/>
    <n v="4"/>
    <n v="1425.29"/>
    <x v="11"/>
    <n v="5074.93"/>
    <n v="2152.9499999999998"/>
    <n v="84.46"/>
    <x v="4"/>
    <n v="3"/>
    <x v="0"/>
    <x v="0"/>
    <n v="2"/>
  </r>
  <r>
    <s v="ORD-02229"/>
    <d v="2022-08-30T00:00:00"/>
    <s v="CUST82156"/>
    <x v="150"/>
    <n v="35"/>
    <x v="0"/>
    <x v="0"/>
    <x v="2"/>
    <x v="13"/>
    <x v="1"/>
    <s v="Bookshelf"/>
    <n v="3"/>
    <n v="29848.47"/>
    <x v="26"/>
    <n v="88033.69"/>
    <n v="26851.32"/>
    <n v="62.97"/>
    <x v="0"/>
    <n v="5"/>
    <x v="0"/>
    <x v="4"/>
    <n v="10"/>
  </r>
  <r>
    <s v="ORD-03572"/>
    <d v="2024-03-30T00:00:00"/>
    <s v="CUST95134"/>
    <x v="348"/>
    <n v="32"/>
    <x v="0"/>
    <x v="1"/>
    <x v="0"/>
    <x v="1"/>
    <x v="4"/>
    <s v="Cricket Bat"/>
    <n v="5"/>
    <n v="10965.5"/>
    <x v="2"/>
    <n v="60476.18"/>
    <n v="10094.56"/>
    <n v="67.11"/>
    <x v="0"/>
    <n v="3"/>
    <x v="0"/>
    <x v="0"/>
    <n v="3"/>
  </r>
  <r>
    <s v="ORD-03892"/>
    <d v="2024-08-12T00:00:00"/>
    <s v="CUST28116"/>
    <x v="349"/>
    <n v="20"/>
    <x v="3"/>
    <x v="1"/>
    <x v="0"/>
    <x v="2"/>
    <x v="3"/>
    <s v="Jacket"/>
    <n v="10"/>
    <n v="1866.54"/>
    <x v="29"/>
    <n v="28793.88"/>
    <n v="10235.469999999999"/>
    <n v="39.49"/>
    <x v="3"/>
    <n v="5"/>
    <x v="0"/>
    <x v="2"/>
    <n v="7"/>
  </r>
  <r>
    <s v="ORD-00499"/>
    <d v="2020-08-07T00:00:00"/>
    <s v="CUST68621"/>
    <x v="350"/>
    <n v="50"/>
    <x v="1"/>
    <x v="1"/>
    <x v="3"/>
    <x v="16"/>
    <x v="5"/>
    <s v="Cooking Oil"/>
    <n v="4"/>
    <n v="299.75"/>
    <x v="5"/>
    <n v="1339.61"/>
    <n v="109.11"/>
    <n v="106.26"/>
    <x v="1"/>
    <n v="2"/>
    <x v="0"/>
    <x v="2"/>
    <n v="7"/>
  </r>
  <r>
    <s v="ORD-00756"/>
    <d v="2020-12-09T00:00:00"/>
    <s v="CUST60860"/>
    <x v="213"/>
    <n v="35"/>
    <x v="0"/>
    <x v="1"/>
    <x v="0"/>
    <x v="0"/>
    <x v="3"/>
    <s v="Kurta"/>
    <n v="7"/>
    <n v="446.81"/>
    <x v="16"/>
    <n v="2020.82"/>
    <n v="594.44000000000005"/>
    <n v="79.489999999999995"/>
    <x v="5"/>
    <n v="1"/>
    <x v="0"/>
    <x v="2"/>
    <n v="1"/>
  </r>
  <r>
    <s v="ORD-02357"/>
    <d v="2022-10-16T00:00:00"/>
    <s v="CUST17365"/>
    <x v="295"/>
    <n v="36"/>
    <x v="1"/>
    <x v="2"/>
    <x v="1"/>
    <x v="6"/>
    <x v="5"/>
    <s v="Rice (5kg)"/>
    <n v="8"/>
    <n v="394.24"/>
    <x v="12"/>
    <n v="2269.73"/>
    <n v="208.28"/>
    <n v="66.63"/>
    <x v="3"/>
    <n v="1"/>
    <x v="0"/>
    <x v="0"/>
    <n v="4"/>
  </r>
  <r>
    <s v="ORD-02897"/>
    <d v="2023-06-06T00:00:00"/>
    <s v="CUST64599"/>
    <x v="101"/>
    <n v="60"/>
    <x v="2"/>
    <x v="2"/>
    <x v="2"/>
    <x v="4"/>
    <x v="6"/>
    <s v="Smartwatch"/>
    <n v="6"/>
    <n v="62456.65"/>
    <x v="4"/>
    <n v="593837.1"/>
    <n v="72763.11"/>
    <n v="30.38"/>
    <x v="0"/>
    <n v="4"/>
    <x v="0"/>
    <x v="2"/>
    <n v="1"/>
  </r>
  <r>
    <s v="ORD-02629"/>
    <d v="2023-02-14T00:00:00"/>
    <s v="CUST23638"/>
    <x v="227"/>
    <n v="57"/>
    <x v="2"/>
    <x v="0"/>
    <x v="1"/>
    <x v="10"/>
    <x v="0"/>
    <s v="Shampoo"/>
    <n v="9"/>
    <n v="1014.1"/>
    <x v="2"/>
    <n v="7782.1"/>
    <n v="2587.13"/>
    <n v="50.45"/>
    <x v="3"/>
    <n v="1"/>
    <x v="0"/>
    <x v="0"/>
    <n v="10"/>
  </r>
  <r>
    <s v="ORD-01317"/>
    <d v="2021-08-15T00:00:00"/>
    <s v="CUST37544"/>
    <x v="121"/>
    <n v="35"/>
    <x v="0"/>
    <x v="1"/>
    <x v="2"/>
    <x v="4"/>
    <x v="1"/>
    <s v="Wardrobe"/>
    <n v="10"/>
    <n v="26198.400000000001"/>
    <x v="0"/>
    <n v="256959.11"/>
    <n v="92292.36"/>
    <n v="42.39"/>
    <x v="3"/>
    <n v="4"/>
    <x v="0"/>
    <x v="0"/>
    <n v="2"/>
  </r>
  <r>
    <s v="ORD-03043"/>
    <d v="2023-08-09T00:00:00"/>
    <s v="CUST77236"/>
    <x v="196"/>
    <n v="53"/>
    <x v="2"/>
    <x v="2"/>
    <x v="1"/>
    <x v="3"/>
    <x v="0"/>
    <s v="Lipstick"/>
    <n v="4"/>
    <n v="369.22"/>
    <x v="36"/>
    <n v="1495.87"/>
    <n v="791.13"/>
    <n v="38.15"/>
    <x v="3"/>
    <n v="5"/>
    <x v="0"/>
    <x v="0"/>
    <n v="9"/>
  </r>
  <r>
    <s v="ORD-04152"/>
    <d v="2024-12-07T00:00:00"/>
    <s v="CUST27678"/>
    <x v="229"/>
    <n v="39"/>
    <x v="1"/>
    <x v="1"/>
    <x v="4"/>
    <x v="17"/>
    <x v="5"/>
    <s v="Tea"/>
    <n v="6"/>
    <n v="199.94"/>
    <x v="16"/>
    <n v="1058.44"/>
    <n v="90.06"/>
    <n v="70.92"/>
    <x v="3"/>
    <n v="3"/>
    <x v="0"/>
    <x v="3"/>
    <n v="10"/>
  </r>
  <r>
    <s v="ORD-00084"/>
    <d v="2020-02-03T00:00:00"/>
    <s v="CUST43984"/>
    <x v="29"/>
    <n v="58"/>
    <x v="2"/>
    <x v="0"/>
    <x v="2"/>
    <x v="14"/>
    <x v="3"/>
    <s v="Kurta"/>
    <n v="2"/>
    <n v="1849.33"/>
    <x v="21"/>
    <n v="2115.12"/>
    <n v="453.68"/>
    <n v="31.92"/>
    <x v="4"/>
    <n v="5"/>
    <x v="0"/>
    <x v="0"/>
    <n v="5"/>
  </r>
  <r>
    <s v="ORD-00539"/>
    <d v="2020-08-25T00:00:00"/>
    <s v="CUST19345"/>
    <x v="345"/>
    <n v="53"/>
    <x v="2"/>
    <x v="1"/>
    <x v="1"/>
    <x v="11"/>
    <x v="3"/>
    <s v="Jacket"/>
    <n v="999"/>
    <n v="2567.4"/>
    <x v="35"/>
    <n v="2281458.2200000002"/>
    <n v="899209.6"/>
    <n v="74.459999999999994"/>
    <x v="1"/>
    <n v="3"/>
    <x v="0"/>
    <x v="0"/>
    <n v="5"/>
  </r>
  <r>
    <s v="ORD-01926"/>
    <d v="2022-05-02T00:00:00"/>
    <s v="CUST98569"/>
    <x v="351"/>
    <n v="29"/>
    <x v="0"/>
    <x v="2"/>
    <x v="0"/>
    <x v="0"/>
    <x v="0"/>
    <s v="Lipstick"/>
    <n v="4"/>
    <n v="1147.98"/>
    <x v="33"/>
    <n v="6361.05"/>
    <n v="3168.26"/>
    <n v="65.040000000000006"/>
    <x v="3"/>
    <n v="4"/>
    <x v="0"/>
    <x v="3"/>
    <n v="3"/>
  </r>
  <r>
    <s v="ORD-03361"/>
    <d v="2023-12-25T00:00:00"/>
    <s v="CUST86557"/>
    <x v="200"/>
    <n v="42"/>
    <x v="1"/>
    <x v="0"/>
    <x v="4"/>
    <x v="17"/>
    <x v="3"/>
    <s v="Dress"/>
    <n v="9"/>
    <n v="498.04"/>
    <x v="2"/>
    <n v="3156.27"/>
    <n v="846.9"/>
    <n v="66.239999999999995"/>
    <x v="1"/>
    <n v="2"/>
    <x v="0"/>
    <x v="2"/>
    <n v="9"/>
  </r>
  <r>
    <s v="ORD-01785"/>
    <d v="2022-03-03T00:00:00"/>
    <s v="CUST57566"/>
    <x v="322"/>
    <n v="36"/>
    <x v="1"/>
    <x v="0"/>
    <x v="4"/>
    <x v="18"/>
    <x v="5"/>
    <s v="Rice (5kg)"/>
    <n v="10"/>
    <n v="206.1"/>
    <x v="34"/>
    <n v="1777.49"/>
    <n v="133.97"/>
    <n v="79.95"/>
    <x v="4"/>
    <n v="2"/>
    <x v="0"/>
    <x v="0"/>
    <n v="1"/>
  </r>
  <r>
    <s v="ORD-02197"/>
    <d v="2022-08-16T00:00:00"/>
    <s v="CUST78749"/>
    <x v="181"/>
    <n v="36"/>
    <x v="1"/>
    <x v="0"/>
    <x v="4"/>
    <x v="17"/>
    <x v="3"/>
    <s v="Jacket"/>
    <n v="7"/>
    <n v="1443.52"/>
    <x v="19"/>
    <n v="11305.88"/>
    <n v="3465.68"/>
    <n v="55.23"/>
    <x v="3"/>
    <n v="1"/>
    <x v="1"/>
    <x v="1"/>
    <n v="5"/>
  </r>
  <r>
    <s v="ORD-01722"/>
    <d v="2022-05-02T00:00:00"/>
    <s v="CUST63028"/>
    <x v="352"/>
    <n v="31"/>
    <x v="0"/>
    <x v="1"/>
    <x v="1"/>
    <x v="3"/>
    <x v="5"/>
    <s v="Tea"/>
    <n v="8"/>
    <n v="367.78"/>
    <x v="28"/>
    <n v="2940.06"/>
    <n v="156.66999999999999"/>
    <n v="59.05"/>
    <x v="5"/>
    <n v="3"/>
    <x v="0"/>
    <x v="0"/>
    <n v="10"/>
  </r>
  <r>
    <s v="ORD-01626"/>
    <d v="2021-12-27T00:00:00"/>
    <s v="CUST71913"/>
    <x v="47"/>
    <n v="49"/>
    <x v="1"/>
    <x v="2"/>
    <x v="3"/>
    <x v="12"/>
    <x v="4"/>
    <s v="Cricket Bat"/>
    <n v="8"/>
    <n v="5432.7"/>
    <x v="4"/>
    <n v="31946.52"/>
    <n v="4581.83"/>
    <n v="74.44"/>
    <x v="3"/>
    <n v="4"/>
    <x v="0"/>
    <x v="0"/>
    <n v="3"/>
  </r>
  <r>
    <s v="ORD-04025"/>
    <d v="2024-10-13T00:00:00"/>
    <s v="CUST94922"/>
    <x v="150"/>
    <n v="58"/>
    <x v="2"/>
    <x v="1"/>
    <x v="1"/>
    <x v="11"/>
    <x v="0"/>
    <s v="Face Cream"/>
    <n v="10"/>
    <n v="1026.6600000000001"/>
    <x v="19"/>
    <n v="9081.4500000000007"/>
    <n v="4511.59"/>
    <n v="101.7"/>
    <x v="0"/>
    <n v="2"/>
    <x v="0"/>
    <x v="3"/>
    <n v="8"/>
  </r>
  <r>
    <s v="ORD-02917"/>
    <d v="2023-06-16T00:00:00"/>
    <s v="CUST53514"/>
    <x v="264"/>
    <n v="25"/>
    <x v="3"/>
    <x v="2"/>
    <x v="3"/>
    <x v="16"/>
    <x v="5"/>
    <s v="Flour"/>
    <n v="9"/>
    <n v="374.09"/>
    <x v="2"/>
    <n v="4521.17"/>
    <n v="397.05"/>
    <n v="78.38"/>
    <x v="0"/>
    <n v="1"/>
    <x v="1"/>
    <x v="1"/>
    <n v="8"/>
  </r>
  <r>
    <s v="ORD-00220"/>
    <d v="2020-04-05T00:00:00"/>
    <s v="CUST34125"/>
    <x v="279"/>
    <n v="53"/>
    <x v="2"/>
    <x v="0"/>
    <x v="4"/>
    <x v="8"/>
    <x v="6"/>
    <s v="Smartwatch"/>
    <n v="7"/>
    <n v="9567.57"/>
    <x v="7"/>
    <n v="74980.19"/>
    <n v="6346.79"/>
    <n v="57.59"/>
    <x v="4"/>
    <n v="2"/>
    <x v="1"/>
    <x v="1"/>
    <n v="5"/>
  </r>
  <r>
    <s v="ORD-00188"/>
    <d v="2020-03-24T00:00:00"/>
    <s v="CUST84898"/>
    <x v="352"/>
    <n v="45"/>
    <x v="1"/>
    <x v="0"/>
    <x v="3"/>
    <x v="16"/>
    <x v="6"/>
    <s v="Smartphone"/>
    <n v="1"/>
    <n v="6658.64"/>
    <x v="29"/>
    <n v="6373.28"/>
    <n v="702.66"/>
    <n v="108.65"/>
    <x v="4"/>
    <n v="4"/>
    <x v="0"/>
    <x v="0"/>
    <n v="10"/>
  </r>
  <r>
    <s v="ORD-03444"/>
    <d v="2024-02-02T00:00:00"/>
    <s v="CUST31786"/>
    <x v="11"/>
    <n v="23"/>
    <x v="3"/>
    <x v="1"/>
    <x v="2"/>
    <x v="9"/>
    <x v="1"/>
    <s v="Sofa"/>
    <n v="1"/>
    <n v="18541.2"/>
    <x v="12"/>
    <n v="14966.05"/>
    <n v="4220.82"/>
    <n v="26.45"/>
    <x v="2"/>
    <n v="5"/>
    <x v="0"/>
    <x v="0"/>
    <n v="9"/>
  </r>
  <r>
    <s v="ORD-01673"/>
    <d v="2022-01-17T00:00:00"/>
    <s v="CUST61953"/>
    <x v="270"/>
    <n v="36"/>
    <x v="1"/>
    <x v="0"/>
    <x v="0"/>
    <x v="0"/>
    <x v="0"/>
    <s v="Perfume"/>
    <n v="7"/>
    <n v="1098.02"/>
    <x v="37"/>
    <n v="4476.08"/>
    <n v="2091.36"/>
    <n v="61.05"/>
    <x v="2"/>
    <n v="3"/>
    <x v="0"/>
    <x v="0"/>
    <n v="10"/>
  </r>
  <r>
    <s v="ORD-00645"/>
    <d v="2020-10-15T00:00:00"/>
    <s v="CUST20584"/>
    <x v="195"/>
    <n v="38"/>
    <x v="1"/>
    <x v="2"/>
    <x v="3"/>
    <x v="16"/>
    <x v="2"/>
    <s v="Self-Help Book"/>
    <n v="9"/>
    <n v="1306.28"/>
    <x v="11"/>
    <n v="8262.31"/>
    <n v="4280.66"/>
    <n v="74.540000000000006"/>
    <x v="5"/>
    <n v="1"/>
    <x v="0"/>
    <x v="0"/>
    <n v="4"/>
  </r>
  <r>
    <s v="ORD-01025"/>
    <d v="2021-04-09T00:00:00"/>
    <s v="CUST16923"/>
    <x v="106"/>
    <n v="36"/>
    <x v="1"/>
    <x v="0"/>
    <x v="2"/>
    <x v="4"/>
    <x v="4"/>
    <s v="Tennis Racket"/>
    <n v="999"/>
    <n v="9380.7199999999993"/>
    <x v="10"/>
    <n v="7936261.2000000002"/>
    <n v="1739854"/>
    <n v="72.62"/>
    <x v="5"/>
    <n v="4"/>
    <x v="0"/>
    <x v="0"/>
    <n v="4"/>
  </r>
  <r>
    <s v="ORD-01835"/>
    <d v="2022-03-25T00:00:00"/>
    <s v="CUST19761"/>
    <x v="115"/>
    <n v="35"/>
    <x v="0"/>
    <x v="1"/>
    <x v="3"/>
    <x v="15"/>
    <x v="5"/>
    <s v="Rice (5kg)"/>
    <n v="6"/>
    <n v="113.85"/>
    <x v="9"/>
    <n v="739.35"/>
    <n v="42.47"/>
    <n v="94.73"/>
    <x v="4"/>
    <n v="5"/>
    <x v="0"/>
    <x v="0"/>
    <n v="9"/>
  </r>
  <r>
    <s v="ORD-03501"/>
    <d v="2024-03-01T00:00:00"/>
    <s v="CUST99295"/>
    <x v="91"/>
    <n v="61"/>
    <x v="2"/>
    <x v="0"/>
    <x v="4"/>
    <x v="18"/>
    <x v="0"/>
    <s v="Hair Oil"/>
    <n v="2"/>
    <n v="2459.27"/>
    <x v="3"/>
    <n v="4998.5200000000004"/>
    <n v="2550.2600000000002"/>
    <n v="90.29"/>
    <x v="3"/>
    <n v="5"/>
    <x v="0"/>
    <x v="0"/>
    <n v="2"/>
  </r>
  <r>
    <s v="ORD-01836"/>
    <d v="2022-03-25T00:00:00"/>
    <s v="CUST59858"/>
    <x v="75"/>
    <n v="51"/>
    <x v="2"/>
    <x v="2"/>
    <x v="1"/>
    <x v="6"/>
    <x v="3"/>
    <s v="Dress"/>
    <n v="4"/>
    <n v="3759.12"/>
    <x v="29"/>
    <n v="16565.63"/>
    <n v="5889.66"/>
    <n v="49.87"/>
    <x v="2"/>
    <n v="3"/>
    <x v="0"/>
    <x v="0"/>
    <n v="1"/>
  </r>
  <r>
    <s v="ORD-02683"/>
    <d v="2023-03-09T00:00:00"/>
    <s v="CUST18854"/>
    <x v="304"/>
    <n v="53"/>
    <x v="2"/>
    <x v="2"/>
    <x v="1"/>
    <x v="3"/>
    <x v="2"/>
    <s v="Fiction Novel"/>
    <n v="7"/>
    <n v="291.52999999999997"/>
    <x v="0"/>
    <n v="2565.08"/>
    <n v="571.02"/>
    <n v="71.31"/>
    <x v="3"/>
    <n v="1"/>
    <x v="0"/>
    <x v="0"/>
    <n v="3"/>
  </r>
  <r>
    <s v="ORD-04039"/>
    <d v="2024-10-18T00:00:00"/>
    <s v="CUST38048"/>
    <x v="179"/>
    <n v="32"/>
    <x v="0"/>
    <x v="0"/>
    <x v="1"/>
    <x v="10"/>
    <x v="4"/>
    <s v="Cycle"/>
    <n v="1"/>
    <n v="13524.69"/>
    <x v="31"/>
    <n v="12066.97"/>
    <n v="2590.87"/>
    <n v="66.760000000000005"/>
    <x v="4"/>
    <n v="5"/>
    <x v="0"/>
    <x v="0"/>
    <n v="6"/>
  </r>
  <r>
    <s v="ORD-01471"/>
    <d v="2021-10-24T00:00:00"/>
    <s v="CUST70306"/>
    <x v="85"/>
    <n v="18"/>
    <x v="3"/>
    <x v="0"/>
    <x v="1"/>
    <x v="6"/>
    <x v="3"/>
    <s v="Dress"/>
    <n v="4"/>
    <n v="2744.4"/>
    <x v="29"/>
    <n v="9005.15"/>
    <n v="3617.26"/>
    <n v="63.69"/>
    <x v="1"/>
    <n v="1"/>
    <x v="0"/>
    <x v="4"/>
    <n v="7"/>
  </r>
  <r>
    <s v="ORD-02561"/>
    <d v="2023-01-14T00:00:00"/>
    <s v="CUST34744"/>
    <x v="112"/>
    <n v="38"/>
    <x v="1"/>
    <x v="0"/>
    <x v="2"/>
    <x v="14"/>
    <x v="6"/>
    <s v="Tablet"/>
    <n v="6"/>
    <n v="8947.94"/>
    <x v="20"/>
    <n v="39941.040000000001"/>
    <n v="4114.43"/>
    <n v="67.17"/>
    <x v="5"/>
    <n v="4"/>
    <x v="0"/>
    <x v="2"/>
    <n v="10"/>
  </r>
  <r>
    <s v="ORD-02297"/>
    <d v="2022-09-23T00:00:00"/>
    <s v="CUST42672"/>
    <x v="163"/>
    <n v="33"/>
    <x v="0"/>
    <x v="0"/>
    <x v="0"/>
    <x v="0"/>
    <x v="0"/>
    <s v="Perfume"/>
    <n v="5"/>
    <n v="926.42"/>
    <x v="15"/>
    <n v="3809.66"/>
    <n v="1528.7"/>
    <n v="64.010000000000005"/>
    <x v="0"/>
    <n v="5"/>
    <x v="0"/>
    <x v="3"/>
    <n v="6"/>
  </r>
  <r>
    <s v="ORD-03108"/>
    <d v="2023-09-05T00:00:00"/>
    <s v="CUST73404"/>
    <x v="353"/>
    <n v="36"/>
    <x v="1"/>
    <x v="0"/>
    <x v="1"/>
    <x v="3"/>
    <x v="6"/>
    <s v="Smartphone"/>
    <n v="9"/>
    <n v="26560.240000000002"/>
    <x v="33"/>
    <n v="238441.62"/>
    <n v="32963.32"/>
    <n v="47.86"/>
    <x v="0"/>
    <n v="2"/>
    <x v="0"/>
    <x v="0"/>
    <n v="10"/>
  </r>
  <r>
    <s v="ORD-01121"/>
    <d v="2021-05-20T00:00:00"/>
    <s v="CUST42961"/>
    <x v="354"/>
    <n v="44"/>
    <x v="1"/>
    <x v="2"/>
    <x v="0"/>
    <x v="19"/>
    <x v="4"/>
    <s v="Cricket Bat"/>
    <n v="4"/>
    <n v="2049.02"/>
    <x v="38"/>
    <n v="10395.540000000001"/>
    <n v="1625.17"/>
    <n v="77.489999999999995"/>
    <x v="2"/>
    <n v="2"/>
    <x v="0"/>
    <x v="0"/>
    <n v="1"/>
  </r>
  <r>
    <s v="ORD-04059"/>
    <d v="2024-10-26T00:00:00"/>
    <s v="CUST50161"/>
    <x v="139"/>
    <n v="25"/>
    <x v="3"/>
    <x v="2"/>
    <x v="4"/>
    <x v="18"/>
    <x v="5"/>
    <s v="Dal (1kg)"/>
    <n v="7"/>
    <n v="352.63"/>
    <x v="15"/>
    <n v="1976.85"/>
    <n v="173.35"/>
    <n v="62.95"/>
    <x v="5"/>
    <n v="3"/>
    <x v="1"/>
    <x v="1"/>
    <n v="5"/>
  </r>
  <r>
    <s v="ORD-03548"/>
    <d v="2024-03-21T00:00:00"/>
    <s v="CUST66417"/>
    <x v="268"/>
    <n v="21"/>
    <x v="3"/>
    <x v="1"/>
    <x v="3"/>
    <x v="5"/>
    <x v="3"/>
    <s v="T-Shirt"/>
    <n v="8"/>
    <n v="894.69"/>
    <x v="4"/>
    <n v="9349.02"/>
    <n v="1742.56"/>
    <n v="62.56"/>
    <x v="2"/>
    <n v="5"/>
    <x v="0"/>
    <x v="0"/>
    <n v="6"/>
  </r>
  <r>
    <s v="ORD-02642"/>
    <d v="2023-02-17T00:00:00"/>
    <s v="CUST28950"/>
    <x v="308"/>
    <n v="48"/>
    <x v="1"/>
    <x v="0"/>
    <x v="3"/>
    <x v="12"/>
    <x v="3"/>
    <s v="Jeans"/>
    <n v="9"/>
    <n v="3701.68"/>
    <x v="15"/>
    <n v="25508.14"/>
    <n v="10141.91"/>
    <n v="66.89"/>
    <x v="3"/>
    <n v="5"/>
    <x v="0"/>
    <x v="0"/>
    <n v="2"/>
  </r>
  <r>
    <s v="ORD-01743"/>
    <d v="2022-02-13T00:00:00"/>
    <s v="CUST21723"/>
    <x v="309"/>
    <n v="31"/>
    <x v="0"/>
    <x v="1"/>
    <x v="2"/>
    <x v="14"/>
    <x v="2"/>
    <s v="Comic Book"/>
    <n v="3"/>
    <n v="1239.02"/>
    <x v="25"/>
    <n v="2496.6"/>
    <n v="753.81"/>
    <n v="47.04"/>
    <x v="3"/>
    <n v="3"/>
    <x v="0"/>
    <x v="0"/>
    <n v="1"/>
  </r>
  <r>
    <s v="ORD-03587"/>
    <d v="2024-04-09T00:00:00"/>
    <s v="CUST49861"/>
    <x v="241"/>
    <n v="36"/>
    <x v="1"/>
    <x v="2"/>
    <x v="4"/>
    <x v="18"/>
    <x v="0"/>
    <s v="Sunscreen"/>
    <n v="10"/>
    <n v="1227.43"/>
    <x v="35"/>
    <n v="12426.65"/>
    <n v="6994.21"/>
    <n v="88.5"/>
    <x v="0"/>
    <n v="5"/>
    <x v="0"/>
    <x v="0"/>
    <n v="3"/>
  </r>
  <r>
    <s v="ORD-02306"/>
    <d v="2022-09-29T00:00:00"/>
    <s v="CUST12892"/>
    <x v="338"/>
    <n v="35"/>
    <x v="0"/>
    <x v="0"/>
    <x v="1"/>
    <x v="10"/>
    <x v="3"/>
    <s v="Jacket"/>
    <n v="2"/>
    <n v="3165.33"/>
    <x v="23"/>
    <n v="5468.29"/>
    <n v="1737.74"/>
    <n v="73.28"/>
    <x v="3"/>
    <n v="4"/>
    <x v="0"/>
    <x v="0"/>
    <n v="2"/>
  </r>
  <r>
    <s v="ORD-02019"/>
    <d v="2022-06-09T00:00:00"/>
    <s v="CUST93903"/>
    <x v="264"/>
    <n v="28"/>
    <x v="0"/>
    <x v="1"/>
    <x v="1"/>
    <x v="11"/>
    <x v="5"/>
    <s v="Sugar"/>
    <n v="10"/>
    <n v="430.31"/>
    <x v="32"/>
    <n v="5372.93"/>
    <n v="397.37"/>
    <n v="47.6"/>
    <x v="5"/>
    <n v="1"/>
    <x v="0"/>
    <x v="0"/>
    <n v="2"/>
  </r>
  <r>
    <s v="ORD-01432"/>
    <d v="2021-10-07T00:00:00"/>
    <s v="CUST02652"/>
    <x v="45"/>
    <n v="32"/>
    <x v="0"/>
    <x v="0"/>
    <x v="2"/>
    <x v="13"/>
    <x v="4"/>
    <s v="Tennis Racket"/>
    <n v="5"/>
    <n v="10759.43"/>
    <x v="20"/>
    <n v="40614.589999999997"/>
    <n v="10920.96"/>
    <n v="43.85"/>
    <x v="4"/>
    <n v="4"/>
    <x v="0"/>
    <x v="0"/>
    <n v="2"/>
  </r>
  <r>
    <s v="ORD-02901"/>
    <d v="2023-06-08T00:00:00"/>
    <s v="CUST57226"/>
    <x v="250"/>
    <n v="21"/>
    <x v="3"/>
    <x v="2"/>
    <x v="0"/>
    <x v="2"/>
    <x v="2"/>
    <s v="Cook Book"/>
    <n v="6"/>
    <n v="471.17"/>
    <x v="20"/>
    <n v="3369.46"/>
    <n v="1337.48"/>
    <n v="88.71"/>
    <x v="2"/>
    <n v="4"/>
    <x v="0"/>
    <x v="2"/>
    <n v="1"/>
  </r>
  <r>
    <s v="ORD-01156"/>
    <d v="2021-06-03T00:00:00"/>
    <s v="CUST97655"/>
    <x v="164"/>
    <n v="45"/>
    <x v="1"/>
    <x v="2"/>
    <x v="2"/>
    <x v="4"/>
    <x v="5"/>
    <s v="Sugar"/>
    <n v="2"/>
    <n v="346.78"/>
    <x v="25"/>
    <n v="705.38"/>
    <n v="68.489999999999995"/>
    <n v="0.51"/>
    <x v="5"/>
    <n v="1"/>
    <x v="0"/>
    <x v="0"/>
    <n v="2"/>
  </r>
  <r>
    <s v="ORD-02148"/>
    <d v="2022-07-31T00:00:00"/>
    <s v="CUST63511"/>
    <x v="304"/>
    <n v="28"/>
    <x v="0"/>
    <x v="0"/>
    <x v="3"/>
    <x v="5"/>
    <x v="2"/>
    <s v="Fiction Novel"/>
    <n v="6"/>
    <n v="817.12"/>
    <x v="21"/>
    <n v="4458.93"/>
    <n v="1524.76"/>
    <n v="74.5"/>
    <x v="2"/>
    <n v="1"/>
    <x v="1"/>
    <x v="1"/>
    <n v="9"/>
  </r>
  <r>
    <s v="ORD-02168"/>
    <d v="2022-08-09T00:00:00"/>
    <s v="CUST41061"/>
    <x v="337"/>
    <n v="39"/>
    <x v="1"/>
    <x v="0"/>
    <x v="0"/>
    <x v="0"/>
    <x v="2"/>
    <s v="Textbook"/>
    <n v="4"/>
    <n v="426.71"/>
    <x v="15"/>
    <n v="1765.74"/>
    <n v="838.62"/>
    <n v="39.200000000000003"/>
    <x v="0"/>
    <n v="4"/>
    <x v="1"/>
    <x v="1"/>
    <n v="8"/>
  </r>
  <r>
    <s v="ORD-03098"/>
    <d v="2023-09-01T00:00:00"/>
    <s v="CUST98755"/>
    <x v="75"/>
    <n v="39"/>
    <x v="1"/>
    <x v="1"/>
    <x v="1"/>
    <x v="6"/>
    <x v="6"/>
    <s v="Tablet"/>
    <n v="1"/>
    <n v="22693.39"/>
    <x v="0"/>
    <n v="27894.98"/>
    <n v="4153.76"/>
    <n v="48.31"/>
    <x v="5"/>
    <n v="5"/>
    <x v="0"/>
    <x v="0"/>
    <n v="9"/>
  </r>
  <r>
    <s v="ORD-04021"/>
    <d v="2024-10-08T00:00:00"/>
    <s v="CUST14904"/>
    <x v="90"/>
    <n v="37"/>
    <x v="1"/>
    <x v="0"/>
    <x v="4"/>
    <x v="7"/>
    <x v="2"/>
    <s v="Self-Help Book"/>
    <n v="5"/>
    <n v="1217.44"/>
    <x v="30"/>
    <n v="4363.93"/>
    <n v="1440"/>
    <n v="66.03"/>
    <x v="2"/>
    <n v="5"/>
    <x v="0"/>
    <x v="0"/>
    <n v="4"/>
  </r>
  <r>
    <s v="ORD-01075"/>
    <d v="2021-05-02T00:00:00"/>
    <s v="CUST51934"/>
    <x v="327"/>
    <n v="28"/>
    <x v="0"/>
    <x v="0"/>
    <x v="0"/>
    <x v="1"/>
    <x v="5"/>
    <s v="Flour"/>
    <n v="8"/>
    <n v="208.12"/>
    <x v="31"/>
    <n v="1788.09"/>
    <n v="110.57"/>
    <n v="77.98"/>
    <x v="4"/>
    <n v="3"/>
    <x v="0"/>
    <x v="0"/>
    <n v="7"/>
  </r>
  <r>
    <s v="ORD-01935"/>
    <d v="2022-05-04T00:00:00"/>
    <s v="CUST62118"/>
    <x v="143"/>
    <n v="34"/>
    <x v="0"/>
    <x v="2"/>
    <x v="2"/>
    <x v="13"/>
    <x v="5"/>
    <s v="Tea"/>
    <n v="6"/>
    <n v="429.91"/>
    <x v="19"/>
    <n v="2947.93"/>
    <n v="145.44999999999999"/>
    <n v="42.69"/>
    <x v="0"/>
    <n v="5"/>
    <x v="0"/>
    <x v="0"/>
    <n v="3"/>
  </r>
  <r>
    <s v="ORD-02195"/>
    <d v="2022-08-15T00:00:00"/>
    <s v="CUST93002"/>
    <x v="355"/>
    <n v="39"/>
    <x v="1"/>
    <x v="1"/>
    <x v="3"/>
    <x v="15"/>
    <x v="1"/>
    <s v="Bookshelf"/>
    <n v="1"/>
    <n v="27840.27"/>
    <x v="30"/>
    <n v="29507.88"/>
    <n v="7118.47"/>
    <n v="59.77"/>
    <x v="2"/>
    <n v="4"/>
    <x v="0"/>
    <x v="0"/>
    <n v="4"/>
  </r>
  <r>
    <s v="ORD-03623"/>
    <d v="2024-04-24T00:00:00"/>
    <s v="CUST36037"/>
    <x v="322"/>
    <n v="39"/>
    <x v="1"/>
    <x v="0"/>
    <x v="3"/>
    <x v="12"/>
    <x v="3"/>
    <s v="Saree"/>
    <n v="6"/>
    <n v="805.73"/>
    <x v="40"/>
    <n v="4220"/>
    <n v="2273.25"/>
    <n v="96.9"/>
    <x v="3"/>
    <n v="1"/>
    <x v="0"/>
    <x v="0"/>
    <n v="9"/>
  </r>
  <r>
    <s v="ORD-02082"/>
    <d v="2022-07-07T00:00:00"/>
    <s v="CUST70646"/>
    <x v="323"/>
    <n v="39"/>
    <x v="1"/>
    <x v="0"/>
    <x v="2"/>
    <x v="4"/>
    <x v="5"/>
    <s v="Flour"/>
    <n v="2"/>
    <n v="345.49"/>
    <x v="40"/>
    <n v="710.96"/>
    <n v="51.95"/>
    <n v="61.64"/>
    <x v="4"/>
    <n v="4"/>
    <x v="0"/>
    <x v="0"/>
    <n v="10"/>
  </r>
  <r>
    <s v="ORD-02286"/>
    <d v="2022-09-19T00:00:00"/>
    <s v="CUST95250"/>
    <x v="4"/>
    <n v="44"/>
    <x v="1"/>
    <x v="2"/>
    <x v="2"/>
    <x v="9"/>
    <x v="4"/>
    <s v="Football"/>
    <n v="9"/>
    <n v="3394.34"/>
    <x v="29"/>
    <n v="39194.69"/>
    <n v="8874.98"/>
    <n v="16.96"/>
    <x v="0"/>
    <n v="2"/>
    <x v="1"/>
    <x v="1"/>
    <n v="8"/>
  </r>
  <r>
    <s v="ORD-01748"/>
    <d v="2022-02-15T00:00:00"/>
    <s v="CUST68997"/>
    <x v="129"/>
    <n v="56"/>
    <x v="2"/>
    <x v="2"/>
    <x v="3"/>
    <x v="16"/>
    <x v="3"/>
    <s v="Saree"/>
    <n v="10"/>
    <n v="3465.09"/>
    <x v="33"/>
    <n v="25651.74"/>
    <n v="8796.1200000000008"/>
    <n v="99.4"/>
    <x v="1"/>
    <n v="5"/>
    <x v="0"/>
    <x v="0"/>
    <n v="9"/>
  </r>
  <r>
    <s v="ORD-01860"/>
    <d v="2022-04-01T00:00:00"/>
    <s v="CUST41096"/>
    <x v="237"/>
    <n v="27"/>
    <x v="0"/>
    <x v="0"/>
    <x v="0"/>
    <x v="1"/>
    <x v="1"/>
    <s v="Bookshelf"/>
    <n v="10"/>
    <n v="21474.06"/>
    <x v="30"/>
    <n v="214328.13"/>
    <n v="31877.360000000001"/>
    <n v="49.93"/>
    <x v="1"/>
    <n v="2"/>
    <x v="0"/>
    <x v="0"/>
    <n v="8"/>
  </r>
  <r>
    <s v="ORD-01169"/>
    <d v="2021-08-06T00:00:00"/>
    <s v="CUST81880"/>
    <x v="31"/>
    <n v="34"/>
    <x v="0"/>
    <x v="1"/>
    <x v="0"/>
    <x v="2"/>
    <x v="4"/>
    <s v="Cricket Bat"/>
    <n v="5"/>
    <n v="9004.02"/>
    <x v="24"/>
    <n v="49123.38"/>
    <n v="9315.67"/>
    <n v="69.239999999999995"/>
    <x v="1"/>
    <n v="5"/>
    <x v="0"/>
    <x v="0"/>
    <n v="6"/>
  </r>
  <r>
    <s v="ORD-00369"/>
    <d v="2020-07-06T00:00:00"/>
    <s v="CUST07373"/>
    <x v="92"/>
    <n v="32"/>
    <x v="0"/>
    <x v="2"/>
    <x v="3"/>
    <x v="12"/>
    <x v="2"/>
    <s v="Fiction Novel"/>
    <n v="5"/>
    <n v="1078.72"/>
    <x v="13"/>
    <n v="6627.97"/>
    <n v="3203.59"/>
    <n v="78.459999999999994"/>
    <x v="2"/>
    <n v="4"/>
    <x v="0"/>
    <x v="0"/>
    <n v="4"/>
  </r>
  <r>
    <s v="ORD-01979"/>
    <d v="2022-05-25T00:00:00"/>
    <s v="CUST52587"/>
    <x v="356"/>
    <n v="46"/>
    <x v="1"/>
    <x v="0"/>
    <x v="2"/>
    <x v="4"/>
    <x v="0"/>
    <s v="Hair Oil"/>
    <n v="8"/>
    <n v="1707.74"/>
    <x v="5"/>
    <n v="18873.13"/>
    <n v="10051.040000000001"/>
    <n v="76.8"/>
    <x v="0"/>
    <n v="2"/>
    <x v="0"/>
    <x v="0"/>
    <n v="3"/>
  </r>
  <r>
    <s v="ORD-00853"/>
    <d v="2021-01-24T00:00:00"/>
    <s v="CUST13945"/>
    <x v="315"/>
    <n v="39"/>
    <x v="1"/>
    <x v="0"/>
    <x v="2"/>
    <x v="14"/>
    <x v="3"/>
    <s v="Jeans"/>
    <n v="8"/>
    <n v="1814.02"/>
    <x v="21"/>
    <n v="8060.63"/>
    <n v="2084.5"/>
    <n v="67.95"/>
    <x v="4"/>
    <n v="1"/>
    <x v="0"/>
    <x v="2"/>
    <n v="6"/>
  </r>
  <r>
    <s v="ORD-03677"/>
    <d v="2024-05-16T00:00:00"/>
    <s v="CUST13845"/>
    <x v="186"/>
    <n v="24"/>
    <x v="3"/>
    <x v="2"/>
    <x v="0"/>
    <x v="19"/>
    <x v="2"/>
    <s v="Self-Help Book"/>
    <n v="5"/>
    <n v="386.11"/>
    <x v="28"/>
    <n v="3102.98"/>
    <n v="740.13"/>
    <n v="71.81"/>
    <x v="2"/>
    <n v="3"/>
    <x v="0"/>
    <x v="3"/>
    <n v="7"/>
  </r>
  <r>
    <s v="ORD-00342"/>
    <d v="2020-05-28T00:00:00"/>
    <s v="CUST87199"/>
    <x v="105"/>
    <n v="32"/>
    <x v="0"/>
    <x v="1"/>
    <x v="4"/>
    <x v="17"/>
    <x v="4"/>
    <s v="Football"/>
    <n v="8"/>
    <n v="14818.6"/>
    <x v="38"/>
    <n v="121250.56"/>
    <n v="27352.51"/>
    <n v="79.900000000000006"/>
    <x v="4"/>
    <n v="5"/>
    <x v="0"/>
    <x v="0"/>
    <n v="6"/>
  </r>
  <r>
    <s v="ORD-03227"/>
    <d v="2023-10-28T00:00:00"/>
    <s v="CUST26871"/>
    <x v="106"/>
    <n v="26"/>
    <x v="0"/>
    <x v="2"/>
    <x v="1"/>
    <x v="6"/>
    <x v="2"/>
    <s v="Textbook"/>
    <n v="4"/>
    <n v="653.78"/>
    <x v="40"/>
    <n v="1691.13"/>
    <n v="702.11"/>
    <n v="57.6"/>
    <x v="3"/>
    <n v="3"/>
    <x v="0"/>
    <x v="2"/>
    <n v="4"/>
  </r>
  <r>
    <s v="ORD-03009"/>
    <d v="2023-07-26T00:00:00"/>
    <s v="CUST37112"/>
    <x v="97"/>
    <n v="35"/>
    <x v="0"/>
    <x v="2"/>
    <x v="3"/>
    <x v="12"/>
    <x v="2"/>
    <s v="Textbook"/>
    <n v="7"/>
    <n v="520.82000000000005"/>
    <x v="7"/>
    <n v="4550.2299999999996"/>
    <n v="1554.74"/>
    <n v="78.67"/>
    <x v="1"/>
    <n v="3"/>
    <x v="0"/>
    <x v="0"/>
    <n v="6"/>
  </r>
  <r>
    <s v="ORD-00286"/>
    <d v="2020-05-07T00:00:00"/>
    <s v="CUST11198"/>
    <x v="301"/>
    <n v="26"/>
    <x v="0"/>
    <x v="0"/>
    <x v="3"/>
    <x v="12"/>
    <x v="0"/>
    <s v="Shampoo"/>
    <n v="3"/>
    <n v="2059.96"/>
    <x v="8"/>
    <n v="8056.36"/>
    <n v="3439.24"/>
    <n v="92.05"/>
    <x v="5"/>
    <n v="1"/>
    <x v="0"/>
    <x v="0"/>
    <n v="8"/>
  </r>
  <r>
    <s v="ORD-01757"/>
    <d v="2022-02-17T00:00:00"/>
    <s v="CUST67988"/>
    <x v="320"/>
    <n v="30"/>
    <x v="0"/>
    <x v="1"/>
    <x v="4"/>
    <x v="18"/>
    <x v="0"/>
    <s v="Perfume"/>
    <n v="3"/>
    <n v="1566.52"/>
    <x v="6"/>
    <n v="2439.84"/>
    <n v="1173.24"/>
    <n v="81.77"/>
    <x v="1"/>
    <n v="1"/>
    <x v="1"/>
    <x v="1"/>
    <n v="3"/>
  </r>
  <r>
    <s v="ORD-02392"/>
    <d v="2022-11-01T00:00:00"/>
    <s v="CUST20067"/>
    <x v="357"/>
    <n v="40"/>
    <x v="1"/>
    <x v="0"/>
    <x v="2"/>
    <x v="14"/>
    <x v="6"/>
    <s v="Laptop"/>
    <n v="10"/>
    <n v="34447.29"/>
    <x v="1"/>
    <n v="242331.73"/>
    <n v="27631.34"/>
    <n v="29.16"/>
    <x v="3"/>
    <n v="5"/>
    <x v="0"/>
    <x v="3"/>
    <n v="6"/>
  </r>
  <r>
    <s v="ORD-01863"/>
    <d v="2022-04-02T00:00:00"/>
    <s v="CUST08965"/>
    <x v="349"/>
    <n v="49"/>
    <x v="1"/>
    <x v="1"/>
    <x v="0"/>
    <x v="2"/>
    <x v="1"/>
    <s v="Bookshelf"/>
    <n v="2"/>
    <n v="29772.1"/>
    <x v="11"/>
    <n v="57845.42"/>
    <n v="17251.72"/>
    <n v="57.47"/>
    <x v="5"/>
    <n v="2"/>
    <x v="0"/>
    <x v="4"/>
    <n v="6"/>
  </r>
  <r>
    <s v="ORD-01011"/>
    <d v="2021-04-03T00:00:00"/>
    <s v="CUST27445"/>
    <x v="48"/>
    <n v="19"/>
    <x v="3"/>
    <x v="2"/>
    <x v="4"/>
    <x v="17"/>
    <x v="1"/>
    <s v="Bed Frame"/>
    <n v="1"/>
    <n v="30648.42"/>
    <x v="40"/>
    <n v="22238.65"/>
    <n v="5768.84"/>
    <n v="99.16"/>
    <x v="2"/>
    <n v="3"/>
    <x v="0"/>
    <x v="2"/>
    <n v="9"/>
  </r>
  <r>
    <s v="ORD-00798"/>
    <d v="2020-12-29T00:00:00"/>
    <s v="CUST23116"/>
    <x v="187"/>
    <n v="57"/>
    <x v="2"/>
    <x v="2"/>
    <x v="1"/>
    <x v="10"/>
    <x v="6"/>
    <s v="Tablet"/>
    <n v="4"/>
    <n v="13059.62"/>
    <x v="38"/>
    <n v="35330.160000000003"/>
    <n v="4782.4399999999996"/>
    <n v="56.15"/>
    <x v="4"/>
    <n v="4"/>
    <x v="1"/>
    <x v="1"/>
    <n v="7"/>
  </r>
  <r>
    <s v="ORD-04051"/>
    <d v="2024-10-24T00:00:00"/>
    <s v="CUST81236"/>
    <x v="92"/>
    <n v="26"/>
    <x v="0"/>
    <x v="0"/>
    <x v="1"/>
    <x v="10"/>
    <x v="5"/>
    <s v="Tea"/>
    <n v="6"/>
    <n v="358.44"/>
    <x v="30"/>
    <n v="1597.57"/>
    <n v="154.69"/>
    <n v="55.56"/>
    <x v="1"/>
    <n v="5"/>
    <x v="0"/>
    <x v="0"/>
    <n v="8"/>
  </r>
  <r>
    <s v="ORD-01842"/>
    <d v="2022-03-26T00:00:00"/>
    <s v="CUST29238"/>
    <x v="87"/>
    <n v="31"/>
    <x v="0"/>
    <x v="0"/>
    <x v="4"/>
    <x v="17"/>
    <x v="5"/>
    <s v="Rice (5kg)"/>
    <n v="4"/>
    <n v="240.11"/>
    <x v="3"/>
    <n v="999.98"/>
    <n v="98.61"/>
    <n v="73.81"/>
    <x v="5"/>
    <n v="3"/>
    <x v="0"/>
    <x v="0"/>
    <n v="10"/>
  </r>
  <r>
    <s v="ORD-02516"/>
    <d v="2022-12-28T00:00:00"/>
    <s v="CUST04115"/>
    <x v="125"/>
    <n v="28"/>
    <x v="0"/>
    <x v="2"/>
    <x v="3"/>
    <x v="5"/>
    <x v="1"/>
    <s v="Wardrobe"/>
    <n v="6"/>
    <n v="6993.08"/>
    <x v="21"/>
    <n v="20187.04"/>
    <n v="5220.66"/>
    <n v="87.7"/>
    <x v="2"/>
    <n v="1"/>
    <x v="0"/>
    <x v="0"/>
    <n v="5"/>
  </r>
  <r>
    <s v="ORD-03304"/>
    <d v="2023-11-29T00:00:00"/>
    <s v="CUST38933"/>
    <x v="78"/>
    <n v="45"/>
    <x v="1"/>
    <x v="1"/>
    <x v="1"/>
    <x v="11"/>
    <x v="0"/>
    <s v="Hair Oil"/>
    <n v="7"/>
    <n v="2195.91"/>
    <x v="12"/>
    <n v="8503.4699999999993"/>
    <n v="3907.75"/>
    <n v="63.07"/>
    <x v="4"/>
    <n v="1"/>
    <x v="1"/>
    <x v="1"/>
    <n v="6"/>
  </r>
  <r>
    <s v="ORD-02928"/>
    <d v="2023-06-20T00:00:00"/>
    <s v="CUST17827"/>
    <x v="191"/>
    <n v="40"/>
    <x v="1"/>
    <x v="1"/>
    <x v="1"/>
    <x v="11"/>
    <x v="3"/>
    <s v="Kurta"/>
    <n v="6"/>
    <n v="3464.49"/>
    <x v="25"/>
    <n v="23273.58"/>
    <n v="8946.26"/>
    <n v="68.97"/>
    <x v="3"/>
    <n v="4"/>
    <x v="0"/>
    <x v="2"/>
    <n v="5"/>
  </r>
  <r>
    <s v="ORD-01965"/>
    <d v="2022-05-18T00:00:00"/>
    <s v="CUST41329"/>
    <x v="187"/>
    <n v="37"/>
    <x v="1"/>
    <x v="2"/>
    <x v="0"/>
    <x v="0"/>
    <x v="3"/>
    <s v="Saree"/>
    <n v="9"/>
    <n v="2779.53"/>
    <x v="34"/>
    <n v="21070.99"/>
    <n v="8557.51"/>
    <n v="60.61"/>
    <x v="1"/>
    <n v="2"/>
    <x v="0"/>
    <x v="0"/>
    <n v="7"/>
  </r>
  <r>
    <s v="ORD-02573"/>
    <d v="2023-01-25T00:00:00"/>
    <s v="CUST56165"/>
    <x v="58"/>
    <n v="42"/>
    <x v="1"/>
    <x v="1"/>
    <x v="3"/>
    <x v="5"/>
    <x v="6"/>
    <s v="Tablet"/>
    <n v="6"/>
    <n v="59741.71"/>
    <x v="31"/>
    <n v="274146.03999999998"/>
    <n v="37793.71"/>
    <n v="70.42"/>
    <x v="5"/>
    <n v="5"/>
    <x v="0"/>
    <x v="0"/>
    <n v="10"/>
  </r>
  <r>
    <s v="ORD-00524"/>
    <d v="2020-08-19T00:00:00"/>
    <s v="CUST71429"/>
    <x v="227"/>
    <n v="26"/>
    <x v="0"/>
    <x v="2"/>
    <x v="1"/>
    <x v="3"/>
    <x v="6"/>
    <s v="Tablet"/>
    <n v="1"/>
    <n v="24574.09"/>
    <x v="35"/>
    <n v="18570.7"/>
    <n v="1618.66"/>
    <n v="51.33"/>
    <x v="5"/>
    <n v="2"/>
    <x v="1"/>
    <x v="1"/>
    <n v="9"/>
  </r>
  <r>
    <s v="ORD-01244"/>
    <d v="2021-07-16T00:00:00"/>
    <s v="CUST02216"/>
    <x v="43"/>
    <n v="31"/>
    <x v="0"/>
    <x v="0"/>
    <x v="2"/>
    <x v="13"/>
    <x v="2"/>
    <s v="Biography"/>
    <n v="6"/>
    <n v="1434.91"/>
    <x v="7"/>
    <n v="8544.42"/>
    <n v="2933.84"/>
    <n v="31.36"/>
    <x v="1"/>
    <n v="2"/>
    <x v="0"/>
    <x v="0"/>
    <n v="6"/>
  </r>
  <r>
    <s v="ORD-02410"/>
    <d v="2022-11-06T00:00:00"/>
    <s v="CUST42492"/>
    <x v="274"/>
    <n v="31"/>
    <x v="0"/>
    <x v="1"/>
    <x v="4"/>
    <x v="7"/>
    <x v="6"/>
    <s v="Smartphone"/>
    <n v="2"/>
    <n v="71479.88"/>
    <x v="1"/>
    <n v="89772.04"/>
    <n v="10563.18"/>
    <n v="80.959999999999994"/>
    <x v="3"/>
    <n v="4"/>
    <x v="1"/>
    <x v="1"/>
    <n v="3"/>
  </r>
  <r>
    <s v="ORD-00411"/>
    <d v="2020-06-30T00:00:00"/>
    <s v="CUST25002"/>
    <x v="63"/>
    <n v="31"/>
    <x v="0"/>
    <x v="1"/>
    <x v="4"/>
    <x v="18"/>
    <x v="6"/>
    <s v="Camera"/>
    <n v="10"/>
    <n v="55392.79"/>
    <x v="25"/>
    <n v="509672.92"/>
    <n v="47237.56"/>
    <n v="43.11"/>
    <x v="5"/>
    <n v="4"/>
    <x v="0"/>
    <x v="0"/>
    <n v="7"/>
  </r>
  <r>
    <s v="ORD-02285"/>
    <d v="2022-09-19T00:00:00"/>
    <s v="CUST27442"/>
    <x v="21"/>
    <n v="25"/>
    <x v="3"/>
    <x v="2"/>
    <x v="1"/>
    <x v="10"/>
    <x v="0"/>
    <s v="Perfume"/>
    <n v="6"/>
    <n v="226.83"/>
    <x v="27"/>
    <n v="1203.6300000000001"/>
    <n v="638.69000000000005"/>
    <n v="48.65"/>
    <x v="0"/>
    <n v="3"/>
    <x v="0"/>
    <x v="0"/>
    <n v="1"/>
  </r>
  <r>
    <s v="ORD-00443"/>
    <d v="2020-07-14T00:00:00"/>
    <s v="CUST99270"/>
    <x v="52"/>
    <n v="44"/>
    <x v="1"/>
    <x v="1"/>
    <x v="2"/>
    <x v="14"/>
    <x v="4"/>
    <s v="Tennis Racket"/>
    <n v="5"/>
    <n v="14604.49"/>
    <x v="1"/>
    <n v="84861.96"/>
    <n v="20545.89"/>
    <n v="79.680000000000007"/>
    <x v="4"/>
    <n v="5"/>
    <x v="0"/>
    <x v="0"/>
    <n v="4"/>
  </r>
  <r>
    <s v="ORD-00359"/>
    <d v="2020-06-03T00:00:00"/>
    <s v="CUST46631"/>
    <x v="274"/>
    <n v="20"/>
    <x v="3"/>
    <x v="1"/>
    <x v="4"/>
    <x v="18"/>
    <x v="4"/>
    <s v="Dumbbells"/>
    <n v="4"/>
    <n v="3114.57"/>
    <x v="8"/>
    <n v="14254.8"/>
    <n v="2493.63"/>
    <n v="77.95"/>
    <x v="2"/>
    <n v="5"/>
    <x v="0"/>
    <x v="0"/>
    <n v="5"/>
  </r>
  <r>
    <s v="ORD-01204"/>
    <d v="2021-06-27T00:00:00"/>
    <s v="CUST58365"/>
    <x v="358"/>
    <n v="34"/>
    <x v="0"/>
    <x v="0"/>
    <x v="1"/>
    <x v="10"/>
    <x v="3"/>
    <s v="Dress"/>
    <n v="6"/>
    <n v="1824.73"/>
    <x v="16"/>
    <n v="13172.15"/>
    <n v="4404.16"/>
    <n v="111.66"/>
    <x v="1"/>
    <n v="1"/>
    <x v="1"/>
    <x v="1"/>
    <n v="1"/>
  </r>
  <r>
    <s v="ORD-00315"/>
    <d v="2020-05-17T00:00:00"/>
    <s v="CUST62709"/>
    <x v="55"/>
    <n v="30"/>
    <x v="0"/>
    <x v="0"/>
    <x v="3"/>
    <x v="12"/>
    <x v="2"/>
    <s v="Self-Help Book"/>
    <n v="10"/>
    <n v="635.99"/>
    <x v="31"/>
    <n v="7279.36"/>
    <n v="3155.48"/>
    <n v="88.69"/>
    <x v="1"/>
    <n v="2"/>
    <x v="0"/>
    <x v="0"/>
    <n v="1"/>
  </r>
  <r>
    <s v="ORD-02014"/>
    <d v="2022-06-06T00:00:00"/>
    <s v="CUST26242"/>
    <x v="170"/>
    <n v="50"/>
    <x v="1"/>
    <x v="2"/>
    <x v="2"/>
    <x v="9"/>
    <x v="1"/>
    <s v="Sofa"/>
    <n v="9"/>
    <n v="18354.53"/>
    <x v="17"/>
    <n v="119623.01"/>
    <n v="46776.23"/>
    <n v="60.02"/>
    <x v="3"/>
    <n v="3"/>
    <x v="0"/>
    <x v="0"/>
    <n v="10"/>
  </r>
  <r>
    <s v="ORD-02679"/>
    <d v="2023-03-06T00:00:00"/>
    <s v="CUST93760"/>
    <x v="320"/>
    <n v="48"/>
    <x v="1"/>
    <x v="0"/>
    <x v="3"/>
    <x v="5"/>
    <x v="5"/>
    <s v="Cooking Oil"/>
    <n v="8"/>
    <n v="412.18"/>
    <x v="6"/>
    <n v="2510.56"/>
    <n v="237.24"/>
    <n v="74.88"/>
    <x v="0"/>
    <n v="2"/>
    <x v="0"/>
    <x v="2"/>
    <n v="3"/>
  </r>
  <r>
    <s v="ORD-00035"/>
    <d v="2020-01-13T00:00:00"/>
    <s v="CUST07419"/>
    <x v="183"/>
    <n v="33"/>
    <x v="0"/>
    <x v="2"/>
    <x v="0"/>
    <x v="2"/>
    <x v="4"/>
    <s v="Tennis Racket"/>
    <n v="3"/>
    <n v="14820.82"/>
    <x v="40"/>
    <n v="21635.72"/>
    <n v="4987.3"/>
    <n v="45"/>
    <x v="0"/>
    <n v="3"/>
    <x v="0"/>
    <x v="0"/>
    <n v="5"/>
  </r>
  <r>
    <s v="ORD-01207"/>
    <d v="2021-06-29T00:00:00"/>
    <s v="CUST44749"/>
    <x v="245"/>
    <n v="21"/>
    <x v="3"/>
    <x v="2"/>
    <x v="4"/>
    <x v="18"/>
    <x v="3"/>
    <s v="Kurta"/>
    <n v="7"/>
    <n v="1092.77"/>
    <x v="15"/>
    <n v="8012.86"/>
    <n v="2746.44"/>
    <n v="79.09"/>
    <x v="3"/>
    <n v="2"/>
    <x v="0"/>
    <x v="0"/>
    <n v="10"/>
  </r>
  <r>
    <s v="ORD-03186"/>
    <d v="2023-10-09T00:00:00"/>
    <s v="CUST37684"/>
    <x v="282"/>
    <n v="46"/>
    <x v="1"/>
    <x v="1"/>
    <x v="2"/>
    <x v="9"/>
    <x v="2"/>
    <s v="Fiction Novel"/>
    <n v="4"/>
    <n v="1295.21"/>
    <x v="39"/>
    <n v="5174.5200000000004"/>
    <n v="2321.8000000000002"/>
    <n v="23.54"/>
    <x v="3"/>
    <n v="4"/>
    <x v="0"/>
    <x v="0"/>
    <n v="6"/>
  </r>
  <r>
    <s v="ORD-03315"/>
    <d v="2023-12-05T00:00:00"/>
    <s v="CUST93902"/>
    <x v="275"/>
    <n v="27"/>
    <x v="0"/>
    <x v="1"/>
    <x v="4"/>
    <x v="18"/>
    <x v="0"/>
    <s v="Hair Oil"/>
    <n v="3"/>
    <n v="752.34"/>
    <x v="15"/>
    <n v="1312.85"/>
    <n v="600.66"/>
    <n v="65.3"/>
    <x v="5"/>
    <n v="5"/>
    <x v="0"/>
    <x v="0"/>
    <n v="1"/>
  </r>
  <r>
    <s v="ORD-03706"/>
    <d v="2024-05-30T00:00:00"/>
    <s v="CUST22929"/>
    <x v="217"/>
    <n v="29"/>
    <x v="0"/>
    <x v="1"/>
    <x v="2"/>
    <x v="13"/>
    <x v="3"/>
    <s v="Dress"/>
    <n v="8"/>
    <n v="2994.98"/>
    <x v="33"/>
    <n v="31403.77"/>
    <n v="11180.42"/>
    <n v="45.43"/>
    <x v="5"/>
    <n v="5"/>
    <x v="0"/>
    <x v="0"/>
    <n v="5"/>
  </r>
  <r>
    <s v="ORD-00026"/>
    <d v="2020-01-10T00:00:00"/>
    <s v="CUST14542"/>
    <x v="359"/>
    <n v="31"/>
    <x v="0"/>
    <x v="2"/>
    <x v="4"/>
    <x v="8"/>
    <x v="5"/>
    <s v="Flour"/>
    <n v="7"/>
    <n v="423.99"/>
    <x v="11"/>
    <n v="1984.26"/>
    <n v="189.37"/>
    <n v="45.05"/>
    <x v="2"/>
    <n v="1"/>
    <x v="0"/>
    <x v="0"/>
    <n v="8"/>
  </r>
  <r>
    <s v="ORD-04150"/>
    <d v="2024-12-07T00:00:00"/>
    <s v="CUST41606"/>
    <x v="161"/>
    <n v="26"/>
    <x v="0"/>
    <x v="2"/>
    <x v="2"/>
    <x v="14"/>
    <x v="6"/>
    <s v="Headphones"/>
    <n v="2"/>
    <n v="51176.53"/>
    <x v="9"/>
    <n v="72400.09"/>
    <n v="8619.1299999999992"/>
    <n v="59.77"/>
    <x v="2"/>
    <n v="2"/>
    <x v="0"/>
    <x v="0"/>
    <n v="3"/>
  </r>
  <r>
    <s v="ORD-02234"/>
    <d v="2022-08-31T00:00:00"/>
    <s v="CUST98675"/>
    <x v="344"/>
    <n v="28"/>
    <x v="0"/>
    <x v="2"/>
    <x v="3"/>
    <x v="15"/>
    <x v="0"/>
    <s v="Lipstick"/>
    <n v="8"/>
    <n v="1190.3800000000001"/>
    <x v="10"/>
    <n v="9135.75"/>
    <n v="5877.03"/>
    <n v="93.18"/>
    <x v="4"/>
    <n v="1"/>
    <x v="1"/>
    <x v="1"/>
    <n v="1"/>
  </r>
  <r>
    <s v="ORD-01311"/>
    <d v="2021-08-12T00:00:00"/>
    <s v="CUST00450"/>
    <x v="52"/>
    <n v="39"/>
    <x v="1"/>
    <x v="0"/>
    <x v="0"/>
    <x v="2"/>
    <x v="6"/>
    <s v="Smartwatch"/>
    <n v="7"/>
    <n v="63396.04"/>
    <x v="28"/>
    <n v="514656.3"/>
    <n v="47623.99"/>
    <n v="47.91"/>
    <x v="1"/>
    <n v="3"/>
    <x v="0"/>
    <x v="0"/>
    <n v="2"/>
  </r>
  <r>
    <s v="ORD-00314"/>
    <d v="2020-05-17T00:00:00"/>
    <s v="CUST45424"/>
    <x v="154"/>
    <n v="38"/>
    <x v="1"/>
    <x v="0"/>
    <x v="0"/>
    <x v="0"/>
    <x v="4"/>
    <s v="Cricket Bat"/>
    <n v="6"/>
    <n v="3765.92"/>
    <x v="23"/>
    <n v="20744.7"/>
    <n v="5247.02"/>
    <n v="90.54"/>
    <x v="4"/>
    <n v="4"/>
    <x v="0"/>
    <x v="0"/>
    <n v="9"/>
  </r>
  <r>
    <s v="ORD-02156"/>
    <d v="2022-08-04T00:00:00"/>
    <s v="CUST99111"/>
    <x v="62"/>
    <n v="33"/>
    <x v="0"/>
    <x v="1"/>
    <x v="1"/>
    <x v="3"/>
    <x v="0"/>
    <s v="Sunscreen"/>
    <n v="1"/>
    <n v="1864.55"/>
    <x v="4"/>
    <n v="2317.0300000000002"/>
    <n v="835.39"/>
    <n v="82.42"/>
    <x v="1"/>
    <n v="1"/>
    <x v="1"/>
    <x v="1"/>
    <n v="5"/>
  </r>
  <r>
    <s v="ORD-02101"/>
    <d v="2022-07-13T00:00:00"/>
    <s v="CUST17742"/>
    <x v="166"/>
    <n v="47"/>
    <x v="1"/>
    <x v="2"/>
    <x v="4"/>
    <x v="17"/>
    <x v="6"/>
    <s v="Smartphone"/>
    <n v="6"/>
    <n v="9010.34"/>
    <x v="22"/>
    <n v="49758.87"/>
    <n v="5134.33"/>
    <n v="75.34"/>
    <x v="4"/>
    <n v="4"/>
    <x v="0"/>
    <x v="0"/>
    <n v="10"/>
  </r>
  <r>
    <s v="ORD-00733"/>
    <d v="2020-12-01T00:00:00"/>
    <s v="CUST15499"/>
    <x v="139"/>
    <n v="34"/>
    <x v="0"/>
    <x v="1"/>
    <x v="0"/>
    <x v="0"/>
    <x v="1"/>
    <s v="Desk"/>
    <n v="9"/>
    <n v="12544.46"/>
    <x v="11"/>
    <n v="65545.14"/>
    <n v="23589.88"/>
    <n v="79.05"/>
    <x v="0"/>
    <n v="4"/>
    <x v="0"/>
    <x v="0"/>
    <n v="4"/>
  </r>
  <r>
    <s v="ORD-01641"/>
    <d v="2022-01-01T00:00:00"/>
    <s v="CUST87800"/>
    <x v="200"/>
    <n v="51"/>
    <x v="2"/>
    <x v="0"/>
    <x v="3"/>
    <x v="15"/>
    <x v="1"/>
    <s v="Bookshelf"/>
    <n v="1"/>
    <n v="27509.11"/>
    <x v="14"/>
    <n v="17323.099999999999"/>
    <n v="3413.01"/>
    <n v="50.42"/>
    <x v="3"/>
    <n v="2"/>
    <x v="1"/>
    <x v="1"/>
    <n v="9"/>
  </r>
  <r>
    <s v="ORD-00406"/>
    <d v="2020-06-25T00:00:00"/>
    <s v="CUST55912"/>
    <x v="331"/>
    <n v="41"/>
    <x v="1"/>
    <x v="2"/>
    <x v="1"/>
    <x v="10"/>
    <x v="2"/>
    <s v="Cook Book"/>
    <n v="1"/>
    <n v="794.97"/>
    <x v="7"/>
    <n v="910.56"/>
    <n v="213.02"/>
    <n v="18.34"/>
    <x v="0"/>
    <n v="5"/>
    <x v="0"/>
    <x v="0"/>
    <n v="6"/>
  </r>
  <r>
    <s v="ORD-00419"/>
    <d v="2020-07-05T00:00:00"/>
    <s v="CUST41041"/>
    <x v="281"/>
    <n v="22"/>
    <x v="3"/>
    <x v="0"/>
    <x v="0"/>
    <x v="1"/>
    <x v="2"/>
    <s v="Textbook"/>
    <n v="2"/>
    <n v="1319.78"/>
    <x v="38"/>
    <n v="2893.27"/>
    <n v="758.61"/>
    <n v="53.87"/>
    <x v="2"/>
    <n v="5"/>
    <x v="0"/>
    <x v="0"/>
    <n v="5"/>
  </r>
  <r>
    <s v="ORD-01329"/>
    <d v="2021-08-20T00:00:00"/>
    <s v="CUST48811"/>
    <x v="360"/>
    <n v="27"/>
    <x v="0"/>
    <x v="0"/>
    <x v="2"/>
    <x v="4"/>
    <x v="5"/>
    <s v="Flour"/>
    <n v="1"/>
    <n v="108.73"/>
    <x v="40"/>
    <n v="87.71"/>
    <n v="7.58"/>
    <n v="51.82"/>
    <x v="2"/>
    <n v="4"/>
    <x v="0"/>
    <x v="3"/>
    <n v="7"/>
  </r>
  <r>
    <s v="ORD-01219"/>
    <d v="2021-07-04T00:00:00"/>
    <s v="CUST74829"/>
    <x v="191"/>
    <n v="32"/>
    <x v="0"/>
    <x v="0"/>
    <x v="1"/>
    <x v="11"/>
    <x v="3"/>
    <s v="Dress"/>
    <n v="9"/>
    <n v="3582.63"/>
    <x v="7"/>
    <n v="40561.11"/>
    <n v="14700.02"/>
    <n v="55.73"/>
    <x v="3"/>
    <n v="4"/>
    <x v="0"/>
    <x v="0"/>
    <n v="6"/>
  </r>
  <r>
    <s v="ORD-03413"/>
    <d v="2024-01-18T00:00:00"/>
    <s v="CUST01012"/>
    <x v="21"/>
    <n v="29"/>
    <x v="0"/>
    <x v="0"/>
    <x v="2"/>
    <x v="9"/>
    <x v="1"/>
    <s v="Chair"/>
    <n v="4"/>
    <n v="30995.42"/>
    <x v="12"/>
    <n v="93700.04"/>
    <n v="18542.88"/>
    <n v="39.880000000000003"/>
    <x v="5"/>
    <n v="5"/>
    <x v="0"/>
    <x v="0"/>
    <n v="7"/>
  </r>
  <r>
    <s v="ORD-03002"/>
    <d v="2023-07-24T00:00:00"/>
    <s v="CUST83812"/>
    <x v="361"/>
    <n v="40"/>
    <x v="1"/>
    <x v="1"/>
    <x v="1"/>
    <x v="11"/>
    <x v="0"/>
    <s v="Hair Oil"/>
    <n v="3"/>
    <n v="2358.2800000000002"/>
    <x v="11"/>
    <n v="8273.92"/>
    <n v="4056.62"/>
    <n v="66.180000000000007"/>
    <x v="3"/>
    <n v="4"/>
    <x v="0"/>
    <x v="0"/>
    <n v="10"/>
  </r>
  <r>
    <s v="ORD-03159"/>
    <d v="2023-09-30T00:00:00"/>
    <s v="CUST24304"/>
    <x v="269"/>
    <n v="50"/>
    <x v="1"/>
    <x v="0"/>
    <x v="2"/>
    <x v="14"/>
    <x v="3"/>
    <s v="Jacket"/>
    <n v="9"/>
    <n v="1332.1"/>
    <x v="27"/>
    <n v="12579.87"/>
    <n v="3205.48"/>
    <n v="79"/>
    <x v="3"/>
    <n v="2"/>
    <x v="0"/>
    <x v="0"/>
    <n v="3"/>
  </r>
  <r>
    <s v="ORD-03450"/>
    <d v="2024-02-05T00:00:00"/>
    <s v="CUST80072"/>
    <x v="326"/>
    <n v="37"/>
    <x v="1"/>
    <x v="1"/>
    <x v="0"/>
    <x v="19"/>
    <x v="3"/>
    <s v="Jacket"/>
    <n v="9"/>
    <n v="1826.63"/>
    <x v="16"/>
    <n v="16207.04"/>
    <n v="6487.83"/>
    <n v="57.55"/>
    <x v="1"/>
    <n v="5"/>
    <x v="0"/>
    <x v="0"/>
    <n v="9"/>
  </r>
  <r>
    <s v="ORD-02992"/>
    <d v="2023-07-20T00:00:00"/>
    <s v="CUST09576"/>
    <x v="43"/>
    <n v="49"/>
    <x v="1"/>
    <x v="0"/>
    <x v="0"/>
    <x v="1"/>
    <x v="4"/>
    <s v="Yoga Mat"/>
    <n v="10"/>
    <n v="14494.42"/>
    <x v="2"/>
    <n v="166583.26"/>
    <n v="37373.97"/>
    <n v="63.48"/>
    <x v="4"/>
    <n v="2"/>
    <x v="0"/>
    <x v="0"/>
    <n v="9"/>
  </r>
  <r>
    <s v="ORD-01298"/>
    <d v="2021-08-09T00:00:00"/>
    <s v="CUST05275"/>
    <x v="127"/>
    <n v="36"/>
    <x v="1"/>
    <x v="0"/>
    <x v="4"/>
    <x v="7"/>
    <x v="1"/>
    <s v="Chair"/>
    <n v="1"/>
    <n v="13928.4"/>
    <x v="4"/>
    <n v="16374.89"/>
    <n v="4982.1899999999996"/>
    <n v="84.29"/>
    <x v="0"/>
    <n v="1"/>
    <x v="1"/>
    <x v="1"/>
    <n v="2"/>
  </r>
  <r>
    <s v="ORD-00747"/>
    <d v="2020-12-06T00:00:00"/>
    <s v="CUST87215"/>
    <x v="341"/>
    <n v="39"/>
    <x v="1"/>
    <x v="1"/>
    <x v="4"/>
    <x v="18"/>
    <x v="1"/>
    <s v="Bookshelf"/>
    <n v="7"/>
    <n v="16844.34"/>
    <x v="11"/>
    <n v="63758.45"/>
    <n v="17615.41"/>
    <n v="77.12"/>
    <x v="1"/>
    <n v="4"/>
    <x v="0"/>
    <x v="0"/>
    <n v="7"/>
  </r>
  <r>
    <s v="ORD-01120"/>
    <d v="2021-05-19T00:00:00"/>
    <s v="CUST83419"/>
    <x v="287"/>
    <n v="44"/>
    <x v="1"/>
    <x v="0"/>
    <x v="2"/>
    <x v="14"/>
    <x v="6"/>
    <s v="Laptop"/>
    <n v="7"/>
    <n v="76173.789999999994"/>
    <x v="8"/>
    <n v="700761.7"/>
    <n v="99827.839999999997"/>
    <n v="53.23"/>
    <x v="0"/>
    <n v="3"/>
    <x v="0"/>
    <x v="3"/>
    <n v="4"/>
  </r>
  <r>
    <s v="ORD-02912"/>
    <d v="2023-06-11T00:00:00"/>
    <s v="CUST85957"/>
    <x v="236"/>
    <n v="46"/>
    <x v="1"/>
    <x v="1"/>
    <x v="0"/>
    <x v="0"/>
    <x v="6"/>
    <s v="Tablet"/>
    <n v="8"/>
    <n v="74304.539999999994"/>
    <x v="0"/>
    <n v="736732.69"/>
    <n v="73848.3"/>
    <n v="54.14"/>
    <x v="1"/>
    <n v="2"/>
    <x v="0"/>
    <x v="0"/>
    <n v="9"/>
  </r>
  <r>
    <s v="ORD-01957"/>
    <d v="2022-05-15T00:00:00"/>
    <s v="CUST64737"/>
    <x v="15"/>
    <n v="57"/>
    <x v="2"/>
    <x v="1"/>
    <x v="2"/>
    <x v="4"/>
    <x v="6"/>
    <s v="Headphones"/>
    <n v="5"/>
    <n v="40573.07"/>
    <x v="35"/>
    <n v="232526.04"/>
    <n v="20245.060000000001"/>
    <n v="51.87"/>
    <x v="4"/>
    <n v="5"/>
    <x v="0"/>
    <x v="0"/>
    <n v="5"/>
  </r>
  <r>
    <s v="ORD-01288"/>
    <d v="2021-08-03T00:00:00"/>
    <s v="CUST52141"/>
    <x v="198"/>
    <n v="29"/>
    <x v="0"/>
    <x v="2"/>
    <x v="4"/>
    <x v="18"/>
    <x v="6"/>
    <s v="Smartwatch"/>
    <n v="9"/>
    <n v="65957.440000000002"/>
    <x v="18"/>
    <n v="526880.46"/>
    <n v="88344.08"/>
    <n v="59.57"/>
    <x v="2"/>
    <n v="5"/>
    <x v="0"/>
    <x v="0"/>
    <n v="6"/>
  </r>
  <r>
    <s v="ORD-02581"/>
    <d v="2023-01-27T00:00:00"/>
    <s v="CUST31891"/>
    <x v="221"/>
    <n v="55"/>
    <x v="2"/>
    <x v="2"/>
    <x v="0"/>
    <x v="0"/>
    <x v="2"/>
    <s v="Comic Book"/>
    <n v="10"/>
    <n v="262.24"/>
    <x v="15"/>
    <n v="1767.24"/>
    <n v="706.13"/>
    <n v="81.67"/>
    <x v="1"/>
    <n v="3"/>
    <x v="0"/>
    <x v="0"/>
    <n v="5"/>
  </r>
  <r>
    <s v="ORD-00773"/>
    <d v="2020-12-15T00:00:00"/>
    <s v="CUST43341"/>
    <x v="180"/>
    <n v="46"/>
    <x v="1"/>
    <x v="1"/>
    <x v="0"/>
    <x v="2"/>
    <x v="2"/>
    <s v="Cook Book"/>
    <n v="6"/>
    <n v="444.05"/>
    <x v="22"/>
    <n v="1040.6500000000001"/>
    <n v="392.88"/>
    <n v="100.75"/>
    <x v="1"/>
    <n v="4"/>
    <x v="0"/>
    <x v="0"/>
    <n v="10"/>
  </r>
  <r>
    <s v="ORD-00682"/>
    <d v="2020-11-06T00:00:00"/>
    <s v="CUST98255"/>
    <x v="89"/>
    <n v="54"/>
    <x v="2"/>
    <x v="2"/>
    <x v="0"/>
    <x v="19"/>
    <x v="2"/>
    <s v="Comic Book"/>
    <n v="9"/>
    <n v="1493.02"/>
    <x v="7"/>
    <n v="6644.53"/>
    <n v="3127.78"/>
    <n v="40.520000000000003"/>
    <x v="0"/>
    <n v="3"/>
    <x v="0"/>
    <x v="0"/>
    <n v="4"/>
  </r>
  <r>
    <s v="ORD-00092"/>
    <d v="2020-02-05T00:00:00"/>
    <s v="CUST33858"/>
    <x v="191"/>
    <n v="37"/>
    <x v="1"/>
    <x v="0"/>
    <x v="0"/>
    <x v="1"/>
    <x v="4"/>
    <s v="Yoga Mat"/>
    <n v="10"/>
    <n v="8101.49"/>
    <x v="11"/>
    <n v="51880.09"/>
    <n v="7573.04"/>
    <n v="83.71"/>
    <x v="5"/>
    <n v="2"/>
    <x v="1"/>
    <x v="1"/>
    <n v="7"/>
  </r>
  <r>
    <s v="ORD-02172"/>
    <d v="2022-08-10T00:00:00"/>
    <s v="CUST49313"/>
    <x v="228"/>
    <n v="38"/>
    <x v="1"/>
    <x v="1"/>
    <x v="4"/>
    <x v="8"/>
    <x v="4"/>
    <s v="Cricket Bat"/>
    <n v="4"/>
    <n v="2688.74"/>
    <x v="21"/>
    <n v="7914.11"/>
    <n v="1551.65"/>
    <n v="54.97"/>
    <x v="4"/>
    <n v="2"/>
    <x v="0"/>
    <x v="2"/>
    <n v="1"/>
  </r>
  <r>
    <s v="ORD-00897"/>
    <d v="2021-02-07T00:00:00"/>
    <s v="CUST66586"/>
    <x v="340"/>
    <n v="39"/>
    <x v="1"/>
    <x v="0"/>
    <x v="2"/>
    <x v="4"/>
    <x v="1"/>
    <s v="Bookshelf"/>
    <n v="7"/>
    <n v="15174.89"/>
    <x v="29"/>
    <n v="79635.100000000006"/>
    <n v="24165.11"/>
    <n v="39.53"/>
    <x v="1"/>
    <n v="2"/>
    <x v="0"/>
    <x v="0"/>
    <n v="1"/>
  </r>
  <r>
    <s v="ORD-03312"/>
    <d v="2023-12-03T00:00:00"/>
    <s v="CUST71934"/>
    <x v="284"/>
    <n v="28"/>
    <x v="0"/>
    <x v="0"/>
    <x v="0"/>
    <x v="2"/>
    <x v="6"/>
    <s v="Tablet"/>
    <n v="4"/>
    <n v="61847.14"/>
    <x v="12"/>
    <n v="158246.41"/>
    <n v="21536.45"/>
    <n v="70.33"/>
    <x v="0"/>
    <n v="4"/>
    <x v="1"/>
    <x v="1"/>
    <n v="5"/>
  </r>
  <r>
    <s v="ORD-01844"/>
    <d v="2022-03-26T00:00:00"/>
    <s v="CUST38409"/>
    <x v="27"/>
    <n v="46"/>
    <x v="1"/>
    <x v="1"/>
    <x v="0"/>
    <x v="1"/>
    <x v="3"/>
    <s v="Saree"/>
    <n v="6"/>
    <n v="2129.9699999999998"/>
    <x v="30"/>
    <n v="10588.9"/>
    <n v="4603.57"/>
    <n v="41.82"/>
    <x v="5"/>
    <n v="2"/>
    <x v="0"/>
    <x v="0"/>
    <n v="1"/>
  </r>
  <r>
    <s v="ORD-04034"/>
    <d v="2024-10-16T00:00:00"/>
    <s v="CUST75503"/>
    <x v="319"/>
    <n v="44"/>
    <x v="1"/>
    <x v="1"/>
    <x v="3"/>
    <x v="16"/>
    <x v="5"/>
    <s v="Rice (5kg)"/>
    <n v="9"/>
    <n v="101.5"/>
    <x v="20"/>
    <n v="814.46"/>
    <n v="55.74"/>
    <n v="85.93"/>
    <x v="3"/>
    <n v="3"/>
    <x v="0"/>
    <x v="3"/>
    <n v="9"/>
  </r>
  <r>
    <s v="ORD-01608"/>
    <d v="2021-12-19T00:00:00"/>
    <s v="CUST49887"/>
    <x v="191"/>
    <n v="41"/>
    <x v="1"/>
    <x v="1"/>
    <x v="0"/>
    <x v="19"/>
    <x v="2"/>
    <s v="Self-Help Book"/>
    <n v="1"/>
    <n v="1086.72"/>
    <x v="31"/>
    <n v="733.62"/>
    <n v="191.01"/>
    <n v="81.14"/>
    <x v="2"/>
    <n v="2"/>
    <x v="0"/>
    <x v="0"/>
    <n v="7"/>
  </r>
  <r>
    <s v="ORD-00585"/>
    <d v="2020-09-18T00:00:00"/>
    <s v="CUST92797"/>
    <x v="18"/>
    <n v="33"/>
    <x v="0"/>
    <x v="1"/>
    <x v="4"/>
    <x v="7"/>
    <x v="6"/>
    <s v="Camera"/>
    <n v="6"/>
    <n v="51958.82"/>
    <x v="32"/>
    <n v="296590.44"/>
    <n v="46515.89"/>
    <n v="67.94"/>
    <x v="4"/>
    <n v="5"/>
    <x v="0"/>
    <x v="4"/>
    <n v="3"/>
  </r>
  <r>
    <s v="ORD-02293"/>
    <d v="2022-09-21T00:00:00"/>
    <s v="CUST83140"/>
    <x v="151"/>
    <n v="19"/>
    <x v="3"/>
    <x v="0"/>
    <x v="1"/>
    <x v="6"/>
    <x v="1"/>
    <s v="Wardrobe"/>
    <n v="9"/>
    <n v="11670.17"/>
    <x v="10"/>
    <n v="98477.31"/>
    <n v="25127.73"/>
    <n v="70.569999999999993"/>
    <x v="3"/>
    <n v="2"/>
    <x v="0"/>
    <x v="4"/>
    <n v="5"/>
  </r>
  <r>
    <s v="ORD-03389"/>
    <d v="2024-01-05T00:00:00"/>
    <s v="CUST12949"/>
    <x v="210"/>
    <n v="34"/>
    <x v="0"/>
    <x v="1"/>
    <x v="1"/>
    <x v="10"/>
    <x v="3"/>
    <s v="Jeans"/>
    <n v="3"/>
    <n v="2014.35"/>
    <x v="14"/>
    <n v="3745.45"/>
    <n v="1521.68"/>
    <n v="55.01"/>
    <x v="4"/>
    <n v="2"/>
    <x v="0"/>
    <x v="0"/>
    <n v="2"/>
  </r>
  <r>
    <s v="ORD-04106"/>
    <d v="2024-11-18T00:00:00"/>
    <s v="CUST44096"/>
    <x v="358"/>
    <n v="24"/>
    <x v="3"/>
    <x v="0"/>
    <x v="0"/>
    <x v="2"/>
    <x v="3"/>
    <s v="Saree"/>
    <n v="6"/>
    <n v="3683.81"/>
    <x v="1"/>
    <n v="18294.23"/>
    <n v="6945.87"/>
    <n v="62.15"/>
    <x v="3"/>
    <n v="3"/>
    <x v="0"/>
    <x v="0"/>
    <n v="7"/>
  </r>
  <r>
    <s v="ORD-02488"/>
    <d v="2022-12-16T00:00:00"/>
    <s v="CUST92446"/>
    <x v="16"/>
    <n v="38"/>
    <x v="1"/>
    <x v="2"/>
    <x v="1"/>
    <x v="10"/>
    <x v="3"/>
    <s v="Saree"/>
    <n v="7"/>
    <n v="3070.57"/>
    <x v="38"/>
    <n v="15759.57"/>
    <n v="5224.3900000000003"/>
    <n v="34.380000000000003"/>
    <x v="3"/>
    <n v="1"/>
    <x v="0"/>
    <x v="0"/>
    <n v="2"/>
  </r>
  <r>
    <s v="ORD-02468"/>
    <d v="2022-12-06T00:00:00"/>
    <s v="CUST62783"/>
    <x v="139"/>
    <n v="35"/>
    <x v="0"/>
    <x v="0"/>
    <x v="4"/>
    <x v="7"/>
    <x v="3"/>
    <s v="T-Shirt"/>
    <n v="10"/>
    <n v="1323.89"/>
    <x v="2"/>
    <n v="7846.07"/>
    <n v="2864.34"/>
    <n v="73.19"/>
    <x v="3"/>
    <n v="3"/>
    <x v="0"/>
    <x v="0"/>
    <n v="6"/>
  </r>
  <r>
    <s v="ORD-03872"/>
    <d v="2024-08-06T00:00:00"/>
    <s v="CUST05197"/>
    <x v="59"/>
    <n v="31"/>
    <x v="0"/>
    <x v="1"/>
    <x v="3"/>
    <x v="16"/>
    <x v="6"/>
    <s v="Smartwatch"/>
    <n v="1"/>
    <n v="32097.99"/>
    <x v="36"/>
    <n v="38771.85"/>
    <n v="5312.93"/>
    <n v="86.5"/>
    <x v="5"/>
    <n v="5"/>
    <x v="0"/>
    <x v="0"/>
    <n v="10"/>
  </r>
  <r>
    <s v="ORD-01927"/>
    <d v="2022-05-02T00:00:00"/>
    <s v="CUST95099"/>
    <x v="362"/>
    <n v="23"/>
    <x v="3"/>
    <x v="1"/>
    <x v="0"/>
    <x v="19"/>
    <x v="3"/>
    <s v="Kurta"/>
    <n v="9"/>
    <n v="2847.87"/>
    <x v="39"/>
    <n v="33393.53"/>
    <n v="12191.27"/>
    <n v="82.56"/>
    <x v="0"/>
    <n v="2"/>
    <x v="0"/>
    <x v="2"/>
    <n v="1"/>
  </r>
  <r>
    <s v="ORD-03251"/>
    <d v="2023-11-05T00:00:00"/>
    <s v="CUST86211"/>
    <x v="289"/>
    <n v="26"/>
    <x v="0"/>
    <x v="0"/>
    <x v="0"/>
    <x v="19"/>
    <x v="3"/>
    <s v="Dress"/>
    <n v="5"/>
    <n v="3838.12"/>
    <x v="30"/>
    <n v="12041.48"/>
    <n v="4808.1400000000003"/>
    <n v="32.22"/>
    <x v="4"/>
    <n v="3"/>
    <x v="0"/>
    <x v="0"/>
    <n v="1"/>
  </r>
  <r>
    <s v="ORD-00430"/>
    <d v="2020-07-08T00:00:00"/>
    <s v="CUST04699"/>
    <x v="295"/>
    <n v="23"/>
    <x v="3"/>
    <x v="0"/>
    <x v="4"/>
    <x v="18"/>
    <x v="6"/>
    <s v="Laptop"/>
    <n v="9"/>
    <n v="57811.07"/>
    <x v="38"/>
    <n v="535096.15"/>
    <n v="69255.11"/>
    <n v="81.93"/>
    <x v="3"/>
    <n v="1"/>
    <x v="0"/>
    <x v="0"/>
    <n v="6"/>
  </r>
  <r>
    <s v="ORD-03805"/>
    <d v="2024-07-12T00:00:00"/>
    <s v="CUST88017"/>
    <x v="123"/>
    <n v="28"/>
    <x v="0"/>
    <x v="2"/>
    <x v="3"/>
    <x v="12"/>
    <x v="3"/>
    <s v="T-Shirt"/>
    <n v="9"/>
    <n v="2080.9899999999998"/>
    <x v="31"/>
    <n v="29349.38"/>
    <n v="8715.61"/>
    <n v="71.25"/>
    <x v="5"/>
    <n v="4"/>
    <x v="0"/>
    <x v="0"/>
    <n v="10"/>
  </r>
  <r>
    <s v="ORD-03311"/>
    <d v="2023-12-02T00:00:00"/>
    <s v="CUST69847"/>
    <x v="363"/>
    <n v="53"/>
    <x v="2"/>
    <x v="2"/>
    <x v="3"/>
    <x v="12"/>
    <x v="1"/>
    <s v="Bookshelf"/>
    <n v="7"/>
    <n v="17240.23"/>
    <x v="20"/>
    <n v="93169.87"/>
    <n v="29154.44"/>
    <n v="70.02"/>
    <x v="4"/>
    <n v="2"/>
    <x v="0"/>
    <x v="0"/>
    <n v="10"/>
  </r>
  <r>
    <s v="ORD-04002"/>
    <d v="2024-09-23T00:00:00"/>
    <s v="CUST44623"/>
    <x v="344"/>
    <n v="31"/>
    <x v="0"/>
    <x v="2"/>
    <x v="4"/>
    <x v="8"/>
    <x v="2"/>
    <s v="Fiction Novel"/>
    <n v="5"/>
    <n v="893.6"/>
    <x v="13"/>
    <n v="5604.17"/>
    <n v="1918.52"/>
    <n v="70.92"/>
    <x v="0"/>
    <n v="1"/>
    <x v="0"/>
    <x v="0"/>
    <n v="2"/>
  </r>
  <r>
    <s v="ORD-02860"/>
    <d v="2023-05-29T00:00:00"/>
    <s v="CUST89287"/>
    <x v="68"/>
    <n v="43"/>
    <x v="1"/>
    <x v="1"/>
    <x v="4"/>
    <x v="17"/>
    <x v="5"/>
    <s v="Tea"/>
    <n v="4"/>
    <n v="176.79"/>
    <x v="14"/>
    <n v="759.97"/>
    <n v="71.67"/>
    <n v="64.69"/>
    <x v="4"/>
    <n v="2"/>
    <x v="0"/>
    <x v="0"/>
    <n v="4"/>
  </r>
  <r>
    <s v="ORD-00441"/>
    <d v="2020-07-12T00:00:00"/>
    <s v="CUST63862"/>
    <x v="364"/>
    <n v="26"/>
    <x v="0"/>
    <x v="1"/>
    <x v="3"/>
    <x v="5"/>
    <x v="4"/>
    <s v="Cricket Bat"/>
    <n v="2"/>
    <n v="1653.6"/>
    <x v="8"/>
    <n v="4503.3"/>
    <n v="970.42"/>
    <n v="65.98"/>
    <x v="4"/>
    <n v="2"/>
    <x v="0"/>
    <x v="2"/>
    <n v="9"/>
  </r>
  <r>
    <s v="ORD-01942"/>
    <d v="2022-05-08T00:00:00"/>
    <s v="CUST68557"/>
    <x v="175"/>
    <n v="43"/>
    <x v="1"/>
    <x v="0"/>
    <x v="2"/>
    <x v="4"/>
    <x v="2"/>
    <s v="Cook Book"/>
    <n v="6"/>
    <n v="1175.95"/>
    <x v="11"/>
    <n v="6295.77"/>
    <n v="2412.9499999999998"/>
    <n v="48.24"/>
    <x v="4"/>
    <n v="1"/>
    <x v="0"/>
    <x v="0"/>
    <n v="8"/>
  </r>
  <r>
    <s v="ORD-03242"/>
    <d v="2023-11-01T00:00:00"/>
    <s v="CUST97241"/>
    <x v="3"/>
    <n v="23"/>
    <x v="3"/>
    <x v="2"/>
    <x v="2"/>
    <x v="14"/>
    <x v="6"/>
    <s v="Camera"/>
    <n v="2"/>
    <n v="5533.58"/>
    <x v="12"/>
    <n v="7936.89"/>
    <n v="1116.53"/>
    <n v="64.260000000000005"/>
    <x v="4"/>
    <n v="3"/>
    <x v="0"/>
    <x v="0"/>
    <n v="5"/>
  </r>
  <r>
    <s v="ORD-03782"/>
    <d v="2024-07-03T00:00:00"/>
    <s v="CUST04568"/>
    <x v="365"/>
    <n v="43"/>
    <x v="1"/>
    <x v="1"/>
    <x v="0"/>
    <x v="1"/>
    <x v="0"/>
    <s v="Shampoo"/>
    <n v="4"/>
    <n v="1596.7"/>
    <x v="34"/>
    <n v="6225.11"/>
    <n v="2976.56"/>
    <n v="47.58"/>
    <x v="2"/>
    <n v="2"/>
    <x v="0"/>
    <x v="0"/>
    <n v="8"/>
  </r>
  <r>
    <s v="ORD-03175"/>
    <d v="2023-10-05T00:00:00"/>
    <s v="CUST40113"/>
    <x v="279"/>
    <n v="39"/>
    <x v="1"/>
    <x v="1"/>
    <x v="4"/>
    <x v="17"/>
    <x v="6"/>
    <s v="Camera"/>
    <n v="5"/>
    <n v="11373.83"/>
    <x v="16"/>
    <n v="67236.759999999995"/>
    <n v="8643.41"/>
    <n v="51.2"/>
    <x v="4"/>
    <n v="2"/>
    <x v="0"/>
    <x v="4"/>
    <n v="7"/>
  </r>
  <r>
    <s v="ORD-00112"/>
    <d v="2020-02-11T00:00:00"/>
    <s v="CUST64249"/>
    <x v="128"/>
    <n v="31"/>
    <x v="0"/>
    <x v="2"/>
    <x v="4"/>
    <x v="17"/>
    <x v="2"/>
    <s v="Comic Book"/>
    <n v="4"/>
    <n v="514.80999999999995"/>
    <x v="10"/>
    <n v="1258.03"/>
    <n v="506.71"/>
    <n v="90.95"/>
    <x v="5"/>
    <n v="3"/>
    <x v="1"/>
    <x v="1"/>
    <n v="8"/>
  </r>
  <r>
    <s v="ORD-03914"/>
    <d v="2024-08-19T00:00:00"/>
    <s v="CUST37605"/>
    <x v="116"/>
    <n v="41"/>
    <x v="1"/>
    <x v="2"/>
    <x v="3"/>
    <x v="15"/>
    <x v="2"/>
    <s v="Self-Help Book"/>
    <n v="9"/>
    <n v="252.57"/>
    <x v="3"/>
    <n v="3014.3"/>
    <n v="1540.74"/>
    <n v="68.92"/>
    <x v="5"/>
    <n v="5"/>
    <x v="0"/>
    <x v="0"/>
    <n v="4"/>
  </r>
  <r>
    <s v="ORD-02035"/>
    <d v="2022-06-16T00:00:00"/>
    <s v="CUST24912"/>
    <x v="96"/>
    <n v="20"/>
    <x v="3"/>
    <x v="2"/>
    <x v="4"/>
    <x v="8"/>
    <x v="5"/>
    <s v="Flour"/>
    <n v="3"/>
    <n v="328.35"/>
    <x v="21"/>
    <n v="955.25"/>
    <n v="66.63"/>
    <n v="38.42"/>
    <x v="3"/>
    <n v="1"/>
    <x v="1"/>
    <x v="1"/>
    <n v="3"/>
  </r>
  <r>
    <s v="ORD-03656"/>
    <d v="2024-07-05T00:00:00"/>
    <s v="CUST68462"/>
    <x v="161"/>
    <n v="22"/>
    <x v="3"/>
    <x v="0"/>
    <x v="2"/>
    <x v="14"/>
    <x v="5"/>
    <s v="Sugar"/>
    <n v="7"/>
    <n v="113.61"/>
    <x v="13"/>
    <n v="1502.19"/>
    <n v="129.15"/>
    <n v="65.959999999999994"/>
    <x v="0"/>
    <n v="5"/>
    <x v="0"/>
    <x v="0"/>
    <n v="4"/>
  </r>
  <r>
    <s v="ORD-01623"/>
    <d v="2021-12-26T00:00:00"/>
    <s v="CUST05179"/>
    <x v="209"/>
    <n v="31"/>
    <x v="0"/>
    <x v="2"/>
    <x v="2"/>
    <x v="4"/>
    <x v="4"/>
    <s v="Yoga Mat"/>
    <n v="3"/>
    <n v="11948.26"/>
    <x v="6"/>
    <n v="16327.78"/>
    <n v="3332.82"/>
    <n v="46.24"/>
    <x v="1"/>
    <n v="1"/>
    <x v="1"/>
    <x v="1"/>
    <n v="9"/>
  </r>
  <r>
    <s v="ORD-01251"/>
    <d v="2021-07-17T00:00:00"/>
    <s v="CUST66419"/>
    <x v="283"/>
    <n v="54"/>
    <x v="2"/>
    <x v="2"/>
    <x v="2"/>
    <x v="13"/>
    <x v="2"/>
    <s v="Fiction Novel"/>
    <n v="3"/>
    <n v="454.35"/>
    <x v="0"/>
    <n v="1480.71"/>
    <n v="662.33"/>
    <n v="36.880000000000003"/>
    <x v="5"/>
    <n v="5"/>
    <x v="0"/>
    <x v="0"/>
    <n v="1"/>
  </r>
  <r>
    <s v="ORD-00089"/>
    <d v="2020-02-04T00:00:00"/>
    <s v="CUST25767"/>
    <x v="298"/>
    <n v="28"/>
    <x v="0"/>
    <x v="2"/>
    <x v="1"/>
    <x v="10"/>
    <x v="2"/>
    <s v="Self-Help Book"/>
    <n v="8"/>
    <n v="466.79"/>
    <x v="19"/>
    <n v="2614.7399999999998"/>
    <n v="1118.74"/>
    <n v="75.510000000000005"/>
    <x v="5"/>
    <n v="1"/>
    <x v="1"/>
    <x v="1"/>
    <n v="10"/>
  </r>
  <r>
    <s v="ORD-00531"/>
    <d v="2020-08-22T00:00:00"/>
    <s v="CUST56061"/>
    <x v="366"/>
    <n v="33"/>
    <x v="0"/>
    <x v="2"/>
    <x v="1"/>
    <x v="6"/>
    <x v="1"/>
    <s v="Bookshelf"/>
    <n v="1"/>
    <n v="11106.33"/>
    <x v="11"/>
    <n v="9670.5300000000007"/>
    <n v="3146.8"/>
    <n v="21.75"/>
    <x v="1"/>
    <n v="3"/>
    <x v="0"/>
    <x v="0"/>
    <n v="4"/>
  </r>
  <r>
    <s v="ORD-01371"/>
    <d v="2021-09-10T00:00:00"/>
    <s v="CUST72149"/>
    <x v="248"/>
    <n v="47"/>
    <x v="1"/>
    <x v="1"/>
    <x v="4"/>
    <x v="18"/>
    <x v="0"/>
    <s v="Perfume"/>
    <n v="6"/>
    <n v="1969.17"/>
    <x v="19"/>
    <n v="11841.76"/>
    <n v="3753.53"/>
    <n v="62.19"/>
    <x v="5"/>
    <n v="4"/>
    <x v="0"/>
    <x v="0"/>
    <n v="7"/>
  </r>
  <r>
    <s v="ORD-03061"/>
    <d v="2023-08-17T00:00:00"/>
    <s v="CUST33333"/>
    <x v="62"/>
    <n v="43"/>
    <x v="1"/>
    <x v="1"/>
    <x v="0"/>
    <x v="1"/>
    <x v="4"/>
    <s v="Tennis Racket"/>
    <n v="1"/>
    <n v="8555.4"/>
    <x v="19"/>
    <n v="9667.42"/>
    <n v="2139.7800000000002"/>
    <n v="51.56"/>
    <x v="5"/>
    <n v="4"/>
    <x v="0"/>
    <x v="0"/>
    <n v="5"/>
  </r>
  <r>
    <s v="ORD-03799"/>
    <d v="2024-07-10T00:00:00"/>
    <s v="CUST47925"/>
    <x v="202"/>
    <n v="32"/>
    <x v="0"/>
    <x v="1"/>
    <x v="4"/>
    <x v="18"/>
    <x v="6"/>
    <s v="Laptop"/>
    <n v="6"/>
    <n v="33794.81"/>
    <x v="33"/>
    <n v="278998.42"/>
    <n v="47680.83"/>
    <n v="53.59"/>
    <x v="3"/>
    <n v="5"/>
    <x v="0"/>
    <x v="0"/>
    <n v="6"/>
  </r>
  <r>
    <s v="ORD-00794"/>
    <d v="2020-12-28T00:00:00"/>
    <s v="CUST66490"/>
    <x v="367"/>
    <n v="41"/>
    <x v="1"/>
    <x v="1"/>
    <x v="4"/>
    <x v="17"/>
    <x v="4"/>
    <s v="Cricket Bat"/>
    <n v="3"/>
    <n v="7407.34"/>
    <x v="39"/>
    <n v="11320.18"/>
    <n v="2114.9"/>
    <n v="49.05"/>
    <x v="0"/>
    <n v="5"/>
    <x v="0"/>
    <x v="0"/>
    <n v="7"/>
  </r>
  <r>
    <s v="ORD-01291"/>
    <d v="2021-08-05T00:00:00"/>
    <s v="CUST96686"/>
    <x v="332"/>
    <n v="32"/>
    <x v="0"/>
    <x v="1"/>
    <x v="2"/>
    <x v="14"/>
    <x v="0"/>
    <s v="Face Cream"/>
    <n v="8"/>
    <n v="460.54"/>
    <x v="20"/>
    <n v="4504.96"/>
    <n v="2168.77"/>
    <n v="52.4"/>
    <x v="3"/>
    <n v="2"/>
    <x v="0"/>
    <x v="0"/>
    <n v="2"/>
  </r>
  <r>
    <s v="ORD-02252"/>
    <d v="2022-09-08T00:00:00"/>
    <s v="CUST72140"/>
    <x v="22"/>
    <n v="60"/>
    <x v="2"/>
    <x v="0"/>
    <x v="3"/>
    <x v="12"/>
    <x v="5"/>
    <s v="Rice (5kg)"/>
    <n v="6"/>
    <n v="415.02"/>
    <x v="40"/>
    <n v="1807.15"/>
    <n v="138.97"/>
    <n v="100.53"/>
    <x v="3"/>
    <n v="1"/>
    <x v="0"/>
    <x v="2"/>
    <n v="3"/>
  </r>
  <r>
    <s v="ORD-00042"/>
    <d v="2020-01-17T00:00:00"/>
    <s v="CUST56144"/>
    <x v="288"/>
    <n v="29"/>
    <x v="0"/>
    <x v="0"/>
    <x v="3"/>
    <x v="5"/>
    <x v="0"/>
    <s v="Shampoo"/>
    <n v="4"/>
    <n v="487.69"/>
    <x v="23"/>
    <n v="999.41"/>
    <n v="440.68"/>
    <n v="86.54"/>
    <x v="3"/>
    <n v="3"/>
    <x v="0"/>
    <x v="0"/>
    <n v="6"/>
  </r>
  <r>
    <s v="ORD-02881"/>
    <d v="2023-06-03T00:00:00"/>
    <s v="CUST20568"/>
    <x v="124"/>
    <n v="30"/>
    <x v="0"/>
    <x v="2"/>
    <x v="0"/>
    <x v="19"/>
    <x v="3"/>
    <s v="Jeans"/>
    <n v="9"/>
    <n v="378.42"/>
    <x v="24"/>
    <n v="4977.33"/>
    <n v="1570.94"/>
    <n v="43.44"/>
    <x v="2"/>
    <n v="4"/>
    <x v="0"/>
    <x v="0"/>
    <n v="8"/>
  </r>
  <r>
    <s v="ORD-02822"/>
    <d v="2023-05-11T00:00:00"/>
    <s v="CUST92489"/>
    <x v="26"/>
    <n v="29"/>
    <x v="0"/>
    <x v="2"/>
    <x v="2"/>
    <x v="14"/>
    <x v="4"/>
    <s v="Cricket Bat"/>
    <n v="4"/>
    <n v="3625.13"/>
    <x v="12"/>
    <n v="14299.68"/>
    <n v="4907.54"/>
    <n v="52.29"/>
    <x v="3"/>
    <n v="1"/>
    <x v="0"/>
    <x v="0"/>
    <n v="8"/>
  </r>
  <r>
    <s v="ORD-03751"/>
    <d v="2024-06-21T00:00:00"/>
    <s v="CUST80011"/>
    <x v="67"/>
    <n v="35"/>
    <x v="0"/>
    <x v="0"/>
    <x v="1"/>
    <x v="6"/>
    <x v="6"/>
    <s v="Smartphone"/>
    <n v="8"/>
    <n v="67283.39"/>
    <x v="38"/>
    <n v="832824.46"/>
    <n v="136279.91"/>
    <n v="61.27"/>
    <x v="3"/>
    <n v="4"/>
    <x v="0"/>
    <x v="0"/>
    <n v="4"/>
  </r>
  <r>
    <s v="ORD-01046"/>
    <d v="2021-04-19T00:00:00"/>
    <s v="CUST00053"/>
    <x v="337"/>
    <n v="26"/>
    <x v="0"/>
    <x v="0"/>
    <x v="4"/>
    <x v="7"/>
    <x v="2"/>
    <s v="Fiction Novel"/>
    <n v="7"/>
    <n v="845.12"/>
    <x v="35"/>
    <n v="4942.58"/>
    <n v="2834.57"/>
    <n v="62.59"/>
    <x v="1"/>
    <n v="4"/>
    <x v="0"/>
    <x v="3"/>
    <n v="6"/>
  </r>
  <r>
    <s v="ORD-01873"/>
    <d v="2022-04-06T00:00:00"/>
    <s v="CUST87809"/>
    <x v="94"/>
    <n v="32"/>
    <x v="0"/>
    <x v="0"/>
    <x v="2"/>
    <x v="13"/>
    <x v="4"/>
    <s v="Cricket Bat"/>
    <n v="3"/>
    <n v="12278.87"/>
    <x v="16"/>
    <n v="50117.69"/>
    <n v="7600.27"/>
    <n v="55.32"/>
    <x v="0"/>
    <n v="5"/>
    <x v="0"/>
    <x v="0"/>
    <n v="2"/>
  </r>
  <r>
    <s v="ORD-01680"/>
    <d v="2022-01-19T00:00:00"/>
    <s v="CUST80666"/>
    <x v="215"/>
    <n v="21"/>
    <x v="3"/>
    <x v="2"/>
    <x v="3"/>
    <x v="15"/>
    <x v="1"/>
    <s v="Wardrobe"/>
    <n v="6"/>
    <n v="21414.6"/>
    <x v="0"/>
    <n v="101055.44"/>
    <n v="14653.33"/>
    <n v="77.510000000000005"/>
    <x v="2"/>
    <n v="4"/>
    <x v="0"/>
    <x v="0"/>
    <n v="8"/>
  </r>
  <r>
    <s v="ORD-02521"/>
    <d v="2022-12-31T00:00:00"/>
    <s v="CUST93392"/>
    <x v="286"/>
    <n v="26"/>
    <x v="0"/>
    <x v="0"/>
    <x v="0"/>
    <x v="0"/>
    <x v="5"/>
    <s v="Dal (1kg)"/>
    <n v="9"/>
    <n v="337.76"/>
    <x v="27"/>
    <n v="1704.17"/>
    <n v="132.99"/>
    <n v="68.459999999999994"/>
    <x v="4"/>
    <n v="3"/>
    <x v="1"/>
    <x v="1"/>
    <n v="5"/>
  </r>
  <r>
    <s v="ORD-02666"/>
    <d v="2023-02-27T00:00:00"/>
    <s v="CUST26826"/>
    <x v="201"/>
    <n v="37"/>
    <x v="1"/>
    <x v="2"/>
    <x v="3"/>
    <x v="15"/>
    <x v="0"/>
    <s v="Hair Oil"/>
    <n v="3"/>
    <n v="1235.94"/>
    <x v="37"/>
    <n v="3443.74"/>
    <n v="1621.5"/>
    <n v="77.11"/>
    <x v="1"/>
    <n v="2"/>
    <x v="0"/>
    <x v="0"/>
    <n v="2"/>
  </r>
  <r>
    <s v="ORD-02924"/>
    <d v="2023-06-19T00:00:00"/>
    <s v="CUST46273"/>
    <x v="115"/>
    <n v="19"/>
    <x v="3"/>
    <x v="0"/>
    <x v="2"/>
    <x v="14"/>
    <x v="6"/>
    <s v="Smartphone"/>
    <n v="2"/>
    <n v="20357.2"/>
    <x v="5"/>
    <n v="56864.2"/>
    <n v="6315.84"/>
    <n v="37.020000000000003"/>
    <x v="3"/>
    <n v="4"/>
    <x v="0"/>
    <x v="2"/>
    <n v="5"/>
  </r>
  <r>
    <s v="ORD-01692"/>
    <d v="2022-01-24T00:00:00"/>
    <s v="CUST69225"/>
    <x v="239"/>
    <n v="18"/>
    <x v="3"/>
    <x v="2"/>
    <x v="0"/>
    <x v="19"/>
    <x v="0"/>
    <s v="Face Cream"/>
    <n v="7"/>
    <n v="2018.15"/>
    <x v="38"/>
    <n v="10594.06"/>
    <n v="5708.86"/>
    <n v="69.44"/>
    <x v="5"/>
    <n v="2"/>
    <x v="0"/>
    <x v="4"/>
    <n v="1"/>
  </r>
  <r>
    <s v="ORD-01325"/>
    <d v="2021-08-17T00:00:00"/>
    <s v="CUST05247"/>
    <x v="212"/>
    <n v="27"/>
    <x v="0"/>
    <x v="1"/>
    <x v="3"/>
    <x v="12"/>
    <x v="1"/>
    <s v="Wardrobe"/>
    <n v="7"/>
    <n v="7638.75"/>
    <x v="25"/>
    <n v="41709.71"/>
    <n v="10853.15"/>
    <n v="79"/>
    <x v="3"/>
    <n v="5"/>
    <x v="0"/>
    <x v="2"/>
    <n v="8"/>
  </r>
  <r>
    <s v="ORD-01030"/>
    <d v="2021-04-11T00:00:00"/>
    <s v="CUST27078"/>
    <x v="82"/>
    <n v="23"/>
    <x v="3"/>
    <x v="2"/>
    <x v="4"/>
    <x v="18"/>
    <x v="1"/>
    <s v="Chair"/>
    <n v="7"/>
    <n v="15442.1"/>
    <x v="7"/>
    <n v="116887.25"/>
    <n v="49080.86"/>
    <n v="60.99"/>
    <x v="4"/>
    <n v="2"/>
    <x v="1"/>
    <x v="1"/>
    <n v="1"/>
  </r>
  <r>
    <s v="ORD-04196"/>
    <d v="2024-12-28T00:00:00"/>
    <s v="CUST70995"/>
    <x v="8"/>
    <n v="40"/>
    <x v="1"/>
    <x v="0"/>
    <x v="2"/>
    <x v="14"/>
    <x v="6"/>
    <s v="Headphones"/>
    <n v="5"/>
    <n v="8516.83"/>
    <x v="14"/>
    <n v="25126"/>
    <n v="3420.94"/>
    <n v="56.78"/>
    <x v="4"/>
    <n v="4"/>
    <x v="0"/>
    <x v="0"/>
    <n v="4"/>
  </r>
  <r>
    <s v="ORD-03121"/>
    <d v="2023-09-09T00:00:00"/>
    <s v="CUST63009"/>
    <x v="294"/>
    <n v="26"/>
    <x v="0"/>
    <x v="2"/>
    <x v="3"/>
    <x v="12"/>
    <x v="3"/>
    <s v="Jeans"/>
    <n v="3"/>
    <n v="2461.4899999999998"/>
    <x v="2"/>
    <n v="6972.95"/>
    <n v="2178.64"/>
    <n v="112.99"/>
    <x v="4"/>
    <n v="1"/>
    <x v="0"/>
    <x v="0"/>
    <n v="3"/>
  </r>
  <r>
    <s v="ORD-00581"/>
    <d v="2020-09-17T00:00:00"/>
    <s v="CUST52841"/>
    <x v="368"/>
    <n v="35"/>
    <x v="0"/>
    <x v="2"/>
    <x v="1"/>
    <x v="3"/>
    <x v="3"/>
    <s v="Jeans"/>
    <n v="8"/>
    <n v="3110.11"/>
    <x v="28"/>
    <n v="22849.8"/>
    <n v="7429.85"/>
    <n v="59.8"/>
    <x v="1"/>
    <n v="5"/>
    <x v="0"/>
    <x v="0"/>
    <n v="1"/>
  </r>
  <r>
    <s v="ORD-02207"/>
    <d v="2022-08-20T00:00:00"/>
    <s v="CUST52808"/>
    <x v="87"/>
    <n v="32"/>
    <x v="0"/>
    <x v="2"/>
    <x v="3"/>
    <x v="15"/>
    <x v="2"/>
    <s v="Comic Book"/>
    <n v="8"/>
    <n v="748.13"/>
    <x v="19"/>
    <n v="6986.54"/>
    <n v="2050.35"/>
    <n v="76.680000000000007"/>
    <x v="0"/>
    <n v="2"/>
    <x v="0"/>
    <x v="0"/>
    <n v="3"/>
  </r>
  <r>
    <s v="ORD-00120"/>
    <d v="2020-02-16T00:00:00"/>
    <s v="CUST90788"/>
    <x v="157"/>
    <n v="47"/>
    <x v="1"/>
    <x v="1"/>
    <x v="2"/>
    <x v="14"/>
    <x v="4"/>
    <s v="Cricket Bat"/>
    <n v="4"/>
    <n v="2203.36"/>
    <x v="2"/>
    <n v="7194.38"/>
    <n v="1176.3599999999999"/>
    <n v="73.930000000000007"/>
    <x v="3"/>
    <n v="1"/>
    <x v="0"/>
    <x v="2"/>
    <n v="1"/>
  </r>
  <r>
    <s v="ORD-01647"/>
    <d v="2022-01-04T00:00:00"/>
    <s v="CUST89140"/>
    <x v="34"/>
    <n v="20"/>
    <x v="3"/>
    <x v="0"/>
    <x v="0"/>
    <x v="1"/>
    <x v="4"/>
    <s v="Dumbbells"/>
    <n v="5"/>
    <n v="2889.82"/>
    <x v="5"/>
    <n v="12487.02"/>
    <n v="2820.46"/>
    <n v="70.260000000000005"/>
    <x v="3"/>
    <n v="5"/>
    <x v="0"/>
    <x v="0"/>
    <n v="9"/>
  </r>
  <r>
    <s v="ORD-02033"/>
    <d v="2022-06-15T00:00:00"/>
    <s v="CUST51814"/>
    <x v="198"/>
    <n v="38"/>
    <x v="1"/>
    <x v="1"/>
    <x v="3"/>
    <x v="12"/>
    <x v="4"/>
    <s v="Tennis Racket"/>
    <n v="9"/>
    <n v="12169.11"/>
    <x v="39"/>
    <n v="140742.76999999999"/>
    <n v="29276.65"/>
    <n v="63.19"/>
    <x v="5"/>
    <n v="5"/>
    <x v="0"/>
    <x v="4"/>
    <n v="8"/>
  </r>
  <r>
    <s v="ORD-02302"/>
    <d v="2022-09-25T00:00:00"/>
    <s v="CUST57376"/>
    <x v="293"/>
    <n v="30"/>
    <x v="0"/>
    <x v="0"/>
    <x v="1"/>
    <x v="10"/>
    <x v="3"/>
    <s v="Dress"/>
    <n v="2"/>
    <n v="1047.08"/>
    <x v="1"/>
    <n v="2238.06"/>
    <n v="854.12"/>
    <n v="49.15"/>
    <x v="5"/>
    <n v="5"/>
    <x v="0"/>
    <x v="0"/>
    <n v="6"/>
  </r>
  <r>
    <s v="ORD-04136"/>
    <d v="2024-12-03T00:00:00"/>
    <s v="CUST52875"/>
    <x v="105"/>
    <n v="24"/>
    <x v="3"/>
    <x v="2"/>
    <x v="1"/>
    <x v="3"/>
    <x v="2"/>
    <s v="Self-Help Book"/>
    <n v="2"/>
    <n v="585.20000000000005"/>
    <x v="12"/>
    <n v="801.85"/>
    <n v="375.39"/>
    <n v="29.42"/>
    <x v="0"/>
    <n v="1"/>
    <x v="0"/>
    <x v="2"/>
    <n v="2"/>
  </r>
  <r>
    <s v="ORD-01685"/>
    <d v="2022-01-21T00:00:00"/>
    <s v="CUST87567"/>
    <x v="369"/>
    <n v="41"/>
    <x v="1"/>
    <x v="1"/>
    <x v="4"/>
    <x v="8"/>
    <x v="0"/>
    <s v="Hair Oil"/>
    <n v="5"/>
    <n v="1126.8900000000001"/>
    <x v="25"/>
    <n v="3560.92"/>
    <n v="953.02"/>
    <n v="77.150000000000006"/>
    <x v="1"/>
    <n v="4"/>
    <x v="0"/>
    <x v="0"/>
    <n v="3"/>
  </r>
  <r>
    <s v="ORD-00808"/>
    <d v="2021-01-05T00:00:00"/>
    <s v="CUST38701"/>
    <x v="370"/>
    <n v="45"/>
    <x v="1"/>
    <x v="2"/>
    <x v="3"/>
    <x v="16"/>
    <x v="4"/>
    <s v="Tennis Racket"/>
    <n v="4"/>
    <n v="5092.41"/>
    <x v="37"/>
    <n v="13542.42"/>
    <n v="3463.99"/>
    <n v="74.84"/>
    <x v="0"/>
    <n v="4"/>
    <x v="0"/>
    <x v="3"/>
    <n v="9"/>
  </r>
  <r>
    <s v="ORD-02227"/>
    <d v="2022-08-29T00:00:00"/>
    <s v="CUST03537"/>
    <x v="57"/>
    <n v="27"/>
    <x v="0"/>
    <x v="1"/>
    <x v="3"/>
    <x v="15"/>
    <x v="4"/>
    <s v="Cricket Bat"/>
    <n v="1"/>
    <n v="5779.22"/>
    <x v="35"/>
    <n v="5109.2299999999996"/>
    <n v="997.26"/>
    <n v="61.33"/>
    <x v="0"/>
    <n v="4"/>
    <x v="1"/>
    <x v="1"/>
    <n v="5"/>
  </r>
  <r>
    <s v="ORD-02880"/>
    <d v="2023-06-03T00:00:00"/>
    <s v="CUST70204"/>
    <x v="288"/>
    <n v="55"/>
    <x v="2"/>
    <x v="1"/>
    <x v="1"/>
    <x v="6"/>
    <x v="3"/>
    <s v="Jeans"/>
    <n v="1"/>
    <n v="2361.96"/>
    <x v="37"/>
    <n v="2691.37"/>
    <n v="1189.6199999999999"/>
    <n v="62.61"/>
    <x v="2"/>
    <n v="4"/>
    <x v="0"/>
    <x v="0"/>
    <n v="8"/>
  </r>
  <r>
    <s v="ORD-01460"/>
    <d v="2021-10-22T00:00:00"/>
    <s v="CUST92264"/>
    <x v="234"/>
    <n v="38"/>
    <x v="1"/>
    <x v="2"/>
    <x v="1"/>
    <x v="3"/>
    <x v="2"/>
    <s v="Self-Help Book"/>
    <n v="4"/>
    <n v="875.51"/>
    <x v="25"/>
    <n v="2078.56"/>
    <n v="482.57"/>
    <n v="74.290000000000006"/>
    <x v="3"/>
    <n v="3"/>
    <x v="0"/>
    <x v="0"/>
    <n v="3"/>
  </r>
  <r>
    <s v="ORD-00068"/>
    <d v="2020-01-25T00:00:00"/>
    <s v="CUST52906"/>
    <x v="371"/>
    <n v="22"/>
    <x v="3"/>
    <x v="1"/>
    <x v="2"/>
    <x v="14"/>
    <x v="3"/>
    <s v="Kurta"/>
    <n v="9"/>
    <n v="3803.5"/>
    <x v="36"/>
    <n v="20906.55"/>
    <n v="4385.49"/>
    <n v="29.15"/>
    <x v="4"/>
    <n v="5"/>
    <x v="0"/>
    <x v="0"/>
    <n v="10"/>
  </r>
  <r>
    <s v="ORD-01981"/>
    <d v="2022-05-25T00:00:00"/>
    <s v="CUST59895"/>
    <x v="176"/>
    <n v="34"/>
    <x v="0"/>
    <x v="0"/>
    <x v="3"/>
    <x v="15"/>
    <x v="6"/>
    <s v="Smartwatch"/>
    <n v="10"/>
    <n v="74467.03"/>
    <x v="29"/>
    <n v="941142.08"/>
    <n v="81264.87"/>
    <n v="92.07"/>
    <x v="1"/>
    <n v="4"/>
    <x v="0"/>
    <x v="0"/>
    <n v="10"/>
  </r>
  <r>
    <s v="ORD-01376"/>
    <d v="2021-09-14T00:00:00"/>
    <s v="CUST33017"/>
    <x v="42"/>
    <n v="56"/>
    <x v="2"/>
    <x v="2"/>
    <x v="3"/>
    <x v="15"/>
    <x v="3"/>
    <s v="Saree"/>
    <n v="1"/>
    <n v="2237.3200000000002"/>
    <x v="21"/>
    <n v="1298.32"/>
    <n v="627.59"/>
    <n v="70.34"/>
    <x v="5"/>
    <n v="4"/>
    <x v="0"/>
    <x v="2"/>
    <n v="6"/>
  </r>
  <r>
    <s v="ORD-01105"/>
    <d v="2021-05-14T00:00:00"/>
    <s v="CUST80204"/>
    <x v="372"/>
    <n v="19"/>
    <x v="3"/>
    <x v="2"/>
    <x v="3"/>
    <x v="5"/>
    <x v="1"/>
    <s v="Desk"/>
    <n v="4"/>
    <n v="25489.41"/>
    <x v="19"/>
    <n v="131437.57"/>
    <n v="32943.269999999997"/>
    <n v="73.78"/>
    <x v="4"/>
    <n v="3"/>
    <x v="1"/>
    <x v="1"/>
    <n v="3"/>
  </r>
  <r>
    <s v="ORD-00113"/>
    <d v="2020-02-11T00:00:00"/>
    <s v="CUST93734"/>
    <x v="158"/>
    <n v="49"/>
    <x v="1"/>
    <x v="1"/>
    <x v="2"/>
    <x v="13"/>
    <x v="5"/>
    <s v="Dal (1kg)"/>
    <n v="7"/>
    <n v="315.99"/>
    <x v="19"/>
    <n v="1630.03"/>
    <n v="123.62"/>
    <n v="76.22"/>
    <x v="3"/>
    <n v="1"/>
    <x v="0"/>
    <x v="0"/>
    <n v="4"/>
  </r>
  <r>
    <s v="ORD-03368"/>
    <d v="2023-12-29T00:00:00"/>
    <s v="CUST21747"/>
    <x v="133"/>
    <n v="19"/>
    <x v="3"/>
    <x v="2"/>
    <x v="4"/>
    <x v="8"/>
    <x v="2"/>
    <s v="Cook Book"/>
    <n v="8"/>
    <n v="221.14"/>
    <x v="22"/>
    <n v="1030.55"/>
    <n v="527.82000000000005"/>
    <n v="92"/>
    <x v="5"/>
    <n v="4"/>
    <x v="0"/>
    <x v="0"/>
    <n v="8"/>
  </r>
  <r>
    <s v="ORD-01783"/>
    <d v="2022-03-02T00:00:00"/>
    <s v="CUST27111"/>
    <x v="305"/>
    <n v="37"/>
    <x v="1"/>
    <x v="2"/>
    <x v="0"/>
    <x v="2"/>
    <x v="5"/>
    <s v="Flour"/>
    <n v="5"/>
    <n v="86.9"/>
    <x v="14"/>
    <n v="357.63"/>
    <n v="31.6"/>
    <n v="52.67"/>
    <x v="5"/>
    <n v="4"/>
    <x v="0"/>
    <x v="0"/>
    <n v="2"/>
  </r>
  <r>
    <s v="ORD-02280"/>
    <d v="2022-09-16T00:00:00"/>
    <s v="CUST85697"/>
    <x v="219"/>
    <n v="38"/>
    <x v="1"/>
    <x v="0"/>
    <x v="4"/>
    <x v="17"/>
    <x v="1"/>
    <s v="Chair"/>
    <n v="5"/>
    <n v="22143.81"/>
    <x v="9"/>
    <n v="118422.68"/>
    <n v="31149.72"/>
    <n v="53.5"/>
    <x v="1"/>
    <n v="2"/>
    <x v="1"/>
    <x v="1"/>
    <n v="8"/>
  </r>
  <r>
    <s v="ORD-03216"/>
    <d v="2023-10-22T00:00:00"/>
    <s v="CUST32134"/>
    <x v="359"/>
    <n v="33"/>
    <x v="0"/>
    <x v="0"/>
    <x v="0"/>
    <x v="19"/>
    <x v="0"/>
    <s v="Lipstick"/>
    <n v="5"/>
    <n v="313.72000000000003"/>
    <x v="26"/>
    <n v="1195.99"/>
    <n v="468.82"/>
    <n v="41.27"/>
    <x v="5"/>
    <n v="1"/>
    <x v="1"/>
    <x v="1"/>
    <n v="8"/>
  </r>
  <r>
    <s v="ORD-01898"/>
    <d v="2022-04-17T00:00:00"/>
    <s v="CUST93402"/>
    <x v="40"/>
    <n v="37"/>
    <x v="1"/>
    <x v="2"/>
    <x v="3"/>
    <x v="15"/>
    <x v="5"/>
    <s v="Rice (5kg)"/>
    <n v="10"/>
    <n v="64.44"/>
    <x v="8"/>
    <n v="923.93"/>
    <n v="67.39"/>
    <n v="69.3"/>
    <x v="4"/>
    <n v="3"/>
    <x v="1"/>
    <x v="1"/>
    <n v="2"/>
  </r>
  <r>
    <s v="ORD-00988"/>
    <d v="2021-03-25T00:00:00"/>
    <s v="CUST03932"/>
    <x v="300"/>
    <n v="55"/>
    <x v="2"/>
    <x v="1"/>
    <x v="4"/>
    <x v="7"/>
    <x v="5"/>
    <s v="Sugar"/>
    <n v="3"/>
    <n v="211.44"/>
    <x v="23"/>
    <n v="561.91999999999996"/>
    <n v="17.100000000000001"/>
    <n v="58.35"/>
    <x v="4"/>
    <n v="1"/>
    <x v="1"/>
    <x v="1"/>
    <n v="8"/>
  </r>
  <r>
    <s v="ORD-03593"/>
    <d v="2024-04-11T00:00:00"/>
    <s v="CUST55992"/>
    <x v="99"/>
    <n v="26"/>
    <x v="0"/>
    <x v="1"/>
    <x v="1"/>
    <x v="6"/>
    <x v="5"/>
    <s v="Cooking Oil"/>
    <n v="2"/>
    <n v="426.88"/>
    <x v="3"/>
    <n v="1081.17"/>
    <n v="85.91"/>
    <n v="71.23"/>
    <x v="2"/>
    <n v="3"/>
    <x v="0"/>
    <x v="0"/>
    <n v="8"/>
  </r>
  <r>
    <s v="ORD-02551"/>
    <d v="2023-01-12T00:00:00"/>
    <s v="CUST18241"/>
    <x v="87"/>
    <n v="54"/>
    <x v="2"/>
    <x v="2"/>
    <x v="1"/>
    <x v="3"/>
    <x v="4"/>
    <s v="Yoga Mat"/>
    <n v="8"/>
    <n v="7866.66"/>
    <x v="12"/>
    <n v="36459.410000000003"/>
    <n v="9536.2099999999991"/>
    <n v="48.3"/>
    <x v="5"/>
    <n v="4"/>
    <x v="0"/>
    <x v="2"/>
    <n v="2"/>
  </r>
  <r>
    <s v="ORD-01050"/>
    <d v="2021-04-20T00:00:00"/>
    <s v="CUST80824"/>
    <x v="373"/>
    <n v="32"/>
    <x v="0"/>
    <x v="2"/>
    <x v="0"/>
    <x v="0"/>
    <x v="5"/>
    <s v="Tea"/>
    <n v="8"/>
    <n v="376.57"/>
    <x v="20"/>
    <n v="3472.2"/>
    <n v="314.20999999999998"/>
    <n v="52.43"/>
    <x v="4"/>
    <n v="3"/>
    <x v="0"/>
    <x v="0"/>
    <n v="6"/>
  </r>
  <r>
    <s v="ORD-03839"/>
    <d v="2024-07-26T00:00:00"/>
    <s v="CUST67708"/>
    <x v="42"/>
    <n v="29"/>
    <x v="0"/>
    <x v="0"/>
    <x v="4"/>
    <x v="17"/>
    <x v="0"/>
    <s v="Sunscreen"/>
    <n v="9"/>
    <n v="2362.56"/>
    <x v="27"/>
    <n v="27141.72"/>
    <n v="10738.54"/>
    <n v="78.73"/>
    <x v="5"/>
    <n v="4"/>
    <x v="0"/>
    <x v="0"/>
    <n v="2"/>
  </r>
  <r>
    <s v="ORD-03826"/>
    <d v="2024-07-22T00:00:00"/>
    <s v="CUST11947"/>
    <x v="223"/>
    <n v="34"/>
    <x v="0"/>
    <x v="0"/>
    <x v="2"/>
    <x v="13"/>
    <x v="1"/>
    <s v="Wardrobe"/>
    <n v="8"/>
    <n v="26461.22"/>
    <x v="30"/>
    <n v="222317.82"/>
    <n v="66500.31"/>
    <n v="67.8"/>
    <x v="0"/>
    <n v="3"/>
    <x v="0"/>
    <x v="0"/>
    <n v="7"/>
  </r>
  <r>
    <s v="ORD-02794"/>
    <d v="2023-04-24T00:00:00"/>
    <s v="CUST50448"/>
    <x v="40"/>
    <n v="40"/>
    <x v="1"/>
    <x v="1"/>
    <x v="2"/>
    <x v="13"/>
    <x v="2"/>
    <s v="Cook Book"/>
    <n v="5"/>
    <n v="375.59"/>
    <x v="16"/>
    <n v="2462.15"/>
    <n v="759.54"/>
    <n v="86.48"/>
    <x v="0"/>
    <n v="4"/>
    <x v="0"/>
    <x v="0"/>
    <n v="6"/>
  </r>
  <r>
    <s v="ORD-01822"/>
    <d v="2022-03-16T00:00:00"/>
    <s v="CUST25475"/>
    <x v="18"/>
    <n v="54"/>
    <x v="2"/>
    <x v="2"/>
    <x v="3"/>
    <x v="15"/>
    <x v="3"/>
    <s v="Jacket"/>
    <n v="8"/>
    <n v="3480.42"/>
    <x v="26"/>
    <n v="26432.66"/>
    <n v="9634.6200000000008"/>
    <n v="82.01"/>
    <x v="1"/>
    <n v="2"/>
    <x v="1"/>
    <x v="1"/>
    <n v="10"/>
  </r>
  <r>
    <s v="ORD-02486"/>
    <d v="2022-12-15T00:00:00"/>
    <s v="CUST08668"/>
    <x v="90"/>
    <n v="27"/>
    <x v="0"/>
    <x v="2"/>
    <x v="4"/>
    <x v="7"/>
    <x v="6"/>
    <s v="Headphones"/>
    <n v="10"/>
    <n v="27390.35"/>
    <x v="1"/>
    <n v="206094.85"/>
    <n v="28830.39"/>
    <n v="84.68"/>
    <x v="4"/>
    <n v="3"/>
    <x v="1"/>
    <x v="1"/>
    <n v="10"/>
  </r>
  <r>
    <s v="ORD-03654"/>
    <d v="2024-05-06T00:00:00"/>
    <s v="CUST00096"/>
    <x v="145"/>
    <n v="41"/>
    <x v="1"/>
    <x v="0"/>
    <x v="1"/>
    <x v="6"/>
    <x v="5"/>
    <s v="Flour"/>
    <n v="1"/>
    <n v="429.16"/>
    <x v="29"/>
    <n v="614.69000000000005"/>
    <n v="40.82"/>
    <n v="38.15"/>
    <x v="2"/>
    <n v="2"/>
    <x v="0"/>
    <x v="0"/>
    <n v="7"/>
  </r>
  <r>
    <s v="ORD-02789"/>
    <d v="2023-04-21T00:00:00"/>
    <s v="CUST60012"/>
    <x v="89"/>
    <n v="20"/>
    <x v="3"/>
    <x v="0"/>
    <x v="1"/>
    <x v="3"/>
    <x v="2"/>
    <s v="Textbook"/>
    <n v="7"/>
    <n v="714.91"/>
    <x v="14"/>
    <n v="5029.55"/>
    <n v="1690.54"/>
    <n v="56.73"/>
    <x v="3"/>
    <n v="3"/>
    <x v="0"/>
    <x v="0"/>
    <n v="8"/>
  </r>
  <r>
    <s v="ORD-02310"/>
    <d v="2022-10-01T00:00:00"/>
    <s v="CUST33052"/>
    <x v="280"/>
    <n v="32"/>
    <x v="0"/>
    <x v="1"/>
    <x v="2"/>
    <x v="4"/>
    <x v="0"/>
    <s v="Hair Oil"/>
    <n v="8"/>
    <n v="963.22"/>
    <x v="37"/>
    <n v="5534.19"/>
    <n v="2484.8000000000002"/>
    <n v="60.98"/>
    <x v="1"/>
    <n v="3"/>
    <x v="0"/>
    <x v="0"/>
    <n v="3"/>
  </r>
  <r>
    <s v="ORD-03019"/>
    <d v="2023-07-31T00:00:00"/>
    <s v="CUST46142"/>
    <x v="45"/>
    <n v="30"/>
    <x v="0"/>
    <x v="1"/>
    <x v="0"/>
    <x v="19"/>
    <x v="3"/>
    <s v="Kurta"/>
    <n v="2"/>
    <n v="1744.92"/>
    <x v="40"/>
    <n v="3236.74"/>
    <n v="1198.8399999999999"/>
    <n v="44.94"/>
    <x v="3"/>
    <n v="3"/>
    <x v="1"/>
    <x v="1"/>
    <n v="7"/>
  </r>
  <r>
    <s v="ORD-02018"/>
    <d v="2022-06-09T00:00:00"/>
    <s v="CUST30360"/>
    <x v="374"/>
    <n v="26"/>
    <x v="0"/>
    <x v="2"/>
    <x v="3"/>
    <x v="16"/>
    <x v="1"/>
    <s v="Chair"/>
    <n v="7"/>
    <n v="27994.03"/>
    <x v="36"/>
    <n v="268698.01"/>
    <n v="53596.61"/>
    <n v="69.11"/>
    <x v="2"/>
    <n v="3"/>
    <x v="0"/>
    <x v="2"/>
    <n v="2"/>
  </r>
  <r>
    <s v="ORD-02728"/>
    <d v="2023-03-29T00:00:00"/>
    <s v="CUST26931"/>
    <x v="227"/>
    <n v="22"/>
    <x v="3"/>
    <x v="1"/>
    <x v="0"/>
    <x v="19"/>
    <x v="4"/>
    <s v="Dumbbells"/>
    <n v="5"/>
    <n v="9438.65"/>
    <x v="36"/>
    <n v="50601.3"/>
    <n v="10853.36"/>
    <n v="59.57"/>
    <x v="4"/>
    <n v="2"/>
    <x v="0"/>
    <x v="0"/>
    <n v="9"/>
  </r>
  <r>
    <s v="ORD-00946"/>
    <d v="2021-03-03T00:00:00"/>
    <s v="CUST66962"/>
    <x v="4"/>
    <n v="29"/>
    <x v="0"/>
    <x v="0"/>
    <x v="4"/>
    <x v="8"/>
    <x v="2"/>
    <s v="Comic Book"/>
    <n v="3"/>
    <n v="265.72000000000003"/>
    <x v="26"/>
    <n v="642.25"/>
    <n v="162.11000000000001"/>
    <n v="60.04"/>
    <x v="5"/>
    <n v="1"/>
    <x v="0"/>
    <x v="2"/>
    <n v="10"/>
  </r>
  <r>
    <s v="ORD-02702"/>
    <d v="2023-03-16T00:00:00"/>
    <s v="CUST41199"/>
    <x v="234"/>
    <n v="34"/>
    <x v="0"/>
    <x v="0"/>
    <x v="0"/>
    <x v="2"/>
    <x v="2"/>
    <s v="Cook Book"/>
    <n v="6"/>
    <n v="942.74"/>
    <x v="12"/>
    <n v="4651.1099999999997"/>
    <n v="1628.44"/>
    <n v="67.17"/>
    <x v="4"/>
    <n v="3"/>
    <x v="0"/>
    <x v="0"/>
    <n v="9"/>
  </r>
  <r>
    <s v="ORD-03056"/>
    <d v="2023-08-16T00:00:00"/>
    <s v="CUST57382"/>
    <x v="88"/>
    <n v="45"/>
    <x v="1"/>
    <x v="2"/>
    <x v="1"/>
    <x v="6"/>
    <x v="1"/>
    <s v="Bed Frame"/>
    <n v="7"/>
    <n v="21860.37"/>
    <x v="3"/>
    <n v="156258.37"/>
    <n v="37409.1"/>
    <n v="28.9"/>
    <x v="3"/>
    <n v="1"/>
    <x v="1"/>
    <x v="1"/>
    <n v="7"/>
  </r>
  <r>
    <s v="ORD-01259"/>
    <d v="2021-07-23T00:00:00"/>
    <s v="CUST98747"/>
    <x v="336"/>
    <n v="43"/>
    <x v="1"/>
    <x v="2"/>
    <x v="2"/>
    <x v="13"/>
    <x v="3"/>
    <s v="Saree"/>
    <n v="4"/>
    <n v="3539.46"/>
    <x v="21"/>
    <n v="13144.99"/>
    <n v="4582.45"/>
    <n v="80.650000000000006"/>
    <x v="1"/>
    <n v="3"/>
    <x v="1"/>
    <x v="1"/>
    <n v="10"/>
  </r>
  <r>
    <s v="ORD-01168"/>
    <d v="2021-06-07T00:00:00"/>
    <s v="CUST35029"/>
    <x v="161"/>
    <n v="41"/>
    <x v="1"/>
    <x v="0"/>
    <x v="4"/>
    <x v="17"/>
    <x v="6"/>
    <s v="Headphones"/>
    <n v="9"/>
    <n v="63927.14"/>
    <x v="10"/>
    <n v="604434.02"/>
    <n v="73248.66"/>
    <n v="68.239999999999995"/>
    <x v="5"/>
    <n v="2"/>
    <x v="0"/>
    <x v="0"/>
    <n v="3"/>
  </r>
  <r>
    <s v="ORD-03894"/>
    <d v="2024-08-13T00:00:00"/>
    <s v="CUST65883"/>
    <x v="159"/>
    <n v="37"/>
    <x v="1"/>
    <x v="0"/>
    <x v="1"/>
    <x v="3"/>
    <x v="0"/>
    <s v="Shampoo"/>
    <n v="2"/>
    <n v="1715.59"/>
    <x v="40"/>
    <n v="2886.91"/>
    <n v="1724.71"/>
    <n v="47.41"/>
    <x v="2"/>
    <n v="2"/>
    <x v="0"/>
    <x v="3"/>
    <n v="7"/>
  </r>
  <r>
    <s v="ORD-01171"/>
    <d v="2021-06-09T00:00:00"/>
    <s v="CUST15457"/>
    <x v="241"/>
    <n v="29"/>
    <x v="0"/>
    <x v="2"/>
    <x v="3"/>
    <x v="12"/>
    <x v="5"/>
    <s v="Dal (1kg)"/>
    <n v="2"/>
    <n v="359.79"/>
    <x v="6"/>
    <n v="638.01"/>
    <n v="52.57"/>
    <n v="85.35"/>
    <x v="5"/>
    <n v="3"/>
    <x v="0"/>
    <x v="0"/>
    <n v="9"/>
  </r>
  <r>
    <s v="ORD-03735"/>
    <d v="2024-06-16T00:00:00"/>
    <s v="CUST24467"/>
    <x v="375"/>
    <n v="46"/>
    <x v="1"/>
    <x v="0"/>
    <x v="2"/>
    <x v="9"/>
    <x v="0"/>
    <s v="Face Cream"/>
    <n v="3"/>
    <n v="2171.12"/>
    <x v="6"/>
    <n v="6476.71"/>
    <n v="2737.34"/>
    <n v="57.34"/>
    <x v="5"/>
    <n v="4"/>
    <x v="1"/>
    <x v="1"/>
    <n v="2"/>
  </r>
  <r>
    <s v="ORD-02716"/>
    <d v="2023-03-23T00:00:00"/>
    <s v="CUST34371"/>
    <x v="376"/>
    <n v="20"/>
    <x v="3"/>
    <x v="0"/>
    <x v="1"/>
    <x v="6"/>
    <x v="5"/>
    <s v="Tea"/>
    <n v="7"/>
    <n v="258.92"/>
    <x v="12"/>
    <n v="1758.81"/>
    <n v="177.42"/>
    <n v="37.369999999999997"/>
    <x v="4"/>
    <n v="3"/>
    <x v="0"/>
    <x v="0"/>
    <n v="6"/>
  </r>
  <r>
    <s v="ORD-04198"/>
    <d v="2024-12-29T00:00:00"/>
    <s v="CUST54617"/>
    <x v="269"/>
    <n v="36"/>
    <x v="1"/>
    <x v="1"/>
    <x v="3"/>
    <x v="5"/>
    <x v="1"/>
    <s v="Chair"/>
    <n v="6"/>
    <n v="21398.46"/>
    <x v="14"/>
    <n v="75488.55"/>
    <n v="18648.21"/>
    <n v="99.52"/>
    <x v="1"/>
    <n v="4"/>
    <x v="0"/>
    <x v="0"/>
    <n v="1"/>
  </r>
  <r>
    <s v="ORD-03300"/>
    <d v="2023-11-27T00:00:00"/>
    <s v="CUST46539"/>
    <x v="185"/>
    <n v="29"/>
    <x v="0"/>
    <x v="1"/>
    <x v="4"/>
    <x v="7"/>
    <x v="5"/>
    <s v="Sugar"/>
    <n v="9"/>
    <n v="56.27"/>
    <x v="7"/>
    <n v="407.16"/>
    <n v="20.82"/>
    <n v="82.79"/>
    <x v="4"/>
    <n v="5"/>
    <x v="0"/>
    <x v="0"/>
    <n v="2"/>
  </r>
  <r>
    <s v="ORD-02819"/>
    <d v="2023-05-09T00:00:00"/>
    <s v="CUST12681"/>
    <x v="112"/>
    <n v="49"/>
    <x v="1"/>
    <x v="0"/>
    <x v="3"/>
    <x v="15"/>
    <x v="3"/>
    <s v="Saree"/>
    <n v="1"/>
    <n v="3976.86"/>
    <x v="11"/>
    <n v="4653"/>
    <n v="1981.56"/>
    <n v="86.05"/>
    <x v="3"/>
    <n v="2"/>
    <x v="0"/>
    <x v="0"/>
    <n v="4"/>
  </r>
  <r>
    <s v="ORD-03025"/>
    <d v="2023-08-03T00:00:00"/>
    <s v="CUST12807"/>
    <x v="306"/>
    <n v="34"/>
    <x v="0"/>
    <x v="0"/>
    <x v="1"/>
    <x v="11"/>
    <x v="4"/>
    <s v="Tennis Racket"/>
    <n v="5"/>
    <n v="8699.81"/>
    <x v="21"/>
    <n v="43806.61"/>
    <n v="9308.41"/>
    <n v="42.55"/>
    <x v="0"/>
    <n v="1"/>
    <x v="0"/>
    <x v="0"/>
    <n v="5"/>
  </r>
  <r>
    <s v="ORD-00299"/>
    <d v="2020-05-10T00:00:00"/>
    <s v="CUST26567"/>
    <x v="377"/>
    <n v="55"/>
    <x v="2"/>
    <x v="1"/>
    <x v="1"/>
    <x v="10"/>
    <x v="3"/>
    <s v="T-Shirt"/>
    <n v="8"/>
    <n v="2351.5700000000002"/>
    <x v="14"/>
    <n v="17421.060000000001"/>
    <n v="5554.48"/>
    <n v="71.02"/>
    <x v="1"/>
    <n v="2"/>
    <x v="0"/>
    <x v="2"/>
    <n v="5"/>
  </r>
  <r>
    <s v="ORD-01123"/>
    <d v="2021-05-23T00:00:00"/>
    <s v="CUST18686"/>
    <x v="369"/>
    <n v="36"/>
    <x v="1"/>
    <x v="1"/>
    <x v="0"/>
    <x v="2"/>
    <x v="1"/>
    <s v="Bookshelf"/>
    <n v="1"/>
    <n v="19884.830000000002"/>
    <x v="11"/>
    <n v="23868.33"/>
    <n v="5629.58"/>
    <n v="50.84"/>
    <x v="5"/>
    <n v="2"/>
    <x v="0"/>
    <x v="0"/>
    <n v="8"/>
  </r>
  <r>
    <s v="ORD-00075"/>
    <d v="2020-01-28T00:00:00"/>
    <s v="CUST92174"/>
    <x v="149"/>
    <n v="46"/>
    <x v="1"/>
    <x v="0"/>
    <x v="0"/>
    <x v="1"/>
    <x v="5"/>
    <s v="Cooking Oil"/>
    <n v="9"/>
    <n v="225.4"/>
    <x v="26"/>
    <n v="1125.8599999999999"/>
    <n v="112.52"/>
    <n v="48.11"/>
    <x v="5"/>
    <n v="1"/>
    <x v="1"/>
    <x v="1"/>
    <n v="2"/>
  </r>
  <r>
    <s v="ORD-00041"/>
    <d v="2020-01-16T00:00:00"/>
    <s v="CUST87348"/>
    <x v="264"/>
    <n v="57"/>
    <x v="2"/>
    <x v="2"/>
    <x v="1"/>
    <x v="10"/>
    <x v="6"/>
    <s v="Smartphone"/>
    <n v="7"/>
    <n v="52597.3"/>
    <x v="26"/>
    <n v="203835.56"/>
    <n v="25641.97"/>
    <n v="41.61"/>
    <x v="4"/>
    <n v="2"/>
    <x v="0"/>
    <x v="0"/>
    <n v="1"/>
  </r>
  <r>
    <s v="ORD-00599"/>
    <d v="2020-09-24T00:00:00"/>
    <s v="CUST89927"/>
    <x v="340"/>
    <n v="35"/>
    <x v="0"/>
    <x v="1"/>
    <x v="0"/>
    <x v="1"/>
    <x v="6"/>
    <s v="Laptop"/>
    <n v="7"/>
    <n v="32603.73"/>
    <x v="3"/>
    <n v="175205.59"/>
    <n v="16796.740000000002"/>
    <n v="53.05"/>
    <x v="5"/>
    <n v="5"/>
    <x v="0"/>
    <x v="0"/>
    <n v="5"/>
  </r>
  <r>
    <s v="ORD-01875"/>
    <d v="2022-07-04T00:00:00"/>
    <s v="CUST64095"/>
    <x v="279"/>
    <n v="30"/>
    <x v="0"/>
    <x v="2"/>
    <x v="3"/>
    <x v="5"/>
    <x v="3"/>
    <s v="Saree"/>
    <n v="7"/>
    <n v="411.78"/>
    <x v="12"/>
    <n v="3259.85"/>
    <n v="1493.17"/>
    <n v="93.37"/>
    <x v="3"/>
    <n v="1"/>
    <x v="1"/>
    <x v="1"/>
    <n v="3"/>
  </r>
  <r>
    <s v="ORD-01665"/>
    <d v="2022-01-13T00:00:00"/>
    <s v="CUST72087"/>
    <x v="64"/>
    <n v="41"/>
    <x v="1"/>
    <x v="0"/>
    <x v="4"/>
    <x v="18"/>
    <x v="4"/>
    <s v="Tennis Racket"/>
    <n v="7"/>
    <n v="14245.64"/>
    <x v="37"/>
    <n v="63223.16"/>
    <n v="13091.37"/>
    <n v="63.46"/>
    <x v="4"/>
    <n v="1"/>
    <x v="0"/>
    <x v="0"/>
    <n v="3"/>
  </r>
  <r>
    <s v="ORD-03188"/>
    <d v="2023-10-11T00:00:00"/>
    <s v="CUST87675"/>
    <x v="65"/>
    <n v="30"/>
    <x v="0"/>
    <x v="1"/>
    <x v="2"/>
    <x v="9"/>
    <x v="5"/>
    <s v="Flour"/>
    <n v="2"/>
    <n v="312.70999999999998"/>
    <x v="31"/>
    <n v="580.22"/>
    <n v="45.18"/>
    <n v="67.16"/>
    <x v="0"/>
    <n v="2"/>
    <x v="0"/>
    <x v="0"/>
    <n v="6"/>
  </r>
  <r>
    <s v="ORD-03469"/>
    <d v="2024-02-14T00:00:00"/>
    <s v="CUST84032"/>
    <x v="107"/>
    <n v="33"/>
    <x v="0"/>
    <x v="2"/>
    <x v="4"/>
    <x v="7"/>
    <x v="3"/>
    <s v="Jacket"/>
    <n v="5"/>
    <n v="3983.26"/>
    <x v="36"/>
    <n v="18870.57"/>
    <n v="7723.98"/>
    <n v="90.81"/>
    <x v="0"/>
    <n v="1"/>
    <x v="0"/>
    <x v="0"/>
    <n v="2"/>
  </r>
  <r>
    <s v="ORD-01387"/>
    <d v="2021-09-19T00:00:00"/>
    <s v="CUST58789"/>
    <x v="328"/>
    <n v="42"/>
    <x v="1"/>
    <x v="1"/>
    <x v="0"/>
    <x v="1"/>
    <x v="4"/>
    <s v="Yoga Mat"/>
    <n v="7"/>
    <n v="2078.41"/>
    <x v="37"/>
    <n v="13731.31"/>
    <n v="4242.83"/>
    <n v="42.68"/>
    <x v="3"/>
    <n v="2"/>
    <x v="0"/>
    <x v="0"/>
    <n v="1"/>
  </r>
  <r>
    <s v="ORD-01369"/>
    <d v="2021-09-09T00:00:00"/>
    <s v="CUST31474"/>
    <x v="356"/>
    <n v="42"/>
    <x v="1"/>
    <x v="1"/>
    <x v="1"/>
    <x v="6"/>
    <x v="5"/>
    <s v="Cooking Oil"/>
    <n v="7"/>
    <n v="496.14"/>
    <x v="25"/>
    <n v="2839.68"/>
    <n v="279.88"/>
    <n v="63.12"/>
    <x v="2"/>
    <n v="1"/>
    <x v="1"/>
    <x v="1"/>
    <n v="5"/>
  </r>
  <r>
    <s v="ORD-02786"/>
    <d v="2023-04-20T00:00:00"/>
    <s v="CUST59888"/>
    <x v="77"/>
    <n v="38"/>
    <x v="1"/>
    <x v="0"/>
    <x v="2"/>
    <x v="9"/>
    <x v="6"/>
    <s v="Smartwatch"/>
    <n v="7"/>
    <n v="50711.3"/>
    <x v="1"/>
    <n v="442866.28"/>
    <n v="58822.76"/>
    <n v="44.77"/>
    <x v="1"/>
    <n v="3"/>
    <x v="0"/>
    <x v="0"/>
    <n v="10"/>
  </r>
  <r>
    <s v="ORD-01667"/>
    <d v="2022-01-13T00:00:00"/>
    <s v="CUST51290"/>
    <x v="36"/>
    <n v="60"/>
    <x v="2"/>
    <x v="1"/>
    <x v="3"/>
    <x v="5"/>
    <x v="5"/>
    <s v="Tea"/>
    <n v="5"/>
    <n v="77.06"/>
    <x v="38"/>
    <n v="253.58"/>
    <n v="18.829999999999998"/>
    <n v="83.91"/>
    <x v="5"/>
    <n v="4"/>
    <x v="0"/>
    <x v="0"/>
    <n v="10"/>
  </r>
  <r>
    <s v="ORD-02562"/>
    <d v="2023-01-15T00:00:00"/>
    <s v="CUST95323"/>
    <x v="190"/>
    <n v="62"/>
    <x v="2"/>
    <x v="0"/>
    <x v="4"/>
    <x v="18"/>
    <x v="2"/>
    <s v="Textbook"/>
    <n v="4"/>
    <n v="1045.52"/>
    <x v="36"/>
    <n v="3378.55"/>
    <n v="1234.47"/>
    <n v="69.47"/>
    <x v="2"/>
    <n v="4"/>
    <x v="0"/>
    <x v="0"/>
    <n v="3"/>
  </r>
  <r>
    <s v="ORD-04018"/>
    <d v="2024-10-06T00:00:00"/>
    <s v="CUST05715"/>
    <x v="36"/>
    <n v="30"/>
    <x v="0"/>
    <x v="1"/>
    <x v="2"/>
    <x v="14"/>
    <x v="1"/>
    <s v="Desk"/>
    <n v="3"/>
    <n v="20526.57"/>
    <x v="40"/>
    <n v="39110.300000000003"/>
    <n v="5636.16"/>
    <n v="58.12"/>
    <x v="1"/>
    <n v="5"/>
    <x v="0"/>
    <x v="0"/>
    <n v="5"/>
  </r>
  <r>
    <s v="ORD-01015"/>
    <d v="2021-04-04T00:00:00"/>
    <s v="CUST48355"/>
    <x v="66"/>
    <n v="40"/>
    <x v="1"/>
    <x v="0"/>
    <x v="3"/>
    <x v="12"/>
    <x v="3"/>
    <s v="Jeans"/>
    <n v="7"/>
    <n v="2196.3000000000002"/>
    <x v="11"/>
    <n v="15799.82"/>
    <n v="5078.38"/>
    <n v="61.62"/>
    <x v="2"/>
    <n v="1"/>
    <x v="0"/>
    <x v="0"/>
    <n v="10"/>
  </r>
  <r>
    <s v="ORD-00770"/>
    <d v="2020-12-15T00:00:00"/>
    <s v="CUST84428"/>
    <x v="1"/>
    <n v="56"/>
    <x v="2"/>
    <x v="2"/>
    <x v="2"/>
    <x v="9"/>
    <x v="1"/>
    <s v="Sofa"/>
    <n v="2"/>
    <n v="8330.94"/>
    <x v="21"/>
    <n v="7172.01"/>
    <n v="1030.6600000000001"/>
    <n v="34.58"/>
    <x v="4"/>
    <n v="5"/>
    <x v="0"/>
    <x v="4"/>
    <n v="6"/>
  </r>
  <r>
    <s v="ORD-02317"/>
    <d v="2022-10-04T00:00:00"/>
    <s v="CUST47149"/>
    <x v="68"/>
    <n v="41"/>
    <x v="1"/>
    <x v="1"/>
    <x v="2"/>
    <x v="9"/>
    <x v="3"/>
    <s v="Kurta"/>
    <n v="7"/>
    <n v="3985.89"/>
    <x v="30"/>
    <n v="19751.990000000002"/>
    <n v="7041.24"/>
    <n v="37.549999999999997"/>
    <x v="4"/>
    <n v="5"/>
    <x v="0"/>
    <x v="3"/>
    <n v="2"/>
  </r>
  <r>
    <s v="ORD-04047"/>
    <d v="2024-10-23T00:00:00"/>
    <s v="CUST94569"/>
    <x v="160"/>
    <n v="38"/>
    <x v="1"/>
    <x v="0"/>
    <x v="0"/>
    <x v="19"/>
    <x v="2"/>
    <s v="Biography"/>
    <n v="3"/>
    <n v="1455.69"/>
    <x v="35"/>
    <n v="3171.19"/>
    <n v="1460.04"/>
    <n v="68.989999999999995"/>
    <x v="5"/>
    <n v="1"/>
    <x v="0"/>
    <x v="0"/>
    <n v="1"/>
  </r>
  <r>
    <s v="ORD-02877"/>
    <d v="2023-06-02T00:00:00"/>
    <s v="CUST52099"/>
    <x v="182"/>
    <n v="37"/>
    <x v="1"/>
    <x v="2"/>
    <x v="0"/>
    <x v="1"/>
    <x v="0"/>
    <s v="Face Cream"/>
    <n v="10"/>
    <n v="1285.07"/>
    <x v="12"/>
    <n v="15333.34"/>
    <n v="9585.0300000000007"/>
    <n v="77.58"/>
    <x v="3"/>
    <n v="2"/>
    <x v="0"/>
    <x v="0"/>
    <n v="9"/>
  </r>
  <r>
    <s v="ORD-01323"/>
    <d v="2021-08-16T00:00:00"/>
    <s v="CUST78691"/>
    <x v="329"/>
    <n v="28"/>
    <x v="0"/>
    <x v="2"/>
    <x v="3"/>
    <x v="15"/>
    <x v="3"/>
    <s v="Kurta"/>
    <n v="9"/>
    <n v="541.46"/>
    <x v="1"/>
    <n v="4738.37"/>
    <n v="1400.95"/>
    <n v="53.44"/>
    <x v="4"/>
    <n v="1"/>
    <x v="0"/>
    <x v="0"/>
    <n v="4"/>
  </r>
  <r>
    <s v="ORD-02645"/>
    <d v="2023-02-17T00:00:00"/>
    <s v="CUST11538"/>
    <x v="350"/>
    <n v="46"/>
    <x v="1"/>
    <x v="1"/>
    <x v="0"/>
    <x v="19"/>
    <x v="3"/>
    <s v="Jacket"/>
    <n v="6"/>
    <n v="2371.79"/>
    <x v="38"/>
    <n v="13350.85"/>
    <n v="4678.25"/>
    <n v="45.39"/>
    <x v="2"/>
    <n v="4"/>
    <x v="0"/>
    <x v="0"/>
    <n v="6"/>
  </r>
  <r>
    <s v="ORD-03853"/>
    <d v="2024-07-31T00:00:00"/>
    <s v="CUST55701"/>
    <x v="136"/>
    <n v="59"/>
    <x v="2"/>
    <x v="1"/>
    <x v="2"/>
    <x v="9"/>
    <x v="3"/>
    <s v="Kurta"/>
    <n v="8"/>
    <n v="3536.11"/>
    <x v="22"/>
    <n v="33772.339999999997"/>
    <n v="8415.7800000000007"/>
    <n v="42.65"/>
    <x v="4"/>
    <n v="1"/>
    <x v="0"/>
    <x v="0"/>
    <n v="1"/>
  </r>
  <r>
    <s v="ORD-03024"/>
    <d v="2023-08-03T00:00:00"/>
    <s v="CUST08460"/>
    <x v="311"/>
    <n v="40"/>
    <x v="1"/>
    <x v="2"/>
    <x v="4"/>
    <x v="18"/>
    <x v="5"/>
    <s v="Dal (1kg)"/>
    <n v="2"/>
    <n v="188.62"/>
    <x v="18"/>
    <n v="395.46"/>
    <n v="23.93"/>
    <n v="82.57"/>
    <x v="2"/>
    <n v="5"/>
    <x v="0"/>
    <x v="0"/>
    <n v="9"/>
  </r>
  <r>
    <s v="ORD-01609"/>
    <d v="2021-12-20T00:00:00"/>
    <s v="CUST09235"/>
    <x v="135"/>
    <n v="37"/>
    <x v="1"/>
    <x v="1"/>
    <x v="0"/>
    <x v="2"/>
    <x v="0"/>
    <s v="Shampoo"/>
    <n v="2"/>
    <n v="984.2"/>
    <x v="2"/>
    <n v="1250.93"/>
    <n v="608.62"/>
    <n v="62.93"/>
    <x v="3"/>
    <n v="2"/>
    <x v="0"/>
    <x v="0"/>
    <n v="9"/>
  </r>
  <r>
    <s v="ORD-00870"/>
    <d v="2021-01-31T00:00:00"/>
    <s v="CUST22353"/>
    <x v="172"/>
    <n v="56"/>
    <x v="2"/>
    <x v="2"/>
    <x v="2"/>
    <x v="9"/>
    <x v="6"/>
    <s v="Headphones"/>
    <n v="8"/>
    <n v="16693.21"/>
    <x v="26"/>
    <n v="81693.149999999994"/>
    <n v="9097.41"/>
    <n v="65.45"/>
    <x v="2"/>
    <n v="3"/>
    <x v="1"/>
    <x v="1"/>
    <n v="10"/>
  </r>
  <r>
    <s v="ORD-04089"/>
    <d v="2024-11-09T00:00:00"/>
    <s v="CUST65407"/>
    <x v="269"/>
    <n v="49"/>
    <x v="1"/>
    <x v="2"/>
    <x v="4"/>
    <x v="7"/>
    <x v="2"/>
    <s v="Comic Book"/>
    <n v="5"/>
    <n v="733.86"/>
    <x v="12"/>
    <n v="2368.12"/>
    <n v="846.43"/>
    <n v="68.42"/>
    <x v="4"/>
    <n v="5"/>
    <x v="0"/>
    <x v="0"/>
    <n v="1"/>
  </r>
  <r>
    <s v="ORD-03631"/>
    <d v="2024-04-28T00:00:00"/>
    <s v="CUST36710"/>
    <x v="299"/>
    <n v="31"/>
    <x v="0"/>
    <x v="0"/>
    <x v="4"/>
    <x v="8"/>
    <x v="0"/>
    <s v="Hair Oil"/>
    <n v="6"/>
    <n v="1419.67"/>
    <x v="5"/>
    <n v="11838.84"/>
    <n v="7704.41"/>
    <n v="81.849999999999994"/>
    <x v="3"/>
    <n v="5"/>
    <x v="0"/>
    <x v="0"/>
    <n v="10"/>
  </r>
  <r>
    <s v="ORD-01594"/>
    <d v="2021-12-13T00:00:00"/>
    <s v="CUST74210"/>
    <x v="378"/>
    <n v="49"/>
    <x v="1"/>
    <x v="2"/>
    <x v="3"/>
    <x v="15"/>
    <x v="3"/>
    <s v="Saree"/>
    <n v="1"/>
    <n v="3144.7"/>
    <x v="34"/>
    <n v="1412.65"/>
    <n v="506.25"/>
    <n v="89.01"/>
    <x v="2"/>
    <n v="3"/>
    <x v="0"/>
    <x v="3"/>
    <n v="5"/>
  </r>
  <r>
    <s v="ORD-02450"/>
    <d v="2022-11-28T00:00:00"/>
    <s v="CUST85866"/>
    <x v="295"/>
    <n v="36"/>
    <x v="1"/>
    <x v="2"/>
    <x v="1"/>
    <x v="3"/>
    <x v="4"/>
    <s v="Football"/>
    <n v="8"/>
    <n v="7873.54"/>
    <x v="37"/>
    <n v="37930.36"/>
    <n v="9903.07"/>
    <n v="42.71"/>
    <x v="4"/>
    <n v="2"/>
    <x v="0"/>
    <x v="0"/>
    <n v="5"/>
  </r>
  <r>
    <s v="ORD-01729"/>
    <d v="2022-02-08T00:00:00"/>
    <s v="CUST21576"/>
    <x v="365"/>
    <n v="20"/>
    <x v="3"/>
    <x v="1"/>
    <x v="1"/>
    <x v="3"/>
    <x v="1"/>
    <s v="Desk"/>
    <n v="9"/>
    <n v="22414.18"/>
    <x v="26"/>
    <n v="154810.39000000001"/>
    <n v="52685.24"/>
    <n v="39.71"/>
    <x v="4"/>
    <n v="4"/>
    <x v="0"/>
    <x v="0"/>
    <n v="5"/>
  </r>
  <r>
    <s v="ORD-00334"/>
    <d v="2020-05-25T00:00:00"/>
    <s v="CUST45698"/>
    <x v="259"/>
    <n v="37"/>
    <x v="1"/>
    <x v="0"/>
    <x v="0"/>
    <x v="19"/>
    <x v="2"/>
    <s v="Comic Book"/>
    <n v="4"/>
    <n v="822.35"/>
    <x v="28"/>
    <n v="3604.16"/>
    <n v="1181.07"/>
    <n v="54.01"/>
    <x v="5"/>
    <n v="4"/>
    <x v="1"/>
    <x v="1"/>
    <n v="9"/>
  </r>
  <r>
    <s v="ORD-02841"/>
    <d v="2023-05-23T00:00:00"/>
    <s v="CUST62482"/>
    <x v="103"/>
    <n v="26"/>
    <x v="0"/>
    <x v="0"/>
    <x v="3"/>
    <x v="15"/>
    <x v="0"/>
    <s v="Face Cream"/>
    <n v="8"/>
    <n v="317.17"/>
    <x v="29"/>
    <n v="3774.97"/>
    <n v="2233.34"/>
    <n v="81.48"/>
    <x v="4"/>
    <n v="3"/>
    <x v="0"/>
    <x v="4"/>
    <n v="5"/>
  </r>
  <r>
    <s v="ORD-00613"/>
    <d v="2020-10-01T00:00:00"/>
    <s v="CUST52615"/>
    <x v="32"/>
    <n v="39"/>
    <x v="1"/>
    <x v="1"/>
    <x v="1"/>
    <x v="10"/>
    <x v="2"/>
    <s v="Self-Help Book"/>
    <n v="8"/>
    <n v="479.33"/>
    <x v="2"/>
    <n v="2895.46"/>
    <n v="1623.81"/>
    <n v="57.89"/>
    <x v="5"/>
    <n v="4"/>
    <x v="0"/>
    <x v="0"/>
    <n v="8"/>
  </r>
  <r>
    <s v="ORD-00728"/>
    <d v="2020-11-29T00:00:00"/>
    <s v="CUST89689"/>
    <x v="224"/>
    <n v="19"/>
    <x v="3"/>
    <x v="0"/>
    <x v="1"/>
    <x v="6"/>
    <x v="3"/>
    <s v="Jeans"/>
    <n v="10"/>
    <n v="1410.27"/>
    <x v="39"/>
    <n v="8950.43"/>
    <n v="2283.3000000000002"/>
    <n v="52.24"/>
    <x v="2"/>
    <n v="5"/>
    <x v="0"/>
    <x v="2"/>
    <n v="5"/>
  </r>
  <r>
    <s v="ORD-01326"/>
    <d v="2021-08-18T00:00:00"/>
    <s v="CUST15556"/>
    <x v="275"/>
    <n v="43"/>
    <x v="1"/>
    <x v="1"/>
    <x v="4"/>
    <x v="18"/>
    <x v="4"/>
    <s v="Cycle"/>
    <n v="2"/>
    <n v="10207.68"/>
    <x v="40"/>
    <n v="15448.23"/>
    <n v="3254.54"/>
    <n v="51.21"/>
    <x v="5"/>
    <n v="1"/>
    <x v="0"/>
    <x v="4"/>
    <n v="4"/>
  </r>
  <r>
    <s v="ORD-03070"/>
    <d v="2023-08-19T00:00:00"/>
    <s v="CUST29394"/>
    <x v="228"/>
    <n v="35"/>
    <x v="0"/>
    <x v="1"/>
    <x v="3"/>
    <x v="16"/>
    <x v="6"/>
    <s v="Laptop"/>
    <n v="8"/>
    <n v="20964.05"/>
    <x v="10"/>
    <n v="174884.92"/>
    <n v="24207.47"/>
    <n v="77.540000000000006"/>
    <x v="4"/>
    <n v="2"/>
    <x v="0"/>
    <x v="0"/>
    <n v="5"/>
  </r>
  <r>
    <s v="ORD-01765"/>
    <d v="2022-02-20T00:00:00"/>
    <s v="CUST28045"/>
    <x v="8"/>
    <n v="35"/>
    <x v="0"/>
    <x v="2"/>
    <x v="2"/>
    <x v="9"/>
    <x v="2"/>
    <s v="Fiction Novel"/>
    <n v="3"/>
    <n v="477.72"/>
    <x v="40"/>
    <n v="901.37"/>
    <n v="311.79000000000002"/>
    <n v="41.76"/>
    <x v="1"/>
    <n v="1"/>
    <x v="1"/>
    <x v="1"/>
    <n v="2"/>
  </r>
  <r>
    <s v="ORD-04014"/>
    <d v="2024-09-30T00:00:00"/>
    <s v="CUST71983"/>
    <x v="96"/>
    <n v="21"/>
    <x v="3"/>
    <x v="0"/>
    <x v="2"/>
    <x v="14"/>
    <x v="4"/>
    <s v="Football"/>
    <n v="7"/>
    <n v="1420.89"/>
    <x v="5"/>
    <n v="14785.98"/>
    <n v="3969.68"/>
    <n v="38.840000000000003"/>
    <x v="0"/>
    <n v="2"/>
    <x v="0"/>
    <x v="0"/>
    <n v="7"/>
  </r>
  <r>
    <s v="ORD-04079"/>
    <d v="2024-11-03T00:00:00"/>
    <s v="CUST85445"/>
    <x v="155"/>
    <n v="40"/>
    <x v="1"/>
    <x v="0"/>
    <x v="4"/>
    <x v="17"/>
    <x v="1"/>
    <s v="Desk"/>
    <n v="4"/>
    <n v="25047.24"/>
    <x v="29"/>
    <n v="86856.88"/>
    <n v="33882.26"/>
    <n v="83.32"/>
    <x v="1"/>
    <n v="5"/>
    <x v="0"/>
    <x v="0"/>
    <n v="4"/>
  </r>
  <r>
    <s v="ORD-01322"/>
    <d v="2021-08-16T00:00:00"/>
    <s v="CUST89590"/>
    <x v="176"/>
    <n v="42"/>
    <x v="1"/>
    <x v="1"/>
    <x v="1"/>
    <x v="10"/>
    <x v="6"/>
    <s v="Headphones"/>
    <n v="5"/>
    <n v="25084.959999999999"/>
    <x v="28"/>
    <n v="172376.29"/>
    <n v="18968.099999999999"/>
    <n v="74.02"/>
    <x v="1"/>
    <n v="1"/>
    <x v="0"/>
    <x v="0"/>
    <n v="8"/>
  </r>
  <r>
    <s v="ORD-00964"/>
    <d v="2021-03-16T00:00:00"/>
    <s v="CUST62220"/>
    <x v="379"/>
    <n v="38"/>
    <x v="1"/>
    <x v="2"/>
    <x v="2"/>
    <x v="14"/>
    <x v="3"/>
    <s v="Jacket"/>
    <n v="5"/>
    <n v="888.01"/>
    <x v="15"/>
    <n v="3544.92"/>
    <n v="906.65"/>
    <n v="30.07"/>
    <x v="3"/>
    <n v="1"/>
    <x v="0"/>
    <x v="4"/>
    <n v="4"/>
  </r>
  <r>
    <s v="ORD-01452"/>
    <d v="2021-10-19T00:00:00"/>
    <s v="CUST49495"/>
    <x v="2"/>
    <n v="20"/>
    <x v="3"/>
    <x v="0"/>
    <x v="0"/>
    <x v="1"/>
    <x v="0"/>
    <s v="Shampoo"/>
    <n v="3"/>
    <n v="805.93"/>
    <x v="28"/>
    <n v="2114.44"/>
    <n v="1247.55"/>
    <n v="55.34"/>
    <x v="4"/>
    <n v="3"/>
    <x v="0"/>
    <x v="0"/>
    <n v="5"/>
  </r>
  <r>
    <s v="ORD-03037"/>
    <d v="2023-08-05T00:00:00"/>
    <s v="CUST23747"/>
    <x v="320"/>
    <n v="25"/>
    <x v="3"/>
    <x v="2"/>
    <x v="0"/>
    <x v="2"/>
    <x v="0"/>
    <s v="Sunscreen"/>
    <n v="1"/>
    <n v="1196.94"/>
    <x v="32"/>
    <n v="1644.73"/>
    <n v="754.93"/>
    <n v="47.47"/>
    <x v="2"/>
    <n v="3"/>
    <x v="0"/>
    <x v="0"/>
    <n v="1"/>
  </r>
  <r>
    <s v="ORD-00233"/>
    <d v="2020-04-11T00:00:00"/>
    <s v="CUST32440"/>
    <x v="22"/>
    <n v="39"/>
    <x v="1"/>
    <x v="2"/>
    <x v="3"/>
    <x v="16"/>
    <x v="6"/>
    <s v="Smartwatch"/>
    <n v="5"/>
    <n v="71617.52"/>
    <x v="21"/>
    <n v="255897.86"/>
    <n v="28898.92"/>
    <n v="75.489999999999995"/>
    <x v="1"/>
    <n v="4"/>
    <x v="1"/>
    <x v="1"/>
    <n v="2"/>
  </r>
  <r>
    <s v="ORD-01302"/>
    <d v="2021-08-10T00:00:00"/>
    <s v="CUST86947"/>
    <x v="140"/>
    <n v="32"/>
    <x v="0"/>
    <x v="0"/>
    <x v="2"/>
    <x v="4"/>
    <x v="1"/>
    <s v="Bed Frame"/>
    <n v="1"/>
    <n v="9518.8799999999992"/>
    <x v="12"/>
    <n v="8848.99"/>
    <n v="3106.65"/>
    <n v="60.55"/>
    <x v="4"/>
    <n v="5"/>
    <x v="0"/>
    <x v="3"/>
    <n v="6"/>
  </r>
  <r>
    <s v="ORD-01767"/>
    <d v="2022-02-21T00:00:00"/>
    <s v="CUST86434"/>
    <x v="269"/>
    <n v="37"/>
    <x v="1"/>
    <x v="1"/>
    <x v="1"/>
    <x v="10"/>
    <x v="4"/>
    <s v="Tennis Racket"/>
    <n v="6"/>
    <n v="4023.89"/>
    <x v="39"/>
    <n v="22623.39"/>
    <n v="2450.1799999999998"/>
    <n v="43.87"/>
    <x v="3"/>
    <n v="4"/>
    <x v="0"/>
    <x v="2"/>
    <n v="2"/>
  </r>
  <r>
    <s v="ORD-02761"/>
    <d v="2023-04-10T00:00:00"/>
    <s v="CUST40656"/>
    <x v="258"/>
    <n v="21"/>
    <x v="3"/>
    <x v="1"/>
    <x v="0"/>
    <x v="0"/>
    <x v="4"/>
    <s v="Tennis Racket"/>
    <n v="10"/>
    <n v="12942.94"/>
    <x v="2"/>
    <n v="168816.96"/>
    <n v="44825.88"/>
    <n v="57.55"/>
    <x v="2"/>
    <n v="3"/>
    <x v="0"/>
    <x v="3"/>
    <n v="6"/>
  </r>
  <r>
    <s v="ORD-03277"/>
    <d v="2023-11-16T00:00:00"/>
    <s v="CUST00162"/>
    <x v="364"/>
    <n v="44"/>
    <x v="1"/>
    <x v="0"/>
    <x v="3"/>
    <x v="5"/>
    <x v="4"/>
    <s v="Cricket Bat"/>
    <n v="9"/>
    <n v="6566.64"/>
    <x v="38"/>
    <n v="50681.89"/>
    <n v="12859.41"/>
    <n v="88.55"/>
    <x v="0"/>
    <n v="3"/>
    <x v="0"/>
    <x v="0"/>
    <n v="2"/>
  </r>
  <r>
    <s v="ORD-00077"/>
    <d v="2020-01-29T00:00:00"/>
    <s v="CUST29476"/>
    <x v="64"/>
    <n v="32"/>
    <x v="0"/>
    <x v="2"/>
    <x v="1"/>
    <x v="6"/>
    <x v="5"/>
    <s v="Cooking Oil"/>
    <n v="3"/>
    <n v="111.25"/>
    <x v="14"/>
    <n v="169.55"/>
    <n v="14.81"/>
    <n v="67.44"/>
    <x v="5"/>
    <n v="4"/>
    <x v="1"/>
    <x v="1"/>
    <n v="2"/>
  </r>
  <r>
    <s v="ORD-03707"/>
    <d v="2024-06-01T00:00:00"/>
    <s v="CUST19426"/>
    <x v="210"/>
    <n v="19"/>
    <x v="3"/>
    <x v="0"/>
    <x v="2"/>
    <x v="13"/>
    <x v="3"/>
    <s v="T-Shirt"/>
    <n v="4"/>
    <n v="2911.82"/>
    <x v="38"/>
    <n v="17929.64"/>
    <n v="6962.57"/>
    <n v="69.31"/>
    <x v="5"/>
    <n v="4"/>
    <x v="1"/>
    <x v="1"/>
    <n v="7"/>
  </r>
  <r>
    <s v="ORD-00234"/>
    <d v="2020-04-12T00:00:00"/>
    <s v="CUST16850"/>
    <x v="140"/>
    <n v="33"/>
    <x v="0"/>
    <x v="2"/>
    <x v="3"/>
    <x v="15"/>
    <x v="0"/>
    <s v="Face Cream"/>
    <n v="9"/>
    <n v="2037.1"/>
    <x v="34"/>
    <n v="12133.55"/>
    <n v="4748.4399999999996"/>
    <n v="81.709999999999994"/>
    <x v="5"/>
    <n v="5"/>
    <x v="0"/>
    <x v="0"/>
    <n v="10"/>
  </r>
  <r>
    <s v="ORD-01782"/>
    <d v="2022-03-02T00:00:00"/>
    <s v="CUST00399"/>
    <x v="175"/>
    <n v="26"/>
    <x v="0"/>
    <x v="2"/>
    <x v="1"/>
    <x v="3"/>
    <x v="1"/>
    <s v="Sofa"/>
    <n v="4"/>
    <n v="9797.48"/>
    <x v="36"/>
    <n v="35253.800000000003"/>
    <n v="6234.5"/>
    <n v="54.57"/>
    <x v="3"/>
    <n v="4"/>
    <x v="0"/>
    <x v="0"/>
    <n v="10"/>
  </r>
  <r>
    <s v="ORD-00257"/>
    <d v="2020-04-23T00:00:00"/>
    <s v="CUST54277"/>
    <x v="172"/>
    <n v="53"/>
    <x v="2"/>
    <x v="1"/>
    <x v="0"/>
    <x v="0"/>
    <x v="5"/>
    <s v="Cooking Oil"/>
    <n v="10"/>
    <n v="396.88"/>
    <x v="33"/>
    <n v="3258.96"/>
    <n v="349.2"/>
    <n v="85.52"/>
    <x v="1"/>
    <n v="4"/>
    <x v="0"/>
    <x v="0"/>
    <n v="8"/>
  </r>
  <r>
    <s v="ORD-02393"/>
    <d v="2022-11-01T00:00:00"/>
    <s v="CUST36476"/>
    <x v="337"/>
    <n v="32"/>
    <x v="0"/>
    <x v="1"/>
    <x v="0"/>
    <x v="19"/>
    <x v="5"/>
    <s v="Sugar"/>
    <n v="3"/>
    <n v="391.44"/>
    <x v="4"/>
    <n v="842.74"/>
    <n v="75.650000000000006"/>
    <n v="67.459999999999994"/>
    <x v="1"/>
    <n v="5"/>
    <x v="0"/>
    <x v="0"/>
    <n v="2"/>
  </r>
  <r>
    <s v="ORD-03551"/>
    <d v="2024-03-22T00:00:00"/>
    <s v="CUST00900"/>
    <x v="58"/>
    <n v="43"/>
    <x v="1"/>
    <x v="0"/>
    <x v="1"/>
    <x v="6"/>
    <x v="2"/>
    <s v="Self-Help Book"/>
    <n v="3"/>
    <n v="520.52"/>
    <x v="23"/>
    <n v="1527.32"/>
    <n v="542.48"/>
    <n v="45.42"/>
    <x v="4"/>
    <n v="1"/>
    <x v="0"/>
    <x v="0"/>
    <n v="5"/>
  </r>
  <r>
    <s v="ORD-02243"/>
    <d v="2022-09-06T00:00:00"/>
    <s v="CUST19197"/>
    <x v="125"/>
    <n v="25"/>
    <x v="3"/>
    <x v="0"/>
    <x v="2"/>
    <x v="4"/>
    <x v="2"/>
    <s v="Self-Help Book"/>
    <n v="1"/>
    <n v="834.25"/>
    <x v="20"/>
    <n v="828.78"/>
    <n v="257.11"/>
    <n v="40.700000000000003"/>
    <x v="1"/>
    <n v="1"/>
    <x v="0"/>
    <x v="2"/>
    <n v="2"/>
  </r>
  <r>
    <s v="ORD-04175"/>
    <d v="2024-12-20T00:00:00"/>
    <s v="CUST38221"/>
    <x v="142"/>
    <n v="48"/>
    <x v="1"/>
    <x v="1"/>
    <x v="2"/>
    <x v="14"/>
    <x v="0"/>
    <s v="Lipstick"/>
    <n v="5"/>
    <n v="1283.6099999999999"/>
    <x v="21"/>
    <n v="3770.64"/>
    <n v="2025.41"/>
    <n v="50.14"/>
    <x v="3"/>
    <n v="4"/>
    <x v="0"/>
    <x v="0"/>
    <n v="8"/>
  </r>
  <r>
    <s v="ORD-01079"/>
    <d v="2021-05-03T00:00:00"/>
    <s v="CUST14896"/>
    <x v="372"/>
    <n v="27"/>
    <x v="0"/>
    <x v="2"/>
    <x v="0"/>
    <x v="0"/>
    <x v="3"/>
    <s v="Saree"/>
    <n v="4"/>
    <n v="2657.71"/>
    <x v="29"/>
    <n v="13392.95"/>
    <n v="6034.89"/>
    <n v="21.27"/>
    <x v="5"/>
    <n v="5"/>
    <x v="0"/>
    <x v="0"/>
    <n v="9"/>
  </r>
  <r>
    <s v="ORD-00155"/>
    <d v="2020-03-05T00:00:00"/>
    <s v="CUST46589"/>
    <x v="261"/>
    <n v="29"/>
    <x v="0"/>
    <x v="2"/>
    <x v="0"/>
    <x v="0"/>
    <x v="5"/>
    <s v="Tea"/>
    <n v="7"/>
    <n v="363.04"/>
    <x v="2"/>
    <n v="1919.38"/>
    <n v="104.66"/>
    <n v="54.23"/>
    <x v="1"/>
    <n v="5"/>
    <x v="0"/>
    <x v="0"/>
    <n v="5"/>
  </r>
  <r>
    <s v="ORD-02829"/>
    <d v="2023-05-15T00:00:00"/>
    <s v="CUST25805"/>
    <x v="284"/>
    <n v="36"/>
    <x v="1"/>
    <x v="0"/>
    <x v="4"/>
    <x v="17"/>
    <x v="5"/>
    <s v="Dal (1kg)"/>
    <n v="2"/>
    <n v="399.16"/>
    <x v="14"/>
    <n v="850.9"/>
    <n v="55.39"/>
    <n v="50.2"/>
    <x v="4"/>
    <n v="5"/>
    <x v="0"/>
    <x v="3"/>
    <n v="1"/>
  </r>
  <r>
    <s v="ORD-02443"/>
    <d v="2022-11-26T00:00:00"/>
    <s v="CUST14094"/>
    <x v="380"/>
    <n v="62"/>
    <x v="2"/>
    <x v="2"/>
    <x v="3"/>
    <x v="12"/>
    <x v="3"/>
    <s v="Kurta"/>
    <n v="6"/>
    <n v="2854.71"/>
    <x v="0"/>
    <n v="14003.32"/>
    <n v="2778.35"/>
    <n v="104.98"/>
    <x v="3"/>
    <n v="3"/>
    <x v="0"/>
    <x v="0"/>
    <n v="7"/>
  </r>
  <r>
    <s v="ORD-00154"/>
    <d v="2020-03-05T00:00:00"/>
    <s v="CUST48876"/>
    <x v="212"/>
    <n v="42"/>
    <x v="1"/>
    <x v="0"/>
    <x v="4"/>
    <x v="7"/>
    <x v="0"/>
    <s v="Sunscreen"/>
    <n v="6"/>
    <n v="1391.35"/>
    <x v="38"/>
    <n v="7920.74"/>
    <n v="3630.28"/>
    <n v="103.09"/>
    <x v="3"/>
    <n v="5"/>
    <x v="1"/>
    <x v="1"/>
    <n v="1"/>
  </r>
  <r>
    <s v="ORD-03429"/>
    <d v="2024-01-26T00:00:00"/>
    <s v="CUST09088"/>
    <x v="246"/>
    <n v="36"/>
    <x v="1"/>
    <x v="2"/>
    <x v="0"/>
    <x v="2"/>
    <x v="0"/>
    <s v="Sunscreen"/>
    <n v="10"/>
    <n v="1843.94"/>
    <x v="35"/>
    <n v="13547.2"/>
    <n v="6188.12"/>
    <n v="63.02"/>
    <x v="1"/>
    <n v="3"/>
    <x v="0"/>
    <x v="0"/>
    <n v="10"/>
  </r>
  <r>
    <s v="ORD-03908"/>
    <d v="2024-08-16T00:00:00"/>
    <s v="CUST32213"/>
    <x v="68"/>
    <n v="44"/>
    <x v="1"/>
    <x v="1"/>
    <x v="0"/>
    <x v="0"/>
    <x v="6"/>
    <s v="Tablet"/>
    <n v="10"/>
    <n v="70999.960000000006"/>
    <x v="6"/>
    <n v="619186.18000000005"/>
    <n v="80911.12"/>
    <n v="58.51"/>
    <x v="1"/>
    <n v="5"/>
    <x v="0"/>
    <x v="3"/>
    <n v="6"/>
  </r>
  <r>
    <s v="ORD-01433"/>
    <d v="2021-10-07T00:00:00"/>
    <s v="CUST83420"/>
    <x v="108"/>
    <n v="22"/>
    <x v="3"/>
    <x v="0"/>
    <x v="4"/>
    <x v="18"/>
    <x v="0"/>
    <s v="Lipstick"/>
    <n v="2"/>
    <n v="785.12"/>
    <x v="37"/>
    <n v="1096.54"/>
    <n v="569.29999999999995"/>
    <n v="95.2"/>
    <x v="3"/>
    <n v="4"/>
    <x v="1"/>
    <x v="1"/>
    <n v="10"/>
  </r>
  <r>
    <s v="ORD-02966"/>
    <d v="2023-07-08T00:00:00"/>
    <s v="CUST38879"/>
    <x v="360"/>
    <n v="36"/>
    <x v="1"/>
    <x v="1"/>
    <x v="2"/>
    <x v="4"/>
    <x v="3"/>
    <s v="Dress"/>
    <n v="1"/>
    <n v="1861.32"/>
    <x v="22"/>
    <n v="1580.05"/>
    <n v="590.29"/>
    <n v="55.74"/>
    <x v="4"/>
    <n v="4"/>
    <x v="0"/>
    <x v="0"/>
    <n v="1"/>
  </r>
  <r>
    <s v="ORD-01393"/>
    <d v="2021-09-20T00:00:00"/>
    <s v="CUST82169"/>
    <x v="226"/>
    <n v="54"/>
    <x v="2"/>
    <x v="1"/>
    <x v="2"/>
    <x v="9"/>
    <x v="4"/>
    <s v="Tennis Racket"/>
    <n v="1"/>
    <n v="7834.86"/>
    <x v="6"/>
    <n v="4867.16"/>
    <n v="961.37"/>
    <n v="53.04"/>
    <x v="0"/>
    <n v="1"/>
    <x v="0"/>
    <x v="0"/>
    <n v="8"/>
  </r>
  <r>
    <s v="ORD-04050"/>
    <d v="2024-10-23T00:00:00"/>
    <s v="CUST03944"/>
    <x v="166"/>
    <n v="32"/>
    <x v="0"/>
    <x v="2"/>
    <x v="3"/>
    <x v="5"/>
    <x v="6"/>
    <s v="Headphones"/>
    <n v="9"/>
    <n v="45487.77"/>
    <x v="2"/>
    <n v="355300.24"/>
    <n v="48057.8"/>
    <n v="81.010000000000005"/>
    <x v="0"/>
    <n v="5"/>
    <x v="0"/>
    <x v="0"/>
    <n v="10"/>
  </r>
  <r>
    <s v="ORD-02331"/>
    <d v="2022-09-10T00:00:00"/>
    <s v="CUST06489"/>
    <x v="187"/>
    <n v="47"/>
    <x v="1"/>
    <x v="1"/>
    <x v="4"/>
    <x v="7"/>
    <x v="1"/>
    <s v="Sofa"/>
    <n v="6"/>
    <n v="5535.62"/>
    <x v="23"/>
    <n v="20778.29"/>
    <n v="3962.34"/>
    <n v="76.760000000000005"/>
    <x v="3"/>
    <n v="3"/>
    <x v="0"/>
    <x v="0"/>
    <n v="5"/>
  </r>
  <r>
    <s v="ORD-03927"/>
    <d v="2024-08-22T00:00:00"/>
    <s v="CUST77199"/>
    <x v="346"/>
    <n v="31"/>
    <x v="0"/>
    <x v="0"/>
    <x v="1"/>
    <x v="6"/>
    <x v="3"/>
    <s v="Jeans"/>
    <n v="3"/>
    <n v="2207.16"/>
    <x v="33"/>
    <n v="7894.09"/>
    <n v="2384.5700000000002"/>
    <n v="30.61"/>
    <x v="3"/>
    <n v="3"/>
    <x v="0"/>
    <x v="0"/>
    <n v="2"/>
  </r>
  <r>
    <s v="ORD-01629"/>
    <d v="2021-12-27T00:00:00"/>
    <s v="CUST37392"/>
    <x v="266"/>
    <n v="50"/>
    <x v="1"/>
    <x v="1"/>
    <x v="0"/>
    <x v="2"/>
    <x v="0"/>
    <s v="Lipstick"/>
    <n v="9"/>
    <n v="1833.53"/>
    <x v="2"/>
    <n v="10130.450000000001"/>
    <n v="6082.08"/>
    <n v="40.130000000000003"/>
    <x v="5"/>
    <n v="1"/>
    <x v="1"/>
    <x v="1"/>
    <n v="3"/>
  </r>
  <r>
    <s v="ORD-01895"/>
    <d v="2022-04-16T00:00:00"/>
    <s v="CUST07132"/>
    <x v="7"/>
    <n v="32"/>
    <x v="0"/>
    <x v="1"/>
    <x v="1"/>
    <x v="10"/>
    <x v="5"/>
    <s v="Dal (1kg)"/>
    <n v="6"/>
    <n v="85.52"/>
    <x v="26"/>
    <n v="564.09"/>
    <n v="43.08"/>
    <n v="32.799999999999997"/>
    <x v="0"/>
    <n v="4"/>
    <x v="0"/>
    <x v="0"/>
    <n v="7"/>
  </r>
  <r>
    <s v="ORD-01406"/>
    <d v="2021-09-25T00:00:00"/>
    <s v="CUST72539"/>
    <x v="76"/>
    <n v="47"/>
    <x v="1"/>
    <x v="1"/>
    <x v="2"/>
    <x v="9"/>
    <x v="6"/>
    <s v="Laptop"/>
    <n v="8"/>
    <n v="75788.600000000006"/>
    <x v="15"/>
    <n v="518764.77"/>
    <n v="69163.47"/>
    <n v="47.81"/>
    <x v="2"/>
    <n v="2"/>
    <x v="0"/>
    <x v="0"/>
    <n v="10"/>
  </r>
  <r>
    <s v="ORD-00780"/>
    <d v="2020-12-21T00:00:00"/>
    <s v="CUST96960"/>
    <x v="333"/>
    <n v="39"/>
    <x v="1"/>
    <x v="0"/>
    <x v="4"/>
    <x v="8"/>
    <x v="1"/>
    <s v="Wardrobe"/>
    <n v="2"/>
    <n v="10151.9"/>
    <x v="11"/>
    <n v="11388.89"/>
    <n v="2489.06"/>
    <n v="77"/>
    <x v="1"/>
    <n v="5"/>
    <x v="1"/>
    <x v="1"/>
    <n v="5"/>
  </r>
  <r>
    <s v="ORD-03581"/>
    <d v="2024-04-05T00:00:00"/>
    <s v="CUST67732"/>
    <x v="210"/>
    <n v="32"/>
    <x v="0"/>
    <x v="0"/>
    <x v="1"/>
    <x v="6"/>
    <x v="0"/>
    <s v="Perfume"/>
    <n v="5"/>
    <n v="1353.73"/>
    <x v="14"/>
    <n v="6179.59"/>
    <n v="3104.88"/>
    <n v="47.49"/>
    <x v="2"/>
    <n v="1"/>
    <x v="0"/>
    <x v="0"/>
    <n v="6"/>
  </r>
  <r>
    <s v="ORD-02763"/>
    <d v="2023-04-10T00:00:00"/>
    <s v="CUST85402"/>
    <x v="99"/>
    <n v="32"/>
    <x v="0"/>
    <x v="0"/>
    <x v="4"/>
    <x v="8"/>
    <x v="6"/>
    <s v="Laptop"/>
    <n v="5"/>
    <n v="79827.98"/>
    <x v="12"/>
    <n v="418460.95"/>
    <n v="34788.35"/>
    <n v="73.92"/>
    <x v="2"/>
    <n v="2"/>
    <x v="0"/>
    <x v="0"/>
    <n v="2"/>
  </r>
  <r>
    <s v="ORD-00977"/>
    <d v="2021-03-20T00:00:00"/>
    <s v="CUST76218"/>
    <x v="146"/>
    <n v="41"/>
    <x v="1"/>
    <x v="2"/>
    <x v="0"/>
    <x v="1"/>
    <x v="4"/>
    <s v="Cricket Bat"/>
    <n v="5"/>
    <n v="12410.73"/>
    <x v="21"/>
    <n v="40821.89"/>
    <n v="12307.83"/>
    <n v="65.83"/>
    <x v="4"/>
    <n v="1"/>
    <x v="0"/>
    <x v="0"/>
    <n v="2"/>
  </r>
  <r>
    <s v="ORD-02887"/>
    <d v="2023-06-04T00:00:00"/>
    <s v="CUST19802"/>
    <x v="361"/>
    <n v="32"/>
    <x v="0"/>
    <x v="0"/>
    <x v="3"/>
    <x v="5"/>
    <x v="2"/>
    <s v="Cook Book"/>
    <n v="2"/>
    <n v="200.96"/>
    <x v="15"/>
    <n v="458.12"/>
    <n v="104.93"/>
    <n v="75.89"/>
    <x v="3"/>
    <n v="1"/>
    <x v="1"/>
    <x v="1"/>
    <n v="4"/>
  </r>
  <r>
    <s v="ORD-01400"/>
    <d v="2021-09-24T00:00:00"/>
    <s v="CUST47772"/>
    <x v="144"/>
    <n v="43"/>
    <x v="1"/>
    <x v="0"/>
    <x v="0"/>
    <x v="2"/>
    <x v="1"/>
    <s v="Wardrobe"/>
    <n v="2"/>
    <n v="2701.39"/>
    <x v="30"/>
    <n v="4179.32"/>
    <n v="933.32"/>
    <n v="79.239999999999995"/>
    <x v="3"/>
    <n v="5"/>
    <x v="0"/>
    <x v="2"/>
    <n v="2"/>
  </r>
  <r>
    <s v="ORD-00175"/>
    <d v="2020-03-18T00:00:00"/>
    <s v="CUST47786"/>
    <x v="240"/>
    <n v="35"/>
    <x v="0"/>
    <x v="0"/>
    <x v="0"/>
    <x v="2"/>
    <x v="0"/>
    <s v="Lipstick"/>
    <n v="9"/>
    <n v="2028.03"/>
    <x v="9"/>
    <n v="15078.05"/>
    <n v="8126.73"/>
    <n v="55.01"/>
    <x v="5"/>
    <n v="4"/>
    <x v="0"/>
    <x v="0"/>
    <n v="9"/>
  </r>
  <r>
    <s v="ORD-00002"/>
    <d v="2020-01-01T00:00:00"/>
    <s v="CUST51802"/>
    <x v="144"/>
    <n v="29"/>
    <x v="0"/>
    <x v="0"/>
    <x v="0"/>
    <x v="19"/>
    <x v="3"/>
    <s v="Jeans"/>
    <n v="4"/>
    <n v="2870.76"/>
    <x v="0"/>
    <n v="7950.72"/>
    <n v="2135.16"/>
    <n v="55.33"/>
    <x v="4"/>
    <n v="3"/>
    <x v="0"/>
    <x v="2"/>
    <n v="1"/>
  </r>
  <r>
    <s v="ORD-04135"/>
    <d v="2024-12-02T00:00:00"/>
    <s v="CUST23239"/>
    <x v="121"/>
    <n v="53"/>
    <x v="2"/>
    <x v="0"/>
    <x v="2"/>
    <x v="9"/>
    <x v="3"/>
    <s v="Kurta"/>
    <n v="9"/>
    <n v="3206.85"/>
    <x v="21"/>
    <n v="16832.810000000001"/>
    <n v="7356.75"/>
    <n v="78.400000000000006"/>
    <x v="1"/>
    <n v="2"/>
    <x v="0"/>
    <x v="0"/>
    <n v="9"/>
  </r>
  <r>
    <s v="ORD-02590"/>
    <d v="2023-01-31T00:00:00"/>
    <s v="CUST47612"/>
    <x v="309"/>
    <n v="25"/>
    <x v="3"/>
    <x v="1"/>
    <x v="4"/>
    <x v="7"/>
    <x v="5"/>
    <s v="Rice (5kg)"/>
    <n v="8"/>
    <n v="100.16"/>
    <x v="6"/>
    <n v="487.77"/>
    <n v="30.28"/>
    <n v="43.77"/>
    <x v="3"/>
    <n v="3"/>
    <x v="0"/>
    <x v="0"/>
    <n v="8"/>
  </r>
  <r>
    <s v="ORD-01899"/>
    <d v="2022-04-17T00:00:00"/>
    <s v="CUST81485"/>
    <x v="232"/>
    <n v="18"/>
    <x v="3"/>
    <x v="1"/>
    <x v="0"/>
    <x v="1"/>
    <x v="1"/>
    <s v="Bookshelf"/>
    <n v="5"/>
    <n v="15688.53"/>
    <x v="13"/>
    <n v="85481.83"/>
    <n v="16735.14"/>
    <n v="49.69"/>
    <x v="3"/>
    <n v="4"/>
    <x v="0"/>
    <x v="0"/>
    <n v="10"/>
  </r>
  <r>
    <s v="ORD-02691"/>
    <d v="2023-03-13T00:00:00"/>
    <s v="CUST42275"/>
    <x v="6"/>
    <n v="21"/>
    <x v="3"/>
    <x v="2"/>
    <x v="4"/>
    <x v="18"/>
    <x v="6"/>
    <s v="Smartwatch"/>
    <n v="2"/>
    <n v="76616.83"/>
    <x v="39"/>
    <n v="186369.89"/>
    <n v="20529.28"/>
    <n v="55.12"/>
    <x v="4"/>
    <n v="4"/>
    <x v="0"/>
    <x v="0"/>
    <n v="5"/>
  </r>
  <r>
    <s v="ORD-03337"/>
    <d v="2023-12-14T00:00:00"/>
    <s v="CUST12631"/>
    <x v="107"/>
    <n v="26"/>
    <x v="0"/>
    <x v="1"/>
    <x v="0"/>
    <x v="19"/>
    <x v="3"/>
    <s v="T-Shirt"/>
    <n v="9"/>
    <n v="3755.73"/>
    <x v="38"/>
    <n v="27923.07"/>
    <n v="12762.99"/>
    <n v="89.92"/>
    <x v="0"/>
    <n v="1"/>
    <x v="0"/>
    <x v="0"/>
    <n v="3"/>
  </r>
  <r>
    <s v="ORD-00996"/>
    <d v="2021-03-29T00:00:00"/>
    <s v="CUST03526"/>
    <x v="47"/>
    <n v="28"/>
    <x v="0"/>
    <x v="0"/>
    <x v="3"/>
    <x v="5"/>
    <x v="3"/>
    <s v="Jeans"/>
    <n v="2"/>
    <n v="2973.25"/>
    <x v="31"/>
    <n v="5032.59"/>
    <n v="2113.6999999999998"/>
    <n v="62.75"/>
    <x v="4"/>
    <n v="1"/>
    <x v="1"/>
    <x v="1"/>
    <n v="8"/>
  </r>
  <r>
    <s v="ORD-02783"/>
    <d v="2023-04-20T00:00:00"/>
    <s v="CUST75727"/>
    <x v="360"/>
    <n v="45"/>
    <x v="1"/>
    <x v="2"/>
    <x v="0"/>
    <x v="2"/>
    <x v="4"/>
    <s v="Yoga Mat"/>
    <n v="3"/>
    <n v="9606.06"/>
    <x v="23"/>
    <n v="22984.85"/>
    <n v="4327.42"/>
    <n v="50.91"/>
    <x v="5"/>
    <n v="5"/>
    <x v="0"/>
    <x v="0"/>
    <n v="4"/>
  </r>
  <r>
    <s v="ORD-02049"/>
    <d v="2022-06-21T00:00:00"/>
    <s v="CUST42115"/>
    <x v="281"/>
    <n v="55"/>
    <x v="2"/>
    <x v="2"/>
    <x v="2"/>
    <x v="9"/>
    <x v="0"/>
    <s v="Sunscreen"/>
    <n v="7"/>
    <n v="2037.82"/>
    <x v="4"/>
    <n v="21578.84"/>
    <n v="9156.6"/>
    <n v="69.790000000000006"/>
    <x v="3"/>
    <n v="3"/>
    <x v="0"/>
    <x v="3"/>
    <n v="8"/>
  </r>
  <r>
    <s v="ORD-00410"/>
    <d v="2020-06-29T00:00:00"/>
    <s v="CUST64583"/>
    <x v="107"/>
    <n v="44"/>
    <x v="1"/>
    <x v="0"/>
    <x v="4"/>
    <x v="7"/>
    <x v="3"/>
    <s v="Dress"/>
    <n v="10"/>
    <n v="1705.06"/>
    <x v="37"/>
    <n v="16597.509999999998"/>
    <n v="4467.97"/>
    <n v="63.43"/>
    <x v="0"/>
    <n v="1"/>
    <x v="1"/>
    <x v="1"/>
    <n v="10"/>
  </r>
  <r>
    <s v="ORD-00804"/>
    <d v="2020-12-31T00:00:00"/>
    <s v="CUST33294"/>
    <x v="316"/>
    <n v="27"/>
    <x v="0"/>
    <x v="1"/>
    <x v="1"/>
    <x v="3"/>
    <x v="1"/>
    <s v="Bookshelf"/>
    <n v="8"/>
    <n v="9942.4500000000007"/>
    <x v="13"/>
    <n v="60313.96"/>
    <n v="18873.68"/>
    <n v="68.3"/>
    <x v="5"/>
    <n v="5"/>
    <x v="0"/>
    <x v="2"/>
    <n v="4"/>
  </r>
  <r>
    <s v="ORD-01545"/>
    <d v="2021-11-23T00:00:00"/>
    <s v="CUST15680"/>
    <x v="94"/>
    <n v="33"/>
    <x v="0"/>
    <x v="0"/>
    <x v="1"/>
    <x v="11"/>
    <x v="5"/>
    <s v="Dal (1kg)"/>
    <n v="7"/>
    <n v="307.63"/>
    <x v="30"/>
    <n v="1086.05"/>
    <n v="55.5"/>
    <n v="33.159999999999997"/>
    <x v="1"/>
    <n v="4"/>
    <x v="0"/>
    <x v="0"/>
    <n v="1"/>
  </r>
  <r>
    <s v="ORD-03516"/>
    <d v="2024-03-09T00:00:00"/>
    <s v="CUST15414"/>
    <x v="115"/>
    <n v="42"/>
    <x v="1"/>
    <x v="2"/>
    <x v="1"/>
    <x v="10"/>
    <x v="1"/>
    <s v="Bookshelf"/>
    <n v="9"/>
    <n v="17413.689999999999"/>
    <x v="28"/>
    <n v="193913.96"/>
    <n v="54048.53"/>
    <n v="50.26"/>
    <x v="4"/>
    <n v="2"/>
    <x v="0"/>
    <x v="0"/>
    <n v="1"/>
  </r>
  <r>
    <s v="ORD-01587"/>
    <d v="2021-12-10T00:00:00"/>
    <s v="CUST32752"/>
    <x v="325"/>
    <n v="44"/>
    <x v="1"/>
    <x v="0"/>
    <x v="2"/>
    <x v="4"/>
    <x v="6"/>
    <s v="Camera"/>
    <n v="5"/>
    <n v="11301.06"/>
    <x v="15"/>
    <n v="34158.03"/>
    <n v="4246.6000000000004"/>
    <n v="53.85"/>
    <x v="3"/>
    <n v="3"/>
    <x v="0"/>
    <x v="4"/>
    <n v="6"/>
  </r>
  <r>
    <s v="ORD-02475"/>
    <d v="2022-12-10T00:00:00"/>
    <s v="CUST99227"/>
    <x v="368"/>
    <n v="54"/>
    <x v="2"/>
    <x v="1"/>
    <x v="2"/>
    <x v="14"/>
    <x v="5"/>
    <s v="Cooking Oil"/>
    <n v="3"/>
    <n v="448.85"/>
    <x v="4"/>
    <n v="1000.55"/>
    <n v="81.62"/>
    <n v="54.31"/>
    <x v="3"/>
    <n v="2"/>
    <x v="0"/>
    <x v="2"/>
    <n v="2"/>
  </r>
  <r>
    <s v="ORD-02216"/>
    <d v="2022-08-25T00:00:00"/>
    <s v="CUST38823"/>
    <x v="242"/>
    <n v="35"/>
    <x v="0"/>
    <x v="2"/>
    <x v="2"/>
    <x v="4"/>
    <x v="6"/>
    <s v="Tablet"/>
    <n v="7"/>
    <n v="62975.42"/>
    <x v="3"/>
    <n v="468129.68"/>
    <n v="79235.509999999995"/>
    <n v="49.03"/>
    <x v="1"/>
    <n v="2"/>
    <x v="1"/>
    <x v="1"/>
    <n v="9"/>
  </r>
  <r>
    <s v="ORD-02081"/>
    <d v="2022-07-06T00:00:00"/>
    <s v="CUST66488"/>
    <x v="144"/>
    <n v="27"/>
    <x v="0"/>
    <x v="2"/>
    <x v="4"/>
    <x v="18"/>
    <x v="0"/>
    <s v="Perfume"/>
    <n v="9"/>
    <n v="1127.06"/>
    <x v="22"/>
    <n v="9829.11"/>
    <n v="4003.53"/>
    <n v="54.43"/>
    <x v="1"/>
    <n v="5"/>
    <x v="0"/>
    <x v="0"/>
    <n v="5"/>
  </r>
  <r>
    <s v="ORD-02161"/>
    <d v="2022-08-05T00:00:00"/>
    <s v="CUST39402"/>
    <x v="3"/>
    <n v="38"/>
    <x v="1"/>
    <x v="1"/>
    <x v="4"/>
    <x v="18"/>
    <x v="1"/>
    <s v="Sofa"/>
    <n v="5"/>
    <n v="17880.95"/>
    <x v="13"/>
    <n v="116528.23"/>
    <n v="33231.599999999999"/>
    <n v="47.07"/>
    <x v="5"/>
    <n v="1"/>
    <x v="0"/>
    <x v="4"/>
    <n v="2"/>
  </r>
  <r>
    <s v="ORD-02209"/>
    <d v="2022-08-21T00:00:00"/>
    <s v="CUST97691"/>
    <x v="381"/>
    <n v="44"/>
    <x v="1"/>
    <x v="2"/>
    <x v="4"/>
    <x v="17"/>
    <x v="2"/>
    <s v="Comic Book"/>
    <n v="2"/>
    <n v="1390.9"/>
    <x v="17"/>
    <n v="2194.06"/>
    <n v="741.62"/>
    <n v="68.5"/>
    <x v="3"/>
    <n v="2"/>
    <x v="0"/>
    <x v="0"/>
    <n v="8"/>
  </r>
  <r>
    <s v="ORD-03815"/>
    <d v="2024-07-18T00:00:00"/>
    <s v="CUST41610"/>
    <x v="173"/>
    <n v="28"/>
    <x v="0"/>
    <x v="0"/>
    <x v="0"/>
    <x v="0"/>
    <x v="1"/>
    <s v="Desk"/>
    <n v="9"/>
    <n v="10925.91"/>
    <x v="30"/>
    <n v="95157.91"/>
    <n v="21495.8"/>
    <n v="38.47"/>
    <x v="5"/>
    <n v="4"/>
    <x v="0"/>
    <x v="0"/>
    <n v="9"/>
  </r>
  <r>
    <s v="ORD-00256"/>
    <d v="2020-04-22T00:00:00"/>
    <s v="CUST86402"/>
    <x v="382"/>
    <n v="18"/>
    <x v="3"/>
    <x v="0"/>
    <x v="1"/>
    <x v="3"/>
    <x v="5"/>
    <s v="Tea"/>
    <n v="7"/>
    <n v="224.96"/>
    <x v="3"/>
    <n v="1195.3"/>
    <n v="91.79"/>
    <n v="52.6"/>
    <x v="3"/>
    <n v="2"/>
    <x v="0"/>
    <x v="0"/>
    <n v="8"/>
  </r>
  <r>
    <s v="ORD-04054"/>
    <d v="2024-10-25T00:00:00"/>
    <s v="CUST37273"/>
    <x v="0"/>
    <n v="69"/>
    <x v="2"/>
    <x v="1"/>
    <x v="0"/>
    <x v="0"/>
    <x v="5"/>
    <s v="Sugar"/>
    <n v="4"/>
    <n v="226.36"/>
    <x v="23"/>
    <n v="801.8"/>
    <n v="89.81"/>
    <n v="59.7"/>
    <x v="0"/>
    <n v="2"/>
    <x v="0"/>
    <x v="3"/>
    <n v="5"/>
  </r>
  <r>
    <s v="ORD-02337"/>
    <d v="2022-10-10T00:00:00"/>
    <s v="CUST50406"/>
    <x v="235"/>
    <n v="21"/>
    <x v="3"/>
    <x v="0"/>
    <x v="0"/>
    <x v="2"/>
    <x v="6"/>
    <s v="Smartwatch"/>
    <n v="6"/>
    <n v="78971.02"/>
    <x v="3"/>
    <n v="377676.65"/>
    <n v="38339.769999999997"/>
    <n v="61.31"/>
    <x v="1"/>
    <n v="3"/>
    <x v="0"/>
    <x v="3"/>
    <n v="9"/>
  </r>
  <r>
    <s v="ORD-00704"/>
    <d v="2020-11-15T00:00:00"/>
    <s v="CUST63229"/>
    <x v="32"/>
    <n v="26"/>
    <x v="0"/>
    <x v="2"/>
    <x v="0"/>
    <x v="2"/>
    <x v="5"/>
    <s v="Dal (1kg)"/>
    <n v="8"/>
    <n v="52.56"/>
    <x v="6"/>
    <n v="225.58"/>
    <n v="17.940000000000001"/>
    <n v="62.46"/>
    <x v="0"/>
    <n v="5"/>
    <x v="1"/>
    <x v="1"/>
    <n v="1"/>
  </r>
  <r>
    <s v="ORD-02869"/>
    <d v="2023-05-31T00:00:00"/>
    <s v="CUST19907"/>
    <x v="147"/>
    <n v="30"/>
    <x v="0"/>
    <x v="0"/>
    <x v="0"/>
    <x v="1"/>
    <x v="0"/>
    <s v="Hair Oil"/>
    <n v="10"/>
    <n v="1573.67"/>
    <x v="37"/>
    <n v="18377.46"/>
    <n v="7519.84"/>
    <n v="64.77"/>
    <x v="2"/>
    <n v="5"/>
    <x v="0"/>
    <x v="0"/>
    <n v="7"/>
  </r>
  <r>
    <s v="ORD-01871"/>
    <d v="2022-04-05T00:00:00"/>
    <s v="CUST74013"/>
    <x v="367"/>
    <n v="41"/>
    <x v="1"/>
    <x v="2"/>
    <x v="2"/>
    <x v="9"/>
    <x v="6"/>
    <s v="Headphones"/>
    <n v="2"/>
    <n v="17140.580000000002"/>
    <x v="22"/>
    <n v="30862.38"/>
    <n v="4123.18"/>
    <n v="34.79"/>
    <x v="0"/>
    <n v="2"/>
    <x v="0"/>
    <x v="0"/>
    <n v="5"/>
  </r>
  <r>
    <s v="ORD-02664"/>
    <d v="2023-02-27T00:00:00"/>
    <s v="CUST91653"/>
    <x v="316"/>
    <n v="42"/>
    <x v="1"/>
    <x v="0"/>
    <x v="0"/>
    <x v="19"/>
    <x v="6"/>
    <s v="Smartwatch"/>
    <n v="8"/>
    <n v="63840.88"/>
    <x v="10"/>
    <n v="376670.08"/>
    <n v="52527.72"/>
    <n v="64.650000000000006"/>
    <x v="4"/>
    <n v="4"/>
    <x v="0"/>
    <x v="0"/>
    <n v="8"/>
  </r>
  <r>
    <s v="ORD-00532"/>
    <d v="2020-08-23T00:00:00"/>
    <s v="CUST60381"/>
    <x v="383"/>
    <n v="41"/>
    <x v="1"/>
    <x v="0"/>
    <x v="2"/>
    <x v="13"/>
    <x v="2"/>
    <s v="Biography"/>
    <n v="10"/>
    <n v="788.79"/>
    <x v="1"/>
    <n v="7024.12"/>
    <n v="3794.94"/>
    <n v="48.05"/>
    <x v="5"/>
    <n v="2"/>
    <x v="0"/>
    <x v="0"/>
    <n v="9"/>
  </r>
  <r>
    <s v="ORD-03582"/>
    <d v="2024-04-05T00:00:00"/>
    <s v="CUST09968"/>
    <x v="87"/>
    <n v="51"/>
    <x v="2"/>
    <x v="0"/>
    <x v="3"/>
    <x v="15"/>
    <x v="6"/>
    <s v="Headphones"/>
    <n v="3"/>
    <n v="15320.14"/>
    <x v="1"/>
    <n v="58711.83"/>
    <n v="5168.1000000000004"/>
    <n v="65.67"/>
    <x v="2"/>
    <n v="4"/>
    <x v="0"/>
    <x v="0"/>
    <n v="5"/>
  </r>
  <r>
    <s v="ORD-00247"/>
    <d v="2020-04-18T00:00:00"/>
    <s v="CUST50948"/>
    <x v="257"/>
    <n v="31"/>
    <x v="0"/>
    <x v="1"/>
    <x v="2"/>
    <x v="4"/>
    <x v="4"/>
    <s v="Cricket Bat"/>
    <n v="2"/>
    <n v="10120.93"/>
    <x v="25"/>
    <n v="14109.98"/>
    <n v="2053.92"/>
    <n v="26.6"/>
    <x v="1"/>
    <n v="1"/>
    <x v="0"/>
    <x v="0"/>
    <n v="9"/>
  </r>
  <r>
    <s v="ORD-01777"/>
    <d v="2022-02-27T00:00:00"/>
    <s v="CUST89073"/>
    <x v="126"/>
    <n v="26"/>
    <x v="0"/>
    <x v="2"/>
    <x v="4"/>
    <x v="8"/>
    <x v="3"/>
    <s v="Kurta"/>
    <n v="7"/>
    <n v="3036.93"/>
    <x v="27"/>
    <n v="15791.37"/>
    <n v="5788.85"/>
    <n v="87.14"/>
    <x v="5"/>
    <n v="1"/>
    <x v="0"/>
    <x v="0"/>
    <n v="10"/>
  </r>
  <r>
    <s v="ORD-00103"/>
    <d v="2020-02-09T00:00:00"/>
    <s v="CUST60692"/>
    <x v="132"/>
    <n v="38"/>
    <x v="1"/>
    <x v="1"/>
    <x v="0"/>
    <x v="19"/>
    <x v="6"/>
    <s v="Laptop"/>
    <n v="5"/>
    <n v="79820.399999999994"/>
    <x v="40"/>
    <n v="221917.54"/>
    <n v="22317.55"/>
    <n v="38.44"/>
    <x v="5"/>
    <n v="1"/>
    <x v="0"/>
    <x v="4"/>
    <n v="8"/>
  </r>
  <r>
    <s v="ORD-00070"/>
    <d v="2020-01-27T00:00:00"/>
    <s v="CUST26658"/>
    <x v="142"/>
    <n v="19"/>
    <x v="3"/>
    <x v="1"/>
    <x v="4"/>
    <x v="17"/>
    <x v="6"/>
    <s v="Camera"/>
    <n v="4"/>
    <n v="17422.66"/>
    <x v="16"/>
    <n v="52626.5"/>
    <n v="6738.52"/>
    <n v="87.09"/>
    <x v="1"/>
    <n v="2"/>
    <x v="1"/>
    <x v="1"/>
    <n v="2"/>
  </r>
  <r>
    <s v="ORD-00389"/>
    <d v="2020-06-14T00:00:00"/>
    <s v="CUST75682"/>
    <x v="206"/>
    <n v="36"/>
    <x v="1"/>
    <x v="0"/>
    <x v="0"/>
    <x v="19"/>
    <x v="4"/>
    <s v="Tennis Racket"/>
    <n v="4"/>
    <n v="3136.59"/>
    <x v="9"/>
    <n v="14497.79"/>
    <n v="2492.75"/>
    <n v="79.400000000000006"/>
    <x v="1"/>
    <n v="2"/>
    <x v="1"/>
    <x v="1"/>
    <n v="6"/>
  </r>
  <r>
    <s v="ORD-04011"/>
    <d v="2024-09-29T00:00:00"/>
    <s v="CUST75729"/>
    <x v="175"/>
    <n v="31"/>
    <x v="0"/>
    <x v="1"/>
    <x v="1"/>
    <x v="3"/>
    <x v="6"/>
    <s v="Tablet"/>
    <n v="8"/>
    <n v="31909.439999999999"/>
    <x v="3"/>
    <n v="265931.19"/>
    <n v="40509.78"/>
    <n v="54.88"/>
    <x v="4"/>
    <n v="4"/>
    <x v="0"/>
    <x v="0"/>
    <n v="6"/>
  </r>
  <r>
    <s v="ORD-02415"/>
    <d v="2022-11-09T00:00:00"/>
    <s v="CUST74245"/>
    <x v="86"/>
    <n v="37"/>
    <x v="1"/>
    <x v="2"/>
    <x v="0"/>
    <x v="1"/>
    <x v="5"/>
    <s v="Cooking Oil"/>
    <n v="9"/>
    <n v="389.41"/>
    <x v="4"/>
    <n v="2847.85"/>
    <n v="272.2"/>
    <n v="66.430000000000007"/>
    <x v="1"/>
    <n v="5"/>
    <x v="0"/>
    <x v="0"/>
    <n v="1"/>
  </r>
  <r>
    <s v="ORD-01885"/>
    <d v="2022-04-12T00:00:00"/>
    <s v="CUST27246"/>
    <x v="296"/>
    <n v="39"/>
    <x v="1"/>
    <x v="2"/>
    <x v="4"/>
    <x v="7"/>
    <x v="2"/>
    <s v="Self-Help Book"/>
    <n v="10"/>
    <n v="231.25"/>
    <x v="23"/>
    <n v="2387.56"/>
    <n v="908.86"/>
    <n v="50.77"/>
    <x v="2"/>
    <n v="1"/>
    <x v="0"/>
    <x v="4"/>
    <n v="5"/>
  </r>
  <r>
    <s v="ORD-03606"/>
    <d v="2024-04-19T00:00:00"/>
    <s v="CUST74320"/>
    <x v="190"/>
    <n v="26"/>
    <x v="0"/>
    <x v="2"/>
    <x v="4"/>
    <x v="17"/>
    <x v="0"/>
    <s v="Perfume"/>
    <n v="9"/>
    <n v="1545.52"/>
    <x v="36"/>
    <n v="17885.64"/>
    <n v="11381.04"/>
    <n v="81"/>
    <x v="1"/>
    <n v="1"/>
    <x v="0"/>
    <x v="3"/>
    <n v="9"/>
  </r>
  <r>
    <s v="ORD-00748"/>
    <d v="2020-12-06T00:00:00"/>
    <s v="CUST08513"/>
    <x v="321"/>
    <n v="31"/>
    <x v="0"/>
    <x v="2"/>
    <x v="4"/>
    <x v="18"/>
    <x v="0"/>
    <s v="Shampoo"/>
    <n v="9"/>
    <n v="1896.41"/>
    <x v="5"/>
    <n v="12286.54"/>
    <n v="5443.3"/>
    <n v="40.44"/>
    <x v="4"/>
    <n v="2"/>
    <x v="0"/>
    <x v="0"/>
    <n v="2"/>
  </r>
  <r>
    <s v="ORD-03171"/>
    <d v="2023-04-10T00:00:00"/>
    <s v="CUST77683"/>
    <x v="196"/>
    <n v="24"/>
    <x v="3"/>
    <x v="1"/>
    <x v="0"/>
    <x v="0"/>
    <x v="4"/>
    <s v="Tennis Racket"/>
    <n v="3"/>
    <n v="8534.5"/>
    <x v="14"/>
    <n v="18094.21"/>
    <n v="4596.01"/>
    <n v="55.57"/>
    <x v="2"/>
    <n v="4"/>
    <x v="0"/>
    <x v="0"/>
    <n v="4"/>
  </r>
  <r>
    <s v="ORD-02291"/>
    <d v="2022-09-21T00:00:00"/>
    <s v="CUST86351"/>
    <x v="331"/>
    <n v="54"/>
    <x v="2"/>
    <x v="2"/>
    <x v="1"/>
    <x v="11"/>
    <x v="2"/>
    <s v="Fiction Novel"/>
    <n v="2"/>
    <n v="1340.31"/>
    <x v="13"/>
    <n v="2902.07"/>
    <n v="1116.1600000000001"/>
    <n v="67.16"/>
    <x v="1"/>
    <n v="4"/>
    <x v="0"/>
    <x v="4"/>
    <n v="7"/>
  </r>
  <r>
    <s v="ORD-02137"/>
    <d v="2022-07-27T00:00:00"/>
    <s v="CUST01916"/>
    <x v="11"/>
    <n v="37"/>
    <x v="1"/>
    <x v="2"/>
    <x v="1"/>
    <x v="10"/>
    <x v="1"/>
    <s v="Desk"/>
    <n v="8"/>
    <n v="31076.19"/>
    <x v="21"/>
    <n v="234872.45"/>
    <n v="66519.22"/>
    <n v="47.98"/>
    <x v="5"/>
    <n v="2"/>
    <x v="0"/>
    <x v="0"/>
    <n v="6"/>
  </r>
  <r>
    <s v="ORD-01730"/>
    <d v="2022-02-08T00:00:00"/>
    <s v="CUST08530"/>
    <x v="101"/>
    <n v="38"/>
    <x v="1"/>
    <x v="0"/>
    <x v="4"/>
    <x v="8"/>
    <x v="4"/>
    <s v="Cycle"/>
    <n v="1"/>
    <n v="11257.57"/>
    <x v="36"/>
    <n v="9056.57"/>
    <n v="2063.37"/>
    <n v="75.319999999999993"/>
    <x v="3"/>
    <n v="5"/>
    <x v="0"/>
    <x v="0"/>
    <n v="1"/>
  </r>
  <r>
    <s v="ORD-03602"/>
    <d v="2024-04-16T00:00:00"/>
    <s v="CUST90978"/>
    <x v="32"/>
    <n v="45"/>
    <x v="1"/>
    <x v="0"/>
    <x v="1"/>
    <x v="10"/>
    <x v="1"/>
    <s v="Desk"/>
    <n v="4"/>
    <n v="28347.279999999999"/>
    <x v="13"/>
    <n v="180991"/>
    <n v="31963.08"/>
    <n v="74.83"/>
    <x v="2"/>
    <n v="5"/>
    <x v="0"/>
    <x v="0"/>
    <n v="4"/>
  </r>
  <r>
    <s v="ORD-00228"/>
    <d v="2020-04-09T00:00:00"/>
    <s v="CUST20422"/>
    <x v="162"/>
    <n v="47"/>
    <x v="1"/>
    <x v="2"/>
    <x v="3"/>
    <x v="12"/>
    <x v="3"/>
    <s v="Jacket"/>
    <n v="4"/>
    <n v="657.77"/>
    <x v="13"/>
    <n v="3207.24"/>
    <n v="961.26"/>
    <n v="83.48"/>
    <x v="3"/>
    <n v="3"/>
    <x v="0"/>
    <x v="0"/>
    <n v="9"/>
  </r>
  <r>
    <s v="ORD-01036"/>
    <d v="2021-04-14T00:00:00"/>
    <s v="CUST48956"/>
    <x v="218"/>
    <n v="39"/>
    <x v="1"/>
    <x v="0"/>
    <x v="4"/>
    <x v="18"/>
    <x v="0"/>
    <s v="Face Cream"/>
    <n v="5"/>
    <n v="2059.98"/>
    <x v="4"/>
    <n v="12556.26"/>
    <n v="8037.6"/>
    <n v="70.48"/>
    <x v="4"/>
    <n v="2"/>
    <x v="1"/>
    <x v="1"/>
    <n v="8"/>
  </r>
  <r>
    <s v="ORD-01194"/>
    <d v="2021-06-21T00:00:00"/>
    <s v="CUST42289"/>
    <x v="210"/>
    <n v="19"/>
    <x v="3"/>
    <x v="2"/>
    <x v="1"/>
    <x v="3"/>
    <x v="5"/>
    <s v="Flour"/>
    <n v="6"/>
    <n v="428.86"/>
    <x v="14"/>
    <n v="2486.44"/>
    <n v="163.61000000000001"/>
    <n v="58.49"/>
    <x v="5"/>
    <n v="4"/>
    <x v="0"/>
    <x v="0"/>
    <n v="9"/>
  </r>
  <r>
    <s v="ORD-01096"/>
    <d v="2021-05-09T00:00:00"/>
    <s v="CUST64848"/>
    <x v="223"/>
    <n v="20"/>
    <x v="3"/>
    <x v="2"/>
    <x v="2"/>
    <x v="13"/>
    <x v="1"/>
    <s v="Bed Frame"/>
    <n v="7"/>
    <n v="29131.43"/>
    <x v="25"/>
    <n v="181240.28"/>
    <n v="48821.49"/>
    <n v="47.3"/>
    <x v="3"/>
    <n v="3"/>
    <x v="0"/>
    <x v="3"/>
    <n v="8"/>
  </r>
  <r>
    <s v="ORD-01984"/>
    <d v="2022-05-26T00:00:00"/>
    <s v="CUST04061"/>
    <x v="153"/>
    <n v="31"/>
    <x v="0"/>
    <x v="2"/>
    <x v="0"/>
    <x v="0"/>
    <x v="3"/>
    <s v="Kurta"/>
    <n v="10"/>
    <n v="1278.8800000000001"/>
    <x v="33"/>
    <n v="17829.400000000001"/>
    <n v="6153.63"/>
    <n v="43.3"/>
    <x v="3"/>
    <n v="3"/>
    <x v="0"/>
    <x v="0"/>
    <n v="8"/>
  </r>
  <r>
    <s v="ORD-01365"/>
    <d v="2021-09-06T00:00:00"/>
    <s v="CUST34491"/>
    <x v="363"/>
    <n v="51"/>
    <x v="2"/>
    <x v="1"/>
    <x v="0"/>
    <x v="1"/>
    <x v="2"/>
    <s v="Textbook"/>
    <n v="5"/>
    <n v="1499.28"/>
    <x v="13"/>
    <n v="8327.23"/>
    <n v="4182.3100000000004"/>
    <n v="74.08"/>
    <x v="5"/>
    <n v="3"/>
    <x v="0"/>
    <x v="0"/>
    <n v="1"/>
  </r>
  <r>
    <s v="ORD-02190"/>
    <d v="2022-08-14T00:00:00"/>
    <s v="CUST31810"/>
    <x v="189"/>
    <n v="48"/>
    <x v="1"/>
    <x v="1"/>
    <x v="0"/>
    <x v="1"/>
    <x v="5"/>
    <s v="Rice (5kg)"/>
    <n v="2"/>
    <n v="179.94"/>
    <x v="40"/>
    <n v="272.5"/>
    <n v="14.86"/>
    <n v="56.43"/>
    <x v="1"/>
    <n v="1"/>
    <x v="0"/>
    <x v="3"/>
    <n v="3"/>
  </r>
  <r>
    <s v="ORD-01466"/>
    <d v="2021-10-23T00:00:00"/>
    <s v="CUST22468"/>
    <x v="132"/>
    <n v="68"/>
    <x v="2"/>
    <x v="2"/>
    <x v="3"/>
    <x v="15"/>
    <x v="5"/>
    <s v="Flour"/>
    <n v="4"/>
    <n v="103.01"/>
    <x v="17"/>
    <n v="239.3"/>
    <n v="22.6"/>
    <n v="78.91"/>
    <x v="2"/>
    <n v="1"/>
    <x v="1"/>
    <x v="1"/>
    <n v="4"/>
  </r>
  <r>
    <s v="ORD-04178"/>
    <d v="2024-12-22T00:00:00"/>
    <s v="CUST11016"/>
    <x v="68"/>
    <n v="53"/>
    <x v="2"/>
    <x v="0"/>
    <x v="0"/>
    <x v="0"/>
    <x v="0"/>
    <s v="Shampoo"/>
    <n v="3"/>
    <n v="855.83"/>
    <x v="1"/>
    <n v="2047.13"/>
    <n v="587.72"/>
    <n v="59.05"/>
    <x v="5"/>
    <n v="4"/>
    <x v="0"/>
    <x v="4"/>
    <n v="6"/>
  </r>
  <r>
    <s v="ORD-00726"/>
    <d v="2020-11-29T00:00:00"/>
    <s v="CUST02385"/>
    <x v="7"/>
    <n v="25"/>
    <x v="3"/>
    <x v="2"/>
    <x v="4"/>
    <x v="17"/>
    <x v="2"/>
    <s v="Self-Help Book"/>
    <n v="3"/>
    <n v="956.34"/>
    <x v="27"/>
    <n v="1598.88"/>
    <n v="746.01"/>
    <n v="74.98"/>
    <x v="3"/>
    <n v="1"/>
    <x v="0"/>
    <x v="0"/>
    <n v="2"/>
  </r>
  <r>
    <s v="ORD-03264"/>
    <d v="2023-11-10T00:00:00"/>
    <s v="CUST84619"/>
    <x v="252"/>
    <n v="25"/>
    <x v="3"/>
    <x v="1"/>
    <x v="2"/>
    <x v="9"/>
    <x v="1"/>
    <s v="Bed Frame"/>
    <n v="2"/>
    <n v="30782.35"/>
    <x v="3"/>
    <n v="47340.73"/>
    <n v="11318.5"/>
    <n v="48.72"/>
    <x v="4"/>
    <n v="4"/>
    <x v="0"/>
    <x v="0"/>
    <n v="10"/>
  </r>
  <r>
    <s v="ORD-00892"/>
    <d v="2021-02-05T00:00:00"/>
    <s v="CUST40329"/>
    <x v="187"/>
    <n v="19"/>
    <x v="3"/>
    <x v="2"/>
    <x v="0"/>
    <x v="19"/>
    <x v="0"/>
    <s v="Hair Oil"/>
    <n v="4"/>
    <n v="1900.58"/>
    <x v="9"/>
    <n v="6413.16"/>
    <n v="3388.38"/>
    <n v="47.89"/>
    <x v="4"/>
    <n v="3"/>
    <x v="0"/>
    <x v="0"/>
    <n v="1"/>
  </r>
  <r>
    <s v="ORD-00947"/>
    <d v="2021-03-04T00:00:00"/>
    <s v="CUST36851"/>
    <x v="196"/>
    <n v="27"/>
    <x v="0"/>
    <x v="1"/>
    <x v="3"/>
    <x v="15"/>
    <x v="4"/>
    <s v="Yoga Mat"/>
    <n v="2"/>
    <n v="12124.27"/>
    <x v="33"/>
    <n v="19621.740000000002"/>
    <n v="4737.6899999999996"/>
    <n v="91.21"/>
    <x v="0"/>
    <n v="3"/>
    <x v="0"/>
    <x v="0"/>
    <n v="7"/>
  </r>
  <r>
    <s v="ORD-01055"/>
    <d v="2021-04-21T00:00:00"/>
    <s v="CUST95496"/>
    <x v="78"/>
    <n v="49"/>
    <x v="1"/>
    <x v="2"/>
    <x v="2"/>
    <x v="4"/>
    <x v="2"/>
    <s v="Cook Book"/>
    <n v="7"/>
    <n v="534.91"/>
    <x v="16"/>
    <n v="4674.41"/>
    <n v="2443.2199999999998"/>
    <n v="61.73"/>
    <x v="1"/>
    <n v="1"/>
    <x v="0"/>
    <x v="2"/>
    <n v="7"/>
  </r>
  <r>
    <s v="ORD-03424"/>
    <d v="2024-01-24T00:00:00"/>
    <s v="CUST78421"/>
    <x v="339"/>
    <n v="46"/>
    <x v="1"/>
    <x v="2"/>
    <x v="2"/>
    <x v="13"/>
    <x v="0"/>
    <s v="Face Cream"/>
    <n v="2"/>
    <n v="1022.14"/>
    <x v="37"/>
    <n v="1560.83"/>
    <n v="580.86"/>
    <n v="51.54"/>
    <x v="4"/>
    <n v="5"/>
    <x v="1"/>
    <x v="1"/>
    <n v="4"/>
  </r>
  <r>
    <s v="ORD-03802"/>
    <d v="2024-11-07T00:00:00"/>
    <s v="CUST44356"/>
    <x v="125"/>
    <n v="54"/>
    <x v="2"/>
    <x v="1"/>
    <x v="3"/>
    <x v="12"/>
    <x v="1"/>
    <s v="Bed Frame"/>
    <n v="4"/>
    <n v="34537.46"/>
    <x v="28"/>
    <n v="208628.7"/>
    <n v="50381.67"/>
    <n v="76.14"/>
    <x v="1"/>
    <n v="3"/>
    <x v="0"/>
    <x v="0"/>
    <n v="8"/>
  </r>
  <r>
    <s v="ORD-00173"/>
    <d v="2020-03-16T00:00:00"/>
    <s v="CUST46878"/>
    <x v="267"/>
    <n v="33"/>
    <x v="0"/>
    <x v="2"/>
    <x v="3"/>
    <x v="15"/>
    <x v="2"/>
    <s v="Biography"/>
    <n v="8"/>
    <n v="1355.07"/>
    <x v="15"/>
    <n v="7286.92"/>
    <n v="3585.8"/>
    <n v="86.98"/>
    <x v="0"/>
    <n v="4"/>
    <x v="0"/>
    <x v="3"/>
    <n v="5"/>
  </r>
  <r>
    <s v="ORD-02895"/>
    <d v="2023-06-06T00:00:00"/>
    <s v="CUST35710"/>
    <x v="247"/>
    <n v="32"/>
    <x v="0"/>
    <x v="1"/>
    <x v="3"/>
    <x v="16"/>
    <x v="1"/>
    <s v="Bed Frame"/>
    <n v="9"/>
    <n v="24542.85"/>
    <x v="25"/>
    <n v="291832.52"/>
    <n v="76203.02"/>
    <n v="95.21"/>
    <x v="3"/>
    <n v="2"/>
    <x v="0"/>
    <x v="0"/>
    <n v="6"/>
  </r>
  <r>
    <s v="ORD-02625"/>
    <d v="2023-02-13T00:00:00"/>
    <s v="CUST78576"/>
    <x v="75"/>
    <n v="34"/>
    <x v="0"/>
    <x v="2"/>
    <x v="2"/>
    <x v="4"/>
    <x v="6"/>
    <s v="Smartwatch"/>
    <n v="8"/>
    <n v="78209.240000000005"/>
    <x v="39"/>
    <n v="571749.49"/>
    <n v="85521.04"/>
    <n v="51.05"/>
    <x v="2"/>
    <n v="1"/>
    <x v="0"/>
    <x v="3"/>
    <n v="1"/>
  </r>
  <r>
    <s v="ORD-01661"/>
    <d v="2022-01-11T00:00:00"/>
    <s v="CUST94914"/>
    <x v="159"/>
    <n v="36"/>
    <x v="1"/>
    <x v="1"/>
    <x v="4"/>
    <x v="8"/>
    <x v="3"/>
    <s v="Kurta"/>
    <n v="3"/>
    <n v="3496.76"/>
    <x v="28"/>
    <n v="8060.61"/>
    <n v="2308.11"/>
    <n v="40.950000000000003"/>
    <x v="3"/>
    <n v="4"/>
    <x v="0"/>
    <x v="0"/>
    <n v="3"/>
  </r>
  <r>
    <s v="ORD-00208"/>
    <d v="2020-04-01T00:00:00"/>
    <s v="CUST69756"/>
    <x v="323"/>
    <n v="25"/>
    <x v="3"/>
    <x v="1"/>
    <x v="1"/>
    <x v="3"/>
    <x v="6"/>
    <s v="Camera"/>
    <n v="5"/>
    <n v="74661.960000000006"/>
    <x v="39"/>
    <n v="413676.41"/>
    <n v="38409.75"/>
    <n v="43.58"/>
    <x v="0"/>
    <n v="3"/>
    <x v="0"/>
    <x v="0"/>
    <n v="9"/>
  </r>
  <r>
    <s v="ORD-02546"/>
    <d v="2023-01-12T00:00:00"/>
    <s v="CUST96368"/>
    <x v="309"/>
    <n v="29"/>
    <x v="0"/>
    <x v="2"/>
    <x v="1"/>
    <x v="6"/>
    <x v="5"/>
    <s v="Rice (5kg)"/>
    <n v="1"/>
    <n v="243.91"/>
    <x v="25"/>
    <n v="164.22"/>
    <n v="16.45"/>
    <n v="53.75"/>
    <x v="2"/>
    <n v="5"/>
    <x v="0"/>
    <x v="3"/>
    <n v="3"/>
  </r>
  <r>
    <s v="ORD-04010"/>
    <d v="2024-09-29T00:00:00"/>
    <s v="CUST04352"/>
    <x v="276"/>
    <n v="22"/>
    <x v="3"/>
    <x v="2"/>
    <x v="0"/>
    <x v="1"/>
    <x v="2"/>
    <s v="Biography"/>
    <n v="2"/>
    <n v="1099.72"/>
    <x v="3"/>
    <n v="2033.79"/>
    <n v="869.03"/>
    <n v="61.35"/>
    <x v="4"/>
    <n v="3"/>
    <x v="0"/>
    <x v="0"/>
    <n v="4"/>
  </r>
  <r>
    <s v="ORD-02830"/>
    <d v="2023-05-15T00:00:00"/>
    <s v="CUST23051"/>
    <x v="331"/>
    <n v="35"/>
    <x v="0"/>
    <x v="0"/>
    <x v="4"/>
    <x v="7"/>
    <x v="4"/>
    <s v="Tennis Racket"/>
    <n v="2"/>
    <n v="5536.92"/>
    <x v="16"/>
    <n v="16264.24"/>
    <n v="5022.79"/>
    <n v="86.81"/>
    <x v="4"/>
    <n v="5"/>
    <x v="0"/>
    <x v="2"/>
    <n v="4"/>
  </r>
  <r>
    <s v="ORD-03136"/>
    <d v="2023-09-17T00:00:00"/>
    <s v="CUST92424"/>
    <x v="195"/>
    <n v="32"/>
    <x v="0"/>
    <x v="1"/>
    <x v="2"/>
    <x v="14"/>
    <x v="0"/>
    <s v="Perfume"/>
    <n v="10"/>
    <n v="384.92"/>
    <x v="19"/>
    <n v="3802.28"/>
    <n v="1470.62"/>
    <n v="46.05"/>
    <x v="1"/>
    <n v="1"/>
    <x v="0"/>
    <x v="4"/>
    <n v="9"/>
  </r>
  <r>
    <s v="ORD-00361"/>
    <d v="2020-06-04T00:00:00"/>
    <s v="CUST34273"/>
    <x v="39"/>
    <n v="44"/>
    <x v="1"/>
    <x v="0"/>
    <x v="0"/>
    <x v="19"/>
    <x v="5"/>
    <s v="Tea"/>
    <n v="10"/>
    <n v="350.15"/>
    <x v="16"/>
    <n v="4245.67"/>
    <n v="346.67"/>
    <n v="62.1"/>
    <x v="3"/>
    <n v="3"/>
    <x v="1"/>
    <x v="1"/>
    <n v="1"/>
  </r>
  <r>
    <s v="ORD-00178"/>
    <d v="2020-03-19T00:00:00"/>
    <s v="CUST56675"/>
    <x v="382"/>
    <n v="24"/>
    <x v="3"/>
    <x v="0"/>
    <x v="1"/>
    <x v="6"/>
    <x v="6"/>
    <s v="Camera"/>
    <n v="6"/>
    <n v="15086.96"/>
    <x v="19"/>
    <n v="83619.759999999995"/>
    <n v="10183.25"/>
    <n v="74.72"/>
    <x v="3"/>
    <n v="1"/>
    <x v="0"/>
    <x v="0"/>
    <n v="4"/>
  </r>
  <r>
    <s v="ORD-03759"/>
    <d v="2024-06-24T00:00:00"/>
    <s v="CUST16441"/>
    <x v="179"/>
    <n v="18"/>
    <x v="3"/>
    <x v="2"/>
    <x v="3"/>
    <x v="12"/>
    <x v="4"/>
    <s v="Tennis Racket"/>
    <n v="4"/>
    <n v="6805.31"/>
    <x v="5"/>
    <n v="48326.79"/>
    <n v="11120.45"/>
    <n v="101.73"/>
    <x v="1"/>
    <n v="2"/>
    <x v="1"/>
    <x v="1"/>
    <n v="3"/>
  </r>
  <r>
    <s v="ORD-01724"/>
    <d v="2022-02-06T00:00:00"/>
    <s v="CUST56841"/>
    <x v="116"/>
    <n v="20"/>
    <x v="3"/>
    <x v="0"/>
    <x v="3"/>
    <x v="12"/>
    <x v="3"/>
    <s v="Jacket"/>
    <n v="2"/>
    <n v="2075.29"/>
    <x v="11"/>
    <n v="2998.78"/>
    <n v="1031.57"/>
    <n v="62.3"/>
    <x v="0"/>
    <n v="4"/>
    <x v="0"/>
    <x v="0"/>
    <n v="1"/>
  </r>
  <r>
    <s v="ORD-00873"/>
    <d v="2021-01-31T00:00:00"/>
    <s v="CUST74542"/>
    <x v="284"/>
    <n v="18"/>
    <x v="3"/>
    <x v="0"/>
    <x v="1"/>
    <x v="3"/>
    <x v="1"/>
    <s v="Bookshelf"/>
    <n v="1"/>
    <n v="10111.030000000001"/>
    <x v="23"/>
    <n v="6692.45"/>
    <n v="2226.89"/>
    <n v="30.16"/>
    <x v="0"/>
    <n v="2"/>
    <x v="0"/>
    <x v="0"/>
    <n v="4"/>
  </r>
  <r>
    <s v="ORD-03197"/>
    <d v="2023-10-15T00:00:00"/>
    <s v="CUST33951"/>
    <x v="242"/>
    <n v="18"/>
    <x v="3"/>
    <x v="0"/>
    <x v="3"/>
    <x v="15"/>
    <x v="0"/>
    <s v="Lipstick"/>
    <n v="2"/>
    <n v="2007.33"/>
    <x v="2"/>
    <n v="3672.85"/>
    <n v="1779.77"/>
    <n v="78.53"/>
    <x v="4"/>
    <n v="5"/>
    <x v="0"/>
    <x v="0"/>
    <n v="2"/>
  </r>
  <r>
    <s v="ORD-00929"/>
    <d v="2021-02-23T00:00:00"/>
    <s v="CUST75952"/>
    <x v="187"/>
    <n v="24"/>
    <x v="3"/>
    <x v="0"/>
    <x v="3"/>
    <x v="12"/>
    <x v="1"/>
    <s v="Desk"/>
    <n v="5"/>
    <n v="2018.71"/>
    <x v="30"/>
    <n v="6353.83"/>
    <n v="1860.03"/>
    <n v="62.35"/>
    <x v="1"/>
    <n v="5"/>
    <x v="0"/>
    <x v="0"/>
    <n v="1"/>
  </r>
  <r>
    <s v="ORD-03836"/>
    <d v="2024-07-25T00:00:00"/>
    <s v="CUST17574"/>
    <x v="210"/>
    <n v="37"/>
    <x v="1"/>
    <x v="0"/>
    <x v="3"/>
    <x v="12"/>
    <x v="3"/>
    <s v="Jeans"/>
    <n v="6"/>
    <n v="3101.95"/>
    <x v="34"/>
    <n v="20358.13"/>
    <n v="7357.07"/>
    <n v="89.04"/>
    <x v="3"/>
    <n v="3"/>
    <x v="1"/>
    <x v="1"/>
    <n v="7"/>
  </r>
  <r>
    <s v="ORD-03158"/>
    <d v="2023-09-29T00:00:00"/>
    <s v="CUST54265"/>
    <x v="239"/>
    <n v="38"/>
    <x v="1"/>
    <x v="2"/>
    <x v="2"/>
    <x v="4"/>
    <x v="1"/>
    <s v="Bookshelf"/>
    <n v="8"/>
    <n v="24623.45"/>
    <x v="13"/>
    <n v="242532.88"/>
    <n v="63126.55"/>
    <n v="36.04"/>
    <x v="3"/>
    <n v="1"/>
    <x v="0"/>
    <x v="0"/>
    <n v="4"/>
  </r>
  <r>
    <s v="ORD-02765"/>
    <d v="2023-04-11T00:00:00"/>
    <s v="CUST09924"/>
    <x v="35"/>
    <n v="36"/>
    <x v="1"/>
    <x v="1"/>
    <x v="1"/>
    <x v="6"/>
    <x v="6"/>
    <s v="Camera"/>
    <n v="5"/>
    <n v="18000.28"/>
    <x v="9"/>
    <n v="109973.4"/>
    <n v="11424.94"/>
    <n v="73.2"/>
    <x v="0"/>
    <n v="4"/>
    <x v="0"/>
    <x v="0"/>
    <n v="2"/>
  </r>
  <r>
    <s v="ORD-00778"/>
    <d v="2020-12-18T00:00:00"/>
    <s v="CUST98642"/>
    <x v="0"/>
    <n v="53"/>
    <x v="2"/>
    <x v="0"/>
    <x v="3"/>
    <x v="16"/>
    <x v="5"/>
    <s v="Tea"/>
    <n v="3"/>
    <n v="284.05"/>
    <x v="26"/>
    <n v="407.29"/>
    <n v="27.33"/>
    <n v="74.569999999999993"/>
    <x v="1"/>
    <n v="2"/>
    <x v="0"/>
    <x v="0"/>
    <n v="2"/>
  </r>
  <r>
    <s v="ORD-03353"/>
    <d v="2023-12-21T00:00:00"/>
    <s v="CUST13354"/>
    <x v="195"/>
    <n v="29"/>
    <x v="0"/>
    <x v="0"/>
    <x v="3"/>
    <x v="5"/>
    <x v="5"/>
    <s v="Rice (5kg)"/>
    <n v="9"/>
    <n v="344.79"/>
    <x v="30"/>
    <n v="2084.9"/>
    <n v="132.76"/>
    <n v="57.21"/>
    <x v="4"/>
    <n v="2"/>
    <x v="0"/>
    <x v="2"/>
    <n v="10"/>
  </r>
  <r>
    <s v="ORD-00863"/>
    <d v="2021-01-29T00:00:00"/>
    <s v="CUST78361"/>
    <x v="40"/>
    <n v="51"/>
    <x v="2"/>
    <x v="2"/>
    <x v="0"/>
    <x v="0"/>
    <x v="0"/>
    <s v="Perfume"/>
    <n v="4"/>
    <n v="1427.81"/>
    <x v="12"/>
    <n v="3737.3"/>
    <n v="1821.21"/>
    <n v="66.760000000000005"/>
    <x v="3"/>
    <n v="4"/>
    <x v="0"/>
    <x v="0"/>
    <n v="5"/>
  </r>
  <r>
    <s v="ORD-03986"/>
    <d v="2024-09-15T00:00:00"/>
    <s v="CUST02647"/>
    <x v="336"/>
    <n v="63"/>
    <x v="2"/>
    <x v="2"/>
    <x v="0"/>
    <x v="1"/>
    <x v="1"/>
    <s v="Wardrobe"/>
    <n v="1"/>
    <n v="30262.77"/>
    <x v="3"/>
    <n v="35090.43"/>
    <n v="5627.29"/>
    <n v="62.47"/>
    <x v="1"/>
    <n v="1"/>
    <x v="0"/>
    <x v="0"/>
    <n v="10"/>
  </r>
  <r>
    <s v="ORD-01945"/>
    <d v="2022-05-08T00:00:00"/>
    <s v="CUST15198"/>
    <x v="384"/>
    <n v="33"/>
    <x v="0"/>
    <x v="1"/>
    <x v="1"/>
    <x v="10"/>
    <x v="3"/>
    <s v="T-Shirt"/>
    <n v="7"/>
    <n v="607.95000000000005"/>
    <x v="22"/>
    <n v="3644.03"/>
    <n v="1026.0999999999999"/>
    <n v="64.63"/>
    <x v="5"/>
    <n v="3"/>
    <x v="0"/>
    <x v="0"/>
    <n v="1"/>
  </r>
  <r>
    <s v="ORD-03665"/>
    <d v="2024-05-13T00:00:00"/>
    <s v="CUST12838"/>
    <x v="385"/>
    <n v="30"/>
    <x v="0"/>
    <x v="0"/>
    <x v="3"/>
    <x v="15"/>
    <x v="3"/>
    <s v="Saree"/>
    <n v="2"/>
    <n v="358"/>
    <x v="22"/>
    <n v="728.66"/>
    <n v="256.39999999999998"/>
    <n v="63.9"/>
    <x v="1"/>
    <n v="1"/>
    <x v="0"/>
    <x v="0"/>
    <n v="6"/>
  </r>
  <r>
    <s v="ORD-01149"/>
    <d v="2021-05-31T00:00:00"/>
    <s v="CUST17159"/>
    <x v="48"/>
    <n v="31"/>
    <x v="0"/>
    <x v="2"/>
    <x v="3"/>
    <x v="12"/>
    <x v="3"/>
    <s v="Jeans"/>
    <n v="2"/>
    <n v="1322.23"/>
    <x v="4"/>
    <n v="3457.5"/>
    <n v="1452.45"/>
    <n v="55.18"/>
    <x v="4"/>
    <n v="3"/>
    <x v="1"/>
    <x v="1"/>
    <n v="7"/>
  </r>
  <r>
    <s v="ORD-02749"/>
    <d v="2023-05-04T00:00:00"/>
    <s v="CUST37997"/>
    <x v="161"/>
    <n v="51"/>
    <x v="2"/>
    <x v="0"/>
    <x v="0"/>
    <x v="19"/>
    <x v="4"/>
    <s v="Football"/>
    <n v="3"/>
    <n v="11418.23"/>
    <x v="5"/>
    <n v="43058.66"/>
    <n v="7315.08"/>
    <n v="41.92"/>
    <x v="3"/>
    <n v="2"/>
    <x v="0"/>
    <x v="0"/>
    <n v="3"/>
  </r>
  <r>
    <s v="ORD-00787"/>
    <d v="2020-12-25T00:00:00"/>
    <s v="CUST40665"/>
    <x v="175"/>
    <n v="53"/>
    <x v="2"/>
    <x v="2"/>
    <x v="4"/>
    <x v="18"/>
    <x v="6"/>
    <s v="Headphones"/>
    <n v="4"/>
    <n v="65983.59"/>
    <x v="9"/>
    <n v="161534.85"/>
    <n v="25135.71"/>
    <n v="66.2"/>
    <x v="5"/>
    <n v="1"/>
    <x v="0"/>
    <x v="0"/>
    <n v="4"/>
  </r>
  <r>
    <s v="ORD-01614"/>
    <d v="2021-12-23T00:00:00"/>
    <s v="CUST91726"/>
    <x v="215"/>
    <n v="45"/>
    <x v="1"/>
    <x v="1"/>
    <x v="1"/>
    <x v="3"/>
    <x v="6"/>
    <s v="Laptop"/>
    <n v="4"/>
    <n v="55475.839999999997"/>
    <x v="29"/>
    <n v="176358.34"/>
    <n v="22566.53"/>
    <n v="40.68"/>
    <x v="0"/>
    <n v="4"/>
    <x v="0"/>
    <x v="2"/>
    <n v="2"/>
  </r>
  <r>
    <s v="ORD-01328"/>
    <d v="2021-08-18T00:00:00"/>
    <s v="CUST77757"/>
    <x v="172"/>
    <n v="34"/>
    <x v="0"/>
    <x v="1"/>
    <x v="4"/>
    <x v="17"/>
    <x v="3"/>
    <s v="T-Shirt"/>
    <n v="1"/>
    <n v="1197.05"/>
    <x v="30"/>
    <n v="1082.08"/>
    <n v="320.52"/>
    <n v="29.64"/>
    <x v="4"/>
    <n v="4"/>
    <x v="0"/>
    <x v="2"/>
    <n v="3"/>
  </r>
  <r>
    <s v="ORD-01880"/>
    <d v="2022-04-10T00:00:00"/>
    <s v="CUST68733"/>
    <x v="66"/>
    <n v="37"/>
    <x v="1"/>
    <x v="0"/>
    <x v="3"/>
    <x v="5"/>
    <x v="5"/>
    <s v="Flour"/>
    <n v="2"/>
    <n v="153.13999999999999"/>
    <x v="10"/>
    <n v="289.25"/>
    <n v="25.46"/>
    <n v="77.75"/>
    <x v="4"/>
    <n v="5"/>
    <x v="0"/>
    <x v="0"/>
    <n v="8"/>
  </r>
  <r>
    <s v="ORD-00565"/>
    <d v="2020-09-09T00:00:00"/>
    <s v="CUST05627"/>
    <x v="348"/>
    <n v="37"/>
    <x v="1"/>
    <x v="2"/>
    <x v="0"/>
    <x v="1"/>
    <x v="4"/>
    <s v="Cricket Bat"/>
    <n v="1"/>
    <n v="3528.13"/>
    <x v="22"/>
    <n v="2038.22"/>
    <n v="420.96"/>
    <n v="53.63"/>
    <x v="3"/>
    <n v="1"/>
    <x v="1"/>
    <x v="1"/>
    <n v="6"/>
  </r>
  <r>
    <s v="ORD-03634"/>
    <d v="2024-04-28T00:00:00"/>
    <s v="CUST10137"/>
    <x v="320"/>
    <n v="32"/>
    <x v="0"/>
    <x v="0"/>
    <x v="4"/>
    <x v="7"/>
    <x v="0"/>
    <s v="Sunscreen"/>
    <n v="1"/>
    <n v="2169.87"/>
    <x v="22"/>
    <n v="1926.55"/>
    <n v="458.88"/>
    <n v="52.43"/>
    <x v="2"/>
    <n v="5"/>
    <x v="0"/>
    <x v="4"/>
    <n v="3"/>
  </r>
  <r>
    <s v="ORD-00222"/>
    <d v="2020-04-07T00:00:00"/>
    <s v="CUST35116"/>
    <x v="54"/>
    <n v="41"/>
    <x v="1"/>
    <x v="1"/>
    <x v="1"/>
    <x v="11"/>
    <x v="6"/>
    <s v="Smartphone"/>
    <n v="9"/>
    <n v="5129.67"/>
    <x v="18"/>
    <n v="38513.550000000003"/>
    <n v="4662.1000000000004"/>
    <n v="46.85"/>
    <x v="2"/>
    <n v="5"/>
    <x v="0"/>
    <x v="0"/>
    <n v="2"/>
  </r>
  <r>
    <s v="ORD-01354"/>
    <d v="2021-09-01T00:00:00"/>
    <s v="CUST77279"/>
    <x v="141"/>
    <n v="29"/>
    <x v="0"/>
    <x v="0"/>
    <x v="1"/>
    <x v="10"/>
    <x v="3"/>
    <s v="Jeans"/>
    <n v="2"/>
    <n v="3887.01"/>
    <x v="21"/>
    <n v="5775.71"/>
    <n v="2252.91"/>
    <n v="53.35"/>
    <x v="5"/>
    <n v="5"/>
    <x v="0"/>
    <x v="0"/>
    <n v="1"/>
  </r>
  <r>
    <s v="ORD-01890"/>
    <d v="2022-04-15T00:00:00"/>
    <s v="CUST59516"/>
    <x v="183"/>
    <n v="46"/>
    <x v="1"/>
    <x v="2"/>
    <x v="4"/>
    <x v="8"/>
    <x v="3"/>
    <s v="T-Shirt"/>
    <n v="8"/>
    <n v="2375.65"/>
    <x v="40"/>
    <n v="14431.7"/>
    <n v="5032.2"/>
    <n v="74.260000000000005"/>
    <x v="4"/>
    <n v="3"/>
    <x v="0"/>
    <x v="0"/>
    <n v="5"/>
  </r>
  <r>
    <s v="ORD-02160"/>
    <d v="2022-08-05T00:00:00"/>
    <s v="CUST01889"/>
    <x v="61"/>
    <n v="31"/>
    <x v="0"/>
    <x v="1"/>
    <x v="1"/>
    <x v="6"/>
    <x v="0"/>
    <s v="Hair Oil"/>
    <n v="4"/>
    <n v="1536.84"/>
    <x v="24"/>
    <n v="8572.24"/>
    <n v="4876.08"/>
    <n v="73.06"/>
    <x v="0"/>
    <n v="5"/>
    <x v="0"/>
    <x v="0"/>
    <n v="6"/>
  </r>
  <r>
    <s v="ORD-03021"/>
    <d v="2023-08-01T00:00:00"/>
    <s v="CUST66733"/>
    <x v="337"/>
    <n v="33"/>
    <x v="0"/>
    <x v="2"/>
    <x v="0"/>
    <x v="2"/>
    <x v="5"/>
    <s v="Tea"/>
    <n v="4"/>
    <n v="223.01"/>
    <x v="29"/>
    <n v="1169.6099999999999"/>
    <n v="100.59"/>
    <n v="66.900000000000006"/>
    <x v="2"/>
    <n v="2"/>
    <x v="0"/>
    <x v="0"/>
    <n v="2"/>
  </r>
  <r>
    <s v="ORD-03326"/>
    <d v="2023-12-10T00:00:00"/>
    <s v="CUST35382"/>
    <x v="334"/>
    <n v="46"/>
    <x v="1"/>
    <x v="1"/>
    <x v="0"/>
    <x v="1"/>
    <x v="3"/>
    <s v="Jeans"/>
    <n v="5"/>
    <n v="1679.82"/>
    <x v="10"/>
    <n v="5932.93"/>
    <n v="2439.71"/>
    <n v="61.89"/>
    <x v="5"/>
    <n v="2"/>
    <x v="0"/>
    <x v="2"/>
    <n v="3"/>
  </r>
  <r>
    <s v="ORD-02513"/>
    <d v="2022-12-27T00:00:00"/>
    <s v="CUST10153"/>
    <x v="20"/>
    <n v="49"/>
    <x v="1"/>
    <x v="1"/>
    <x v="0"/>
    <x v="2"/>
    <x v="5"/>
    <s v="Flour"/>
    <n v="1"/>
    <n v="111.85"/>
    <x v="13"/>
    <n v="85.28"/>
    <n v="7.87"/>
    <n v="62.85"/>
    <x v="1"/>
    <n v="1"/>
    <x v="0"/>
    <x v="0"/>
    <n v="3"/>
  </r>
  <r>
    <s v="ORD-00805"/>
    <d v="2021-01-02T00:00:00"/>
    <s v="CUST38399"/>
    <x v="167"/>
    <n v="22"/>
    <x v="3"/>
    <x v="0"/>
    <x v="1"/>
    <x v="11"/>
    <x v="3"/>
    <s v="Saree"/>
    <n v="6"/>
    <n v="2532.5500000000002"/>
    <x v="29"/>
    <n v="10659.76"/>
    <n v="4546.7299999999996"/>
    <n v="64.53"/>
    <x v="4"/>
    <n v="1"/>
    <x v="0"/>
    <x v="3"/>
    <n v="1"/>
  </r>
  <r>
    <s v="ORD-00838"/>
    <d v="2021-01-18T00:00:00"/>
    <s v="CUST92341"/>
    <x v="286"/>
    <n v="34"/>
    <x v="0"/>
    <x v="1"/>
    <x v="4"/>
    <x v="17"/>
    <x v="6"/>
    <s v="Headphones"/>
    <n v="4"/>
    <n v="47874.239999999998"/>
    <x v="10"/>
    <n v="95589.48"/>
    <n v="11952.46"/>
    <n v="79.36"/>
    <x v="0"/>
    <n v="2"/>
    <x v="1"/>
    <x v="1"/>
    <n v="3"/>
  </r>
  <r>
    <s v="ORD-00433"/>
    <d v="2020-07-09T00:00:00"/>
    <s v="CUST34701"/>
    <x v="141"/>
    <n v="47"/>
    <x v="1"/>
    <x v="1"/>
    <x v="1"/>
    <x v="11"/>
    <x v="6"/>
    <s v="Laptop"/>
    <n v="4"/>
    <n v="37472.699999999997"/>
    <x v="5"/>
    <n v="218210.41"/>
    <n v="22304.92"/>
    <n v="43.11"/>
    <x v="3"/>
    <n v="4"/>
    <x v="0"/>
    <x v="0"/>
    <n v="10"/>
  </r>
  <r>
    <s v="ORD-03453"/>
    <d v="2024-02-06T00:00:00"/>
    <s v="CUST73572"/>
    <x v="55"/>
    <n v="18"/>
    <x v="3"/>
    <x v="0"/>
    <x v="0"/>
    <x v="1"/>
    <x v="1"/>
    <s v="Bed Frame"/>
    <n v="8"/>
    <n v="31388.84"/>
    <x v="40"/>
    <n v="135556.47"/>
    <n v="45198.52"/>
    <n v="57.54"/>
    <x v="4"/>
    <n v="4"/>
    <x v="0"/>
    <x v="0"/>
    <n v="4"/>
  </r>
  <r>
    <s v="ORD-02906"/>
    <d v="2023-06-10T00:00:00"/>
    <s v="CUST43728"/>
    <x v="100"/>
    <n v="20"/>
    <x v="3"/>
    <x v="0"/>
    <x v="1"/>
    <x v="6"/>
    <x v="4"/>
    <s v="Football"/>
    <n v="7"/>
    <n v="754.28"/>
    <x v="28"/>
    <n v="7778.83"/>
    <n v="2271.0500000000002"/>
    <n v="45.61"/>
    <x v="5"/>
    <n v="1"/>
    <x v="0"/>
    <x v="0"/>
    <n v="4"/>
  </r>
  <r>
    <s v="ORD-02700"/>
    <d v="2023-03-15T00:00:00"/>
    <s v="CUST26383"/>
    <x v="121"/>
    <n v="18"/>
    <x v="3"/>
    <x v="1"/>
    <x v="3"/>
    <x v="12"/>
    <x v="4"/>
    <s v="Dumbbells"/>
    <n v="5"/>
    <n v="5610.04"/>
    <x v="11"/>
    <n v="27238.57"/>
    <n v="4096.24"/>
    <n v="84.23"/>
    <x v="4"/>
    <n v="2"/>
    <x v="0"/>
    <x v="0"/>
    <n v="2"/>
  </r>
  <r>
    <s v="ORD-03679"/>
    <d v="2024-05-16T00:00:00"/>
    <s v="CUST33255"/>
    <x v="139"/>
    <n v="38"/>
    <x v="1"/>
    <x v="1"/>
    <x v="2"/>
    <x v="4"/>
    <x v="1"/>
    <s v="Desk"/>
    <n v="5"/>
    <n v="25978.76"/>
    <x v="38"/>
    <n v="222707.41"/>
    <n v="45655.25"/>
    <n v="40.229999999999997"/>
    <x v="0"/>
    <n v="1"/>
    <x v="0"/>
    <x v="0"/>
    <n v="4"/>
  </r>
  <r>
    <s v="ORD-03397"/>
    <d v="2024-01-11T00:00:00"/>
    <s v="CUST80323"/>
    <x v="67"/>
    <n v="23"/>
    <x v="3"/>
    <x v="0"/>
    <x v="4"/>
    <x v="7"/>
    <x v="5"/>
    <s v="Cooking Oil"/>
    <n v="6"/>
    <n v="69.63"/>
    <x v="30"/>
    <n v="256.35000000000002"/>
    <n v="21.2"/>
    <n v="103.66"/>
    <x v="1"/>
    <n v="1"/>
    <x v="1"/>
    <x v="1"/>
    <n v="1"/>
  </r>
  <r>
    <s v="ORD-00623"/>
    <d v="2020-10-06T00:00:00"/>
    <s v="CUST24662"/>
    <x v="269"/>
    <n v="36"/>
    <x v="1"/>
    <x v="1"/>
    <x v="1"/>
    <x v="6"/>
    <x v="5"/>
    <s v="Rice (5kg)"/>
    <n v="8"/>
    <n v="498.13"/>
    <x v="33"/>
    <n v="2870.12"/>
    <n v="226.32"/>
    <n v="36.47"/>
    <x v="4"/>
    <n v="4"/>
    <x v="1"/>
    <x v="1"/>
    <n v="6"/>
  </r>
  <r>
    <s v="ORD-00417"/>
    <d v="2020-07-02T00:00:00"/>
    <s v="CUST24241"/>
    <x v="110"/>
    <n v="19"/>
    <x v="3"/>
    <x v="0"/>
    <x v="1"/>
    <x v="11"/>
    <x v="5"/>
    <s v="Cooking Oil"/>
    <n v="6"/>
    <n v="170"/>
    <x v="21"/>
    <n v="834.1"/>
    <n v="50.58"/>
    <n v="64.22"/>
    <x v="5"/>
    <n v="2"/>
    <x v="0"/>
    <x v="4"/>
    <n v="5"/>
  </r>
  <r>
    <s v="ORD-03426"/>
    <d v="2024-01-25T00:00:00"/>
    <s v="CUST99964"/>
    <x v="3"/>
    <n v="40"/>
    <x v="1"/>
    <x v="0"/>
    <x v="3"/>
    <x v="16"/>
    <x v="0"/>
    <s v="Shampoo"/>
    <n v="9"/>
    <n v="432.41"/>
    <x v="6"/>
    <n v="2362.96"/>
    <n v="1178.26"/>
    <n v="86.75"/>
    <x v="5"/>
    <n v="5"/>
    <x v="0"/>
    <x v="3"/>
    <n v="10"/>
  </r>
  <r>
    <s v="ORD-00125"/>
    <d v="2020-02-17T00:00:00"/>
    <s v="CUST87260"/>
    <x v="303"/>
    <n v="46"/>
    <x v="1"/>
    <x v="1"/>
    <x v="3"/>
    <x v="16"/>
    <x v="5"/>
    <s v="Sugar"/>
    <n v="5"/>
    <n v="308.01"/>
    <x v="8"/>
    <n v="1315.86"/>
    <n v="56.05"/>
    <n v="55.47"/>
    <x v="2"/>
    <n v="2"/>
    <x v="0"/>
    <x v="0"/>
    <n v="2"/>
  </r>
  <r>
    <s v="ORD-00577"/>
    <d v="2020-09-15T00:00:00"/>
    <s v="CUST53381"/>
    <x v="34"/>
    <n v="54"/>
    <x v="2"/>
    <x v="1"/>
    <x v="1"/>
    <x v="6"/>
    <x v="4"/>
    <s v="Cycle"/>
    <n v="8"/>
    <n v="10241.77"/>
    <x v="10"/>
    <n v="61888.65"/>
    <n v="13264.84"/>
    <n v="67.150000000000006"/>
    <x v="0"/>
    <n v="1"/>
    <x v="1"/>
    <x v="1"/>
    <n v="6"/>
  </r>
  <r>
    <s v="ORD-01444"/>
    <d v="2021-10-14T00:00:00"/>
    <s v="CUST08288"/>
    <x v="0"/>
    <n v="33"/>
    <x v="0"/>
    <x v="0"/>
    <x v="4"/>
    <x v="7"/>
    <x v="4"/>
    <s v="Yoga Mat"/>
    <n v="9"/>
    <n v="2605.13"/>
    <x v="11"/>
    <n v="20094.939999999999"/>
    <n v="2400.52"/>
    <n v="83.93"/>
    <x v="1"/>
    <n v="4"/>
    <x v="1"/>
    <x v="1"/>
    <n v="5"/>
  </r>
  <r>
    <s v="ORD-03182"/>
    <d v="2023-10-07T00:00:00"/>
    <s v="CUST49514"/>
    <x v="185"/>
    <n v="34"/>
    <x v="0"/>
    <x v="0"/>
    <x v="0"/>
    <x v="2"/>
    <x v="3"/>
    <s v="Saree"/>
    <n v="1"/>
    <n v="3669.1"/>
    <x v="37"/>
    <n v="2724.49"/>
    <n v="1136.46"/>
    <n v="66"/>
    <x v="1"/>
    <n v="5"/>
    <x v="0"/>
    <x v="0"/>
    <n v="9"/>
  </r>
  <r>
    <s v="ORD-00496"/>
    <d v="2020-08-05T00:00:00"/>
    <s v="CUST35738"/>
    <x v="187"/>
    <n v="44"/>
    <x v="1"/>
    <x v="1"/>
    <x v="3"/>
    <x v="15"/>
    <x v="1"/>
    <s v="Bookshelf"/>
    <n v="6"/>
    <n v="10121.629999999999"/>
    <x v="33"/>
    <n v="61938.25"/>
    <n v="19909.16"/>
    <n v="79.23"/>
    <x v="4"/>
    <n v="1"/>
    <x v="0"/>
    <x v="3"/>
    <n v="2"/>
  </r>
  <r>
    <s v="ORD-00271"/>
    <d v="2020-04-29T00:00:00"/>
    <s v="CUST41469"/>
    <x v="241"/>
    <n v="44"/>
    <x v="1"/>
    <x v="0"/>
    <x v="0"/>
    <x v="1"/>
    <x v="6"/>
    <s v="Camera"/>
    <n v="5"/>
    <n v="20270.62"/>
    <x v="19"/>
    <n v="92969.99"/>
    <n v="10193.11"/>
    <n v="48.68"/>
    <x v="0"/>
    <n v="2"/>
    <x v="0"/>
    <x v="0"/>
    <n v="3"/>
  </r>
  <r>
    <s v="ORD-00615"/>
    <d v="2020-10-03T00:00:00"/>
    <s v="CUST47101"/>
    <x v="25"/>
    <n v="18"/>
    <x v="3"/>
    <x v="1"/>
    <x v="1"/>
    <x v="6"/>
    <x v="6"/>
    <s v="Headphones"/>
    <n v="7"/>
    <n v="37436.559999999998"/>
    <x v="6"/>
    <n v="134393.01"/>
    <n v="20949.87"/>
    <n v="52.14"/>
    <x v="4"/>
    <n v="2"/>
    <x v="0"/>
    <x v="0"/>
    <n v="10"/>
  </r>
  <r>
    <s v="ORD-03685"/>
    <d v="2024-05-19T00:00:00"/>
    <s v="CUST54368"/>
    <x v="241"/>
    <n v="26"/>
    <x v="0"/>
    <x v="1"/>
    <x v="3"/>
    <x v="16"/>
    <x v="0"/>
    <s v="Lipstick"/>
    <n v="4"/>
    <n v="1340.35"/>
    <x v="12"/>
    <n v="6161.42"/>
    <n v="2285.21"/>
    <n v="75.459999999999994"/>
    <x v="5"/>
    <n v="2"/>
    <x v="0"/>
    <x v="0"/>
    <n v="7"/>
  </r>
  <r>
    <s v="ORD-02233"/>
    <d v="2022-08-31T00:00:00"/>
    <s v="CUST53670"/>
    <x v="243"/>
    <n v="32"/>
    <x v="0"/>
    <x v="0"/>
    <x v="0"/>
    <x v="1"/>
    <x v="3"/>
    <s v="Dress"/>
    <n v="7"/>
    <n v="3559.36"/>
    <x v="26"/>
    <n v="22968.400000000001"/>
    <n v="9552.92"/>
    <n v="50.49"/>
    <x v="5"/>
    <n v="4"/>
    <x v="0"/>
    <x v="0"/>
    <n v="5"/>
  </r>
  <r>
    <s v="ORD-00958"/>
    <d v="2021-03-11T00:00:00"/>
    <s v="CUST07589"/>
    <x v="73"/>
    <n v="30"/>
    <x v="0"/>
    <x v="0"/>
    <x v="2"/>
    <x v="4"/>
    <x v="5"/>
    <s v="Dal (1kg)"/>
    <n v="7"/>
    <n v="236.4"/>
    <x v="18"/>
    <n v="1215.8399999999999"/>
    <n v="86.13"/>
    <n v="33.049999999999997"/>
    <x v="2"/>
    <n v="2"/>
    <x v="1"/>
    <x v="1"/>
    <n v="3"/>
  </r>
  <r>
    <s v="ORD-02135"/>
    <d v="2022-07-25T00:00:00"/>
    <s v="CUST59057"/>
    <x v="175"/>
    <n v="44"/>
    <x v="1"/>
    <x v="1"/>
    <x v="3"/>
    <x v="16"/>
    <x v="4"/>
    <s v="Tennis Racket"/>
    <n v="8"/>
    <n v="12531.28"/>
    <x v="26"/>
    <n v="102179.33"/>
    <n v="18509.68"/>
    <n v="84.53"/>
    <x v="2"/>
    <n v="1"/>
    <x v="0"/>
    <x v="3"/>
    <n v="6"/>
  </r>
  <r>
    <s v="ORD-00681"/>
    <d v="2020-11-04T00:00:00"/>
    <s v="CUST25326"/>
    <x v="136"/>
    <n v="30"/>
    <x v="0"/>
    <x v="0"/>
    <x v="3"/>
    <x v="12"/>
    <x v="4"/>
    <s v="Tennis Racket"/>
    <n v="1"/>
    <n v="13269.22"/>
    <x v="23"/>
    <n v="7469.13"/>
    <n v="1868.37"/>
    <n v="57.24"/>
    <x v="2"/>
    <n v="2"/>
    <x v="0"/>
    <x v="2"/>
    <n v="1"/>
  </r>
  <r>
    <s v="ORD-02649"/>
    <d v="2023-02-19T00:00:00"/>
    <s v="CUST25132"/>
    <x v="184"/>
    <n v="36"/>
    <x v="1"/>
    <x v="0"/>
    <x v="2"/>
    <x v="13"/>
    <x v="1"/>
    <s v="Bookshelf"/>
    <n v="6"/>
    <n v="3886.28"/>
    <x v="4"/>
    <n v="22799.71"/>
    <n v="4659.41"/>
    <n v="44.59"/>
    <x v="2"/>
    <n v="1"/>
    <x v="0"/>
    <x v="0"/>
    <n v="6"/>
  </r>
  <r>
    <s v="ORD-00814"/>
    <d v="2021-01-08T00:00:00"/>
    <s v="CUST27919"/>
    <x v="127"/>
    <n v="48"/>
    <x v="1"/>
    <x v="2"/>
    <x v="3"/>
    <x v="15"/>
    <x v="3"/>
    <s v="Dress"/>
    <n v="3"/>
    <n v="1116.5999999999999"/>
    <x v="32"/>
    <n v="2760.68"/>
    <n v="860.81"/>
    <n v="92.64"/>
    <x v="1"/>
    <n v="4"/>
    <x v="0"/>
    <x v="0"/>
    <n v="2"/>
  </r>
  <r>
    <s v="ORD-03156"/>
    <d v="2023-09-29T00:00:00"/>
    <s v="CUST34657"/>
    <x v="206"/>
    <n v="31"/>
    <x v="0"/>
    <x v="1"/>
    <x v="3"/>
    <x v="12"/>
    <x v="5"/>
    <s v="Tea"/>
    <n v="7"/>
    <n v="72.5"/>
    <x v="12"/>
    <n v="449.07"/>
    <n v="36.76"/>
    <n v="80.150000000000006"/>
    <x v="4"/>
    <n v="4"/>
    <x v="0"/>
    <x v="2"/>
    <n v="9"/>
  </r>
  <r>
    <s v="ORD-01658"/>
    <d v="2022-09-01T00:00:00"/>
    <s v="CUST14731"/>
    <x v="6"/>
    <n v="37"/>
    <x v="1"/>
    <x v="2"/>
    <x v="1"/>
    <x v="10"/>
    <x v="0"/>
    <s v="Perfume"/>
    <n v="2"/>
    <n v="1173.03"/>
    <x v="10"/>
    <n v="1370.12"/>
    <n v="604.94000000000005"/>
    <n v="50.86"/>
    <x v="0"/>
    <n v="3"/>
    <x v="0"/>
    <x v="0"/>
    <n v="1"/>
  </r>
  <r>
    <s v="ORD-00587"/>
    <d v="2020-09-19T00:00:00"/>
    <s v="CUST69337"/>
    <x v="344"/>
    <n v="30"/>
    <x v="0"/>
    <x v="2"/>
    <x v="1"/>
    <x v="11"/>
    <x v="6"/>
    <s v="Tablet"/>
    <n v="10"/>
    <n v="5927.03"/>
    <x v="6"/>
    <n v="41239.82"/>
    <n v="4624.5200000000004"/>
    <n v="77.349999999999994"/>
    <x v="2"/>
    <n v="4"/>
    <x v="0"/>
    <x v="0"/>
    <n v="4"/>
  </r>
  <r>
    <s v="ORD-02543"/>
    <d v="2023-01-09T00:00:00"/>
    <s v="CUST35512"/>
    <x v="365"/>
    <n v="44"/>
    <x v="1"/>
    <x v="1"/>
    <x v="1"/>
    <x v="11"/>
    <x v="4"/>
    <s v="Dumbbells"/>
    <n v="6"/>
    <n v="14871.36"/>
    <x v="37"/>
    <n v="56010.61"/>
    <n v="9090.5499999999993"/>
    <n v="74.650000000000006"/>
    <x v="2"/>
    <n v="2"/>
    <x v="0"/>
    <x v="0"/>
    <n v="8"/>
  </r>
  <r>
    <s v="ORD-00940"/>
    <d v="2021-02-28T00:00:00"/>
    <s v="CUST20288"/>
    <x v="209"/>
    <n v="32"/>
    <x v="0"/>
    <x v="2"/>
    <x v="3"/>
    <x v="5"/>
    <x v="2"/>
    <s v="Cook Book"/>
    <n v="1"/>
    <n v="1285.8"/>
    <x v="9"/>
    <n v="930.59"/>
    <n v="331.39"/>
    <n v="110.69"/>
    <x v="1"/>
    <n v="1"/>
    <x v="0"/>
    <x v="3"/>
    <n v="8"/>
  </r>
  <r>
    <s v="ORD-03709"/>
    <d v="2024-06-03T00:00:00"/>
    <s v="CUST34494"/>
    <x v="355"/>
    <n v="40"/>
    <x v="1"/>
    <x v="1"/>
    <x v="4"/>
    <x v="18"/>
    <x v="6"/>
    <s v="Laptop"/>
    <n v="9"/>
    <n v="62118.25"/>
    <x v="23"/>
    <n v="741493.84"/>
    <n v="88815.59"/>
    <n v="64.34"/>
    <x v="1"/>
    <n v="1"/>
    <x v="0"/>
    <x v="3"/>
    <n v="6"/>
  </r>
  <r>
    <s v="ORD-01178"/>
    <d v="2021-06-12T00:00:00"/>
    <s v="CUST90166"/>
    <x v="375"/>
    <n v="42"/>
    <x v="1"/>
    <x v="1"/>
    <x v="1"/>
    <x v="3"/>
    <x v="1"/>
    <s v="Bed Frame"/>
    <n v="10"/>
    <n v="10408.77"/>
    <x v="18"/>
    <n v="104668.88"/>
    <n v="36667.24"/>
    <n v="59.71"/>
    <x v="3"/>
    <n v="2"/>
    <x v="1"/>
    <x v="1"/>
    <n v="5"/>
  </r>
  <r>
    <s v="ORD-02130"/>
    <d v="2022-07-24T00:00:00"/>
    <s v="CUST23716"/>
    <x v="49"/>
    <n v="46"/>
    <x v="1"/>
    <x v="1"/>
    <x v="0"/>
    <x v="1"/>
    <x v="0"/>
    <s v="Face Cream"/>
    <n v="8"/>
    <n v="1555.78"/>
    <x v="8"/>
    <n v="16126.18"/>
    <n v="4937.0600000000004"/>
    <n v="68.28"/>
    <x v="5"/>
    <n v="3"/>
    <x v="0"/>
    <x v="0"/>
    <n v="10"/>
  </r>
  <r>
    <s v="ORD-02092"/>
    <d v="2022-07-09T00:00:00"/>
    <s v="CUST11724"/>
    <x v="381"/>
    <n v="38"/>
    <x v="1"/>
    <x v="0"/>
    <x v="3"/>
    <x v="5"/>
    <x v="5"/>
    <s v="Tea"/>
    <n v="10"/>
    <n v="282.32"/>
    <x v="38"/>
    <n v="3690.15"/>
    <n v="255.64"/>
    <n v="68.13"/>
    <x v="1"/>
    <n v="4"/>
    <x v="1"/>
    <x v="1"/>
    <n v="2"/>
  </r>
  <r>
    <s v="ORD-02330"/>
    <d v="2022-10-08T00:00:00"/>
    <s v="CUST47001"/>
    <x v="9"/>
    <n v="29"/>
    <x v="0"/>
    <x v="1"/>
    <x v="1"/>
    <x v="10"/>
    <x v="4"/>
    <s v="Cricket Bat"/>
    <n v="7"/>
    <n v="8342.2099999999991"/>
    <x v="35"/>
    <n v="46118.01"/>
    <n v="10147.74"/>
    <n v="47.94"/>
    <x v="3"/>
    <n v="5"/>
    <x v="0"/>
    <x v="0"/>
    <n v="1"/>
  </r>
  <r>
    <s v="ORD-02454"/>
    <d v="2022-11-29T00:00:00"/>
    <s v="CUST09118"/>
    <x v="131"/>
    <n v="27"/>
    <x v="0"/>
    <x v="1"/>
    <x v="3"/>
    <x v="16"/>
    <x v="4"/>
    <s v="Football"/>
    <n v="1"/>
    <n v="2937.76"/>
    <x v="16"/>
    <n v="2128.61"/>
    <n v="360.5"/>
    <n v="64.66"/>
    <x v="3"/>
    <n v="5"/>
    <x v="0"/>
    <x v="0"/>
    <n v="6"/>
  </r>
  <r>
    <s v="ORD-03101"/>
    <d v="2023-09-03T00:00:00"/>
    <s v="CUST69379"/>
    <x v="97"/>
    <n v="22"/>
    <x v="3"/>
    <x v="1"/>
    <x v="2"/>
    <x v="13"/>
    <x v="1"/>
    <s v="Bookshelf"/>
    <n v="7"/>
    <n v="31725.3"/>
    <x v="6"/>
    <n v="162459.18"/>
    <n v="38520.589999999997"/>
    <n v="64.239999999999995"/>
    <x v="1"/>
    <n v="3"/>
    <x v="0"/>
    <x v="0"/>
    <n v="3"/>
  </r>
  <r>
    <s v="ORD-02839"/>
    <d v="2023-05-21T00:00:00"/>
    <s v="CUST65852"/>
    <x v="17"/>
    <n v="21"/>
    <x v="3"/>
    <x v="1"/>
    <x v="4"/>
    <x v="18"/>
    <x v="4"/>
    <s v="Yoga Mat"/>
    <n v="7"/>
    <n v="7147.56"/>
    <x v="15"/>
    <n v="64932.35"/>
    <n v="18485.240000000002"/>
    <n v="94.91"/>
    <x v="0"/>
    <n v="5"/>
    <x v="0"/>
    <x v="0"/>
    <n v="5"/>
  </r>
  <r>
    <s v="ORD-01511"/>
    <d v="2021-11-12T00:00:00"/>
    <s v="CUST08590"/>
    <x v="138"/>
    <n v="42"/>
    <x v="1"/>
    <x v="2"/>
    <x v="3"/>
    <x v="5"/>
    <x v="5"/>
    <s v="Sugar"/>
    <n v="8"/>
    <n v="465.39"/>
    <x v="33"/>
    <n v="2501.0700000000002"/>
    <n v="173.37"/>
    <n v="89.42"/>
    <x v="4"/>
    <n v="3"/>
    <x v="0"/>
    <x v="3"/>
    <n v="2"/>
  </r>
  <r>
    <s v="ORD-00504"/>
    <d v="2020-08-11T00:00:00"/>
    <s v="CUST76030"/>
    <x v="362"/>
    <n v="37"/>
    <x v="1"/>
    <x v="1"/>
    <x v="0"/>
    <x v="2"/>
    <x v="3"/>
    <s v="Dress"/>
    <n v="10"/>
    <n v="2383.1999999999998"/>
    <x v="37"/>
    <n v="19650.37"/>
    <n v="10442.57"/>
    <n v="79.75"/>
    <x v="3"/>
    <n v="2"/>
    <x v="0"/>
    <x v="3"/>
    <n v="10"/>
  </r>
  <r>
    <s v="ORD-03891"/>
    <d v="2024-08-10T00:00:00"/>
    <s v="CUST84613"/>
    <x v="251"/>
    <n v="23"/>
    <x v="3"/>
    <x v="1"/>
    <x v="4"/>
    <x v="7"/>
    <x v="1"/>
    <s v="Desk"/>
    <n v="1"/>
    <n v="17279.95"/>
    <x v="21"/>
    <n v="15219.05"/>
    <n v="4268.25"/>
    <n v="69.91"/>
    <x v="1"/>
    <n v="4"/>
    <x v="0"/>
    <x v="2"/>
    <n v="4"/>
  </r>
  <r>
    <s v="ORD-01941"/>
    <d v="2022-05-06T00:00:00"/>
    <s v="CUST72548"/>
    <x v="155"/>
    <n v="40"/>
    <x v="1"/>
    <x v="2"/>
    <x v="1"/>
    <x v="3"/>
    <x v="0"/>
    <s v="Face Cream"/>
    <n v="5"/>
    <n v="663.74"/>
    <x v="32"/>
    <n v="4621.5200000000004"/>
    <n v="2166.11"/>
    <n v="60.08"/>
    <x v="3"/>
    <n v="2"/>
    <x v="0"/>
    <x v="0"/>
    <n v="4"/>
  </r>
  <r>
    <s v="ORD-02073"/>
    <d v="2022-07-03T00:00:00"/>
    <s v="CUST56467"/>
    <x v="316"/>
    <n v="36"/>
    <x v="1"/>
    <x v="1"/>
    <x v="1"/>
    <x v="10"/>
    <x v="0"/>
    <s v="Hair Oil"/>
    <n v="7"/>
    <n v="541.57000000000005"/>
    <x v="22"/>
    <n v="3426.91"/>
    <n v="1569.49"/>
    <n v="60.06"/>
    <x v="1"/>
    <n v="2"/>
    <x v="0"/>
    <x v="0"/>
    <n v="3"/>
  </r>
  <r>
    <s v="ORD-02253"/>
    <d v="2022-09-09T00:00:00"/>
    <s v="CUST22702"/>
    <x v="236"/>
    <n v="54"/>
    <x v="2"/>
    <x v="2"/>
    <x v="3"/>
    <x v="16"/>
    <x v="1"/>
    <s v="Wardrobe"/>
    <n v="5"/>
    <n v="26136.57"/>
    <x v="24"/>
    <n v="148485.57999999999"/>
    <n v="38154.910000000003"/>
    <n v="66.36"/>
    <x v="4"/>
    <n v="1"/>
    <x v="0"/>
    <x v="2"/>
    <n v="5"/>
  </r>
  <r>
    <s v="ORD-04062"/>
    <d v="2024-10-28T00:00:00"/>
    <s v="CUST68176"/>
    <x v="15"/>
    <n v="39"/>
    <x v="1"/>
    <x v="1"/>
    <x v="3"/>
    <x v="15"/>
    <x v="2"/>
    <s v="Self-Help Book"/>
    <n v="7"/>
    <n v="1034.1400000000001"/>
    <x v="31"/>
    <n v="6020"/>
    <n v="2601.0500000000002"/>
    <n v="80.959999999999994"/>
    <x v="2"/>
    <n v="5"/>
    <x v="0"/>
    <x v="0"/>
    <n v="9"/>
  </r>
  <r>
    <s v="ORD-03967"/>
    <d v="2024-08-09T00:00:00"/>
    <s v="CUST37272"/>
    <x v="170"/>
    <n v="52"/>
    <x v="2"/>
    <x v="2"/>
    <x v="4"/>
    <x v="17"/>
    <x v="0"/>
    <s v="Face Cream"/>
    <n v="10"/>
    <n v="1414.73"/>
    <x v="18"/>
    <n v="12821.19"/>
    <n v="7374.35"/>
    <n v="58.56"/>
    <x v="4"/>
    <n v="2"/>
    <x v="0"/>
    <x v="0"/>
    <n v="5"/>
  </r>
  <r>
    <s v="ORD-03269"/>
    <d v="2023-11-12T00:00:00"/>
    <s v="CUST63780"/>
    <x v="3"/>
    <n v="49"/>
    <x v="1"/>
    <x v="0"/>
    <x v="1"/>
    <x v="10"/>
    <x v="5"/>
    <s v="Dal (1kg)"/>
    <n v="2"/>
    <n v="53.72"/>
    <x v="30"/>
    <n v="63.44"/>
    <n v="5.23"/>
    <n v="62.93"/>
    <x v="3"/>
    <n v="2"/>
    <x v="1"/>
    <x v="1"/>
    <n v="9"/>
  </r>
  <r>
    <s v="ORD-01600"/>
    <d v="2021-12-14T00:00:00"/>
    <s v="CUST62870"/>
    <x v="298"/>
    <n v="26"/>
    <x v="0"/>
    <x v="1"/>
    <x v="1"/>
    <x v="11"/>
    <x v="5"/>
    <s v="Sugar"/>
    <n v="10"/>
    <n v="293.89"/>
    <x v="22"/>
    <n v="1212.94"/>
    <n v="128.26"/>
    <n v="43.01"/>
    <x v="5"/>
    <n v="1"/>
    <x v="0"/>
    <x v="4"/>
    <n v="6"/>
  </r>
  <r>
    <s v="ORD-01003"/>
    <d v="2021-03-31T00:00:00"/>
    <s v="CUST87374"/>
    <x v="41"/>
    <n v="30"/>
    <x v="0"/>
    <x v="2"/>
    <x v="1"/>
    <x v="11"/>
    <x v="2"/>
    <s v="Fiction Novel"/>
    <n v="3"/>
    <n v="672.84"/>
    <x v="34"/>
    <n v="1371.74"/>
    <n v="547.98"/>
    <n v="61.75"/>
    <x v="5"/>
    <n v="1"/>
    <x v="1"/>
    <x v="1"/>
    <n v="8"/>
  </r>
  <r>
    <s v="ORD-00840"/>
    <d v="2021-01-19T00:00:00"/>
    <s v="CUST21706"/>
    <x v="218"/>
    <n v="40"/>
    <x v="1"/>
    <x v="2"/>
    <x v="1"/>
    <x v="3"/>
    <x v="5"/>
    <s v="Flour"/>
    <n v="8"/>
    <n v="250.4"/>
    <x v="14"/>
    <n v="989.57"/>
    <n v="63.61"/>
    <n v="62.31"/>
    <x v="3"/>
    <n v="4"/>
    <x v="0"/>
    <x v="0"/>
    <n v="9"/>
  </r>
  <r>
    <s v="ORD-02591"/>
    <d v="2023-01-31T00:00:00"/>
    <s v="CUST31554"/>
    <x v="271"/>
    <n v="28"/>
    <x v="0"/>
    <x v="2"/>
    <x v="0"/>
    <x v="1"/>
    <x v="6"/>
    <s v="Camera"/>
    <n v="7"/>
    <n v="67056.12"/>
    <x v="31"/>
    <n v="386566.32"/>
    <n v="40666.720000000001"/>
    <n v="42.69"/>
    <x v="4"/>
    <n v="2"/>
    <x v="0"/>
    <x v="4"/>
    <n v="7"/>
  </r>
  <r>
    <s v="ORD-02071"/>
    <d v="2022-07-03T00:00:00"/>
    <s v="CUST84689"/>
    <x v="370"/>
    <n v="25"/>
    <x v="3"/>
    <x v="1"/>
    <x v="0"/>
    <x v="0"/>
    <x v="0"/>
    <s v="Lipstick"/>
    <n v="10"/>
    <n v="718.67"/>
    <x v="18"/>
    <n v="6934.59"/>
    <n v="2686.48"/>
    <n v="47.47"/>
    <x v="2"/>
    <n v="4"/>
    <x v="0"/>
    <x v="0"/>
    <n v="6"/>
  </r>
  <r>
    <s v="ORD-01919"/>
    <d v="2022-04-28T00:00:00"/>
    <s v="CUST47510"/>
    <x v="41"/>
    <n v="37"/>
    <x v="1"/>
    <x v="2"/>
    <x v="3"/>
    <x v="16"/>
    <x v="5"/>
    <s v="Flour"/>
    <n v="2"/>
    <n v="104.13"/>
    <x v="40"/>
    <n v="155.91"/>
    <n v="16.21"/>
    <n v="58.21"/>
    <x v="1"/>
    <n v="3"/>
    <x v="1"/>
    <x v="1"/>
    <n v="10"/>
  </r>
  <r>
    <s v="ORD-03702"/>
    <d v="2024-05-26T00:00:00"/>
    <s v="CUST35943"/>
    <x v="45"/>
    <n v="44"/>
    <x v="1"/>
    <x v="1"/>
    <x v="2"/>
    <x v="4"/>
    <x v="0"/>
    <s v="Face Cream"/>
    <n v="5"/>
    <n v="678.22"/>
    <x v="14"/>
    <n v="3655.87"/>
    <n v="1361.71"/>
    <n v="56.46"/>
    <x v="1"/>
    <n v="2"/>
    <x v="0"/>
    <x v="3"/>
    <n v="3"/>
  </r>
  <r>
    <s v="ORD-00108"/>
    <d v="2020-02-10T00:00:00"/>
    <s v="CUST71620"/>
    <x v="124"/>
    <n v="26"/>
    <x v="0"/>
    <x v="0"/>
    <x v="4"/>
    <x v="17"/>
    <x v="1"/>
    <s v="Wardrobe"/>
    <n v="10"/>
    <n v="26170.61"/>
    <x v="1"/>
    <n v="206121.15"/>
    <n v="64822.6"/>
    <n v="51.37"/>
    <x v="2"/>
    <n v="5"/>
    <x v="0"/>
    <x v="2"/>
    <n v="10"/>
  </r>
  <r>
    <s v="ORD-02438"/>
    <d v="2022-11-24T00:00:00"/>
    <s v="CUST92064"/>
    <x v="369"/>
    <n v="30"/>
    <x v="0"/>
    <x v="0"/>
    <x v="0"/>
    <x v="0"/>
    <x v="6"/>
    <s v="Laptop"/>
    <n v="10"/>
    <n v="42734.97"/>
    <x v="36"/>
    <n v="285560.12"/>
    <n v="41480.81"/>
    <n v="68.69"/>
    <x v="5"/>
    <n v="4"/>
    <x v="0"/>
    <x v="0"/>
    <n v="6"/>
  </r>
  <r>
    <s v="ORD-03363"/>
    <d v="2023-12-26T00:00:00"/>
    <s v="CUST98456"/>
    <x v="14"/>
    <n v="40"/>
    <x v="1"/>
    <x v="2"/>
    <x v="4"/>
    <x v="18"/>
    <x v="1"/>
    <s v="Desk"/>
    <n v="1"/>
    <n v="8061.02"/>
    <x v="27"/>
    <n v="5002.7"/>
    <n v="1155.06"/>
    <n v="108.12"/>
    <x v="3"/>
    <n v="4"/>
    <x v="0"/>
    <x v="2"/>
    <n v="6"/>
  </r>
  <r>
    <s v="ORD-01678"/>
    <d v="2022-01-19T00:00:00"/>
    <s v="CUST69653"/>
    <x v="153"/>
    <n v="25"/>
    <x v="3"/>
    <x v="0"/>
    <x v="0"/>
    <x v="2"/>
    <x v="4"/>
    <s v="Yoga Mat"/>
    <n v="10"/>
    <n v="14755.73"/>
    <x v="30"/>
    <n v="79877.72"/>
    <n v="17279.41"/>
    <n v="54.29"/>
    <x v="0"/>
    <n v="5"/>
    <x v="0"/>
    <x v="0"/>
    <n v="6"/>
  </r>
  <r>
    <s v="ORD-01163"/>
    <d v="2021-06-05T00:00:00"/>
    <s v="CUST43541"/>
    <x v="309"/>
    <n v="36"/>
    <x v="1"/>
    <x v="0"/>
    <x v="0"/>
    <x v="0"/>
    <x v="3"/>
    <s v="T-Shirt"/>
    <n v="3"/>
    <n v="3190.15"/>
    <x v="1"/>
    <n v="12589.64"/>
    <n v="3253.84"/>
    <n v="41"/>
    <x v="4"/>
    <n v="1"/>
    <x v="0"/>
    <x v="0"/>
    <n v="6"/>
  </r>
  <r>
    <s v="ORD-02426"/>
    <d v="2022-11-15T00:00:00"/>
    <s v="CUST17865"/>
    <x v="385"/>
    <n v="32"/>
    <x v="0"/>
    <x v="2"/>
    <x v="4"/>
    <x v="7"/>
    <x v="5"/>
    <s v="Sugar"/>
    <n v="5"/>
    <n v="450.47"/>
    <x v="25"/>
    <n v="1325.61"/>
    <n v="106.62"/>
    <n v="50.58"/>
    <x v="2"/>
    <n v="5"/>
    <x v="0"/>
    <x v="2"/>
    <n v="7"/>
  </r>
  <r>
    <s v="ORD-03152"/>
    <d v="2023-09-28T00:00:00"/>
    <s v="CUST23783"/>
    <x v="221"/>
    <n v="29"/>
    <x v="0"/>
    <x v="1"/>
    <x v="0"/>
    <x v="1"/>
    <x v="2"/>
    <s v="Fiction Novel"/>
    <n v="7"/>
    <n v="606.80999999999995"/>
    <x v="8"/>
    <n v="4234.6400000000003"/>
    <n v="1593.45"/>
    <n v="88.92"/>
    <x v="1"/>
    <n v="4"/>
    <x v="0"/>
    <x v="3"/>
    <n v="3"/>
  </r>
  <r>
    <s v="ORD-01874"/>
    <d v="2022-04-07T00:00:00"/>
    <s v="CUST43568"/>
    <x v="142"/>
    <n v="56"/>
    <x v="2"/>
    <x v="0"/>
    <x v="3"/>
    <x v="15"/>
    <x v="2"/>
    <s v="Textbook"/>
    <n v="10"/>
    <n v="781.54"/>
    <x v="22"/>
    <n v="5556.24"/>
    <n v="2168.6999999999998"/>
    <n v="78.77"/>
    <x v="5"/>
    <n v="5"/>
    <x v="0"/>
    <x v="0"/>
    <n v="4"/>
  </r>
  <r>
    <s v="ORD-03082"/>
    <d v="2023-08-24T00:00:00"/>
    <s v="CUST93135"/>
    <x v="56"/>
    <n v="33"/>
    <x v="0"/>
    <x v="0"/>
    <x v="4"/>
    <x v="7"/>
    <x v="3"/>
    <s v="Dress"/>
    <n v="10"/>
    <n v="3548.29"/>
    <x v="30"/>
    <n v="32142.13"/>
    <n v="13918.96"/>
    <n v="75.2"/>
    <x v="5"/>
    <n v="3"/>
    <x v="0"/>
    <x v="4"/>
    <n v="8"/>
  </r>
  <r>
    <s v="ORD-02336"/>
    <d v="2022-10-10T00:00:00"/>
    <s v="CUST70109"/>
    <x v="380"/>
    <n v="52"/>
    <x v="2"/>
    <x v="2"/>
    <x v="0"/>
    <x v="2"/>
    <x v="5"/>
    <s v="Tea"/>
    <n v="8"/>
    <n v="473.63"/>
    <x v="34"/>
    <n v="3088.56"/>
    <n v="221.64"/>
    <n v="49.07"/>
    <x v="5"/>
    <n v="5"/>
    <x v="0"/>
    <x v="3"/>
    <n v="9"/>
  </r>
  <r>
    <s v="ORD-03941"/>
    <d v="2024-08-26T00:00:00"/>
    <s v="CUST54628"/>
    <x v="77"/>
    <n v="51"/>
    <x v="2"/>
    <x v="1"/>
    <x v="4"/>
    <x v="8"/>
    <x v="1"/>
    <s v="Desk"/>
    <n v="2"/>
    <n v="17035.150000000001"/>
    <x v="33"/>
    <n v="43451.64"/>
    <n v="9088.2999999999993"/>
    <n v="103.64"/>
    <x v="0"/>
    <n v="1"/>
    <x v="0"/>
    <x v="0"/>
    <n v="3"/>
  </r>
  <r>
    <s v="ORD-02699"/>
    <d v="2023-03-15T00:00:00"/>
    <s v="CUST30292"/>
    <x v="213"/>
    <n v="45"/>
    <x v="1"/>
    <x v="1"/>
    <x v="2"/>
    <x v="4"/>
    <x v="4"/>
    <s v="Tennis Racket"/>
    <n v="2"/>
    <n v="7389.74"/>
    <x v="17"/>
    <n v="13163.06"/>
    <n v="2642.15"/>
    <n v="49.76"/>
    <x v="0"/>
    <n v="4"/>
    <x v="1"/>
    <x v="1"/>
    <n v="6"/>
  </r>
  <r>
    <s v="ORD-03348"/>
    <d v="2023-12-19T00:00:00"/>
    <s v="CUST22988"/>
    <x v="369"/>
    <n v="55"/>
    <x v="2"/>
    <x v="1"/>
    <x v="1"/>
    <x v="10"/>
    <x v="5"/>
    <s v="Rice (5kg)"/>
    <n v="10"/>
    <n v="135.28"/>
    <x v="38"/>
    <n v="1099.56"/>
    <n v="117.16"/>
    <n v="52.31"/>
    <x v="2"/>
    <n v="4"/>
    <x v="0"/>
    <x v="2"/>
    <n v="8"/>
  </r>
  <r>
    <s v="ORD-01072"/>
    <d v="2021-04-29T00:00:00"/>
    <s v="CUST97294"/>
    <x v="189"/>
    <n v="37"/>
    <x v="1"/>
    <x v="1"/>
    <x v="3"/>
    <x v="15"/>
    <x v="4"/>
    <s v="Cricket Bat"/>
    <n v="1"/>
    <n v="14885.78"/>
    <x v="21"/>
    <n v="12389.87"/>
    <n v="1669.38"/>
    <n v="87.48"/>
    <x v="2"/>
    <n v="3"/>
    <x v="0"/>
    <x v="2"/>
    <n v="5"/>
  </r>
  <r>
    <s v="ORD-03476"/>
    <d v="2024-02-17T00:00:00"/>
    <s v="CUST72336"/>
    <x v="183"/>
    <n v="43"/>
    <x v="1"/>
    <x v="0"/>
    <x v="2"/>
    <x v="14"/>
    <x v="2"/>
    <s v="Textbook"/>
    <n v="1"/>
    <n v="649.08000000000004"/>
    <x v="16"/>
    <n v="649.52"/>
    <n v="331.12"/>
    <n v="65.5"/>
    <x v="4"/>
    <n v="4"/>
    <x v="0"/>
    <x v="4"/>
    <n v="1"/>
  </r>
  <r>
    <s v="ORD-02102"/>
    <d v="2022-07-14T00:00:00"/>
    <s v="CUST33411"/>
    <x v="79"/>
    <n v="48"/>
    <x v="1"/>
    <x v="0"/>
    <x v="4"/>
    <x v="7"/>
    <x v="4"/>
    <s v="Yoga Mat"/>
    <n v="9"/>
    <n v="3817.71"/>
    <x v="15"/>
    <n v="41379.360000000001"/>
    <n v="8384.06"/>
    <n v="104.35"/>
    <x v="4"/>
    <n v="5"/>
    <x v="0"/>
    <x v="0"/>
    <n v="9"/>
  </r>
  <r>
    <s v="ORD-01099"/>
    <d v="2021-05-11T00:00:00"/>
    <s v="CUST12441"/>
    <x v="183"/>
    <n v="41"/>
    <x v="1"/>
    <x v="2"/>
    <x v="4"/>
    <x v="18"/>
    <x v="3"/>
    <s v="Kurta"/>
    <n v="6"/>
    <n v="1254.6400000000001"/>
    <x v="13"/>
    <n v="10261.459999999999"/>
    <n v="3117.09"/>
    <n v="62.14"/>
    <x v="4"/>
    <n v="5"/>
    <x v="0"/>
    <x v="3"/>
    <n v="1"/>
  </r>
  <r>
    <s v="ORD-02387"/>
    <d v="2022-10-30T00:00:00"/>
    <s v="CUST50482"/>
    <x v="366"/>
    <n v="26"/>
    <x v="0"/>
    <x v="2"/>
    <x v="4"/>
    <x v="8"/>
    <x v="4"/>
    <s v="Yoga Mat"/>
    <n v="8"/>
    <n v="10568.63"/>
    <x v="11"/>
    <n v="55630.33"/>
    <n v="14348.89"/>
    <n v="77.59"/>
    <x v="0"/>
    <n v="4"/>
    <x v="0"/>
    <x v="0"/>
    <n v="1"/>
  </r>
  <r>
    <s v="ORD-00046"/>
    <d v="2020-01-18T00:00:00"/>
    <s v="CUST01705"/>
    <x v="337"/>
    <n v="29"/>
    <x v="0"/>
    <x v="2"/>
    <x v="0"/>
    <x v="19"/>
    <x v="3"/>
    <s v="Dress"/>
    <n v="1"/>
    <n v="2597.86"/>
    <x v="3"/>
    <n v="1513.98"/>
    <n v="537.04999999999995"/>
    <n v="56.63"/>
    <x v="2"/>
    <n v="4"/>
    <x v="0"/>
    <x v="2"/>
    <n v="8"/>
  </r>
  <r>
    <s v="ORD-03443"/>
    <d v="2024-02-01T00:00:00"/>
    <s v="CUST29477"/>
    <x v="114"/>
    <n v="51"/>
    <x v="2"/>
    <x v="2"/>
    <x v="4"/>
    <x v="7"/>
    <x v="4"/>
    <s v="Cycle"/>
    <n v="6"/>
    <n v="5856.01"/>
    <x v="20"/>
    <n v="26851.31"/>
    <n v="8697.76"/>
    <n v="63.02"/>
    <x v="0"/>
    <n v="3"/>
    <x v="0"/>
    <x v="0"/>
    <n v="2"/>
  </r>
  <r>
    <s v="ORD-03335"/>
    <d v="2023-12-13T00:00:00"/>
    <s v="CUST09205"/>
    <x v="293"/>
    <n v="38"/>
    <x v="1"/>
    <x v="1"/>
    <x v="4"/>
    <x v="17"/>
    <x v="5"/>
    <s v="Rice (5kg)"/>
    <n v="8"/>
    <n v="117.19"/>
    <x v="20"/>
    <n v="525.6"/>
    <n v="50.27"/>
    <n v="74.25"/>
    <x v="1"/>
    <n v="5"/>
    <x v="0"/>
    <x v="0"/>
    <n v="8"/>
  </r>
  <r>
    <s v="ORD-01985"/>
    <d v="2022-05-26T00:00:00"/>
    <s v="CUST62252"/>
    <x v="121"/>
    <n v="22"/>
    <x v="3"/>
    <x v="0"/>
    <x v="1"/>
    <x v="3"/>
    <x v="4"/>
    <s v="Dumbbells"/>
    <n v="4"/>
    <n v="871.51"/>
    <x v="22"/>
    <n v="3475.68"/>
    <n v="572.32000000000005"/>
    <n v="44.83"/>
    <x v="4"/>
    <n v="3"/>
    <x v="0"/>
    <x v="0"/>
    <n v="3"/>
  </r>
  <r>
    <s v="ORD-03651"/>
    <d v="2024-05-05T00:00:00"/>
    <s v="CUST95089"/>
    <x v="68"/>
    <n v="40"/>
    <x v="1"/>
    <x v="2"/>
    <x v="1"/>
    <x v="10"/>
    <x v="0"/>
    <s v="Sunscreen"/>
    <n v="8"/>
    <n v="1207.93"/>
    <x v="26"/>
    <n v="11716.75"/>
    <n v="4482.22"/>
    <n v="60.34"/>
    <x v="1"/>
    <n v="5"/>
    <x v="0"/>
    <x v="0"/>
    <n v="4"/>
  </r>
  <r>
    <s v="ORD-00855"/>
    <d v="2021-01-25T00:00:00"/>
    <s v="CUST20377"/>
    <x v="298"/>
    <n v="33"/>
    <x v="0"/>
    <x v="1"/>
    <x v="3"/>
    <x v="12"/>
    <x v="0"/>
    <s v="Face Cream"/>
    <n v="9"/>
    <n v="1589.89"/>
    <x v="0"/>
    <n v="10590.69"/>
    <n v="5434.65"/>
    <n v="87.21"/>
    <x v="2"/>
    <n v="4"/>
    <x v="0"/>
    <x v="0"/>
    <n v="4"/>
  </r>
  <r>
    <s v="ORD-02036"/>
    <d v="2022-06-16T00:00:00"/>
    <s v="CUST01271"/>
    <x v="41"/>
    <n v="21"/>
    <x v="3"/>
    <x v="2"/>
    <x v="4"/>
    <x v="18"/>
    <x v="5"/>
    <s v="Cooking Oil"/>
    <n v="9"/>
    <n v="468.64"/>
    <x v="11"/>
    <n v="5155.01"/>
    <n v="228.82"/>
    <n v="46.36"/>
    <x v="3"/>
    <n v="4"/>
    <x v="0"/>
    <x v="0"/>
    <n v="5"/>
  </r>
  <r>
    <s v="ORD-02142"/>
    <d v="2022-07-29T00:00:00"/>
    <s v="CUST09685"/>
    <x v="89"/>
    <n v="42"/>
    <x v="1"/>
    <x v="2"/>
    <x v="2"/>
    <x v="13"/>
    <x v="4"/>
    <s v="Yoga Mat"/>
    <n v="3"/>
    <n v="7955.73"/>
    <x v="3"/>
    <n v="26168.55"/>
    <n v="5570.15"/>
    <n v="48.56"/>
    <x v="0"/>
    <n v="1"/>
    <x v="0"/>
    <x v="0"/>
    <n v="2"/>
  </r>
  <r>
    <s v="ORD-00033"/>
    <d v="2020-01-12T00:00:00"/>
    <s v="CUST74345"/>
    <x v="258"/>
    <n v="18"/>
    <x v="3"/>
    <x v="0"/>
    <x v="4"/>
    <x v="17"/>
    <x v="2"/>
    <s v="Textbook"/>
    <n v="2"/>
    <n v="626.54"/>
    <x v="11"/>
    <n v="805.43"/>
    <n v="364.25"/>
    <n v="56.69"/>
    <x v="4"/>
    <n v="3"/>
    <x v="0"/>
    <x v="0"/>
    <n v="8"/>
  </r>
  <r>
    <s v="ORD-00019"/>
    <d v="2020-01-07T00:00:00"/>
    <s v="CUST27279"/>
    <x v="92"/>
    <n v="26"/>
    <x v="0"/>
    <x v="0"/>
    <x v="1"/>
    <x v="10"/>
    <x v="5"/>
    <s v="Sugar"/>
    <n v="6"/>
    <n v="435.26"/>
    <x v="27"/>
    <n v="1450.57"/>
    <n v="128.4"/>
    <n v="57.95"/>
    <x v="5"/>
    <n v="5"/>
    <x v="0"/>
    <x v="4"/>
    <n v="3"/>
  </r>
  <r>
    <s v="ORD-00248"/>
    <d v="2020-04-20T00:00:00"/>
    <s v="CUST27111"/>
    <x v="379"/>
    <n v="39"/>
    <x v="1"/>
    <x v="0"/>
    <x v="0"/>
    <x v="19"/>
    <x v="1"/>
    <s v="Bed Frame"/>
    <n v="9"/>
    <n v="20578.89"/>
    <x v="39"/>
    <n v="193354.91"/>
    <n v="46837.64"/>
    <n v="76.42"/>
    <x v="1"/>
    <n v="2"/>
    <x v="0"/>
    <x v="0"/>
    <n v="1"/>
  </r>
  <r>
    <s v="ORD-02489"/>
    <d v="2022-12-16T00:00:00"/>
    <s v="CUST09533"/>
    <x v="187"/>
    <n v="46"/>
    <x v="1"/>
    <x v="1"/>
    <x v="1"/>
    <x v="3"/>
    <x v="4"/>
    <s v="Football"/>
    <n v="8"/>
    <n v="2230.31"/>
    <x v="37"/>
    <n v="11449.66"/>
    <n v="2516.27"/>
    <n v="57.84"/>
    <x v="4"/>
    <n v="2"/>
    <x v="0"/>
    <x v="4"/>
    <n v="5"/>
  </r>
  <r>
    <s v="ORD-01253"/>
    <d v="2021-07-19T00:00:00"/>
    <s v="CUST22505"/>
    <x v="386"/>
    <n v="31"/>
    <x v="0"/>
    <x v="0"/>
    <x v="4"/>
    <x v="8"/>
    <x v="5"/>
    <s v="Rice (5kg)"/>
    <n v="5"/>
    <n v="443.63"/>
    <x v="21"/>
    <n v="1854.03"/>
    <n v="166.1"/>
    <n v="43.69"/>
    <x v="2"/>
    <n v="2"/>
    <x v="1"/>
    <x v="1"/>
    <n v="2"/>
  </r>
  <r>
    <s v="ORD-00196"/>
    <d v="2020-03-28T00:00:00"/>
    <s v="CUST37557"/>
    <x v="75"/>
    <n v="45"/>
    <x v="1"/>
    <x v="1"/>
    <x v="0"/>
    <x v="2"/>
    <x v="3"/>
    <s v="Kurta"/>
    <n v="1"/>
    <n v="1971.81"/>
    <x v="28"/>
    <n v="1592.69"/>
    <n v="732.33"/>
    <n v="57.58"/>
    <x v="1"/>
    <n v="1"/>
    <x v="0"/>
    <x v="0"/>
    <n v="6"/>
  </r>
  <r>
    <s v="ORD-02698"/>
    <d v="2023-03-15T00:00:00"/>
    <s v="CUST60455"/>
    <x v="29"/>
    <n v="40"/>
    <x v="1"/>
    <x v="0"/>
    <x v="2"/>
    <x v="14"/>
    <x v="2"/>
    <s v="Biography"/>
    <n v="10"/>
    <n v="1452.95"/>
    <x v="5"/>
    <n v="18658.740000000002"/>
    <n v="5761.15"/>
    <n v="57.81"/>
    <x v="5"/>
    <n v="3"/>
    <x v="0"/>
    <x v="0"/>
    <n v="2"/>
  </r>
  <r>
    <s v="ORD-01346"/>
    <d v="2021-08-27T00:00:00"/>
    <s v="CUST63670"/>
    <x v="78"/>
    <n v="53"/>
    <x v="2"/>
    <x v="0"/>
    <x v="2"/>
    <x v="14"/>
    <x v="1"/>
    <s v="Desk"/>
    <n v="10"/>
    <n v="20350.98"/>
    <x v="3"/>
    <n v="218880.02"/>
    <n v="43493.86"/>
    <n v="69.86"/>
    <x v="1"/>
    <n v="1"/>
    <x v="0"/>
    <x v="0"/>
    <n v="5"/>
  </r>
  <r>
    <s v="ORD-00114"/>
    <d v="2020-02-11T00:00:00"/>
    <s v="CUST09240"/>
    <x v="203"/>
    <n v="30"/>
    <x v="0"/>
    <x v="0"/>
    <x v="2"/>
    <x v="9"/>
    <x v="2"/>
    <s v="Textbook"/>
    <n v="9"/>
    <n v="334.26"/>
    <x v="30"/>
    <n v="1656.41"/>
    <n v="547.21"/>
    <n v="64.37"/>
    <x v="3"/>
    <n v="3"/>
    <x v="1"/>
    <x v="1"/>
    <n v="9"/>
  </r>
  <r>
    <s v="ORD-01751"/>
    <d v="2022-02-16T00:00:00"/>
    <s v="CUST01506"/>
    <x v="267"/>
    <n v="36"/>
    <x v="1"/>
    <x v="2"/>
    <x v="3"/>
    <x v="12"/>
    <x v="5"/>
    <s v="Flour"/>
    <n v="10"/>
    <n v="340.07"/>
    <x v="24"/>
    <n v="3411.77"/>
    <n v="221.45"/>
    <n v="94.4"/>
    <x v="4"/>
    <n v="1"/>
    <x v="0"/>
    <x v="0"/>
    <n v="10"/>
  </r>
  <r>
    <s v="ORD-03697"/>
    <d v="2024-05-24T00:00:00"/>
    <s v="CUST35363"/>
    <x v="77"/>
    <n v="43"/>
    <x v="1"/>
    <x v="1"/>
    <x v="1"/>
    <x v="10"/>
    <x v="2"/>
    <s v="Textbook"/>
    <n v="8"/>
    <n v="734.35"/>
    <x v="25"/>
    <n v="6592.36"/>
    <n v="2327.04"/>
    <n v="53.13"/>
    <x v="4"/>
    <n v="3"/>
    <x v="0"/>
    <x v="0"/>
    <n v="1"/>
  </r>
  <r>
    <s v="ORD-02056"/>
    <d v="2022-06-25T00:00:00"/>
    <s v="CUST33480"/>
    <x v="245"/>
    <n v="31"/>
    <x v="0"/>
    <x v="1"/>
    <x v="0"/>
    <x v="1"/>
    <x v="4"/>
    <s v="Yoga Mat"/>
    <n v="1"/>
    <n v="12201.41"/>
    <x v="22"/>
    <n v="11448.72"/>
    <n v="2473.09"/>
    <n v="54.83"/>
    <x v="1"/>
    <n v="1"/>
    <x v="0"/>
    <x v="0"/>
    <n v="5"/>
  </r>
  <r>
    <s v="ORD-03879"/>
    <d v="2024-08-09T00:00:00"/>
    <s v="CUST22795"/>
    <x v="221"/>
    <n v="18"/>
    <x v="3"/>
    <x v="0"/>
    <x v="4"/>
    <x v="18"/>
    <x v="3"/>
    <s v="Jeans"/>
    <n v="9"/>
    <n v="892.19"/>
    <x v="10"/>
    <n v="6933.33"/>
    <n v="3107.54"/>
    <n v="67.17"/>
    <x v="1"/>
    <n v="2"/>
    <x v="0"/>
    <x v="0"/>
    <n v="10"/>
  </r>
  <r>
    <s v="ORD-03514"/>
    <d v="2024-03-08T00:00:00"/>
    <s v="CUST77487"/>
    <x v="116"/>
    <n v="32"/>
    <x v="0"/>
    <x v="2"/>
    <x v="0"/>
    <x v="19"/>
    <x v="5"/>
    <s v="Tea"/>
    <n v="3"/>
    <n v="248.9"/>
    <x v="24"/>
    <n v="937.24"/>
    <n v="91.65"/>
    <n v="73.94"/>
    <x v="3"/>
    <n v="4"/>
    <x v="0"/>
    <x v="0"/>
    <n v="6"/>
  </r>
  <r>
    <s v="ORD-03201"/>
    <d v="2023-10-16T00:00:00"/>
    <s v="CUST99262"/>
    <x v="40"/>
    <n v="19"/>
    <x v="3"/>
    <x v="0"/>
    <x v="2"/>
    <x v="13"/>
    <x v="3"/>
    <s v="Kurta"/>
    <n v="7"/>
    <n v="1104.26"/>
    <x v="19"/>
    <n v="6551.79"/>
    <n v="2415.7399999999998"/>
    <n v="58.32"/>
    <x v="0"/>
    <n v="3"/>
    <x v="0"/>
    <x v="0"/>
    <n v="1"/>
  </r>
  <r>
    <s v="ORD-03641"/>
    <d v="2024-05-02T00:00:00"/>
    <s v="CUST69845"/>
    <x v="28"/>
    <n v="25"/>
    <x v="3"/>
    <x v="2"/>
    <x v="2"/>
    <x v="13"/>
    <x v="0"/>
    <s v="Face Cream"/>
    <n v="4"/>
    <n v="867.46"/>
    <x v="3"/>
    <n v="4462.82"/>
    <n v="2376.0500000000002"/>
    <n v="52.4"/>
    <x v="0"/>
    <n v="2"/>
    <x v="0"/>
    <x v="0"/>
    <n v="7"/>
  </r>
  <r>
    <s v="ORD-00005"/>
    <d v="2020-01-02T00:00:00"/>
    <s v="CUST66045"/>
    <x v="177"/>
    <n v="45"/>
    <x v="1"/>
    <x v="1"/>
    <x v="3"/>
    <x v="16"/>
    <x v="2"/>
    <s v="Textbook"/>
    <n v="6"/>
    <n v="682.59"/>
    <x v="3"/>
    <n v="2460.25"/>
    <n v="680.71"/>
    <n v="76.22"/>
    <x v="0"/>
    <n v="1"/>
    <x v="1"/>
    <x v="1"/>
    <n v="3"/>
  </r>
  <r>
    <s v="ORD-00413"/>
    <d v="2020-07-01T00:00:00"/>
    <s v="CUST24888"/>
    <x v="159"/>
    <n v="30"/>
    <x v="0"/>
    <x v="0"/>
    <x v="3"/>
    <x v="12"/>
    <x v="0"/>
    <s v="Sunscreen"/>
    <n v="9"/>
    <n v="2148.56"/>
    <x v="19"/>
    <n v="20282.55"/>
    <n v="9481.52"/>
    <n v="85.42"/>
    <x v="5"/>
    <n v="5"/>
    <x v="0"/>
    <x v="0"/>
    <n v="6"/>
  </r>
  <r>
    <s v="ORD-02231"/>
    <d v="2022-08-30T00:00:00"/>
    <s v="CUST06734"/>
    <x v="209"/>
    <n v="26"/>
    <x v="0"/>
    <x v="2"/>
    <x v="3"/>
    <x v="12"/>
    <x v="6"/>
    <s v="Camera"/>
    <n v="7"/>
    <n v="49602.62"/>
    <x v="0"/>
    <n v="439375.74"/>
    <n v="57634.77"/>
    <n v="76.260000000000005"/>
    <x v="1"/>
    <n v="4"/>
    <x v="1"/>
    <x v="1"/>
    <n v="7"/>
  </r>
  <r>
    <s v="ORD-01431"/>
    <d v="2021-10-07T00:00:00"/>
    <s v="CUST03275"/>
    <x v="282"/>
    <n v="42"/>
    <x v="1"/>
    <x v="2"/>
    <x v="0"/>
    <x v="2"/>
    <x v="6"/>
    <s v="Smartwatch"/>
    <n v="8"/>
    <n v="32618.21"/>
    <x v="27"/>
    <n v="175909.3"/>
    <n v="22171.54"/>
    <n v="80.63"/>
    <x v="3"/>
    <n v="5"/>
    <x v="0"/>
    <x v="0"/>
    <n v="2"/>
  </r>
  <r>
    <s v="ORD-03100"/>
    <d v="2023-09-01T00:00:00"/>
    <s v="CUST55749"/>
    <x v="63"/>
    <n v="38"/>
    <x v="1"/>
    <x v="1"/>
    <x v="0"/>
    <x v="1"/>
    <x v="5"/>
    <s v="Rice (5kg)"/>
    <n v="1"/>
    <n v="166.38"/>
    <x v="38"/>
    <n v="187.22"/>
    <n v="18.5"/>
    <n v="57.01"/>
    <x v="0"/>
    <n v="5"/>
    <x v="0"/>
    <x v="0"/>
    <n v="7"/>
  </r>
  <r>
    <s v="ORD-00024"/>
    <d v="2020-01-10T00:00:00"/>
    <s v="CUST27593"/>
    <x v="328"/>
    <n v="23"/>
    <x v="3"/>
    <x v="0"/>
    <x v="4"/>
    <x v="7"/>
    <x v="4"/>
    <s v="Yoga Mat"/>
    <n v="9"/>
    <n v="14375.13"/>
    <x v="36"/>
    <n v="85772.89"/>
    <n v="14206.15"/>
    <n v="58.57"/>
    <x v="5"/>
    <n v="5"/>
    <x v="0"/>
    <x v="0"/>
    <n v="2"/>
  </r>
  <r>
    <s v="ORD-03041"/>
    <d v="2023-08-08T00:00:00"/>
    <s v="CUST35537"/>
    <x v="350"/>
    <n v="24"/>
    <x v="3"/>
    <x v="0"/>
    <x v="1"/>
    <x v="6"/>
    <x v="1"/>
    <s v="Chair"/>
    <n v="4"/>
    <n v="33469.07"/>
    <x v="4"/>
    <n v="211554.01"/>
    <n v="60337.15"/>
    <n v="33.54"/>
    <x v="1"/>
    <n v="3"/>
    <x v="1"/>
    <x v="1"/>
    <n v="8"/>
  </r>
  <r>
    <s v="ORD-02422"/>
    <d v="2022-11-12T00:00:00"/>
    <s v="CUST80806"/>
    <x v="286"/>
    <n v="26"/>
    <x v="0"/>
    <x v="0"/>
    <x v="2"/>
    <x v="4"/>
    <x v="3"/>
    <s v="Dress"/>
    <n v="6"/>
    <n v="2781.83"/>
    <x v="14"/>
    <n v="10384.52"/>
    <n v="3543.82"/>
    <n v="47.91"/>
    <x v="3"/>
    <n v="2"/>
    <x v="0"/>
    <x v="0"/>
    <n v="3"/>
  </r>
  <r>
    <s v="ORD-02615"/>
    <d v="2023-02-10T00:00:00"/>
    <s v="CUST36242"/>
    <x v="253"/>
    <n v="38"/>
    <x v="1"/>
    <x v="2"/>
    <x v="2"/>
    <x v="13"/>
    <x v="3"/>
    <s v="Jeans"/>
    <n v="9"/>
    <n v="924.21"/>
    <x v="15"/>
    <n v="6848.48"/>
    <n v="2169.66"/>
    <n v="33.880000000000003"/>
    <x v="0"/>
    <n v="4"/>
    <x v="0"/>
    <x v="0"/>
    <n v="6"/>
  </r>
  <r>
    <s v="ORD-04133"/>
    <d v="2024-12-02T00:00:00"/>
    <s v="CUST61673"/>
    <x v="269"/>
    <n v="42"/>
    <x v="1"/>
    <x v="2"/>
    <x v="1"/>
    <x v="6"/>
    <x v="4"/>
    <s v="Tennis Racket"/>
    <n v="5"/>
    <n v="6804.29"/>
    <x v="36"/>
    <n v="29844.9"/>
    <n v="8007.3"/>
    <n v="38.07"/>
    <x v="1"/>
    <n v="5"/>
    <x v="0"/>
    <x v="0"/>
    <n v="6"/>
  </r>
  <r>
    <s v="ORD-00027"/>
    <d v="2020-01-11T00:00:00"/>
    <s v="CUST34383"/>
    <x v="359"/>
    <n v="20"/>
    <x v="3"/>
    <x v="2"/>
    <x v="0"/>
    <x v="19"/>
    <x v="4"/>
    <s v="Football"/>
    <n v="5"/>
    <n v="2324.58"/>
    <x v="33"/>
    <n v="8032.2"/>
    <n v="1662.26"/>
    <n v="52.62"/>
    <x v="1"/>
    <n v="3"/>
    <x v="0"/>
    <x v="2"/>
    <n v="4"/>
  </r>
  <r>
    <s v="ORD-00421"/>
    <d v="2020-07-05T00:00:00"/>
    <s v="CUST80414"/>
    <x v="249"/>
    <n v="40"/>
    <x v="1"/>
    <x v="1"/>
    <x v="1"/>
    <x v="6"/>
    <x v="0"/>
    <s v="Face Cream"/>
    <n v="6"/>
    <n v="682.35"/>
    <x v="7"/>
    <n v="4243.13"/>
    <n v="2395.37"/>
    <n v="66.53"/>
    <x v="2"/>
    <n v="3"/>
    <x v="0"/>
    <x v="0"/>
    <n v="5"/>
  </r>
  <r>
    <s v="ORD-00603"/>
    <d v="2020-09-26T00:00:00"/>
    <s v="CUST11712"/>
    <x v="39"/>
    <n v="44"/>
    <x v="1"/>
    <x v="0"/>
    <x v="1"/>
    <x v="6"/>
    <x v="0"/>
    <s v="Face Cream"/>
    <n v="9"/>
    <n v="2256.35"/>
    <x v="35"/>
    <n v="13508.5"/>
    <n v="7604.3"/>
    <n v="80.48"/>
    <x v="2"/>
    <n v="5"/>
    <x v="1"/>
    <x v="1"/>
    <n v="2"/>
  </r>
  <r>
    <s v="ORD-03058"/>
    <d v="2023-08-17T00:00:00"/>
    <s v="CUST75687"/>
    <x v="209"/>
    <n v="48"/>
    <x v="1"/>
    <x v="1"/>
    <x v="4"/>
    <x v="18"/>
    <x v="3"/>
    <s v="Jacket"/>
    <n v="4"/>
    <n v="2277.17"/>
    <x v="36"/>
    <n v="10944.9"/>
    <n v="4259.5600000000004"/>
    <n v="68.14"/>
    <x v="2"/>
    <n v="2"/>
    <x v="1"/>
    <x v="1"/>
    <n v="3"/>
  </r>
  <r>
    <s v="ORD-00830"/>
    <d v="2021-01-15T00:00:00"/>
    <s v="CUST61741"/>
    <x v="13"/>
    <n v="47"/>
    <x v="1"/>
    <x v="2"/>
    <x v="0"/>
    <x v="1"/>
    <x v="4"/>
    <s v="Cycle"/>
    <n v="5"/>
    <n v="10407.540000000001"/>
    <x v="4"/>
    <n v="43179.3"/>
    <n v="9803.14"/>
    <n v="66.569999999999993"/>
    <x v="1"/>
    <n v="1"/>
    <x v="1"/>
    <x v="1"/>
    <n v="6"/>
  </r>
  <r>
    <s v="ORD-00516"/>
    <d v="2020-08-16T00:00:00"/>
    <s v="CUST07356"/>
    <x v="271"/>
    <n v="35"/>
    <x v="0"/>
    <x v="0"/>
    <x v="4"/>
    <x v="17"/>
    <x v="5"/>
    <s v="Cooking Oil"/>
    <n v="10"/>
    <n v="322.14999999999998"/>
    <x v="26"/>
    <n v="2631.92"/>
    <n v="219.32"/>
    <n v="72.89"/>
    <x v="1"/>
    <n v="4"/>
    <x v="0"/>
    <x v="0"/>
    <n v="5"/>
  </r>
  <r>
    <s v="ORD-03673"/>
    <d v="2024-05-15T00:00:00"/>
    <s v="CUST42403"/>
    <x v="89"/>
    <n v="27"/>
    <x v="0"/>
    <x v="1"/>
    <x v="2"/>
    <x v="4"/>
    <x v="3"/>
    <s v="Saree"/>
    <n v="1"/>
    <n v="2208.92"/>
    <x v="33"/>
    <n v="2768.11"/>
    <n v="796.01"/>
    <n v="73.64"/>
    <x v="5"/>
    <n v="5"/>
    <x v="0"/>
    <x v="0"/>
    <n v="1"/>
  </r>
  <r>
    <s v="ORD-04052"/>
    <d v="2024-10-24T00:00:00"/>
    <s v="CUST70027"/>
    <x v="0"/>
    <n v="58"/>
    <x v="2"/>
    <x v="1"/>
    <x v="3"/>
    <x v="5"/>
    <x v="2"/>
    <s v="Biography"/>
    <n v="5"/>
    <n v="1349.81"/>
    <x v="0"/>
    <n v="6739.7"/>
    <n v="3176.85"/>
    <n v="79.58"/>
    <x v="5"/>
    <n v="2"/>
    <x v="0"/>
    <x v="2"/>
    <n v="10"/>
  </r>
  <r>
    <s v="ORD-03481"/>
    <d v="2024-02-22T00:00:00"/>
    <s v="CUST77456"/>
    <x v="139"/>
    <n v="44"/>
    <x v="1"/>
    <x v="2"/>
    <x v="1"/>
    <x v="6"/>
    <x v="5"/>
    <s v="Rice (5kg)"/>
    <n v="3"/>
    <n v="74.2"/>
    <x v="27"/>
    <n v="203.22"/>
    <n v="12.54"/>
    <n v="53.05"/>
    <x v="1"/>
    <n v="2"/>
    <x v="0"/>
    <x v="0"/>
    <n v="10"/>
  </r>
  <r>
    <s v="ORD-01128"/>
    <d v="2021-05-24T00:00:00"/>
    <s v="CUST64957"/>
    <x v="322"/>
    <n v="21"/>
    <x v="3"/>
    <x v="1"/>
    <x v="0"/>
    <x v="2"/>
    <x v="2"/>
    <s v="Fiction Novel"/>
    <n v="2"/>
    <n v="810.88"/>
    <x v="40"/>
    <n v="1381.05"/>
    <n v="500.04"/>
    <n v="42.7"/>
    <x v="0"/>
    <n v="5"/>
    <x v="0"/>
    <x v="2"/>
    <n v="2"/>
  </r>
  <r>
    <s v="ORD-02681"/>
    <d v="2023-03-06T00:00:00"/>
    <s v="CUST22232"/>
    <x v="185"/>
    <n v="43"/>
    <x v="1"/>
    <x v="0"/>
    <x v="2"/>
    <x v="14"/>
    <x v="0"/>
    <s v="Shampoo"/>
    <n v="7"/>
    <n v="142.6"/>
    <x v="8"/>
    <n v="1268.77"/>
    <n v="481.8"/>
    <n v="55.31"/>
    <x v="3"/>
    <n v="2"/>
    <x v="0"/>
    <x v="4"/>
    <n v="5"/>
  </r>
  <r>
    <s v="ORD-00885"/>
    <d v="2021-02-04T00:00:00"/>
    <s v="CUST26006"/>
    <x v="304"/>
    <n v="34"/>
    <x v="0"/>
    <x v="0"/>
    <x v="0"/>
    <x v="2"/>
    <x v="3"/>
    <s v="Saree"/>
    <n v="9"/>
    <n v="3473.33"/>
    <x v="26"/>
    <n v="20518.25"/>
    <n v="6894.62"/>
    <n v="54.27"/>
    <x v="4"/>
    <n v="2"/>
    <x v="0"/>
    <x v="0"/>
    <n v="1"/>
  </r>
  <r>
    <s v="ORD-03276"/>
    <d v="2023-11-16T00:00:00"/>
    <s v="CUST08733"/>
    <x v="11"/>
    <n v="35"/>
    <x v="0"/>
    <x v="1"/>
    <x v="4"/>
    <x v="8"/>
    <x v="3"/>
    <s v="T-Shirt"/>
    <n v="5"/>
    <n v="2427.77"/>
    <x v="6"/>
    <n v="6775.69"/>
    <n v="2397.7199999999998"/>
    <n v="59.3"/>
    <x v="1"/>
    <n v="3"/>
    <x v="0"/>
    <x v="0"/>
    <n v="2"/>
  </r>
  <r>
    <s v="ORD-01577"/>
    <d v="2021-12-04T00:00:00"/>
    <s v="CUST22334"/>
    <x v="164"/>
    <n v="46"/>
    <x v="1"/>
    <x v="1"/>
    <x v="1"/>
    <x v="10"/>
    <x v="0"/>
    <s v="Sunscreen"/>
    <n v="8"/>
    <n v="2183.25"/>
    <x v="30"/>
    <n v="9813.33"/>
    <n v="3029.21"/>
    <n v="47.17"/>
    <x v="4"/>
    <n v="2"/>
    <x v="0"/>
    <x v="0"/>
    <n v="5"/>
  </r>
  <r>
    <s v="ORD-00583"/>
    <d v="2020-09-17T00:00:00"/>
    <s v="CUST16103"/>
    <x v="350"/>
    <n v="31"/>
    <x v="0"/>
    <x v="2"/>
    <x v="0"/>
    <x v="2"/>
    <x v="2"/>
    <s v="Cook Book"/>
    <n v="7"/>
    <n v="477.86"/>
    <x v="21"/>
    <n v="2149.2600000000002"/>
    <n v="674.69"/>
    <n v="44.92"/>
    <x v="5"/>
    <n v="3"/>
    <x v="0"/>
    <x v="0"/>
    <n v="3"/>
  </r>
  <r>
    <s v="ORD-03374"/>
    <d v="2023-12-30T00:00:00"/>
    <s v="CUST19728"/>
    <x v="51"/>
    <n v="35"/>
    <x v="0"/>
    <x v="0"/>
    <x v="1"/>
    <x v="6"/>
    <x v="3"/>
    <s v="Jeans"/>
    <n v="6"/>
    <n v="2039.2"/>
    <x v="15"/>
    <n v="9153.0499999999993"/>
    <n v="5063.5200000000004"/>
    <n v="61.17"/>
    <x v="1"/>
    <n v="4"/>
    <x v="0"/>
    <x v="0"/>
    <n v="6"/>
  </r>
  <r>
    <s v="ORD-03590"/>
    <d v="2024-04-10T00:00:00"/>
    <s v="CUST88984"/>
    <x v="123"/>
    <n v="34"/>
    <x v="0"/>
    <x v="2"/>
    <x v="0"/>
    <x v="0"/>
    <x v="0"/>
    <s v="Sunscreen"/>
    <n v="10"/>
    <n v="1620.62"/>
    <x v="37"/>
    <n v="21174.44"/>
    <n v="5674.7"/>
    <n v="44.36"/>
    <x v="0"/>
    <n v="1"/>
    <x v="1"/>
    <x v="1"/>
    <n v="8"/>
  </r>
  <r>
    <s v="ORD-02341"/>
    <d v="2022-10-11T00:00:00"/>
    <s v="CUST63955"/>
    <x v="218"/>
    <n v="33"/>
    <x v="0"/>
    <x v="2"/>
    <x v="3"/>
    <x v="12"/>
    <x v="2"/>
    <s v="Self-Help Book"/>
    <n v="4"/>
    <n v="417.82"/>
    <x v="4"/>
    <n v="1766.12"/>
    <n v="656.08"/>
    <n v="75.989999999999995"/>
    <x v="2"/>
    <n v="2"/>
    <x v="0"/>
    <x v="0"/>
    <n v="3"/>
  </r>
  <r>
    <s v="ORD-02009"/>
    <d v="2022-06-05T00:00:00"/>
    <s v="CUST02356"/>
    <x v="294"/>
    <n v="28"/>
    <x v="0"/>
    <x v="1"/>
    <x v="3"/>
    <x v="16"/>
    <x v="1"/>
    <s v="Desk"/>
    <n v="5"/>
    <n v="34373.42"/>
    <x v="23"/>
    <n v="169000.08"/>
    <n v="50613.06"/>
    <n v="89.82"/>
    <x v="0"/>
    <n v="1"/>
    <x v="1"/>
    <x v="1"/>
    <n v="5"/>
  </r>
  <r>
    <s v="ORD-03864"/>
    <d v="2024-08-05T00:00:00"/>
    <s v="CUST15933"/>
    <x v="131"/>
    <n v="41"/>
    <x v="1"/>
    <x v="1"/>
    <x v="3"/>
    <x v="15"/>
    <x v="6"/>
    <s v="Smartphone"/>
    <n v="5"/>
    <n v="64468.92"/>
    <x v="33"/>
    <n v="374699.96"/>
    <n v="48329.91"/>
    <n v="79.41"/>
    <x v="5"/>
    <n v="1"/>
    <x v="0"/>
    <x v="3"/>
    <n v="10"/>
  </r>
  <r>
    <s v="ORD-02569"/>
    <d v="2023-01-23T00:00:00"/>
    <s v="CUST55735"/>
    <x v="60"/>
    <n v="21"/>
    <x v="3"/>
    <x v="0"/>
    <x v="4"/>
    <x v="8"/>
    <x v="2"/>
    <s v="Fiction Novel"/>
    <n v="5"/>
    <n v="238.01"/>
    <x v="14"/>
    <n v="658.25"/>
    <n v="358.98"/>
    <n v="83.77"/>
    <x v="4"/>
    <n v="3"/>
    <x v="0"/>
    <x v="0"/>
    <n v="9"/>
  </r>
  <r>
    <s v="ORD-00455"/>
    <d v="2020-07-19T00:00:00"/>
    <s v="CUST20908"/>
    <x v="121"/>
    <n v="37"/>
    <x v="1"/>
    <x v="2"/>
    <x v="4"/>
    <x v="8"/>
    <x v="6"/>
    <s v="Smartwatch"/>
    <n v="10"/>
    <n v="61673.760000000002"/>
    <x v="7"/>
    <n v="681333.41"/>
    <n v="90844.4"/>
    <n v="76.69"/>
    <x v="2"/>
    <n v="3"/>
    <x v="0"/>
    <x v="0"/>
    <n v="7"/>
  </r>
  <r>
    <s v="ORD-03302"/>
    <d v="2023-11-29T00:00:00"/>
    <s v="CUST00808"/>
    <x v="150"/>
    <n v="31"/>
    <x v="0"/>
    <x v="2"/>
    <x v="0"/>
    <x v="0"/>
    <x v="6"/>
    <s v="Smartwatch"/>
    <n v="5"/>
    <n v="5934.23"/>
    <x v="34"/>
    <n v="18050.43"/>
    <n v="1851.85"/>
    <n v="76.64"/>
    <x v="4"/>
    <n v="3"/>
    <x v="0"/>
    <x v="3"/>
    <n v="2"/>
  </r>
  <r>
    <s v="ORD-00276"/>
    <d v="2020-05-02T00:00:00"/>
    <s v="CUST77008"/>
    <x v="302"/>
    <n v="34"/>
    <x v="0"/>
    <x v="1"/>
    <x v="1"/>
    <x v="10"/>
    <x v="2"/>
    <s v="Textbook"/>
    <n v="7"/>
    <n v="1479.71"/>
    <x v="20"/>
    <n v="9080.8799999999992"/>
    <n v="3968.87"/>
    <n v="53.15"/>
    <x v="5"/>
    <n v="4"/>
    <x v="0"/>
    <x v="0"/>
    <n v="2"/>
  </r>
  <r>
    <s v="ORD-00082"/>
    <d v="2020-02-01T00:00:00"/>
    <s v="CUST20826"/>
    <x v="380"/>
    <n v="38"/>
    <x v="1"/>
    <x v="2"/>
    <x v="3"/>
    <x v="12"/>
    <x v="3"/>
    <s v="Jeans"/>
    <n v="2"/>
    <n v="2078.4499999999998"/>
    <x v="2"/>
    <n v="2642.47"/>
    <n v="1089.57"/>
    <n v="80.23"/>
    <x v="0"/>
    <n v="5"/>
    <x v="0"/>
    <x v="0"/>
    <n v="4"/>
  </r>
  <r>
    <s v="ORD-01677"/>
    <d v="2022-01-18T00:00:00"/>
    <s v="CUST23764"/>
    <x v="346"/>
    <n v="22"/>
    <x v="3"/>
    <x v="0"/>
    <x v="3"/>
    <x v="5"/>
    <x v="3"/>
    <s v="Dress"/>
    <n v="2"/>
    <n v="2911.58"/>
    <x v="17"/>
    <n v="2708.74"/>
    <n v="1155.6199999999999"/>
    <n v="78.02"/>
    <x v="2"/>
    <n v="1"/>
    <x v="0"/>
    <x v="0"/>
    <n v="6"/>
  </r>
  <r>
    <s v="ORD-02651"/>
    <d v="2023-02-21T00:00:00"/>
    <s v="CUST11133"/>
    <x v="53"/>
    <n v="38"/>
    <x v="1"/>
    <x v="2"/>
    <x v="1"/>
    <x v="3"/>
    <x v="1"/>
    <s v="Desk"/>
    <n v="9"/>
    <n v="14262.49"/>
    <x v="37"/>
    <n v="118898.21"/>
    <n v="41278.730000000003"/>
    <n v="79.5"/>
    <x v="2"/>
    <n v="1"/>
    <x v="1"/>
    <x v="1"/>
    <n v="10"/>
  </r>
  <r>
    <s v="ORD-00862"/>
    <d v="2021-01-29T00:00:00"/>
    <s v="CUST25585"/>
    <x v="105"/>
    <n v="43"/>
    <x v="1"/>
    <x v="1"/>
    <x v="0"/>
    <x v="1"/>
    <x v="0"/>
    <s v="Shampoo"/>
    <n v="1"/>
    <n v="1381.02"/>
    <x v="12"/>
    <n v="820.75"/>
    <n v="385.94"/>
    <n v="79.14"/>
    <x v="2"/>
    <n v="1"/>
    <x v="0"/>
    <x v="0"/>
    <n v="2"/>
  </r>
  <r>
    <s v="ORD-00502"/>
    <d v="2020-10-08T00:00:00"/>
    <s v="CUST52899"/>
    <x v="165"/>
    <n v="32"/>
    <x v="0"/>
    <x v="1"/>
    <x v="0"/>
    <x v="19"/>
    <x v="4"/>
    <s v="Football"/>
    <n v="6"/>
    <n v="10767.52"/>
    <x v="33"/>
    <n v="51595.93"/>
    <n v="13803.27"/>
    <n v="52.86"/>
    <x v="4"/>
    <n v="3"/>
    <x v="0"/>
    <x v="3"/>
    <n v="9"/>
  </r>
  <r>
    <s v="ORD-03847"/>
    <d v="2024-07-29T00:00:00"/>
    <s v="CUST01197"/>
    <x v="24"/>
    <n v="21"/>
    <x v="3"/>
    <x v="1"/>
    <x v="2"/>
    <x v="9"/>
    <x v="1"/>
    <s v="Wardrobe"/>
    <n v="6"/>
    <n v="16429.02"/>
    <x v="23"/>
    <n v="133325.04999999999"/>
    <n v="40765.64"/>
    <n v="32.5"/>
    <x v="1"/>
    <n v="4"/>
    <x v="0"/>
    <x v="0"/>
    <n v="5"/>
  </r>
  <r>
    <s v="ORD-03372"/>
    <d v="2023-12-30T00:00:00"/>
    <s v="CUST23507"/>
    <x v="238"/>
    <n v="44"/>
    <x v="1"/>
    <x v="2"/>
    <x v="1"/>
    <x v="3"/>
    <x v="2"/>
    <s v="Self-Help Book"/>
    <n v="4"/>
    <n v="746.29"/>
    <x v="25"/>
    <n v="1990.92"/>
    <n v="758.46"/>
    <n v="47.79"/>
    <x v="3"/>
    <n v="1"/>
    <x v="0"/>
    <x v="0"/>
    <n v="7"/>
  </r>
  <r>
    <s v="ORD-02183"/>
    <d v="2022-08-13T00:00:00"/>
    <s v="CUST73899"/>
    <x v="370"/>
    <n v="52"/>
    <x v="2"/>
    <x v="2"/>
    <x v="3"/>
    <x v="15"/>
    <x v="5"/>
    <s v="Sugar"/>
    <n v="2"/>
    <n v="245.29"/>
    <x v="12"/>
    <n v="480.57"/>
    <n v="45.1"/>
    <n v="88.28"/>
    <x v="5"/>
    <n v="5"/>
    <x v="0"/>
    <x v="0"/>
    <n v="5"/>
  </r>
  <r>
    <s v="ORD-01801"/>
    <d v="2022-03-08T00:00:00"/>
    <s v="CUST42354"/>
    <x v="245"/>
    <n v="30"/>
    <x v="0"/>
    <x v="0"/>
    <x v="4"/>
    <x v="18"/>
    <x v="6"/>
    <s v="Smartphone"/>
    <n v="6"/>
    <n v="16805.34"/>
    <x v="6"/>
    <n v="72535.92"/>
    <n v="4060.33"/>
    <n v="71.78"/>
    <x v="0"/>
    <n v="4"/>
    <x v="0"/>
    <x v="0"/>
    <n v="3"/>
  </r>
  <r>
    <s v="ORD-01191"/>
    <d v="2021-06-20T00:00:00"/>
    <s v="CUST42018"/>
    <x v="366"/>
    <n v="49"/>
    <x v="1"/>
    <x v="1"/>
    <x v="1"/>
    <x v="6"/>
    <x v="2"/>
    <s v="Textbook"/>
    <n v="8"/>
    <n v="1136.8699999999999"/>
    <x v="20"/>
    <n v="9688.33"/>
    <n v="3919.14"/>
    <n v="24.54"/>
    <x v="2"/>
    <n v="5"/>
    <x v="0"/>
    <x v="0"/>
    <n v="6"/>
  </r>
  <r>
    <s v="ORD-01367"/>
    <d v="2021-09-08T00:00:00"/>
    <s v="CUST32462"/>
    <x v="118"/>
    <n v="30"/>
    <x v="0"/>
    <x v="2"/>
    <x v="1"/>
    <x v="3"/>
    <x v="2"/>
    <s v="Fiction Novel"/>
    <n v="8"/>
    <n v="1443.03"/>
    <x v="35"/>
    <n v="8604.24"/>
    <n v="3984.16"/>
    <n v="47.13"/>
    <x v="4"/>
    <n v="4"/>
    <x v="1"/>
    <x v="1"/>
    <n v="10"/>
  </r>
  <r>
    <s v="ORD-00321"/>
    <d v="2020-05-21T00:00:00"/>
    <s v="CUST74301"/>
    <x v="171"/>
    <n v="42"/>
    <x v="1"/>
    <x v="0"/>
    <x v="1"/>
    <x v="11"/>
    <x v="6"/>
    <s v="Headphones"/>
    <n v="2"/>
    <n v="43853.55"/>
    <x v="13"/>
    <n v="99867.38"/>
    <n v="12392.88"/>
    <n v="71.03"/>
    <x v="5"/>
    <n v="4"/>
    <x v="0"/>
    <x v="0"/>
    <n v="5"/>
  </r>
  <r>
    <s v="ORD-03973"/>
    <d v="2024-09-09T00:00:00"/>
    <s v="CUST60649"/>
    <x v="228"/>
    <n v="59"/>
    <x v="2"/>
    <x v="0"/>
    <x v="0"/>
    <x v="1"/>
    <x v="2"/>
    <s v="Biography"/>
    <n v="3"/>
    <n v="759.61"/>
    <x v="32"/>
    <n v="2679.11"/>
    <n v="696.15"/>
    <n v="32.82"/>
    <x v="0"/>
    <n v="5"/>
    <x v="0"/>
    <x v="0"/>
    <n v="6"/>
  </r>
  <r>
    <s v="ORD-00259"/>
    <d v="2020-04-23T00:00:00"/>
    <s v="CUST68265"/>
    <x v="268"/>
    <n v="37"/>
    <x v="1"/>
    <x v="2"/>
    <x v="3"/>
    <x v="15"/>
    <x v="6"/>
    <s v="Smartphone"/>
    <n v="3"/>
    <n v="76008.490000000005"/>
    <x v="16"/>
    <n v="287543.2"/>
    <n v="19589.55"/>
    <n v="67.430000000000007"/>
    <x v="3"/>
    <n v="5"/>
    <x v="0"/>
    <x v="3"/>
    <n v="4"/>
  </r>
  <r>
    <s v="ORD-01295"/>
    <d v="2021-08-07T00:00:00"/>
    <s v="CUST43573"/>
    <x v="356"/>
    <n v="28"/>
    <x v="0"/>
    <x v="0"/>
    <x v="3"/>
    <x v="5"/>
    <x v="5"/>
    <s v="Rice (5kg)"/>
    <n v="1"/>
    <n v="69.87"/>
    <x v="23"/>
    <n v="75.650000000000006"/>
    <n v="6"/>
    <n v="69.5"/>
    <x v="3"/>
    <n v="2"/>
    <x v="0"/>
    <x v="2"/>
    <n v="9"/>
  </r>
  <r>
    <s v="ORD-04037"/>
    <d v="2024-10-17T00:00:00"/>
    <s v="CUST70226"/>
    <x v="227"/>
    <n v="34"/>
    <x v="0"/>
    <x v="2"/>
    <x v="2"/>
    <x v="14"/>
    <x v="5"/>
    <s v="Rice (5kg)"/>
    <n v="1"/>
    <n v="141.61000000000001"/>
    <x v="38"/>
    <n v="141.61000000000001"/>
    <n v="11.5"/>
    <n v="52.28"/>
    <x v="4"/>
    <n v="4"/>
    <x v="0"/>
    <x v="0"/>
    <n v="9"/>
  </r>
  <r>
    <s v="ORD-03087"/>
    <d v="2023-08-26T00:00:00"/>
    <s v="CUST32672"/>
    <x v="201"/>
    <n v="39"/>
    <x v="1"/>
    <x v="2"/>
    <x v="0"/>
    <x v="1"/>
    <x v="1"/>
    <s v="Desk"/>
    <n v="5"/>
    <n v="21847.95"/>
    <x v="10"/>
    <n v="103693.59"/>
    <n v="26491.84"/>
    <n v="67.66"/>
    <x v="4"/>
    <n v="2"/>
    <x v="0"/>
    <x v="0"/>
    <n v="9"/>
  </r>
  <r>
    <s v="ORD-01162"/>
    <d v="2021-06-04T00:00:00"/>
    <s v="CUST45949"/>
    <x v="112"/>
    <n v="33"/>
    <x v="0"/>
    <x v="0"/>
    <x v="3"/>
    <x v="16"/>
    <x v="1"/>
    <s v="Chair"/>
    <n v="4"/>
    <n v="16298.68"/>
    <x v="13"/>
    <n v="94253.6"/>
    <n v="28600.3"/>
    <n v="95.11"/>
    <x v="1"/>
    <n v="1"/>
    <x v="0"/>
    <x v="0"/>
    <n v="5"/>
  </r>
  <r>
    <s v="ORD-01742"/>
    <d v="2022-02-13T00:00:00"/>
    <s v="CUST91415"/>
    <x v="301"/>
    <n v="44"/>
    <x v="1"/>
    <x v="2"/>
    <x v="1"/>
    <x v="10"/>
    <x v="5"/>
    <s v="Dal (1kg)"/>
    <n v="9"/>
    <n v="479.9"/>
    <x v="18"/>
    <n v="3253.67"/>
    <n v="232.06"/>
    <n v="40.19"/>
    <x v="3"/>
    <n v="4"/>
    <x v="0"/>
    <x v="3"/>
    <n v="3"/>
  </r>
  <r>
    <s v="ORD-01933"/>
    <d v="2022-05-03T00:00:00"/>
    <s v="CUST20246"/>
    <x v="85"/>
    <n v="45"/>
    <x v="1"/>
    <x v="0"/>
    <x v="1"/>
    <x v="6"/>
    <x v="0"/>
    <s v="Hair Oil"/>
    <n v="5"/>
    <n v="434.1"/>
    <x v="21"/>
    <n v="2157.36"/>
    <n v="864.87"/>
    <n v="41.13"/>
    <x v="4"/>
    <n v="4"/>
    <x v="0"/>
    <x v="0"/>
    <n v="7"/>
  </r>
  <r>
    <s v="ORD-03355"/>
    <d v="2023-12-22T00:00:00"/>
    <s v="CUST79039"/>
    <x v="221"/>
    <n v="35"/>
    <x v="0"/>
    <x v="0"/>
    <x v="0"/>
    <x v="2"/>
    <x v="6"/>
    <s v="Tablet"/>
    <n v="5"/>
    <n v="28716"/>
    <x v="29"/>
    <n v="118670.05"/>
    <n v="13016.92"/>
    <n v="60.44"/>
    <x v="5"/>
    <n v="5"/>
    <x v="0"/>
    <x v="0"/>
    <n v="10"/>
  </r>
  <r>
    <s v="ORD-00546"/>
    <d v="2020-08-29T00:00:00"/>
    <s v="CUST11171"/>
    <x v="309"/>
    <n v="35"/>
    <x v="0"/>
    <x v="2"/>
    <x v="0"/>
    <x v="19"/>
    <x v="2"/>
    <s v="Self-Help Book"/>
    <n v="8"/>
    <n v="318.51"/>
    <x v="35"/>
    <n v="1966.41"/>
    <n v="790.49"/>
    <n v="72.37"/>
    <x v="0"/>
    <n v="5"/>
    <x v="0"/>
    <x v="3"/>
    <n v="9"/>
  </r>
  <r>
    <s v="ORD-02123"/>
    <d v="2022-07-23T00:00:00"/>
    <s v="CUST62186"/>
    <x v="124"/>
    <n v="27"/>
    <x v="0"/>
    <x v="1"/>
    <x v="4"/>
    <x v="7"/>
    <x v="3"/>
    <s v="Kurta"/>
    <n v="7"/>
    <n v="1384.84"/>
    <x v="15"/>
    <n v="11886.58"/>
    <n v="2574.91"/>
    <n v="74.62"/>
    <x v="5"/>
    <n v="2"/>
    <x v="1"/>
    <x v="1"/>
    <n v="5"/>
  </r>
  <r>
    <s v="ORD-04085"/>
    <d v="2024-11-07T00:00:00"/>
    <s v="CUST20306"/>
    <x v="83"/>
    <n v="43"/>
    <x v="1"/>
    <x v="2"/>
    <x v="0"/>
    <x v="0"/>
    <x v="1"/>
    <s v="Bed Frame"/>
    <n v="2"/>
    <n v="20043.88"/>
    <x v="21"/>
    <n v="23212.41"/>
    <n v="5160.18"/>
    <n v="25.71"/>
    <x v="3"/>
    <n v="3"/>
    <x v="0"/>
    <x v="0"/>
    <n v="10"/>
  </r>
  <r>
    <s v="ORD-01794"/>
    <d v="2022-03-05T00:00:00"/>
    <s v="CUST42681"/>
    <x v="130"/>
    <n v="40"/>
    <x v="1"/>
    <x v="0"/>
    <x v="0"/>
    <x v="19"/>
    <x v="4"/>
    <s v="Football"/>
    <n v="1"/>
    <n v="1321.99"/>
    <x v="40"/>
    <n v="995.97"/>
    <n v="202.59"/>
    <n v="63.12"/>
    <x v="0"/>
    <n v="4"/>
    <x v="0"/>
    <x v="0"/>
    <n v="7"/>
  </r>
  <r>
    <s v="ORD-00473"/>
    <d v="2020-07-28T00:00:00"/>
    <s v="CUST19554"/>
    <x v="373"/>
    <n v="34"/>
    <x v="0"/>
    <x v="0"/>
    <x v="0"/>
    <x v="0"/>
    <x v="1"/>
    <s v="Chair"/>
    <n v="1"/>
    <n v="16334.58"/>
    <x v="32"/>
    <n v="20183.900000000001"/>
    <n v="5249.68"/>
    <n v="61.69"/>
    <x v="2"/>
    <n v="5"/>
    <x v="0"/>
    <x v="2"/>
    <n v="10"/>
  </r>
  <r>
    <s v="ORD-01652"/>
    <d v="2022-01-07T00:00:00"/>
    <s v="CUST31119"/>
    <x v="279"/>
    <n v="33"/>
    <x v="0"/>
    <x v="1"/>
    <x v="2"/>
    <x v="14"/>
    <x v="6"/>
    <s v="Tablet"/>
    <n v="5"/>
    <n v="27023.75"/>
    <x v="13"/>
    <n v="98800.7"/>
    <n v="15632.48"/>
    <n v="68.45"/>
    <x v="3"/>
    <n v="4"/>
    <x v="0"/>
    <x v="0"/>
    <n v="7"/>
  </r>
  <r>
    <s v="ORD-00310"/>
    <d v="2020-05-15T00:00:00"/>
    <s v="CUST01960"/>
    <x v="387"/>
    <n v="39"/>
    <x v="1"/>
    <x v="2"/>
    <x v="0"/>
    <x v="2"/>
    <x v="6"/>
    <s v="Smartphone"/>
    <n v="5"/>
    <n v="30601.06"/>
    <x v="14"/>
    <n v="118310.73"/>
    <n v="14746.62"/>
    <n v="71.09"/>
    <x v="2"/>
    <n v="4"/>
    <x v="0"/>
    <x v="3"/>
    <n v="2"/>
  </r>
  <r>
    <s v="ORD-00847"/>
    <d v="2021-01-21T00:00:00"/>
    <s v="CUST36203"/>
    <x v="121"/>
    <n v="29"/>
    <x v="0"/>
    <x v="0"/>
    <x v="1"/>
    <x v="10"/>
    <x v="1"/>
    <s v="Chair"/>
    <n v="7"/>
    <n v="27103.439999999999"/>
    <x v="16"/>
    <n v="140013.26999999999"/>
    <n v="47871.51"/>
    <n v="45.89"/>
    <x v="1"/>
    <n v="2"/>
    <x v="1"/>
    <x v="1"/>
    <n v="7"/>
  </r>
  <r>
    <s v="ORD-01549"/>
    <d v="2021-11-26T00:00:00"/>
    <s v="CUST76040"/>
    <x v="32"/>
    <n v="19"/>
    <x v="3"/>
    <x v="0"/>
    <x v="4"/>
    <x v="17"/>
    <x v="0"/>
    <s v="Shampoo"/>
    <n v="10"/>
    <n v="2199.23"/>
    <x v="13"/>
    <n v="17600.22"/>
    <n v="7462.56"/>
    <n v="84.56"/>
    <x v="1"/>
    <n v="4"/>
    <x v="0"/>
    <x v="3"/>
    <n v="10"/>
  </r>
  <r>
    <s v="ORD-02314"/>
    <d v="2022-10-03T00:00:00"/>
    <s v="CUST99949"/>
    <x v="204"/>
    <n v="36"/>
    <x v="1"/>
    <x v="1"/>
    <x v="3"/>
    <x v="16"/>
    <x v="5"/>
    <s v="Cooking Oil"/>
    <n v="7"/>
    <n v="490.56"/>
    <x v="21"/>
    <n v="2209.98"/>
    <n v="120.11"/>
    <n v="92.2"/>
    <x v="5"/>
    <n v="3"/>
    <x v="0"/>
    <x v="3"/>
    <n v="2"/>
  </r>
  <r>
    <s v="ORD-00308"/>
    <d v="2020-05-13T00:00:00"/>
    <s v="CUST07042"/>
    <x v="83"/>
    <n v="27"/>
    <x v="0"/>
    <x v="2"/>
    <x v="2"/>
    <x v="14"/>
    <x v="0"/>
    <s v="Shampoo"/>
    <n v="4"/>
    <n v="1944.29"/>
    <x v="2"/>
    <n v="8759.65"/>
    <n v="5237.3500000000004"/>
    <n v="87.31"/>
    <x v="4"/>
    <n v="3"/>
    <x v="0"/>
    <x v="0"/>
    <n v="4"/>
  </r>
  <r>
    <s v="ORD-00887"/>
    <d v="2021-02-04T00:00:00"/>
    <s v="CUST50884"/>
    <x v="385"/>
    <n v="49"/>
    <x v="1"/>
    <x v="1"/>
    <x v="3"/>
    <x v="5"/>
    <x v="4"/>
    <s v="Yoga Mat"/>
    <n v="10"/>
    <n v="12708.22"/>
    <x v="12"/>
    <n v="91510.11"/>
    <n v="20206.87"/>
    <n v="100.24"/>
    <x v="1"/>
    <n v="2"/>
    <x v="0"/>
    <x v="0"/>
    <n v="3"/>
  </r>
  <r>
    <s v="ORD-00397"/>
    <d v="2020-06-20T00:00:00"/>
    <s v="CUST17107"/>
    <x v="148"/>
    <n v="20"/>
    <x v="3"/>
    <x v="1"/>
    <x v="3"/>
    <x v="12"/>
    <x v="0"/>
    <s v="Face Cream"/>
    <n v="8"/>
    <n v="950.66"/>
    <x v="18"/>
    <n v="7094.52"/>
    <n v="3770.8"/>
    <n v="84.8"/>
    <x v="0"/>
    <n v="5"/>
    <x v="0"/>
    <x v="0"/>
    <n v="7"/>
  </r>
  <r>
    <s v="ORD-00955"/>
    <d v="2021-03-10T00:00:00"/>
    <s v="CUST63974"/>
    <x v="309"/>
    <n v="30"/>
    <x v="0"/>
    <x v="0"/>
    <x v="3"/>
    <x v="16"/>
    <x v="4"/>
    <s v="Dumbbells"/>
    <n v="3"/>
    <n v="14253.13"/>
    <x v="19"/>
    <n v="45619.3"/>
    <n v="11131.02"/>
    <n v="67.22"/>
    <x v="1"/>
    <n v="1"/>
    <x v="0"/>
    <x v="2"/>
    <n v="3"/>
  </r>
  <r>
    <s v="ORD-01740"/>
    <d v="2022-02-12T00:00:00"/>
    <s v="CUST21895"/>
    <x v="13"/>
    <n v="56"/>
    <x v="2"/>
    <x v="0"/>
    <x v="4"/>
    <x v="17"/>
    <x v="3"/>
    <s v="Jeans"/>
    <n v="2"/>
    <n v="2432.6"/>
    <x v="26"/>
    <n v="3968.93"/>
    <n v="1931.36"/>
    <n v="84.81"/>
    <x v="5"/>
    <n v="5"/>
    <x v="0"/>
    <x v="0"/>
    <n v="8"/>
  </r>
  <r>
    <s v="ORD-00169"/>
    <d v="2020-03-15T00:00:00"/>
    <s v="CUST14141"/>
    <x v="388"/>
    <n v="43"/>
    <x v="1"/>
    <x v="0"/>
    <x v="1"/>
    <x v="6"/>
    <x v="3"/>
    <s v="T-Shirt"/>
    <n v="2"/>
    <n v="3471.87"/>
    <x v="7"/>
    <n v="5928.17"/>
    <n v="1972.09"/>
    <n v="48.98"/>
    <x v="3"/>
    <n v="1"/>
    <x v="0"/>
    <x v="3"/>
    <n v="4"/>
  </r>
  <r>
    <s v="ORD-00626"/>
    <d v="2020-10-07T00:00:00"/>
    <s v="CUST10712"/>
    <x v="329"/>
    <n v="38"/>
    <x v="1"/>
    <x v="2"/>
    <x v="2"/>
    <x v="13"/>
    <x v="5"/>
    <s v="Dal (1kg)"/>
    <n v="4"/>
    <n v="372.01"/>
    <x v="6"/>
    <n v="823.95"/>
    <n v="59.95"/>
    <n v="38.479999999999997"/>
    <x v="1"/>
    <n v="4"/>
    <x v="0"/>
    <x v="4"/>
    <n v="8"/>
  </r>
  <r>
    <s v="ORD-02077"/>
    <d v="2022-07-05T00:00:00"/>
    <s v="CUST06928"/>
    <x v="241"/>
    <n v="29"/>
    <x v="0"/>
    <x v="1"/>
    <x v="0"/>
    <x v="1"/>
    <x v="3"/>
    <s v="T-Shirt"/>
    <n v="1"/>
    <n v="332.88"/>
    <x v="17"/>
    <n v="306.13"/>
    <n v="129.76"/>
    <n v="83.16"/>
    <x v="0"/>
    <n v="2"/>
    <x v="0"/>
    <x v="0"/>
    <n v="6"/>
  </r>
  <r>
    <s v="ORD-02987"/>
    <d v="2023-07-18T00:00:00"/>
    <s v="CUST78771"/>
    <x v="167"/>
    <n v="39"/>
    <x v="1"/>
    <x v="2"/>
    <x v="0"/>
    <x v="1"/>
    <x v="5"/>
    <s v="Sugar"/>
    <n v="8"/>
    <n v="455.06"/>
    <x v="5"/>
    <n v="5619.54"/>
    <n v="561.84"/>
    <n v="83.7"/>
    <x v="5"/>
    <n v="3"/>
    <x v="0"/>
    <x v="0"/>
    <n v="10"/>
  </r>
  <r>
    <s v="ORD-03554"/>
    <d v="2024-03-23T00:00:00"/>
    <s v="CUST02299"/>
    <x v="299"/>
    <n v="51"/>
    <x v="2"/>
    <x v="2"/>
    <x v="4"/>
    <x v="8"/>
    <x v="4"/>
    <s v="Dumbbells"/>
    <n v="9"/>
    <n v="560.77"/>
    <x v="36"/>
    <n v="4861.13"/>
    <n v="1118.77"/>
    <n v="78.58"/>
    <x v="3"/>
    <n v="2"/>
    <x v="0"/>
    <x v="0"/>
    <n v="1"/>
  </r>
  <r>
    <s v="ORD-03655"/>
    <d v="2024-05-07T00:00:00"/>
    <s v="CUST44723"/>
    <x v="334"/>
    <n v="42"/>
    <x v="1"/>
    <x v="0"/>
    <x v="0"/>
    <x v="2"/>
    <x v="1"/>
    <s v="Sofa"/>
    <n v="10"/>
    <n v="15954.1"/>
    <x v="28"/>
    <n v="267926.31"/>
    <n v="76735.56"/>
    <n v="54.78"/>
    <x v="0"/>
    <n v="1"/>
    <x v="0"/>
    <x v="0"/>
    <n v="1"/>
  </r>
  <r>
    <s v="ORD-00094"/>
    <d v="2020-02-06T00:00:00"/>
    <s v="CUST12581"/>
    <x v="115"/>
    <n v="56"/>
    <x v="2"/>
    <x v="2"/>
    <x v="0"/>
    <x v="2"/>
    <x v="3"/>
    <s v="Kurta"/>
    <n v="5"/>
    <n v="1920.61"/>
    <x v="23"/>
    <n v="5697.27"/>
    <n v="2295.66"/>
    <n v="69.180000000000007"/>
    <x v="3"/>
    <n v="5"/>
    <x v="0"/>
    <x v="0"/>
    <n v="10"/>
  </r>
  <r>
    <s v="ORD-03410"/>
    <d v="2024-01-17T00:00:00"/>
    <s v="CUST69094"/>
    <x v="359"/>
    <n v="41"/>
    <x v="1"/>
    <x v="0"/>
    <x v="3"/>
    <x v="16"/>
    <x v="3"/>
    <s v="Jeans"/>
    <n v="2"/>
    <n v="3049.88"/>
    <x v="4"/>
    <n v="5433.3"/>
    <n v="1313.05"/>
    <n v="83.88"/>
    <x v="1"/>
    <n v="4"/>
    <x v="0"/>
    <x v="4"/>
    <n v="6"/>
  </r>
  <r>
    <s v="ORD-01482"/>
    <d v="2021-10-27T00:00:00"/>
    <s v="CUST43427"/>
    <x v="278"/>
    <n v="25"/>
    <x v="3"/>
    <x v="2"/>
    <x v="4"/>
    <x v="7"/>
    <x v="0"/>
    <s v="Lipstick"/>
    <n v="5"/>
    <n v="2139.2800000000002"/>
    <x v="10"/>
    <n v="6723.8"/>
    <n v="3518.82"/>
    <n v="60.66"/>
    <x v="0"/>
    <n v="5"/>
    <x v="0"/>
    <x v="0"/>
    <n v="7"/>
  </r>
  <r>
    <s v="ORD-02055"/>
    <d v="2022-06-24T00:00:00"/>
    <s v="CUST92237"/>
    <x v="193"/>
    <n v="33"/>
    <x v="0"/>
    <x v="1"/>
    <x v="4"/>
    <x v="18"/>
    <x v="6"/>
    <s v="Smartwatch"/>
    <n v="7"/>
    <n v="54204.800000000003"/>
    <x v="5"/>
    <n v="574778.48"/>
    <n v="66152.73"/>
    <n v="87.36"/>
    <x v="1"/>
    <n v="1"/>
    <x v="0"/>
    <x v="0"/>
    <n v="8"/>
  </r>
  <r>
    <s v="ORD-03552"/>
    <d v="2024-03-23T00:00:00"/>
    <s v="CUST47390"/>
    <x v="203"/>
    <n v="22"/>
    <x v="3"/>
    <x v="1"/>
    <x v="0"/>
    <x v="2"/>
    <x v="6"/>
    <s v="Laptop"/>
    <n v="10"/>
    <n v="58117.48"/>
    <x v="18"/>
    <n v="569729.38"/>
    <n v="56329.27"/>
    <n v="66.819999999999993"/>
    <x v="0"/>
    <n v="1"/>
    <x v="0"/>
    <x v="0"/>
    <n v="3"/>
  </r>
  <r>
    <s v="ORD-03721"/>
    <d v="2024-06-10T00:00:00"/>
    <s v="CUST98311"/>
    <x v="211"/>
    <n v="58"/>
    <x v="2"/>
    <x v="1"/>
    <x v="3"/>
    <x v="5"/>
    <x v="3"/>
    <s v="Kurta"/>
    <n v="5"/>
    <n v="1827.87"/>
    <x v="2"/>
    <n v="14497.49"/>
    <n v="4727.66"/>
    <n v="91.8"/>
    <x v="3"/>
    <n v="5"/>
    <x v="0"/>
    <x v="0"/>
    <n v="5"/>
  </r>
  <r>
    <s v="ORD-02238"/>
    <d v="2022-09-02T00:00:00"/>
    <s v="CUST61636"/>
    <x v="157"/>
    <n v="55"/>
    <x v="2"/>
    <x v="2"/>
    <x v="4"/>
    <x v="8"/>
    <x v="6"/>
    <s v="Smartwatch"/>
    <n v="4"/>
    <n v="32640.78"/>
    <x v="27"/>
    <n v="122369.56"/>
    <n v="13905.31"/>
    <n v="46.2"/>
    <x v="4"/>
    <n v="3"/>
    <x v="1"/>
    <x v="1"/>
    <n v="9"/>
  </r>
  <r>
    <s v="ORD-00193"/>
    <d v="2020-03-27T00:00:00"/>
    <s v="CUST20505"/>
    <x v="257"/>
    <n v="21"/>
    <x v="3"/>
    <x v="1"/>
    <x v="0"/>
    <x v="19"/>
    <x v="1"/>
    <s v="Wardrobe"/>
    <n v="6"/>
    <n v="2910.04"/>
    <x v="19"/>
    <n v="15810.15"/>
    <n v="5082.4799999999996"/>
    <n v="63.67"/>
    <x v="3"/>
    <n v="5"/>
    <x v="0"/>
    <x v="3"/>
    <n v="4"/>
  </r>
  <r>
    <s v="ORD-00722"/>
    <d v="2020-11-26T00:00:00"/>
    <s v="CUST22239"/>
    <x v="269"/>
    <n v="23"/>
    <x v="3"/>
    <x v="2"/>
    <x v="0"/>
    <x v="0"/>
    <x v="6"/>
    <s v="Smartwatch"/>
    <n v="8"/>
    <n v="19009.3"/>
    <x v="24"/>
    <n v="113780.49"/>
    <n v="11022.35"/>
    <n v="57.37"/>
    <x v="4"/>
    <n v="5"/>
    <x v="0"/>
    <x v="0"/>
    <n v="2"/>
  </r>
  <r>
    <s v="ORD-03234"/>
    <d v="2023-10-30T00:00:00"/>
    <s v="CUST23301"/>
    <x v="168"/>
    <n v="40"/>
    <x v="1"/>
    <x v="0"/>
    <x v="2"/>
    <x v="13"/>
    <x v="5"/>
    <s v="Dal (1kg)"/>
    <n v="7"/>
    <n v="230.21"/>
    <x v="34"/>
    <n v="1210"/>
    <n v="147.47"/>
    <n v="21.34"/>
    <x v="4"/>
    <n v="2"/>
    <x v="0"/>
    <x v="4"/>
    <n v="4"/>
  </r>
  <r>
    <s v="ORD-00363"/>
    <d v="2020-06-04T00:00:00"/>
    <s v="CUST26055"/>
    <x v="360"/>
    <n v="49"/>
    <x v="1"/>
    <x v="2"/>
    <x v="3"/>
    <x v="15"/>
    <x v="0"/>
    <s v="Shampoo"/>
    <n v="7"/>
    <n v="1638.61"/>
    <x v="8"/>
    <n v="15243.16"/>
    <n v="6526.33"/>
    <n v="72.09"/>
    <x v="2"/>
    <n v="2"/>
    <x v="0"/>
    <x v="3"/>
    <n v="8"/>
  </r>
  <r>
    <s v="ORD-03203"/>
    <d v="2023-10-17T00:00:00"/>
    <s v="CUST79007"/>
    <x v="67"/>
    <n v="47"/>
    <x v="1"/>
    <x v="1"/>
    <x v="2"/>
    <x v="4"/>
    <x v="1"/>
    <s v="Bookshelf"/>
    <n v="5"/>
    <n v="30014.400000000001"/>
    <x v="38"/>
    <n v="131495.04999999999"/>
    <n v="42093.32"/>
    <n v="-3.11"/>
    <x v="3"/>
    <n v="3"/>
    <x v="0"/>
    <x v="0"/>
    <n v="2"/>
  </r>
  <r>
    <s v="ORD-00442"/>
    <d v="2020-07-14T00:00:00"/>
    <s v="CUST98850"/>
    <x v="69"/>
    <n v="49"/>
    <x v="1"/>
    <x v="2"/>
    <x v="3"/>
    <x v="12"/>
    <x v="3"/>
    <s v="Jacket"/>
    <n v="6"/>
    <n v="831.4"/>
    <x v="11"/>
    <n v="4736.01"/>
    <n v="1752.33"/>
    <n v="85.94"/>
    <x v="4"/>
    <n v="3"/>
    <x v="0"/>
    <x v="0"/>
    <n v="1"/>
  </r>
  <r>
    <s v="ORD-01892"/>
    <d v="2022-04-16T00:00:00"/>
    <s v="CUST98022"/>
    <x v="354"/>
    <n v="51"/>
    <x v="2"/>
    <x v="1"/>
    <x v="0"/>
    <x v="1"/>
    <x v="0"/>
    <s v="Shampoo"/>
    <n v="7"/>
    <n v="1556.32"/>
    <x v="19"/>
    <n v="12767.61"/>
    <n v="6509.98"/>
    <n v="58.7"/>
    <x v="4"/>
    <n v="5"/>
    <x v="0"/>
    <x v="0"/>
    <n v="9"/>
  </r>
  <r>
    <s v="ORD-01362"/>
    <d v="2021-09-04T00:00:00"/>
    <s v="CUST75771"/>
    <x v="48"/>
    <n v="49"/>
    <x v="1"/>
    <x v="0"/>
    <x v="3"/>
    <x v="16"/>
    <x v="4"/>
    <s v="Football"/>
    <n v="2"/>
    <n v="3995.9"/>
    <x v="12"/>
    <n v="6264.27"/>
    <n v="1979.87"/>
    <n v="89.09"/>
    <x v="0"/>
    <n v="5"/>
    <x v="0"/>
    <x v="0"/>
    <n v="7"/>
  </r>
  <r>
    <s v="ORD-01581"/>
    <d v="2021-12-08T00:00:00"/>
    <s v="CUST13351"/>
    <x v="201"/>
    <n v="37"/>
    <x v="1"/>
    <x v="2"/>
    <x v="0"/>
    <x v="0"/>
    <x v="2"/>
    <s v="Biography"/>
    <n v="7"/>
    <n v="762.53"/>
    <x v="40"/>
    <n v="2355.0100000000002"/>
    <n v="1196.24"/>
    <n v="65.27"/>
    <x v="1"/>
    <n v="4"/>
    <x v="0"/>
    <x v="2"/>
    <n v="5"/>
  </r>
  <r>
    <s v="ORD-00152"/>
    <d v="2020-03-03T00:00:00"/>
    <s v="CUST55982"/>
    <x v="389"/>
    <n v="33"/>
    <x v="0"/>
    <x v="0"/>
    <x v="1"/>
    <x v="10"/>
    <x v="4"/>
    <s v="Yoga Mat"/>
    <n v="3"/>
    <n v="13678.04"/>
    <x v="9"/>
    <n v="35996.57"/>
    <n v="7972.68"/>
    <n v="67.88"/>
    <x v="3"/>
    <n v="4"/>
    <x v="0"/>
    <x v="0"/>
    <n v="8"/>
  </r>
  <r>
    <s v="ORD-03040"/>
    <d v="2023-08-08T00:00:00"/>
    <s v="CUST92392"/>
    <x v="204"/>
    <n v="39"/>
    <x v="1"/>
    <x v="2"/>
    <x v="3"/>
    <x v="5"/>
    <x v="0"/>
    <s v="Sunscreen"/>
    <n v="5"/>
    <n v="781.43"/>
    <x v="25"/>
    <n v="3859.69"/>
    <n v="2172.08"/>
    <n v="63.85"/>
    <x v="1"/>
    <n v="3"/>
    <x v="0"/>
    <x v="0"/>
    <n v="8"/>
  </r>
  <r>
    <s v="ORD-01709"/>
    <d v="2022-02-01T00:00:00"/>
    <s v="CUST24292"/>
    <x v="128"/>
    <n v="38"/>
    <x v="1"/>
    <x v="0"/>
    <x v="2"/>
    <x v="13"/>
    <x v="1"/>
    <s v="Desk"/>
    <n v="6"/>
    <n v="33340.199999999997"/>
    <x v="32"/>
    <n v="161632.18"/>
    <n v="59885"/>
    <n v="37.520000000000003"/>
    <x v="3"/>
    <n v="3"/>
    <x v="0"/>
    <x v="2"/>
    <n v="7"/>
  </r>
  <r>
    <s v="ORD-04130"/>
    <d v="2024-12-01T00:00:00"/>
    <s v="CUST33881"/>
    <x v="116"/>
    <n v="39"/>
    <x v="1"/>
    <x v="0"/>
    <x v="1"/>
    <x v="11"/>
    <x v="0"/>
    <s v="Sunscreen"/>
    <n v="8"/>
    <n v="1289.19"/>
    <x v="7"/>
    <n v="9301.9500000000007"/>
    <n v="4080.67"/>
    <n v="43.57"/>
    <x v="1"/>
    <n v="1"/>
    <x v="0"/>
    <x v="2"/>
    <n v="2"/>
  </r>
  <r>
    <s v="ORD-02290"/>
    <d v="2022-09-20T00:00:00"/>
    <s v="CUST57859"/>
    <x v="75"/>
    <n v="33"/>
    <x v="0"/>
    <x v="0"/>
    <x v="4"/>
    <x v="7"/>
    <x v="1"/>
    <s v="Wardrobe"/>
    <n v="10"/>
    <n v="29389.24"/>
    <x v="8"/>
    <n v="314322.83"/>
    <n v="104400.15"/>
    <n v="66.52"/>
    <x v="2"/>
    <n v="1"/>
    <x v="0"/>
    <x v="0"/>
    <n v="6"/>
  </r>
  <r>
    <s v="ORD-03083"/>
    <d v="2023-08-25T00:00:00"/>
    <s v="CUST78430"/>
    <x v="336"/>
    <n v="51"/>
    <x v="2"/>
    <x v="0"/>
    <x v="0"/>
    <x v="0"/>
    <x v="0"/>
    <s v="Face Cream"/>
    <n v="4"/>
    <n v="173.98"/>
    <x v="15"/>
    <n v="855.12"/>
    <n v="447.82"/>
    <n v="73.28"/>
    <x v="2"/>
    <n v="1"/>
    <x v="0"/>
    <x v="0"/>
    <n v="7"/>
  </r>
  <r>
    <s v="ORD-01556"/>
    <d v="2021-11-29T00:00:00"/>
    <s v="CUST84287"/>
    <x v="305"/>
    <n v="46"/>
    <x v="1"/>
    <x v="1"/>
    <x v="0"/>
    <x v="2"/>
    <x v="2"/>
    <s v="Cook Book"/>
    <n v="2"/>
    <n v="756.72"/>
    <x v="30"/>
    <n v="749.27"/>
    <n v="238.75"/>
    <n v="80.16"/>
    <x v="4"/>
    <n v="2"/>
    <x v="0"/>
    <x v="0"/>
    <n v="2"/>
  </r>
  <r>
    <s v="ORD-03820"/>
    <d v="2024-07-19T00:00:00"/>
    <s v="CUST00780"/>
    <x v="195"/>
    <n v="42"/>
    <x v="1"/>
    <x v="0"/>
    <x v="1"/>
    <x v="6"/>
    <x v="2"/>
    <s v="Self-Help Book"/>
    <n v="1"/>
    <n v="329.58"/>
    <x v="38"/>
    <n v="558.63"/>
    <n v="235.62"/>
    <n v="62.65"/>
    <x v="5"/>
    <n v="1"/>
    <x v="0"/>
    <x v="0"/>
    <n v="10"/>
  </r>
  <r>
    <s v="ORD-00360"/>
    <d v="2020-06-03T00:00:00"/>
    <s v="CUST65000"/>
    <x v="96"/>
    <n v="23"/>
    <x v="3"/>
    <x v="2"/>
    <x v="3"/>
    <x v="16"/>
    <x v="5"/>
    <s v="Rice (5kg)"/>
    <n v="1"/>
    <n v="362.29"/>
    <x v="3"/>
    <n v="379.74"/>
    <n v="23.08"/>
    <n v="80.099999999999994"/>
    <x v="4"/>
    <n v="3"/>
    <x v="0"/>
    <x v="0"/>
    <n v="8"/>
  </r>
  <r>
    <s v="ORD-02864"/>
    <d v="2023-05-30T00:00:00"/>
    <s v="CUST39044"/>
    <x v="169"/>
    <n v="42"/>
    <x v="1"/>
    <x v="2"/>
    <x v="2"/>
    <x v="13"/>
    <x v="0"/>
    <s v="Face Cream"/>
    <n v="5"/>
    <n v="2006.42"/>
    <x v="8"/>
    <n v="17279.23"/>
    <n v="8223.67"/>
    <n v="34.08"/>
    <x v="2"/>
    <n v="3"/>
    <x v="0"/>
    <x v="0"/>
    <n v="3"/>
  </r>
  <r>
    <s v="ORD-02366"/>
    <d v="2022-10-19T00:00:00"/>
    <s v="CUST55712"/>
    <x v="202"/>
    <n v="39"/>
    <x v="1"/>
    <x v="1"/>
    <x v="4"/>
    <x v="18"/>
    <x v="0"/>
    <s v="Hair Oil"/>
    <n v="7"/>
    <n v="128.30000000000001"/>
    <x v="27"/>
    <n v="712.63"/>
    <n v="385.99"/>
    <n v="51.66"/>
    <x v="2"/>
    <n v="1"/>
    <x v="0"/>
    <x v="2"/>
    <n v="4"/>
  </r>
  <r>
    <s v="ORD-01368"/>
    <d v="2021-09-09T00:00:00"/>
    <s v="CUST02383"/>
    <x v="302"/>
    <n v="32"/>
    <x v="0"/>
    <x v="2"/>
    <x v="3"/>
    <x v="16"/>
    <x v="0"/>
    <s v="Sunscreen"/>
    <n v="10"/>
    <n v="1927.01"/>
    <x v="37"/>
    <n v="14983.29"/>
    <n v="6280.5"/>
    <n v="52.73"/>
    <x v="2"/>
    <n v="3"/>
    <x v="0"/>
    <x v="0"/>
    <n v="9"/>
  </r>
  <r>
    <s v="ORD-04112"/>
    <d v="2024-11-22T00:00:00"/>
    <s v="CUST28483"/>
    <x v="154"/>
    <n v="23"/>
    <x v="3"/>
    <x v="1"/>
    <x v="1"/>
    <x v="10"/>
    <x v="3"/>
    <s v="Jacket"/>
    <n v="8"/>
    <n v="3689.55"/>
    <x v="21"/>
    <n v="22365.27"/>
    <n v="6339.32"/>
    <n v="82.16"/>
    <x v="0"/>
    <n v="4"/>
    <x v="0"/>
    <x v="4"/>
    <n v="4"/>
  </r>
  <r>
    <s v="ORD-02943"/>
    <d v="2023-06-30T00:00:00"/>
    <s v="CUST64972"/>
    <x v="279"/>
    <n v="41"/>
    <x v="1"/>
    <x v="0"/>
    <x v="2"/>
    <x v="4"/>
    <x v="4"/>
    <s v="Dumbbells"/>
    <n v="9"/>
    <n v="6912.54"/>
    <x v="5"/>
    <n v="98451.07"/>
    <n v="24585.48"/>
    <n v="74.650000000000006"/>
    <x v="3"/>
    <n v="5"/>
    <x v="0"/>
    <x v="0"/>
    <n v="6"/>
  </r>
  <r>
    <s v="ORD-00353"/>
    <d v="2020-05-31T00:00:00"/>
    <s v="CUST09451"/>
    <x v="114"/>
    <n v="35"/>
    <x v="0"/>
    <x v="0"/>
    <x v="4"/>
    <x v="7"/>
    <x v="1"/>
    <s v="Desk"/>
    <n v="4"/>
    <n v="14963.38"/>
    <x v="8"/>
    <n v="67902.84"/>
    <n v="22163.23"/>
    <n v="68.709999999999994"/>
    <x v="2"/>
    <n v="3"/>
    <x v="0"/>
    <x v="0"/>
    <n v="8"/>
  </r>
  <r>
    <s v="ORD-00520"/>
    <d v="2020-08-18T00:00:00"/>
    <s v="CUST37089"/>
    <x v="220"/>
    <n v="49"/>
    <x v="1"/>
    <x v="1"/>
    <x v="0"/>
    <x v="0"/>
    <x v="2"/>
    <s v="Fiction Novel"/>
    <n v="1"/>
    <n v="1155.8800000000001"/>
    <x v="6"/>
    <n v="743.9"/>
    <n v="208.47"/>
    <n v="59.74"/>
    <x v="0"/>
    <n v="4"/>
    <x v="0"/>
    <x v="0"/>
    <n v="1"/>
  </r>
  <r>
    <s v="ORD-00930"/>
    <d v="2021-02-23T00:00:00"/>
    <s v="CUST93704"/>
    <x v="301"/>
    <n v="46"/>
    <x v="1"/>
    <x v="0"/>
    <x v="4"/>
    <x v="7"/>
    <x v="6"/>
    <s v="Smartphone"/>
    <n v="4"/>
    <n v="69413.05"/>
    <x v="36"/>
    <n v="236615.76"/>
    <n v="20189.990000000002"/>
    <n v="74.25"/>
    <x v="1"/>
    <n v="2"/>
    <x v="0"/>
    <x v="2"/>
    <n v="7"/>
  </r>
  <r>
    <s v="ORD-01710"/>
    <d v="2022-02-01T00:00:00"/>
    <s v="CUST45078"/>
    <x v="2"/>
    <n v="36"/>
    <x v="1"/>
    <x v="0"/>
    <x v="2"/>
    <x v="13"/>
    <x v="6"/>
    <s v="Smartwatch"/>
    <n v="1"/>
    <n v="21382.9"/>
    <x v="36"/>
    <n v="18387.23"/>
    <n v="1757.16"/>
    <n v="13.65"/>
    <x v="2"/>
    <n v="5"/>
    <x v="0"/>
    <x v="0"/>
    <n v="6"/>
  </r>
  <r>
    <s v="ORD-02303"/>
    <d v="2022-09-27T00:00:00"/>
    <s v="CUST73687"/>
    <x v="253"/>
    <n v="35"/>
    <x v="0"/>
    <x v="0"/>
    <x v="0"/>
    <x v="19"/>
    <x v="1"/>
    <s v="Bed Frame"/>
    <n v="6"/>
    <n v="4727.2"/>
    <x v="25"/>
    <n v="22747.1"/>
    <n v="6128.52"/>
    <n v="85.09"/>
    <x v="5"/>
    <n v="5"/>
    <x v="0"/>
    <x v="3"/>
    <n v="9"/>
  </r>
  <r>
    <s v="ORD-02596"/>
    <d v="2023-02-01T00:00:00"/>
    <s v="CUST81623"/>
    <x v="328"/>
    <n v="23"/>
    <x v="3"/>
    <x v="1"/>
    <x v="1"/>
    <x v="6"/>
    <x v="2"/>
    <s v="Fiction Novel"/>
    <n v="4"/>
    <n v="246.31"/>
    <x v="18"/>
    <n v="670.92"/>
    <n v="214.73"/>
    <n v="54.41"/>
    <x v="4"/>
    <n v="3"/>
    <x v="0"/>
    <x v="0"/>
    <n v="9"/>
  </r>
  <r>
    <s v="ORD-01373"/>
    <d v="2021-09-11T00:00:00"/>
    <s v="CUST56843"/>
    <x v="293"/>
    <n v="31"/>
    <x v="0"/>
    <x v="2"/>
    <x v="2"/>
    <x v="9"/>
    <x v="6"/>
    <s v="Smartphone"/>
    <n v="2"/>
    <n v="20652.77"/>
    <x v="2"/>
    <n v="36063.910000000003"/>
    <n v="2449.77"/>
    <n v="46.55"/>
    <x v="3"/>
    <n v="1"/>
    <x v="0"/>
    <x v="0"/>
    <n v="3"/>
  </r>
  <r>
    <s v="ORD-02472"/>
    <d v="2022-12-08T00:00:00"/>
    <s v="CUST85179"/>
    <x v="253"/>
    <n v="40"/>
    <x v="1"/>
    <x v="0"/>
    <x v="1"/>
    <x v="11"/>
    <x v="3"/>
    <s v="Kurta"/>
    <n v="8"/>
    <n v="3539.5"/>
    <x v="37"/>
    <n v="17882.7"/>
    <n v="6353.82"/>
    <n v="60.26"/>
    <x v="5"/>
    <n v="4"/>
    <x v="0"/>
    <x v="2"/>
    <n v="9"/>
  </r>
  <r>
    <s v="ORD-02435"/>
    <d v="2022-11-22T00:00:00"/>
    <s v="CUST20967"/>
    <x v="275"/>
    <n v="36"/>
    <x v="1"/>
    <x v="2"/>
    <x v="1"/>
    <x v="11"/>
    <x v="4"/>
    <s v="Cricket Bat"/>
    <n v="9"/>
    <n v="8072.68"/>
    <x v="38"/>
    <n v="55849.13"/>
    <n v="10192.200000000001"/>
    <n v="56.59"/>
    <x v="4"/>
    <n v="1"/>
    <x v="0"/>
    <x v="0"/>
    <n v="8"/>
  </r>
  <r>
    <s v="ORD-02722"/>
    <d v="2023-03-26T00:00:00"/>
    <s v="CUST57029"/>
    <x v="260"/>
    <n v="28"/>
    <x v="0"/>
    <x v="0"/>
    <x v="3"/>
    <x v="5"/>
    <x v="5"/>
    <s v="Cooking Oil"/>
    <n v="10"/>
    <n v="241.98"/>
    <x v="12"/>
    <n v="2282.59"/>
    <n v="137.71"/>
    <n v="54.31"/>
    <x v="3"/>
    <n v="5"/>
    <x v="0"/>
    <x v="2"/>
    <n v="4"/>
  </r>
  <r>
    <s v="ORD-01260"/>
    <d v="2021-07-23T00:00:00"/>
    <s v="CUST55880"/>
    <x v="211"/>
    <n v="32"/>
    <x v="0"/>
    <x v="0"/>
    <x v="3"/>
    <x v="16"/>
    <x v="0"/>
    <s v="Shampoo"/>
    <n v="3"/>
    <n v="676.4"/>
    <x v="35"/>
    <n v="2011.95"/>
    <n v="671.9"/>
    <n v="89.11"/>
    <x v="1"/>
    <n v="3"/>
    <x v="0"/>
    <x v="0"/>
    <n v="7"/>
  </r>
  <r>
    <s v="ORD-03688"/>
    <d v="2024-05-21T00:00:00"/>
    <s v="CUST87861"/>
    <x v="168"/>
    <n v="18"/>
    <x v="3"/>
    <x v="1"/>
    <x v="3"/>
    <x v="5"/>
    <x v="1"/>
    <s v="Sofa"/>
    <n v="3"/>
    <n v="27654.89"/>
    <x v="16"/>
    <n v="139972.32999999999"/>
    <n v="47884.94"/>
    <n v="88.4"/>
    <x v="4"/>
    <n v="3"/>
    <x v="0"/>
    <x v="0"/>
    <n v="7"/>
  </r>
  <r>
    <s v="ORD-03284"/>
    <d v="2023-11-18T00:00:00"/>
    <s v="CUST26543"/>
    <x v="9"/>
    <n v="37"/>
    <x v="1"/>
    <x v="0"/>
    <x v="4"/>
    <x v="7"/>
    <x v="0"/>
    <s v="Lipstick"/>
    <n v="3"/>
    <n v="1910.31"/>
    <x v="22"/>
    <n v="3118.32"/>
    <n v="1686.07"/>
    <n v="72.569999999999993"/>
    <x v="2"/>
    <n v="5"/>
    <x v="0"/>
    <x v="4"/>
    <n v="8"/>
  </r>
  <r>
    <s v="ORD-03833"/>
    <d v="2024-07-24T00:00:00"/>
    <s v="CUST19407"/>
    <x v="165"/>
    <n v="39"/>
    <x v="1"/>
    <x v="1"/>
    <x v="0"/>
    <x v="1"/>
    <x v="4"/>
    <s v="Dumbbells"/>
    <n v="9"/>
    <n v="7643.25"/>
    <x v="9"/>
    <n v="102057.62"/>
    <n v="26038.27"/>
    <n v="62.54"/>
    <x v="0"/>
    <n v="3"/>
    <x v="0"/>
    <x v="0"/>
    <n v="7"/>
  </r>
  <r>
    <s v="ORD-02225"/>
    <d v="2022-08-28T00:00:00"/>
    <s v="CUST76092"/>
    <x v="149"/>
    <n v="33"/>
    <x v="0"/>
    <x v="1"/>
    <x v="0"/>
    <x v="1"/>
    <x v="5"/>
    <s v="Tea"/>
    <n v="6"/>
    <n v="497.75"/>
    <x v="40"/>
    <n v="2474.96"/>
    <n v="216.67"/>
    <n v="65.8"/>
    <x v="2"/>
    <n v="1"/>
    <x v="0"/>
    <x v="4"/>
    <n v="3"/>
  </r>
  <r>
    <s v="ORD-01943"/>
    <d v="2022-05-08T00:00:00"/>
    <s v="CUST27635"/>
    <x v="75"/>
    <n v="36"/>
    <x v="1"/>
    <x v="2"/>
    <x v="0"/>
    <x v="2"/>
    <x v="4"/>
    <s v="Tennis Racket"/>
    <n v="4"/>
    <n v="9134.3700000000008"/>
    <x v="10"/>
    <n v="34788.58"/>
    <n v="8944.34"/>
    <n v="65.47"/>
    <x v="5"/>
    <n v="5"/>
    <x v="0"/>
    <x v="0"/>
    <n v="4"/>
  </r>
  <r>
    <s v="ORD-02312"/>
    <d v="2022-10-01T00:00:00"/>
    <s v="CUST81714"/>
    <x v="98"/>
    <n v="32"/>
    <x v="0"/>
    <x v="2"/>
    <x v="3"/>
    <x v="5"/>
    <x v="0"/>
    <s v="Shampoo"/>
    <n v="10"/>
    <n v="909.09"/>
    <x v="10"/>
    <n v="6829.99"/>
    <n v="3214.22"/>
    <n v="86.69"/>
    <x v="2"/>
    <n v="2"/>
    <x v="0"/>
    <x v="0"/>
    <n v="4"/>
  </r>
  <r>
    <s v="ORD-01416"/>
    <d v="2021-09-30T00:00:00"/>
    <s v="CUST53700"/>
    <x v="147"/>
    <n v="35"/>
    <x v="0"/>
    <x v="1"/>
    <x v="2"/>
    <x v="14"/>
    <x v="5"/>
    <s v="Tea"/>
    <n v="4"/>
    <n v="98.95"/>
    <x v="7"/>
    <n v="365.47"/>
    <n v="31.72"/>
    <n v="78.47"/>
    <x v="5"/>
    <n v="1"/>
    <x v="1"/>
    <x v="1"/>
    <n v="4"/>
  </r>
  <r>
    <s v="ORD-03584"/>
    <d v="2024-04-09T00:00:00"/>
    <s v="CUST44948"/>
    <x v="389"/>
    <n v="29"/>
    <x v="0"/>
    <x v="2"/>
    <x v="0"/>
    <x v="0"/>
    <x v="2"/>
    <s v="Self-Help Book"/>
    <n v="8"/>
    <n v="807.8"/>
    <x v="5"/>
    <n v="10104.81"/>
    <n v="3435.69"/>
    <n v="55.12"/>
    <x v="5"/>
    <n v="5"/>
    <x v="1"/>
    <x v="1"/>
    <n v="10"/>
  </r>
  <r>
    <s v="ORD-02320"/>
    <d v="2022-10-05T00:00:00"/>
    <s v="CUST01629"/>
    <x v="321"/>
    <n v="20"/>
    <x v="3"/>
    <x v="0"/>
    <x v="2"/>
    <x v="4"/>
    <x v="1"/>
    <s v="Desk"/>
    <n v="9"/>
    <n v="14626.63"/>
    <x v="18"/>
    <n v="81959.990000000005"/>
    <n v="31885.26"/>
    <n v="43.74"/>
    <x v="5"/>
    <n v="5"/>
    <x v="0"/>
    <x v="0"/>
    <n v="1"/>
  </r>
  <r>
    <s v="ORD-02902"/>
    <d v="2023-06-08T00:00:00"/>
    <s v="CUST92378"/>
    <x v="248"/>
    <n v="37"/>
    <x v="1"/>
    <x v="1"/>
    <x v="1"/>
    <x v="10"/>
    <x v="4"/>
    <s v="Cycle"/>
    <n v="1"/>
    <n v="5089.72"/>
    <x v="29"/>
    <n v="8297.84"/>
    <n v="2163.06"/>
    <n v="48.55"/>
    <x v="2"/>
    <n v="3"/>
    <x v="0"/>
    <x v="0"/>
    <n v="6"/>
  </r>
  <r>
    <s v="ORD-02493"/>
    <d v="2022-12-18T00:00:00"/>
    <s v="CUST53174"/>
    <x v="224"/>
    <n v="33"/>
    <x v="0"/>
    <x v="0"/>
    <x v="3"/>
    <x v="5"/>
    <x v="5"/>
    <s v="Dal (1kg)"/>
    <n v="8"/>
    <n v="117.88"/>
    <x v="6"/>
    <n v="478.16"/>
    <n v="41.29"/>
    <n v="88.62"/>
    <x v="5"/>
    <n v="1"/>
    <x v="1"/>
    <x v="1"/>
    <n v="3"/>
  </r>
  <r>
    <s v="ORD-01625"/>
    <d v="2021-12-26T00:00:00"/>
    <s v="CUST55070"/>
    <x v="187"/>
    <n v="38"/>
    <x v="1"/>
    <x v="2"/>
    <x v="0"/>
    <x v="0"/>
    <x v="3"/>
    <s v="Saree"/>
    <n v="9"/>
    <n v="3852.76"/>
    <x v="0"/>
    <n v="26003.08"/>
    <n v="7426.65"/>
    <n v="50.19"/>
    <x v="3"/>
    <n v="5"/>
    <x v="0"/>
    <x v="0"/>
    <n v="9"/>
  </r>
  <r>
    <s v="ORD-00641"/>
    <d v="2020-10-13T00:00:00"/>
    <s v="CUST42461"/>
    <x v="155"/>
    <n v="26"/>
    <x v="0"/>
    <x v="1"/>
    <x v="1"/>
    <x v="11"/>
    <x v="4"/>
    <s v="Cycle"/>
    <n v="10"/>
    <n v="2882"/>
    <x v="13"/>
    <n v="25085.42"/>
    <n v="5947.27"/>
    <n v="58.31"/>
    <x v="1"/>
    <n v="5"/>
    <x v="0"/>
    <x v="0"/>
    <n v="9"/>
  </r>
  <r>
    <s v="ORD-01828"/>
    <d v="2022-03-19T00:00:00"/>
    <s v="CUST21183"/>
    <x v="325"/>
    <n v="50"/>
    <x v="1"/>
    <x v="0"/>
    <x v="3"/>
    <x v="5"/>
    <x v="1"/>
    <s v="Wardrobe"/>
    <n v="6"/>
    <n v="14556.36"/>
    <x v="13"/>
    <n v="99451.13"/>
    <n v="38970.92"/>
    <n v="88.32"/>
    <x v="1"/>
    <n v="3"/>
    <x v="0"/>
    <x v="0"/>
    <n v="9"/>
  </r>
  <r>
    <s v="ORD-00380"/>
    <d v="2020-06-10T00:00:00"/>
    <s v="CUST14649"/>
    <x v="272"/>
    <n v="34"/>
    <x v="0"/>
    <x v="1"/>
    <x v="1"/>
    <x v="3"/>
    <x v="4"/>
    <s v="Tennis Racket"/>
    <n v="3"/>
    <n v="6440.36"/>
    <x v="16"/>
    <n v="22706.45"/>
    <n v="4999.3999999999996"/>
    <n v="42.43"/>
    <x v="3"/>
    <n v="4"/>
    <x v="0"/>
    <x v="0"/>
    <n v="8"/>
  </r>
  <r>
    <s v="ORD-04024"/>
    <d v="2024-10-12T00:00:00"/>
    <s v="CUST40456"/>
    <x v="292"/>
    <n v="50"/>
    <x v="1"/>
    <x v="2"/>
    <x v="1"/>
    <x v="11"/>
    <x v="6"/>
    <s v="Headphones"/>
    <n v="4"/>
    <n v="40360.699999999997"/>
    <x v="28"/>
    <n v="182429.15"/>
    <n v="25030.400000000001"/>
    <n v="36.28"/>
    <x v="0"/>
    <n v="1"/>
    <x v="0"/>
    <x v="0"/>
    <n v="10"/>
  </r>
  <r>
    <s v="ORD-02964"/>
    <d v="2023-07-07T00:00:00"/>
    <s v="CUST46382"/>
    <x v="109"/>
    <n v="39"/>
    <x v="1"/>
    <x v="0"/>
    <x v="0"/>
    <x v="1"/>
    <x v="4"/>
    <s v="Cycle"/>
    <n v="8"/>
    <n v="3387.86"/>
    <x v="27"/>
    <n v="29752.47"/>
    <n v="7208.56"/>
    <n v="47.15"/>
    <x v="2"/>
    <n v="5"/>
    <x v="1"/>
    <x v="1"/>
    <n v="7"/>
  </r>
  <r>
    <s v="ORD-00899"/>
    <d v="2021-02-08T00:00:00"/>
    <s v="CUST12934"/>
    <x v="44"/>
    <n v="20"/>
    <x v="3"/>
    <x v="1"/>
    <x v="0"/>
    <x v="0"/>
    <x v="3"/>
    <s v="Dress"/>
    <n v="4"/>
    <n v="781.53"/>
    <x v="13"/>
    <n v="2842.15"/>
    <n v="1255.07"/>
    <n v="61.02"/>
    <x v="4"/>
    <n v="5"/>
    <x v="0"/>
    <x v="0"/>
    <n v="7"/>
  </r>
  <r>
    <s v="ORD-01931"/>
    <d v="2022-05-03T00:00:00"/>
    <s v="CUST56329"/>
    <x v="324"/>
    <n v="36"/>
    <x v="1"/>
    <x v="1"/>
    <x v="1"/>
    <x v="11"/>
    <x v="6"/>
    <s v="Laptop"/>
    <n v="9"/>
    <n v="58361.52"/>
    <x v="1"/>
    <n v="656523.77"/>
    <n v="75288.800000000003"/>
    <n v="48.7"/>
    <x v="2"/>
    <n v="3"/>
    <x v="0"/>
    <x v="0"/>
    <n v="6"/>
  </r>
  <r>
    <s v="ORD-01271"/>
    <d v="2021-07-28T00:00:00"/>
    <s v="CUST89833"/>
    <x v="386"/>
    <n v="50"/>
    <x v="1"/>
    <x v="1"/>
    <x v="1"/>
    <x v="6"/>
    <x v="2"/>
    <s v="Biography"/>
    <n v="9"/>
    <n v="303.27999999999997"/>
    <x v="31"/>
    <n v="2822.94"/>
    <n v="1428.88"/>
    <n v="66.69"/>
    <x v="1"/>
    <n v="3"/>
    <x v="0"/>
    <x v="2"/>
    <n v="6"/>
  </r>
  <r>
    <s v="ORD-02502"/>
    <d v="2022-12-22T00:00:00"/>
    <s v="CUST57769"/>
    <x v="133"/>
    <n v="21"/>
    <x v="3"/>
    <x v="2"/>
    <x v="2"/>
    <x v="4"/>
    <x v="6"/>
    <s v="Tablet"/>
    <n v="5"/>
    <n v="48591.01"/>
    <x v="1"/>
    <n v="155853.93"/>
    <n v="14342.24"/>
    <n v="67.81"/>
    <x v="0"/>
    <n v="5"/>
    <x v="0"/>
    <x v="0"/>
    <n v="2"/>
  </r>
  <r>
    <s v="ORD-02471"/>
    <d v="2022-12-07T00:00:00"/>
    <s v="CUST13297"/>
    <x v="167"/>
    <n v="35"/>
    <x v="0"/>
    <x v="1"/>
    <x v="1"/>
    <x v="11"/>
    <x v="5"/>
    <s v="Sugar"/>
    <n v="1"/>
    <n v="211.63"/>
    <x v="14"/>
    <n v="100.19"/>
    <n v="8.8000000000000007"/>
    <n v="38.35"/>
    <x v="5"/>
    <n v="3"/>
    <x v="0"/>
    <x v="0"/>
    <n v="6"/>
  </r>
  <r>
    <s v="ORD-00278"/>
    <d v="2020-05-03T00:00:00"/>
    <s v="CUST14008"/>
    <x v="13"/>
    <n v="37"/>
    <x v="1"/>
    <x v="1"/>
    <x v="3"/>
    <x v="12"/>
    <x v="0"/>
    <s v="Perfume"/>
    <n v="4"/>
    <n v="206.46"/>
    <x v="0"/>
    <n v="835.93"/>
    <n v="232.93"/>
    <n v="62.51"/>
    <x v="0"/>
    <n v="1"/>
    <x v="0"/>
    <x v="0"/>
    <n v="9"/>
  </r>
  <r>
    <s v="ORD-01585"/>
    <d v="2021-12-09T00:00:00"/>
    <s v="CUST80517"/>
    <x v="70"/>
    <n v="25"/>
    <x v="3"/>
    <x v="2"/>
    <x v="3"/>
    <x v="5"/>
    <x v="4"/>
    <s v="Yoga Mat"/>
    <n v="6"/>
    <n v="12768.97"/>
    <x v="13"/>
    <n v="54563.15"/>
    <n v="14418.02"/>
    <n v="94.15"/>
    <x v="0"/>
    <n v="5"/>
    <x v="0"/>
    <x v="0"/>
    <n v="2"/>
  </r>
  <r>
    <s v="ORD-03822"/>
    <d v="2024-07-20T00:00:00"/>
    <s v="CUST66429"/>
    <x v="308"/>
    <n v="20"/>
    <x v="3"/>
    <x v="2"/>
    <x v="0"/>
    <x v="2"/>
    <x v="2"/>
    <s v="Fiction Novel"/>
    <n v="9"/>
    <n v="872.17"/>
    <x v="12"/>
    <n v="9875.31"/>
    <n v="3131.98"/>
    <n v="23.1"/>
    <x v="2"/>
    <n v="2"/>
    <x v="0"/>
    <x v="0"/>
    <n v="4"/>
  </r>
  <r>
    <s v="ORD-01043"/>
    <d v="2021-04-18T00:00:00"/>
    <s v="CUST85718"/>
    <x v="172"/>
    <n v="44"/>
    <x v="1"/>
    <x v="2"/>
    <x v="4"/>
    <x v="7"/>
    <x v="4"/>
    <s v="Dumbbells"/>
    <n v="1"/>
    <n v="736.98"/>
    <x v="37"/>
    <n v="690.69"/>
    <n v="150.91999999999999"/>
    <n v="65.86"/>
    <x v="3"/>
    <n v="1"/>
    <x v="1"/>
    <x v="1"/>
    <n v="7"/>
  </r>
  <r>
    <s v="ORD-03219"/>
    <d v="2023-10-24T00:00:00"/>
    <s v="CUST75320"/>
    <x v="380"/>
    <n v="33"/>
    <x v="0"/>
    <x v="0"/>
    <x v="3"/>
    <x v="5"/>
    <x v="0"/>
    <s v="Hair Oil"/>
    <n v="4"/>
    <n v="1214.7"/>
    <x v="34"/>
    <n v="3082.23"/>
    <n v="1134.31"/>
    <n v="101.88"/>
    <x v="1"/>
    <n v="4"/>
    <x v="0"/>
    <x v="0"/>
    <n v="4"/>
  </r>
  <r>
    <s v="ORD-01774"/>
    <d v="2022-02-25T00:00:00"/>
    <s v="CUST82194"/>
    <x v="112"/>
    <n v="28"/>
    <x v="0"/>
    <x v="1"/>
    <x v="3"/>
    <x v="12"/>
    <x v="0"/>
    <s v="Hair Oil"/>
    <n v="2"/>
    <n v="2223.4699999999998"/>
    <x v="12"/>
    <n v="3216.13"/>
    <n v="1585.85"/>
    <n v="71.53"/>
    <x v="0"/>
    <n v="5"/>
    <x v="0"/>
    <x v="0"/>
    <n v="10"/>
  </r>
  <r>
    <s v="ORD-00137"/>
    <d v="2020-02-24T00:00:00"/>
    <s v="CUST00764"/>
    <x v="79"/>
    <n v="40"/>
    <x v="1"/>
    <x v="0"/>
    <x v="0"/>
    <x v="1"/>
    <x v="3"/>
    <s v="Jeans"/>
    <n v="7"/>
    <n v="2365.37"/>
    <x v="37"/>
    <n v="11584.23"/>
    <n v="4400.45"/>
    <n v="58.83"/>
    <x v="5"/>
    <n v="5"/>
    <x v="0"/>
    <x v="0"/>
    <n v="3"/>
  </r>
  <r>
    <s v="ORD-02072"/>
    <d v="2022-07-03T00:00:00"/>
    <s v="CUST80210"/>
    <x v="16"/>
    <n v="47"/>
    <x v="1"/>
    <x v="1"/>
    <x v="3"/>
    <x v="15"/>
    <x v="5"/>
    <s v="Sugar"/>
    <n v="9"/>
    <n v="402.48"/>
    <x v="14"/>
    <n v="3545.6"/>
    <n v="235.12"/>
    <n v="108.84"/>
    <x v="3"/>
    <n v="5"/>
    <x v="0"/>
    <x v="0"/>
    <n v="1"/>
  </r>
  <r>
    <s v="ORD-00212"/>
    <d v="2020-04-02T00:00:00"/>
    <s v="CUST28918"/>
    <x v="317"/>
    <n v="27"/>
    <x v="0"/>
    <x v="2"/>
    <x v="1"/>
    <x v="10"/>
    <x v="5"/>
    <s v="Flour"/>
    <n v="3"/>
    <n v="263.48"/>
    <x v="23"/>
    <n v="622.58000000000004"/>
    <n v="55.39"/>
    <n v="77.89"/>
    <x v="0"/>
    <n v="2"/>
    <x v="0"/>
    <x v="3"/>
    <n v="3"/>
  </r>
  <r>
    <s v="ORD-00984"/>
    <d v="2021-03-24T00:00:00"/>
    <s v="CUST55320"/>
    <x v="232"/>
    <n v="36"/>
    <x v="1"/>
    <x v="2"/>
    <x v="0"/>
    <x v="2"/>
    <x v="0"/>
    <s v="Hair Oil"/>
    <n v="8"/>
    <n v="1335.25"/>
    <x v="9"/>
    <n v="9435.3799999999992"/>
    <n v="4980.08"/>
    <n v="64.56"/>
    <x v="5"/>
    <n v="2"/>
    <x v="0"/>
    <x v="2"/>
    <n v="1"/>
  </r>
  <r>
    <s v="ORD-03746"/>
    <d v="2024-06-20T00:00:00"/>
    <s v="CUST06683"/>
    <x v="206"/>
    <n v="19"/>
    <x v="3"/>
    <x v="2"/>
    <x v="4"/>
    <x v="17"/>
    <x v="5"/>
    <s v="Dal (1kg)"/>
    <n v="9"/>
    <n v="293.41000000000003"/>
    <x v="32"/>
    <n v="4375.33"/>
    <n v="353.37"/>
    <n v="78.569999999999993"/>
    <x v="1"/>
    <n v="5"/>
    <x v="0"/>
    <x v="0"/>
    <n v="8"/>
  </r>
  <r>
    <s v="ORD-03546"/>
    <d v="2024-03-20T00:00:00"/>
    <s v="CUST33381"/>
    <x v="143"/>
    <n v="30"/>
    <x v="0"/>
    <x v="1"/>
    <x v="3"/>
    <x v="12"/>
    <x v="6"/>
    <s v="Tablet"/>
    <n v="6"/>
    <n v="68505.67"/>
    <x v="12"/>
    <n v="367164.54"/>
    <n v="51349.21"/>
    <n v="111.8"/>
    <x v="1"/>
    <n v="1"/>
    <x v="0"/>
    <x v="0"/>
    <n v="1"/>
  </r>
  <r>
    <s v="ORD-03786"/>
    <d v="2024-07-04T00:00:00"/>
    <s v="CUST30148"/>
    <x v="372"/>
    <n v="29"/>
    <x v="0"/>
    <x v="0"/>
    <x v="0"/>
    <x v="2"/>
    <x v="3"/>
    <s v="T-Shirt"/>
    <n v="7"/>
    <n v="3302.83"/>
    <x v="16"/>
    <n v="35762.76"/>
    <n v="10582.26"/>
    <n v="67.27"/>
    <x v="0"/>
    <n v="2"/>
    <x v="0"/>
    <x v="3"/>
    <n v="3"/>
  </r>
  <r>
    <s v="ORD-03662"/>
    <d v="2024-05-11T00:00:00"/>
    <s v="CUST72198"/>
    <x v="247"/>
    <n v="22"/>
    <x v="3"/>
    <x v="2"/>
    <x v="0"/>
    <x v="2"/>
    <x v="2"/>
    <s v="Self-Help Book"/>
    <n v="1"/>
    <n v="824.98"/>
    <x v="8"/>
    <n v="1484.35"/>
    <n v="718.2"/>
    <n v="58.06"/>
    <x v="1"/>
    <n v="5"/>
    <x v="0"/>
    <x v="0"/>
    <n v="3"/>
  </r>
  <r>
    <s v="ORD-03377"/>
    <d v="2023-12-31T00:00:00"/>
    <s v="CUST63612"/>
    <x v="331"/>
    <n v="49"/>
    <x v="1"/>
    <x v="0"/>
    <x v="4"/>
    <x v="17"/>
    <x v="6"/>
    <s v="Camera"/>
    <n v="9"/>
    <n v="15045.24"/>
    <x v="22"/>
    <n v="72139.33"/>
    <n v="9548.15"/>
    <n v="70.61"/>
    <x v="0"/>
    <n v="1"/>
    <x v="0"/>
    <x v="0"/>
    <n v="6"/>
  </r>
  <r>
    <s v="ORD-04064"/>
    <d v="2024-10-28T00:00:00"/>
    <s v="CUST01728"/>
    <x v="49"/>
    <n v="38"/>
    <x v="1"/>
    <x v="2"/>
    <x v="4"/>
    <x v="7"/>
    <x v="5"/>
    <s v="Rice (5kg)"/>
    <n v="10"/>
    <n v="86.55"/>
    <x v="23"/>
    <n v="746.03"/>
    <n v="63.53"/>
    <n v="71.97"/>
    <x v="2"/>
    <n v="3"/>
    <x v="0"/>
    <x v="0"/>
    <n v="5"/>
  </r>
  <r>
    <s v="ORD-00792"/>
    <d v="2020-12-27T00:00:00"/>
    <s v="CUST76017"/>
    <x v="390"/>
    <n v="39"/>
    <x v="1"/>
    <x v="0"/>
    <x v="0"/>
    <x v="1"/>
    <x v="3"/>
    <s v="Jacket"/>
    <n v="3"/>
    <n v="487.67"/>
    <x v="20"/>
    <n v="822.61"/>
    <n v="342.21"/>
    <n v="83.7"/>
    <x v="2"/>
    <n v="3"/>
    <x v="0"/>
    <x v="0"/>
    <n v="7"/>
  </r>
  <r>
    <s v="ORD-01760"/>
    <d v="2022-02-18T00:00:00"/>
    <s v="CUST10245"/>
    <x v="121"/>
    <n v="45"/>
    <x v="1"/>
    <x v="1"/>
    <x v="1"/>
    <x v="3"/>
    <x v="0"/>
    <s v="Sunscreen"/>
    <n v="3"/>
    <n v="1152.55"/>
    <x v="36"/>
    <n v="3015.35"/>
    <n v="955.16"/>
    <n v="65.06"/>
    <x v="2"/>
    <n v="1"/>
    <x v="0"/>
    <x v="0"/>
    <n v="2"/>
  </r>
  <r>
    <s v="ORD-01846"/>
    <d v="2022-03-27T00:00:00"/>
    <s v="CUST07057"/>
    <x v="325"/>
    <n v="30"/>
    <x v="0"/>
    <x v="2"/>
    <x v="1"/>
    <x v="3"/>
    <x v="6"/>
    <s v="Headphones"/>
    <n v="2"/>
    <n v="58913.07"/>
    <x v="6"/>
    <n v="86706.37"/>
    <n v="9273.59"/>
    <n v="54.91"/>
    <x v="2"/>
    <n v="2"/>
    <x v="0"/>
    <x v="3"/>
    <n v="3"/>
  </r>
  <r>
    <s v="ORD-03700"/>
    <d v="2024-05-26T00:00:00"/>
    <s v="CUST90578"/>
    <x v="190"/>
    <n v="30"/>
    <x v="0"/>
    <x v="0"/>
    <x v="3"/>
    <x v="5"/>
    <x v="1"/>
    <s v="Sofa"/>
    <n v="9"/>
    <n v="10404.799999999999"/>
    <x v="34"/>
    <n v="103669.31"/>
    <n v="24976.75"/>
    <n v="83.45"/>
    <x v="3"/>
    <n v="1"/>
    <x v="0"/>
    <x v="0"/>
    <n v="6"/>
  </r>
  <r>
    <s v="ORD-03617"/>
    <d v="2024-04-22T00:00:00"/>
    <s v="CUST82513"/>
    <x v="62"/>
    <n v="29"/>
    <x v="0"/>
    <x v="0"/>
    <x v="2"/>
    <x v="14"/>
    <x v="6"/>
    <s v="Headphones"/>
    <n v="10"/>
    <n v="74580.77"/>
    <x v="37"/>
    <n v="804932.74"/>
    <n v="82687.350000000006"/>
    <n v="42.09"/>
    <x v="0"/>
    <n v="3"/>
    <x v="0"/>
    <x v="0"/>
    <n v="10"/>
  </r>
  <r>
    <s v="ORD-02962"/>
    <d v="2023-07-07T00:00:00"/>
    <s v="CUST66452"/>
    <x v="390"/>
    <n v="33"/>
    <x v="0"/>
    <x v="2"/>
    <x v="2"/>
    <x v="13"/>
    <x v="4"/>
    <s v="Yoga Mat"/>
    <n v="7"/>
    <n v="8842.83"/>
    <x v="14"/>
    <n v="62506.61"/>
    <n v="13120.8"/>
    <n v="39.72"/>
    <x v="3"/>
    <n v="3"/>
    <x v="0"/>
    <x v="0"/>
    <n v="8"/>
  </r>
  <r>
    <s v="ORD-01791"/>
    <d v="2022-03-04T00:00:00"/>
    <s v="CUST01822"/>
    <x v="2"/>
    <n v="46"/>
    <x v="1"/>
    <x v="2"/>
    <x v="0"/>
    <x v="2"/>
    <x v="2"/>
    <s v="Textbook"/>
    <n v="9"/>
    <n v="1062.8699999999999"/>
    <x v="29"/>
    <n v="10261.94"/>
    <n v="4417.8500000000004"/>
    <n v="54.68"/>
    <x v="1"/>
    <n v="1"/>
    <x v="0"/>
    <x v="0"/>
    <n v="8"/>
  </r>
  <r>
    <s v="ORD-01806"/>
    <d v="2022-03-10T00:00:00"/>
    <s v="CUST55100"/>
    <x v="246"/>
    <n v="44"/>
    <x v="1"/>
    <x v="0"/>
    <x v="0"/>
    <x v="19"/>
    <x v="6"/>
    <s v="Laptop"/>
    <n v="8"/>
    <n v="33693.65"/>
    <x v="23"/>
    <n v="241104.48"/>
    <n v="26410.1"/>
    <n v="80.849999999999994"/>
    <x v="1"/>
    <n v="4"/>
    <x v="0"/>
    <x v="0"/>
    <n v="4"/>
  </r>
  <r>
    <s v="ORD-01817"/>
    <d v="2022-03-15T00:00:00"/>
    <s v="CUST33739"/>
    <x v="3"/>
    <n v="33"/>
    <x v="0"/>
    <x v="1"/>
    <x v="2"/>
    <x v="13"/>
    <x v="2"/>
    <s v="Textbook"/>
    <n v="10"/>
    <n v="1209.42"/>
    <x v="40"/>
    <n v="9490.36"/>
    <n v="4575.74"/>
    <n v="31.85"/>
    <x v="3"/>
    <n v="3"/>
    <x v="0"/>
    <x v="0"/>
    <n v="6"/>
  </r>
  <r>
    <s v="ORD-02608"/>
    <d v="2023-02-06T00:00:00"/>
    <s v="CUST97191"/>
    <x v="15"/>
    <n v="27"/>
    <x v="0"/>
    <x v="0"/>
    <x v="4"/>
    <x v="18"/>
    <x v="3"/>
    <s v="Saree"/>
    <n v="7"/>
    <n v="3168.59"/>
    <x v="23"/>
    <n v="16375.14"/>
    <n v="4441.7299999999996"/>
    <n v="88.78"/>
    <x v="4"/>
    <n v="3"/>
    <x v="0"/>
    <x v="0"/>
    <n v="9"/>
  </r>
  <r>
    <s v="ORD-00825"/>
    <d v="2021-01-13T00:00:00"/>
    <s v="CUST51985"/>
    <x v="387"/>
    <n v="27"/>
    <x v="0"/>
    <x v="2"/>
    <x v="2"/>
    <x v="4"/>
    <x v="3"/>
    <s v="Kurta"/>
    <n v="4"/>
    <n v="2117.62"/>
    <x v="14"/>
    <n v="4971.68"/>
    <n v="1716.37"/>
    <n v="33.130000000000003"/>
    <x v="3"/>
    <n v="5"/>
    <x v="0"/>
    <x v="0"/>
    <n v="7"/>
  </r>
  <r>
    <s v="ORD-02399"/>
    <d v="2022-11-04T00:00:00"/>
    <s v="CUST55942"/>
    <x v="51"/>
    <n v="46"/>
    <x v="1"/>
    <x v="1"/>
    <x v="4"/>
    <x v="8"/>
    <x v="6"/>
    <s v="Headphones"/>
    <n v="8"/>
    <n v="45292.92"/>
    <x v="40"/>
    <n v="211771.49"/>
    <n v="23511.040000000001"/>
    <n v="58.92"/>
    <x v="3"/>
    <n v="4"/>
    <x v="0"/>
    <x v="0"/>
    <n v="6"/>
  </r>
  <r>
    <s v="ORD-03915"/>
    <d v="2024-08-19T00:00:00"/>
    <s v="CUST79020"/>
    <x v="101"/>
    <n v="35"/>
    <x v="0"/>
    <x v="2"/>
    <x v="0"/>
    <x v="2"/>
    <x v="3"/>
    <s v="Jacket"/>
    <n v="1"/>
    <n v="2372.34"/>
    <x v="3"/>
    <n v="2718.27"/>
    <n v="745.68"/>
    <n v="55.26"/>
    <x v="4"/>
    <n v="3"/>
    <x v="1"/>
    <x v="1"/>
    <n v="3"/>
  </r>
  <r>
    <s v="ORD-00818"/>
    <d v="2021-01-10T00:00:00"/>
    <s v="CUST07023"/>
    <x v="374"/>
    <n v="46"/>
    <x v="1"/>
    <x v="1"/>
    <x v="2"/>
    <x v="13"/>
    <x v="5"/>
    <s v="Tea"/>
    <n v="3"/>
    <n v="437.4"/>
    <x v="27"/>
    <n v="697.7"/>
    <n v="69.739999999999995"/>
    <n v="36.51"/>
    <x v="2"/>
    <n v="3"/>
    <x v="1"/>
    <x v="1"/>
    <n v="3"/>
  </r>
  <r>
    <s v="ORD-00937"/>
    <d v="2021-02-28T00:00:00"/>
    <s v="CUST46314"/>
    <x v="167"/>
    <n v="39"/>
    <x v="1"/>
    <x v="1"/>
    <x v="0"/>
    <x v="2"/>
    <x v="1"/>
    <s v="Bed Frame"/>
    <n v="5"/>
    <n v="20432.759999999998"/>
    <x v="14"/>
    <n v="61498.27"/>
    <n v="12694.42"/>
    <n v="49.26"/>
    <x v="4"/>
    <n v="4"/>
    <x v="0"/>
    <x v="3"/>
    <n v="7"/>
  </r>
  <r>
    <s v="ORD-01069"/>
    <d v="2021-04-29T00:00:00"/>
    <s v="CUST92885"/>
    <x v="87"/>
    <n v="32"/>
    <x v="0"/>
    <x v="2"/>
    <x v="4"/>
    <x v="18"/>
    <x v="6"/>
    <s v="Tablet"/>
    <n v="9"/>
    <n v="18229.89"/>
    <x v="36"/>
    <n v="166334.16"/>
    <n v="22099.86"/>
    <n v="42.76"/>
    <x v="1"/>
    <n v="2"/>
    <x v="1"/>
    <x v="1"/>
    <n v="2"/>
  </r>
  <r>
    <s v="ORD-03613"/>
    <d v="2024-04-22T00:00:00"/>
    <s v="CUST46029"/>
    <x v="312"/>
    <n v="24"/>
    <x v="3"/>
    <x v="1"/>
    <x v="3"/>
    <x v="15"/>
    <x v="0"/>
    <s v="Lipstick"/>
    <n v="10"/>
    <n v="1772.45"/>
    <x v="15"/>
    <n v="19172.07"/>
    <n v="8733.2199999999993"/>
    <n v="67.290000000000006"/>
    <x v="4"/>
    <n v="5"/>
    <x v="0"/>
    <x v="0"/>
    <n v="5"/>
  </r>
  <r>
    <s v="ORD-03744"/>
    <d v="2024-06-19T00:00:00"/>
    <s v="CUST99332"/>
    <x v="215"/>
    <n v="31"/>
    <x v="0"/>
    <x v="0"/>
    <x v="0"/>
    <x v="2"/>
    <x v="4"/>
    <s v="Football"/>
    <n v="10"/>
    <n v="2344.6999999999998"/>
    <x v="6"/>
    <n v="24013.4"/>
    <n v="8412.7900000000009"/>
    <n v="44.13"/>
    <x v="0"/>
    <n v="3"/>
    <x v="0"/>
    <x v="0"/>
    <n v="1"/>
  </r>
  <r>
    <s v="ORD-01018"/>
    <d v="2021-04-04T00:00:00"/>
    <s v="CUST44454"/>
    <x v="373"/>
    <n v="32"/>
    <x v="0"/>
    <x v="1"/>
    <x v="1"/>
    <x v="3"/>
    <x v="0"/>
    <s v="Face Cream"/>
    <n v="4"/>
    <n v="1615.32"/>
    <x v="37"/>
    <n v="5821.33"/>
    <n v="2423.94"/>
    <n v="39.79"/>
    <x v="0"/>
    <n v="3"/>
    <x v="0"/>
    <x v="0"/>
    <n v="8"/>
  </r>
  <r>
    <s v="ORD-02461"/>
    <d v="2022-12-03T00:00:00"/>
    <s v="CUST40699"/>
    <x v="366"/>
    <n v="39"/>
    <x v="1"/>
    <x v="2"/>
    <x v="2"/>
    <x v="9"/>
    <x v="1"/>
    <s v="Wardrobe"/>
    <n v="10"/>
    <n v="8976.94"/>
    <x v="39"/>
    <n v="59488.18"/>
    <n v="14335.73"/>
    <n v="53.25"/>
    <x v="4"/>
    <n v="5"/>
    <x v="0"/>
    <x v="0"/>
    <n v="3"/>
  </r>
  <r>
    <s v="ORD-03162"/>
    <d v="2023-10-01T00:00:00"/>
    <s v="CUST64139"/>
    <x v="381"/>
    <n v="45"/>
    <x v="1"/>
    <x v="1"/>
    <x v="0"/>
    <x v="2"/>
    <x v="3"/>
    <s v="Saree"/>
    <n v="4"/>
    <n v="3292.57"/>
    <x v="12"/>
    <n v="11158.23"/>
    <n v="3813.16"/>
    <n v="38.43"/>
    <x v="4"/>
    <n v="2"/>
    <x v="1"/>
    <x v="1"/>
    <n v="2"/>
  </r>
  <r>
    <s v="ORD-00408"/>
    <d v="2020-06-25T00:00:00"/>
    <s v="CUST53614"/>
    <x v="391"/>
    <n v="25"/>
    <x v="3"/>
    <x v="1"/>
    <x v="2"/>
    <x v="13"/>
    <x v="3"/>
    <s v="Saree"/>
    <n v="1"/>
    <n v="338.51"/>
    <x v="23"/>
    <n v="309.08999999999997"/>
    <n v="73.930000000000007"/>
    <n v="31.18"/>
    <x v="4"/>
    <n v="4"/>
    <x v="0"/>
    <x v="0"/>
    <n v="9"/>
  </r>
  <r>
    <s v="ORD-03936"/>
    <d v="2024-08-26T00:00:00"/>
    <s v="CUST41339"/>
    <x v="30"/>
    <n v="34"/>
    <x v="0"/>
    <x v="1"/>
    <x v="2"/>
    <x v="4"/>
    <x v="0"/>
    <s v="Face Cream"/>
    <n v="10"/>
    <n v="1495.3"/>
    <x v="4"/>
    <n v="21442.1"/>
    <n v="8864.0400000000009"/>
    <n v="49.29"/>
    <x v="5"/>
    <n v="5"/>
    <x v="0"/>
    <x v="0"/>
    <n v="3"/>
  </r>
  <r>
    <s v="ORD-03979"/>
    <d v="2024-09-11T00:00:00"/>
    <s v="CUST11949"/>
    <x v="331"/>
    <n v="31"/>
    <x v="0"/>
    <x v="2"/>
    <x v="1"/>
    <x v="3"/>
    <x v="2"/>
    <s v="Biography"/>
    <n v="10"/>
    <n v="1101.3699999999999"/>
    <x v="21"/>
    <n v="8920.66"/>
    <n v="4181.57"/>
    <n v="53.45"/>
    <x v="1"/>
    <n v="5"/>
    <x v="0"/>
    <x v="0"/>
    <n v="10"/>
  </r>
  <r>
    <s v="ORD-02583"/>
    <d v="2023-01-28T00:00:00"/>
    <s v="CUST12302"/>
    <x v="380"/>
    <n v="36"/>
    <x v="1"/>
    <x v="1"/>
    <x v="3"/>
    <x v="15"/>
    <x v="3"/>
    <s v="Kurta"/>
    <n v="2"/>
    <n v="3753.91"/>
    <x v="33"/>
    <n v="5209.29"/>
    <n v="1157.2"/>
    <n v="78.02"/>
    <x v="4"/>
    <n v="5"/>
    <x v="0"/>
    <x v="0"/>
    <n v="4"/>
  </r>
  <r>
    <s v="ORD-00168"/>
    <d v="2020-03-15T00:00:00"/>
    <s v="CUST93790"/>
    <x v="160"/>
    <n v="33"/>
    <x v="0"/>
    <x v="2"/>
    <x v="1"/>
    <x v="11"/>
    <x v="3"/>
    <s v="Jeans"/>
    <n v="2"/>
    <n v="344.95"/>
    <x v="5"/>
    <n v="675.21"/>
    <n v="315.70999999999998"/>
    <n v="45.42"/>
    <x v="4"/>
    <n v="3"/>
    <x v="0"/>
    <x v="0"/>
    <n v="3"/>
  </r>
  <r>
    <s v="ORD-03568"/>
    <d v="2024-03-29T00:00:00"/>
    <s v="CUST25934"/>
    <x v="23"/>
    <n v="23"/>
    <x v="3"/>
    <x v="1"/>
    <x v="2"/>
    <x v="13"/>
    <x v="0"/>
    <s v="Hair Oil"/>
    <n v="1"/>
    <n v="1431.02"/>
    <x v="15"/>
    <n v="1421.67"/>
    <n v="657.95"/>
    <n v="43.1"/>
    <x v="0"/>
    <n v="2"/>
    <x v="0"/>
    <x v="2"/>
    <n v="7"/>
  </r>
  <r>
    <s v="ORD-03574"/>
    <d v="2024-04-01T00:00:00"/>
    <s v="CUST89268"/>
    <x v="10"/>
    <n v="30"/>
    <x v="0"/>
    <x v="1"/>
    <x v="2"/>
    <x v="14"/>
    <x v="1"/>
    <s v="Wardrobe"/>
    <n v="6"/>
    <n v="17399.759999999998"/>
    <x v="3"/>
    <n v="137113.34"/>
    <n v="33401.93"/>
    <n v="68.400000000000006"/>
    <x v="4"/>
    <n v="4"/>
    <x v="0"/>
    <x v="0"/>
    <n v="6"/>
  </r>
  <r>
    <s v="ORD-00297"/>
    <d v="2020-05-10T00:00:00"/>
    <s v="CUST79842"/>
    <x v="5"/>
    <n v="26"/>
    <x v="0"/>
    <x v="1"/>
    <x v="0"/>
    <x v="0"/>
    <x v="4"/>
    <s v="Yoga Mat"/>
    <n v="7"/>
    <n v="2073.13"/>
    <x v="21"/>
    <n v="10684.14"/>
    <n v="1902.76"/>
    <n v="39.270000000000003"/>
    <x v="4"/>
    <n v="3"/>
    <x v="1"/>
    <x v="1"/>
    <n v="2"/>
  </r>
  <r>
    <s v="ORD-00576"/>
    <d v="2020-09-15T00:00:00"/>
    <s v="CUST60901"/>
    <x v="333"/>
    <n v="38"/>
    <x v="1"/>
    <x v="0"/>
    <x v="2"/>
    <x v="9"/>
    <x v="1"/>
    <s v="Bookshelf"/>
    <n v="10"/>
    <n v="2950.98"/>
    <x v="37"/>
    <n v="23921.040000000001"/>
    <n v="3847.48"/>
    <n v="-4.29"/>
    <x v="3"/>
    <n v="3"/>
    <x v="0"/>
    <x v="0"/>
    <n v="9"/>
  </r>
  <r>
    <s v="ORD-04068"/>
    <d v="2024-10-29T00:00:00"/>
    <s v="CUST38940"/>
    <x v="271"/>
    <n v="35"/>
    <x v="0"/>
    <x v="0"/>
    <x v="1"/>
    <x v="10"/>
    <x v="1"/>
    <s v="Desk"/>
    <n v="1"/>
    <n v="15458.12"/>
    <x v="38"/>
    <n v="13583.09"/>
    <n v="3718.13"/>
    <n v="49.57"/>
    <x v="1"/>
    <n v="2"/>
    <x v="1"/>
    <x v="1"/>
    <n v="5"/>
  </r>
  <r>
    <s v="ORD-00831"/>
    <d v="2021-01-15T00:00:00"/>
    <s v="CUST89108"/>
    <x v="254"/>
    <n v="41"/>
    <x v="1"/>
    <x v="1"/>
    <x v="2"/>
    <x v="14"/>
    <x v="3"/>
    <s v="Dress"/>
    <n v="3"/>
    <n v="1065.3800000000001"/>
    <x v="5"/>
    <n v="2521.39"/>
    <n v="658.85"/>
    <n v="38.14"/>
    <x v="0"/>
    <n v="2"/>
    <x v="0"/>
    <x v="0"/>
    <n v="3"/>
  </r>
  <r>
    <s v="ORD-00663"/>
    <d v="2020-10-28T00:00:00"/>
    <s v="CUST83467"/>
    <x v="118"/>
    <n v="41"/>
    <x v="1"/>
    <x v="1"/>
    <x v="0"/>
    <x v="19"/>
    <x v="5"/>
    <s v="Dal (1kg)"/>
    <n v="1"/>
    <n v="462.13"/>
    <x v="22"/>
    <n v="250.84"/>
    <n v="21.71"/>
    <n v="65.959999999999994"/>
    <x v="1"/>
    <n v="3"/>
    <x v="1"/>
    <x v="1"/>
    <n v="10"/>
  </r>
  <r>
    <s v="ORD-01197"/>
    <d v="2021-06-23T00:00:00"/>
    <s v="CUST79216"/>
    <x v="373"/>
    <n v="25"/>
    <x v="3"/>
    <x v="2"/>
    <x v="4"/>
    <x v="7"/>
    <x v="3"/>
    <s v="Jeans"/>
    <n v="2"/>
    <n v="1500.45"/>
    <x v="30"/>
    <n v="2399.5100000000002"/>
    <n v="625.12"/>
    <n v="70.56"/>
    <x v="1"/>
    <n v="1"/>
    <x v="0"/>
    <x v="0"/>
    <n v="9"/>
  </r>
  <r>
    <s v="ORD-03301"/>
    <d v="2023-11-29T00:00:00"/>
    <s v="CUST23165"/>
    <x v="98"/>
    <n v="35"/>
    <x v="0"/>
    <x v="2"/>
    <x v="0"/>
    <x v="19"/>
    <x v="1"/>
    <s v="Chair"/>
    <n v="6"/>
    <n v="9674.09"/>
    <x v="19"/>
    <n v="45840.04"/>
    <n v="10521.95"/>
    <n v="82.91"/>
    <x v="3"/>
    <n v="5"/>
    <x v="0"/>
    <x v="0"/>
    <n v="4"/>
  </r>
  <r>
    <s v="ORD-01301"/>
    <d v="2021-08-10T00:00:00"/>
    <s v="CUST03306"/>
    <x v="93"/>
    <n v="34"/>
    <x v="0"/>
    <x v="2"/>
    <x v="0"/>
    <x v="19"/>
    <x v="3"/>
    <s v="Dress"/>
    <n v="6"/>
    <n v="851.31"/>
    <x v="13"/>
    <n v="6109.24"/>
    <n v="2057.4299999999998"/>
    <n v="55.78"/>
    <x v="2"/>
    <n v="3"/>
    <x v="0"/>
    <x v="0"/>
    <n v="1"/>
  </r>
  <r>
    <s v="ORD-02652"/>
    <d v="2023-02-21T00:00:00"/>
    <s v="CUST68660"/>
    <x v="219"/>
    <n v="33"/>
    <x v="0"/>
    <x v="1"/>
    <x v="2"/>
    <x v="13"/>
    <x v="6"/>
    <s v="Headphones"/>
    <n v="1"/>
    <n v="23168.240000000002"/>
    <x v="9"/>
    <n v="22315.35"/>
    <n v="1911.92"/>
    <n v="65.2"/>
    <x v="3"/>
    <n v="2"/>
    <x v="0"/>
    <x v="2"/>
    <n v="2"/>
  </r>
  <r>
    <s v="ORD-03334"/>
    <d v="2023-12-13T00:00:00"/>
    <s v="CUST68810"/>
    <x v="79"/>
    <n v="37"/>
    <x v="1"/>
    <x v="0"/>
    <x v="2"/>
    <x v="14"/>
    <x v="2"/>
    <s v="Comic Book"/>
    <n v="2"/>
    <n v="478.86"/>
    <x v="27"/>
    <n v="581.38"/>
    <n v="256.04000000000002"/>
    <n v="27.77"/>
    <x v="3"/>
    <n v="5"/>
    <x v="1"/>
    <x v="1"/>
    <n v="2"/>
  </r>
  <r>
    <s v="ORD-03776"/>
    <d v="2024-07-01T00:00:00"/>
    <s v="CUST73430"/>
    <x v="195"/>
    <n v="33"/>
    <x v="0"/>
    <x v="2"/>
    <x v="4"/>
    <x v="17"/>
    <x v="6"/>
    <s v="Laptop"/>
    <n v="7"/>
    <n v="51364.38"/>
    <x v="10"/>
    <n v="439744.01"/>
    <n v="43544.12"/>
    <n v="63.03"/>
    <x v="3"/>
    <n v="4"/>
    <x v="1"/>
    <x v="1"/>
    <n v="5"/>
  </r>
  <r>
    <s v="ORD-00536"/>
    <d v="2020-08-24T00:00:00"/>
    <s v="CUST36425"/>
    <x v="14"/>
    <n v="20"/>
    <x v="3"/>
    <x v="2"/>
    <x v="2"/>
    <x v="14"/>
    <x v="3"/>
    <s v="Jacket"/>
    <n v="10"/>
    <n v="3376.68"/>
    <x v="15"/>
    <n v="25205.24"/>
    <n v="7511.03"/>
    <n v="52.49"/>
    <x v="1"/>
    <n v="2"/>
    <x v="0"/>
    <x v="0"/>
    <n v="6"/>
  </r>
  <r>
    <s v="ORD-02061"/>
    <d v="2022-06-28T00:00:00"/>
    <s v="CUST88965"/>
    <x v="392"/>
    <n v="28"/>
    <x v="0"/>
    <x v="0"/>
    <x v="3"/>
    <x v="5"/>
    <x v="4"/>
    <s v="Dumbbells"/>
    <n v="10"/>
    <n v="6754.43"/>
    <x v="23"/>
    <n v="62381.81"/>
    <n v="13614.67"/>
    <n v="90.67"/>
    <x v="4"/>
    <n v="2"/>
    <x v="1"/>
    <x v="1"/>
    <n v="5"/>
  </r>
  <r>
    <s v="ORD-01588"/>
    <d v="2021-12-10T00:00:00"/>
    <s v="CUST52878"/>
    <x v="56"/>
    <n v="25"/>
    <x v="3"/>
    <x v="2"/>
    <x v="3"/>
    <x v="5"/>
    <x v="1"/>
    <s v="Bookshelf"/>
    <n v="1"/>
    <n v="22660.17"/>
    <x v="4"/>
    <n v="14757.73"/>
    <n v="4052.14"/>
    <n v="91.15"/>
    <x v="2"/>
    <n v="4"/>
    <x v="0"/>
    <x v="4"/>
    <n v="10"/>
  </r>
  <r>
    <s v="ORD-00333"/>
    <d v="2020-05-24T00:00:00"/>
    <s v="CUST88068"/>
    <x v="251"/>
    <n v="28"/>
    <x v="0"/>
    <x v="0"/>
    <x v="4"/>
    <x v="18"/>
    <x v="5"/>
    <s v="Tea"/>
    <n v="10"/>
    <n v="162.52000000000001"/>
    <x v="32"/>
    <n v="1867.23"/>
    <n v="150.49"/>
    <n v="86.74"/>
    <x v="5"/>
    <n v="5"/>
    <x v="0"/>
    <x v="0"/>
    <n v="10"/>
  </r>
  <r>
    <s v="ORD-02953"/>
    <d v="2023-07-03T00:00:00"/>
    <s v="CUST69533"/>
    <x v="137"/>
    <n v="31"/>
    <x v="0"/>
    <x v="1"/>
    <x v="1"/>
    <x v="6"/>
    <x v="3"/>
    <s v="Jeans"/>
    <n v="1"/>
    <n v="362.3"/>
    <x v="6"/>
    <n v="319.67"/>
    <n v="152.66"/>
    <n v="52.96"/>
    <x v="3"/>
    <n v="4"/>
    <x v="0"/>
    <x v="0"/>
    <n v="3"/>
  </r>
  <r>
    <s v="ORD-02904"/>
    <d v="2023-06-08T00:00:00"/>
    <s v="CUST88828"/>
    <x v="205"/>
    <n v="41"/>
    <x v="1"/>
    <x v="2"/>
    <x v="2"/>
    <x v="4"/>
    <x v="5"/>
    <s v="Sugar"/>
    <n v="9"/>
    <n v="193.51"/>
    <x v="34"/>
    <n v="2061"/>
    <n v="255.36"/>
    <n v="60.83"/>
    <x v="0"/>
    <n v="5"/>
    <x v="0"/>
    <x v="3"/>
    <n v="3"/>
  </r>
  <r>
    <s v="ORD-02919"/>
    <d v="2023-06-16T00:00:00"/>
    <s v="CUST99491"/>
    <x v="393"/>
    <n v="48"/>
    <x v="1"/>
    <x v="1"/>
    <x v="0"/>
    <x v="2"/>
    <x v="0"/>
    <s v="Sunscreen"/>
    <n v="10"/>
    <n v="1834.25"/>
    <x v="38"/>
    <n v="24185.57"/>
    <n v="12598.93"/>
    <n v="80.64"/>
    <x v="4"/>
    <n v="1"/>
    <x v="0"/>
    <x v="0"/>
    <n v="8"/>
  </r>
  <r>
    <s v="ORD-00938"/>
    <d v="2021-02-28T00:00:00"/>
    <s v="CUST93635"/>
    <x v="22"/>
    <n v="38"/>
    <x v="1"/>
    <x v="2"/>
    <x v="3"/>
    <x v="15"/>
    <x v="0"/>
    <s v="Hair Oil"/>
    <n v="3"/>
    <n v="892.77"/>
    <x v="12"/>
    <n v="1753.17"/>
    <n v="830.67"/>
    <n v="58.34"/>
    <x v="5"/>
    <n v="2"/>
    <x v="0"/>
    <x v="4"/>
    <n v="7"/>
  </r>
  <r>
    <s v="ORD-04097"/>
    <d v="2024-11-13T00:00:00"/>
    <s v="CUST91716"/>
    <x v="2"/>
    <n v="38"/>
    <x v="1"/>
    <x v="2"/>
    <x v="2"/>
    <x v="13"/>
    <x v="3"/>
    <s v="Kurta"/>
    <n v="4"/>
    <n v="485.84"/>
    <x v="11"/>
    <n v="1531.45"/>
    <n v="454.16"/>
    <n v="69.77"/>
    <x v="1"/>
    <n v="3"/>
    <x v="0"/>
    <x v="3"/>
    <n v="1"/>
  </r>
  <r>
    <s v="ORD-02257"/>
    <d v="2022-09-10T00:00:00"/>
    <s v="CUST98457"/>
    <x v="66"/>
    <n v="45"/>
    <x v="1"/>
    <x v="1"/>
    <x v="2"/>
    <x v="14"/>
    <x v="6"/>
    <s v="Tablet"/>
    <n v="4"/>
    <n v="37633.82"/>
    <x v="30"/>
    <n v="125197.09"/>
    <n v="14972.92"/>
    <n v="53.12"/>
    <x v="4"/>
    <n v="4"/>
    <x v="0"/>
    <x v="0"/>
    <n v="2"/>
  </r>
  <r>
    <s v="ORD-00561"/>
    <d v="2020-09-06T00:00:00"/>
    <s v="CUST12729"/>
    <x v="137"/>
    <n v="36"/>
    <x v="1"/>
    <x v="0"/>
    <x v="3"/>
    <x v="12"/>
    <x v="2"/>
    <s v="Comic Book"/>
    <n v="8"/>
    <n v="224.05"/>
    <x v="34"/>
    <n v="1031.47"/>
    <n v="454.3"/>
    <n v="63.62"/>
    <x v="2"/>
    <n v="3"/>
    <x v="0"/>
    <x v="0"/>
    <n v="6"/>
  </r>
  <r>
    <s v="ORD-04197"/>
    <d v="2024-12-28T00:00:00"/>
    <s v="CUST98908"/>
    <x v="382"/>
    <n v="33"/>
    <x v="0"/>
    <x v="2"/>
    <x v="0"/>
    <x v="0"/>
    <x v="5"/>
    <s v="Sugar"/>
    <n v="1"/>
    <n v="51.21"/>
    <x v="1"/>
    <n v="42.95"/>
    <n v="2.98"/>
    <n v="49.87"/>
    <x v="1"/>
    <n v="4"/>
    <x v="0"/>
    <x v="4"/>
    <n v="8"/>
  </r>
  <r>
    <s v="ORD-02512"/>
    <d v="2022-12-26T00:00:00"/>
    <s v="CUST90307"/>
    <x v="45"/>
    <n v="33"/>
    <x v="0"/>
    <x v="2"/>
    <x v="2"/>
    <x v="9"/>
    <x v="3"/>
    <s v="Jacket"/>
    <n v="4"/>
    <n v="1099.8399999999999"/>
    <x v="22"/>
    <n v="2509.02"/>
    <n v="890.82"/>
    <n v="49.1"/>
    <x v="0"/>
    <n v="1"/>
    <x v="0"/>
    <x v="2"/>
    <n v="8"/>
  </r>
  <r>
    <s v="ORD-00961"/>
    <d v="2021-03-13T00:00:00"/>
    <s v="CUST15494"/>
    <x v="330"/>
    <n v="33"/>
    <x v="0"/>
    <x v="0"/>
    <x v="3"/>
    <x v="15"/>
    <x v="5"/>
    <s v="Sugar"/>
    <n v="1"/>
    <n v="314.79000000000002"/>
    <x v="14"/>
    <n v="241.87"/>
    <n v="12.49"/>
    <n v="85.01"/>
    <x v="4"/>
    <n v="2"/>
    <x v="0"/>
    <x v="0"/>
    <n v="2"/>
  </r>
  <r>
    <s v="ORD-01776"/>
    <d v="2022-02-27T00:00:00"/>
    <s v="CUST91761"/>
    <x v="332"/>
    <n v="27"/>
    <x v="0"/>
    <x v="2"/>
    <x v="3"/>
    <x v="15"/>
    <x v="4"/>
    <s v="Dumbbells"/>
    <n v="10"/>
    <n v="5565.04"/>
    <x v="18"/>
    <n v="39181"/>
    <n v="7825.8"/>
    <n v="71.62"/>
    <x v="3"/>
    <n v="4"/>
    <x v="0"/>
    <x v="0"/>
    <n v="3"/>
  </r>
  <r>
    <s v="ORD-02954"/>
    <d v="2023-07-03T00:00:00"/>
    <s v="CUST48148"/>
    <x v="65"/>
    <n v="37"/>
    <x v="1"/>
    <x v="1"/>
    <x v="0"/>
    <x v="2"/>
    <x v="2"/>
    <s v="Fiction Novel"/>
    <n v="4"/>
    <n v="258.16000000000003"/>
    <x v="33"/>
    <n v="1147.42"/>
    <n v="452.37"/>
    <n v="71.77"/>
    <x v="5"/>
    <n v="5"/>
    <x v="1"/>
    <x v="1"/>
    <n v="7"/>
  </r>
  <r>
    <s v="ORD-01442"/>
    <d v="2021-10-13T00:00:00"/>
    <s v="CUST07818"/>
    <x v="355"/>
    <n v="49"/>
    <x v="1"/>
    <x v="2"/>
    <x v="0"/>
    <x v="1"/>
    <x v="2"/>
    <s v="Cook Book"/>
    <n v="10"/>
    <n v="1078.3599999999999"/>
    <x v="40"/>
    <n v="5300.77"/>
    <n v="2043.67"/>
    <n v="59.94"/>
    <x v="3"/>
    <n v="1"/>
    <x v="0"/>
    <x v="0"/>
    <n v="2"/>
  </r>
  <r>
    <s v="ORD-02480"/>
    <d v="2022-12-12T00:00:00"/>
    <s v="CUST00142"/>
    <x v="300"/>
    <n v="24"/>
    <x v="3"/>
    <x v="2"/>
    <x v="4"/>
    <x v="8"/>
    <x v="5"/>
    <s v="Sugar"/>
    <n v="5"/>
    <n v="256.82"/>
    <x v="28"/>
    <n v="1034.27"/>
    <n v="102.49"/>
    <n v="85.67"/>
    <x v="4"/>
    <n v="5"/>
    <x v="0"/>
    <x v="4"/>
    <n v="6"/>
  </r>
  <r>
    <s v="ORD-03130"/>
    <d v="2023-09-14T00:00:00"/>
    <s v="CUST42331"/>
    <x v="19"/>
    <n v="27"/>
    <x v="0"/>
    <x v="1"/>
    <x v="2"/>
    <x v="9"/>
    <x v="5"/>
    <s v="Sugar"/>
    <n v="2"/>
    <n v="188.27"/>
    <x v="23"/>
    <n v="372.56"/>
    <n v="23.33"/>
    <n v="48.93"/>
    <x v="2"/>
    <n v="5"/>
    <x v="0"/>
    <x v="0"/>
    <n v="8"/>
  </r>
  <r>
    <s v="ORD-01332"/>
    <d v="2021-08-20T00:00:00"/>
    <s v="CUST68136"/>
    <x v="84"/>
    <n v="26"/>
    <x v="0"/>
    <x v="2"/>
    <x v="3"/>
    <x v="12"/>
    <x v="0"/>
    <s v="Lipstick"/>
    <n v="9"/>
    <n v="296.29000000000002"/>
    <x v="40"/>
    <n v="2124.79"/>
    <n v="1395.29"/>
    <n v="84.16"/>
    <x v="0"/>
    <n v="4"/>
    <x v="0"/>
    <x v="0"/>
    <n v="10"/>
  </r>
  <r>
    <s v="ORD-02126"/>
    <d v="2022-07-24T00:00:00"/>
    <s v="CUST82300"/>
    <x v="394"/>
    <n v="54"/>
    <x v="2"/>
    <x v="1"/>
    <x v="0"/>
    <x v="19"/>
    <x v="0"/>
    <s v="Sunscreen"/>
    <n v="2"/>
    <n v="1392.89"/>
    <x v="3"/>
    <n v="3170.9"/>
    <n v="1551.48"/>
    <n v="64.72"/>
    <x v="4"/>
    <n v="3"/>
    <x v="0"/>
    <x v="2"/>
    <n v="3"/>
  </r>
  <r>
    <s v="ORD-00017"/>
    <d v="2020-01-07T00:00:00"/>
    <s v="CUST24691"/>
    <x v="205"/>
    <n v="40"/>
    <x v="1"/>
    <x v="2"/>
    <x v="0"/>
    <x v="2"/>
    <x v="1"/>
    <s v="Desk"/>
    <n v="5"/>
    <n v="5040.09"/>
    <x v="2"/>
    <n v="16406.419999999998"/>
    <n v="4616.87"/>
    <n v="51.71"/>
    <x v="4"/>
    <n v="3"/>
    <x v="0"/>
    <x v="0"/>
    <n v="9"/>
  </r>
  <r>
    <s v="ORD-03471"/>
    <d v="2024-02-15T00:00:00"/>
    <s v="CUST34890"/>
    <x v="164"/>
    <n v="64"/>
    <x v="2"/>
    <x v="1"/>
    <x v="4"/>
    <x v="8"/>
    <x v="3"/>
    <s v="Saree"/>
    <n v="10"/>
    <n v="649.39"/>
    <x v="0"/>
    <n v="6250.27"/>
    <n v="1461.59"/>
    <n v="89.12"/>
    <x v="5"/>
    <n v="5"/>
    <x v="0"/>
    <x v="0"/>
    <n v="1"/>
  </r>
  <r>
    <s v="ORD-01132"/>
    <d v="2021-05-25T00:00:00"/>
    <s v="CUST78632"/>
    <x v="129"/>
    <n v="42"/>
    <x v="1"/>
    <x v="1"/>
    <x v="1"/>
    <x v="11"/>
    <x v="1"/>
    <s v="Bed Frame"/>
    <n v="1"/>
    <n v="28223.81"/>
    <x v="5"/>
    <n v="41826.379999999997"/>
    <n v="10977.5"/>
    <n v="68.34"/>
    <x v="5"/>
    <n v="4"/>
    <x v="0"/>
    <x v="0"/>
    <n v="8"/>
  </r>
  <r>
    <s v="ORD-04116"/>
    <d v="2024-11-26T00:00:00"/>
    <s v="CUST40250"/>
    <x v="325"/>
    <n v="42"/>
    <x v="1"/>
    <x v="2"/>
    <x v="1"/>
    <x v="11"/>
    <x v="0"/>
    <s v="Lipstick"/>
    <n v="4"/>
    <n v="2248.41"/>
    <x v="10"/>
    <n v="6511.18"/>
    <n v="3980.78"/>
    <n v="20.27"/>
    <x v="1"/>
    <n v="3"/>
    <x v="0"/>
    <x v="2"/>
    <n v="1"/>
  </r>
  <r>
    <s v="ORD-00658"/>
    <d v="2020-10-22T00:00:00"/>
    <s v="CUST16403"/>
    <x v="199"/>
    <n v="22"/>
    <x v="3"/>
    <x v="1"/>
    <x v="4"/>
    <x v="18"/>
    <x v="5"/>
    <s v="Flour"/>
    <n v="7"/>
    <n v="388.2"/>
    <x v="28"/>
    <n v="2233.08"/>
    <n v="175.74"/>
    <n v="74.16"/>
    <x v="1"/>
    <n v="2"/>
    <x v="0"/>
    <x v="4"/>
    <n v="4"/>
  </r>
  <r>
    <s v="ORD-01656"/>
    <d v="2022-01-08T00:00:00"/>
    <s v="CUST94727"/>
    <x v="157"/>
    <n v="30"/>
    <x v="0"/>
    <x v="2"/>
    <x v="3"/>
    <x v="12"/>
    <x v="3"/>
    <s v="Dress"/>
    <n v="5"/>
    <n v="2059.67"/>
    <x v="8"/>
    <n v="9298.94"/>
    <n v="5107.08"/>
    <n v="80.05"/>
    <x v="3"/>
    <n v="4"/>
    <x v="0"/>
    <x v="0"/>
    <n v="3"/>
  </r>
  <r>
    <s v="ORD-03442"/>
    <d v="2024-02-01T00:00:00"/>
    <s v="CUST90404"/>
    <x v="306"/>
    <n v="38"/>
    <x v="1"/>
    <x v="0"/>
    <x v="4"/>
    <x v="18"/>
    <x v="1"/>
    <s v="Chair"/>
    <n v="3"/>
    <n v="23851.040000000001"/>
    <x v="33"/>
    <n v="59295.25"/>
    <n v="20111.349999999999"/>
    <n v="64.77"/>
    <x v="2"/>
    <n v="5"/>
    <x v="0"/>
    <x v="0"/>
    <n v="4"/>
  </r>
  <r>
    <s v="ORD-03180"/>
    <d v="2023-10-07T00:00:00"/>
    <s v="CUST65855"/>
    <x v="318"/>
    <n v="28"/>
    <x v="0"/>
    <x v="1"/>
    <x v="4"/>
    <x v="18"/>
    <x v="0"/>
    <s v="Hair Oil"/>
    <n v="8"/>
    <n v="1575.79"/>
    <x v="27"/>
    <n v="9914.18"/>
    <n v="4246.21"/>
    <n v="73.87"/>
    <x v="2"/>
    <n v="4"/>
    <x v="0"/>
    <x v="0"/>
    <n v="4"/>
  </r>
  <r>
    <s v="ORD-00393"/>
    <d v="2020-06-17T00:00:00"/>
    <s v="CUST84712"/>
    <x v="339"/>
    <n v="27"/>
    <x v="0"/>
    <x v="2"/>
    <x v="0"/>
    <x v="1"/>
    <x v="3"/>
    <s v="Saree"/>
    <n v="1"/>
    <n v="1409.39"/>
    <x v="39"/>
    <n v="1762.59"/>
    <n v="761.88"/>
    <n v="58.09"/>
    <x v="4"/>
    <n v="3"/>
    <x v="0"/>
    <x v="0"/>
    <n v="3"/>
  </r>
  <r>
    <s v="ORD-01696"/>
    <d v="2022-01-28T00:00:00"/>
    <s v="CUST42627"/>
    <x v="185"/>
    <n v="41"/>
    <x v="1"/>
    <x v="0"/>
    <x v="2"/>
    <x v="13"/>
    <x v="2"/>
    <s v="Comic Book"/>
    <n v="2"/>
    <n v="921.77"/>
    <x v="14"/>
    <n v="1063.82"/>
    <n v="488.6"/>
    <n v="72.61"/>
    <x v="3"/>
    <n v="4"/>
    <x v="0"/>
    <x v="0"/>
    <n v="1"/>
  </r>
  <r>
    <s v="ORD-01296"/>
    <d v="2021-08-07T00:00:00"/>
    <s v="CUST28222"/>
    <x v="338"/>
    <n v="27"/>
    <x v="0"/>
    <x v="2"/>
    <x v="0"/>
    <x v="1"/>
    <x v="6"/>
    <s v="Laptop"/>
    <n v="3"/>
    <n v="54652.78"/>
    <x v="5"/>
    <n v="192332.91"/>
    <n v="11105.11"/>
    <n v="56.52"/>
    <x v="0"/>
    <n v="1"/>
    <x v="0"/>
    <x v="0"/>
    <n v="9"/>
  </r>
  <r>
    <s v="ORD-00844"/>
    <d v="2021-01-20T00:00:00"/>
    <s v="CUST33448"/>
    <x v="327"/>
    <n v="48"/>
    <x v="1"/>
    <x v="1"/>
    <x v="4"/>
    <x v="17"/>
    <x v="3"/>
    <s v="Saree"/>
    <n v="2"/>
    <n v="2685.53"/>
    <x v="31"/>
    <n v="3463.77"/>
    <n v="1147.8599999999999"/>
    <n v="69.17"/>
    <x v="2"/>
    <n v="2"/>
    <x v="1"/>
    <x v="1"/>
    <n v="6"/>
  </r>
  <r>
    <s v="ORD-01428"/>
    <d v="2021-10-06T00:00:00"/>
    <s v="CUST77645"/>
    <x v="210"/>
    <n v="35"/>
    <x v="0"/>
    <x v="2"/>
    <x v="0"/>
    <x v="1"/>
    <x v="2"/>
    <s v="Fiction Novel"/>
    <n v="10"/>
    <n v="268.47000000000003"/>
    <x v="27"/>
    <n v="1754.08"/>
    <n v="598.80999999999995"/>
    <n v="69.44"/>
    <x v="3"/>
    <n v="5"/>
    <x v="0"/>
    <x v="0"/>
    <n v="6"/>
  </r>
  <r>
    <s v="ORD-01590"/>
    <d v="2021-12-10T00:00:00"/>
    <s v="CUST86639"/>
    <x v="10"/>
    <n v="32"/>
    <x v="0"/>
    <x v="0"/>
    <x v="0"/>
    <x v="0"/>
    <x v="0"/>
    <s v="Face Cream"/>
    <n v="7"/>
    <n v="1768.37"/>
    <x v="13"/>
    <n v="7423.51"/>
    <n v="3260.02"/>
    <n v="49.67"/>
    <x v="1"/>
    <n v="2"/>
    <x v="1"/>
    <x v="1"/>
    <n v="2"/>
  </r>
  <r>
    <s v="ORD-00181"/>
    <d v="2020-03-20T00:00:00"/>
    <s v="CUST09112"/>
    <x v="115"/>
    <n v="47"/>
    <x v="1"/>
    <x v="1"/>
    <x v="1"/>
    <x v="10"/>
    <x v="0"/>
    <s v="Sunscreen"/>
    <n v="10"/>
    <n v="1799.76"/>
    <x v="7"/>
    <n v="15785.6"/>
    <n v="5681.65"/>
    <n v="56.65"/>
    <x v="3"/>
    <n v="4"/>
    <x v="0"/>
    <x v="0"/>
    <n v="1"/>
  </r>
  <r>
    <s v="ORD-01632"/>
    <d v="2021-12-28T00:00:00"/>
    <s v="CUST95874"/>
    <x v="391"/>
    <n v="41"/>
    <x v="1"/>
    <x v="2"/>
    <x v="3"/>
    <x v="15"/>
    <x v="4"/>
    <s v="Football"/>
    <n v="8"/>
    <n v="6352.95"/>
    <x v="9"/>
    <n v="31396.560000000001"/>
    <n v="5551.7"/>
    <n v="90.42"/>
    <x v="5"/>
    <n v="1"/>
    <x v="1"/>
    <x v="1"/>
    <n v="9"/>
  </r>
  <r>
    <s v="ORD-02271"/>
    <d v="2022-09-14T00:00:00"/>
    <s v="CUST64969"/>
    <x v="317"/>
    <n v="37"/>
    <x v="1"/>
    <x v="1"/>
    <x v="3"/>
    <x v="16"/>
    <x v="6"/>
    <s v="Headphones"/>
    <n v="7"/>
    <n v="44012.800000000003"/>
    <x v="4"/>
    <n v="388387"/>
    <n v="49485.75"/>
    <n v="89.27"/>
    <x v="2"/>
    <n v="1"/>
    <x v="0"/>
    <x v="0"/>
    <n v="7"/>
  </r>
  <r>
    <s v="ORD-03525"/>
    <d v="2024-03-11T00:00:00"/>
    <s v="CUST05396"/>
    <x v="355"/>
    <n v="42"/>
    <x v="1"/>
    <x v="1"/>
    <x v="4"/>
    <x v="17"/>
    <x v="5"/>
    <s v="Flour"/>
    <n v="2"/>
    <n v="389.26"/>
    <x v="27"/>
    <n v="771.78"/>
    <n v="80.459999999999994"/>
    <n v="71.53"/>
    <x v="0"/>
    <n v="4"/>
    <x v="0"/>
    <x v="0"/>
    <n v="3"/>
  </r>
  <r>
    <s v="ORD-03683"/>
    <d v="2024-05-18T00:00:00"/>
    <s v="CUST23854"/>
    <x v="252"/>
    <n v="42"/>
    <x v="1"/>
    <x v="2"/>
    <x v="2"/>
    <x v="9"/>
    <x v="4"/>
    <s v="Dumbbells"/>
    <n v="1"/>
    <n v="9307.0300000000007"/>
    <x v="36"/>
    <n v="13905.79"/>
    <n v="3331.01"/>
    <n v="47.05"/>
    <x v="1"/>
    <n v="2"/>
    <x v="0"/>
    <x v="0"/>
    <n v="1"/>
  </r>
  <r>
    <s v="ORD-00555"/>
    <d v="2020-09-03T00:00:00"/>
    <s v="CUST68739"/>
    <x v="310"/>
    <n v="27"/>
    <x v="0"/>
    <x v="1"/>
    <x v="0"/>
    <x v="1"/>
    <x v="6"/>
    <s v="Camera"/>
    <n v="5"/>
    <n v="56264.15"/>
    <x v="12"/>
    <n v="197944.28"/>
    <n v="23405.15"/>
    <n v="58.56"/>
    <x v="3"/>
    <n v="4"/>
    <x v="0"/>
    <x v="0"/>
    <n v="8"/>
  </r>
  <r>
    <s v="ORD-02284"/>
    <d v="2022-09-19T00:00:00"/>
    <s v="CUST37893"/>
    <x v="59"/>
    <n v="30"/>
    <x v="0"/>
    <x v="0"/>
    <x v="3"/>
    <x v="5"/>
    <x v="6"/>
    <s v="Camera"/>
    <n v="8"/>
    <n v="32204.55"/>
    <x v="4"/>
    <n v="332387.03999999998"/>
    <n v="37369.29"/>
    <n v="86.45"/>
    <x v="4"/>
    <n v="3"/>
    <x v="0"/>
    <x v="0"/>
    <n v="6"/>
  </r>
  <r>
    <s v="ORD-03157"/>
    <d v="2023-09-29T00:00:00"/>
    <s v="CUST79492"/>
    <x v="239"/>
    <n v="24"/>
    <x v="3"/>
    <x v="0"/>
    <x v="2"/>
    <x v="14"/>
    <x v="4"/>
    <s v="Tennis Racket"/>
    <n v="1"/>
    <n v="13020.42"/>
    <x v="33"/>
    <n v="14018.12"/>
    <n v="3020.91"/>
    <n v="61.72"/>
    <x v="1"/>
    <n v="2"/>
    <x v="0"/>
    <x v="0"/>
    <n v="1"/>
  </r>
  <r>
    <s v="ORD-03392"/>
    <d v="2024-01-06T00:00:00"/>
    <s v="CUST98375"/>
    <x v="320"/>
    <n v="43"/>
    <x v="1"/>
    <x v="0"/>
    <x v="3"/>
    <x v="5"/>
    <x v="6"/>
    <s v="Smartwatch"/>
    <n v="10"/>
    <n v="61190.11"/>
    <x v="36"/>
    <n v="507797.13"/>
    <n v="61885.87"/>
    <n v="74.94"/>
    <x v="0"/>
    <n v="1"/>
    <x v="1"/>
    <x v="1"/>
    <n v="1"/>
  </r>
  <r>
    <s v="ORD-02810"/>
    <d v="2023-05-03T00:00:00"/>
    <s v="CUST60489"/>
    <x v="56"/>
    <n v="27"/>
    <x v="0"/>
    <x v="1"/>
    <x v="4"/>
    <x v="8"/>
    <x v="3"/>
    <s v="T-Shirt"/>
    <n v="2"/>
    <n v="1416.76"/>
    <x v="0"/>
    <n v="3388.3"/>
    <n v="1544.37"/>
    <n v="52.35"/>
    <x v="5"/>
    <n v="4"/>
    <x v="0"/>
    <x v="0"/>
    <n v="6"/>
  </r>
  <r>
    <s v="ORD-03359"/>
    <d v="2023-12-24T00:00:00"/>
    <s v="CUST32879"/>
    <x v="393"/>
    <n v="49"/>
    <x v="1"/>
    <x v="0"/>
    <x v="3"/>
    <x v="12"/>
    <x v="0"/>
    <s v="Face Cream"/>
    <n v="10"/>
    <n v="1236.98"/>
    <x v="0"/>
    <n v="8816.24"/>
    <n v="3251.41"/>
    <n v="62.69"/>
    <x v="4"/>
    <n v="2"/>
    <x v="0"/>
    <x v="2"/>
    <n v="9"/>
  </r>
  <r>
    <s v="ORD-02602"/>
    <d v="2023-02-04T00:00:00"/>
    <s v="CUST51085"/>
    <x v="379"/>
    <n v="30"/>
    <x v="0"/>
    <x v="0"/>
    <x v="4"/>
    <x v="18"/>
    <x v="4"/>
    <s v="Cycle"/>
    <n v="8"/>
    <n v="11980.53"/>
    <x v="13"/>
    <n v="84384.27"/>
    <n v="25026.93"/>
    <n v="61.24"/>
    <x v="3"/>
    <n v="2"/>
    <x v="0"/>
    <x v="0"/>
    <n v="3"/>
  </r>
  <r>
    <s v="ORD-00687"/>
    <d v="2020-11-07T00:00:00"/>
    <s v="CUST92441"/>
    <x v="221"/>
    <n v="41"/>
    <x v="1"/>
    <x v="2"/>
    <x v="2"/>
    <x v="9"/>
    <x v="6"/>
    <s v="Headphones"/>
    <n v="2"/>
    <n v="33488.83"/>
    <x v="7"/>
    <n v="43647.67"/>
    <n v="5482.23"/>
    <n v="46.65"/>
    <x v="1"/>
    <n v="2"/>
    <x v="0"/>
    <x v="0"/>
    <n v="6"/>
  </r>
  <r>
    <s v="ORD-02294"/>
    <d v="2022-09-22T00:00:00"/>
    <s v="CUST45988"/>
    <x v="311"/>
    <n v="33"/>
    <x v="0"/>
    <x v="0"/>
    <x v="2"/>
    <x v="4"/>
    <x v="0"/>
    <s v="Hair Oil"/>
    <n v="7"/>
    <n v="437.18"/>
    <x v="4"/>
    <n v="3874.82"/>
    <n v="1697.95"/>
    <n v="54.03"/>
    <x v="2"/>
    <n v="2"/>
    <x v="0"/>
    <x v="0"/>
    <n v="8"/>
  </r>
  <r>
    <s v="ORD-02358"/>
    <d v="2022-10-16T00:00:00"/>
    <s v="CUST18994"/>
    <x v="368"/>
    <n v="34"/>
    <x v="0"/>
    <x v="1"/>
    <x v="4"/>
    <x v="7"/>
    <x v="2"/>
    <s v="Self-Help Book"/>
    <n v="7"/>
    <n v="1297.73"/>
    <x v="32"/>
    <n v="8533.6299999999992"/>
    <n v="3189.67"/>
    <n v="93.17"/>
    <x v="4"/>
    <n v="3"/>
    <x v="0"/>
    <x v="0"/>
    <n v="5"/>
  </r>
  <r>
    <s v="ORD-03005"/>
    <d v="2023-07-24T00:00:00"/>
    <s v="CUST48500"/>
    <x v="192"/>
    <n v="30"/>
    <x v="0"/>
    <x v="1"/>
    <x v="3"/>
    <x v="15"/>
    <x v="2"/>
    <s v="Fiction Novel"/>
    <n v="7"/>
    <n v="748.66"/>
    <x v="13"/>
    <n v="7011.74"/>
    <n v="2220.64"/>
    <n v="86.38"/>
    <x v="4"/>
    <n v="4"/>
    <x v="0"/>
    <x v="0"/>
    <n v="7"/>
  </r>
  <r>
    <s v="ORD-03696"/>
    <d v="2024-05-24T00:00:00"/>
    <s v="CUST19992"/>
    <x v="237"/>
    <n v="22"/>
    <x v="3"/>
    <x v="1"/>
    <x v="2"/>
    <x v="4"/>
    <x v="1"/>
    <s v="Desk"/>
    <n v="1"/>
    <n v="24499.78"/>
    <x v="28"/>
    <n v="38719.410000000003"/>
    <n v="9078.7900000000009"/>
    <n v="41.62"/>
    <x v="2"/>
    <n v="3"/>
    <x v="0"/>
    <x v="0"/>
    <n v="8"/>
  </r>
  <r>
    <s v="ORD-00720"/>
    <d v="2020-11-25T00:00:00"/>
    <s v="CUST10417"/>
    <x v="55"/>
    <n v="61"/>
    <x v="2"/>
    <x v="0"/>
    <x v="2"/>
    <x v="9"/>
    <x v="5"/>
    <s v="Tea"/>
    <n v="8"/>
    <n v="463.67"/>
    <x v="40"/>
    <n v="1629.41"/>
    <n v="107.01"/>
    <n v="45.72"/>
    <x v="5"/>
    <n v="3"/>
    <x v="0"/>
    <x v="0"/>
    <n v="10"/>
  </r>
  <r>
    <s v="ORD-00670"/>
    <d v="2020-10-30T00:00:00"/>
    <s v="CUST29205"/>
    <x v="298"/>
    <n v="18"/>
    <x v="3"/>
    <x v="2"/>
    <x v="1"/>
    <x v="10"/>
    <x v="1"/>
    <s v="Bookshelf"/>
    <n v="9"/>
    <n v="33383.42"/>
    <x v="20"/>
    <n v="235297.53"/>
    <n v="79526.38"/>
    <n v="58.3"/>
    <x v="4"/>
    <n v="2"/>
    <x v="0"/>
    <x v="0"/>
    <n v="3"/>
  </r>
  <r>
    <s v="ORD-03328"/>
    <d v="2023-12-11T00:00:00"/>
    <s v="CUST92130"/>
    <x v="338"/>
    <n v="19"/>
    <x v="3"/>
    <x v="1"/>
    <x v="2"/>
    <x v="14"/>
    <x v="3"/>
    <s v="Jacket"/>
    <n v="2"/>
    <n v="350.76"/>
    <x v="26"/>
    <n v="437.15"/>
    <n v="113.04"/>
    <n v="72.77"/>
    <x v="3"/>
    <n v="2"/>
    <x v="0"/>
    <x v="2"/>
    <n v="9"/>
  </r>
  <r>
    <s v="ORD-02597"/>
    <d v="2023-02-03T00:00:00"/>
    <s v="CUST48131"/>
    <x v="289"/>
    <n v="34"/>
    <x v="0"/>
    <x v="1"/>
    <x v="1"/>
    <x v="10"/>
    <x v="3"/>
    <s v="Dress"/>
    <n v="5"/>
    <n v="3467.44"/>
    <x v="3"/>
    <n v="15431.87"/>
    <n v="4362.76"/>
    <n v="70.28"/>
    <x v="3"/>
    <n v="1"/>
    <x v="0"/>
    <x v="0"/>
    <n v="1"/>
  </r>
  <r>
    <s v="ORD-00999"/>
    <d v="2021-03-30T00:00:00"/>
    <s v="CUST40323"/>
    <x v="246"/>
    <n v="39"/>
    <x v="1"/>
    <x v="0"/>
    <x v="4"/>
    <x v="8"/>
    <x v="5"/>
    <s v="Sugar"/>
    <n v="3"/>
    <n v="105.18"/>
    <x v="4"/>
    <n v="322.97000000000003"/>
    <n v="31.12"/>
    <n v="57.45"/>
    <x v="5"/>
    <n v="5"/>
    <x v="0"/>
    <x v="0"/>
    <n v="8"/>
  </r>
  <r>
    <s v="ORD-03827"/>
    <d v="2024-07-22T00:00:00"/>
    <s v="CUST03364"/>
    <x v="284"/>
    <n v="44"/>
    <x v="1"/>
    <x v="0"/>
    <x v="2"/>
    <x v="4"/>
    <x v="0"/>
    <s v="Shampoo"/>
    <n v="4"/>
    <n v="467.13"/>
    <x v="34"/>
    <n v="2125.39"/>
    <n v="857.43"/>
    <n v="18.28"/>
    <x v="4"/>
    <n v="4"/>
    <x v="0"/>
    <x v="3"/>
    <n v="3"/>
  </r>
  <r>
    <s v="ORD-03474"/>
    <d v="2024-02-17T00:00:00"/>
    <s v="CUST68381"/>
    <x v="130"/>
    <n v="36"/>
    <x v="1"/>
    <x v="0"/>
    <x v="4"/>
    <x v="18"/>
    <x v="4"/>
    <s v="Cricket Bat"/>
    <n v="8"/>
    <n v="10455.969999999999"/>
    <x v="22"/>
    <n v="58029.61"/>
    <n v="11501.7"/>
    <n v="55.15"/>
    <x v="3"/>
    <n v="2"/>
    <x v="0"/>
    <x v="0"/>
    <n v="10"/>
  </r>
  <r>
    <s v="ORD-02421"/>
    <d v="2022-11-12T00:00:00"/>
    <s v="CUST94458"/>
    <x v="148"/>
    <n v="42"/>
    <x v="1"/>
    <x v="0"/>
    <x v="4"/>
    <x v="17"/>
    <x v="6"/>
    <s v="Smartphone"/>
    <n v="4"/>
    <n v="76493.84"/>
    <x v="32"/>
    <n v="272766.46000000002"/>
    <n v="29631.74"/>
    <n v="60.2"/>
    <x v="2"/>
    <n v="4"/>
    <x v="0"/>
    <x v="0"/>
    <n v="3"/>
  </r>
  <r>
    <s v="ORD-00054"/>
    <d v="2020-01-21T00:00:00"/>
    <s v="CUST65539"/>
    <x v="201"/>
    <n v="37"/>
    <x v="1"/>
    <x v="1"/>
    <x v="3"/>
    <x v="12"/>
    <x v="1"/>
    <s v="Chair"/>
    <n v="5"/>
    <n v="27804.49"/>
    <x v="25"/>
    <n v="77191.05"/>
    <n v="24198.91"/>
    <n v="77.819999999999993"/>
    <x v="4"/>
    <n v="3"/>
    <x v="0"/>
    <x v="0"/>
    <n v="4"/>
  </r>
  <r>
    <s v="ORD-02745"/>
    <d v="2023-04-03T00:00:00"/>
    <s v="CUST89552"/>
    <x v="168"/>
    <n v="51"/>
    <x v="2"/>
    <x v="0"/>
    <x v="0"/>
    <x v="2"/>
    <x v="1"/>
    <s v="Wardrobe"/>
    <n v="7"/>
    <n v="9306.42"/>
    <x v="6"/>
    <n v="66850.759999999995"/>
    <n v="15497.67"/>
    <n v="63.06"/>
    <x v="0"/>
    <n v="4"/>
    <x v="1"/>
    <x v="1"/>
    <n v="4"/>
  </r>
  <r>
    <s v="ORD-03803"/>
    <d v="2024-07-11T00:00:00"/>
    <s v="CUST18219"/>
    <x v="245"/>
    <n v="40"/>
    <x v="1"/>
    <x v="1"/>
    <x v="4"/>
    <x v="8"/>
    <x v="6"/>
    <s v="Smartwatch"/>
    <n v="5"/>
    <n v="14932.93"/>
    <x v="34"/>
    <n v="77317.66"/>
    <n v="5613.46"/>
    <n v="85.87"/>
    <x v="4"/>
    <n v="2"/>
    <x v="0"/>
    <x v="0"/>
    <n v="9"/>
  </r>
  <r>
    <s v="ORD-02587"/>
    <d v="2023-01-30T00:00:00"/>
    <s v="CUST42705"/>
    <x v="63"/>
    <n v="39"/>
    <x v="1"/>
    <x v="1"/>
    <x v="3"/>
    <x v="12"/>
    <x v="5"/>
    <s v="Sugar"/>
    <n v="6"/>
    <n v="253.83"/>
    <x v="36"/>
    <n v="1077.3399999999999"/>
    <n v="92.56"/>
    <n v="70.48"/>
    <x v="4"/>
    <n v="2"/>
    <x v="0"/>
    <x v="3"/>
    <n v="1"/>
  </r>
  <r>
    <s v="ORD-03614"/>
    <d v="2024-04-22T00:00:00"/>
    <s v="CUST04682"/>
    <x v="372"/>
    <n v="38"/>
    <x v="1"/>
    <x v="2"/>
    <x v="4"/>
    <x v="18"/>
    <x v="3"/>
    <s v="T-Shirt"/>
    <n v="3"/>
    <n v="1489.86"/>
    <x v="33"/>
    <n v="4679.3100000000004"/>
    <n v="2296.34"/>
    <n v="74.38"/>
    <x v="2"/>
    <n v="1"/>
    <x v="0"/>
    <x v="2"/>
    <n v="10"/>
  </r>
  <r>
    <s v="ORD-03494"/>
    <d v="2024-02-27T00:00:00"/>
    <s v="CUST06002"/>
    <x v="222"/>
    <n v="41"/>
    <x v="1"/>
    <x v="1"/>
    <x v="4"/>
    <x v="8"/>
    <x v="2"/>
    <s v="Fiction Novel"/>
    <n v="6"/>
    <n v="1461.81"/>
    <x v="8"/>
    <n v="9112.7099999999991"/>
    <n v="3389.16"/>
    <n v="67.03"/>
    <x v="0"/>
    <n v="3"/>
    <x v="0"/>
    <x v="0"/>
    <n v="4"/>
  </r>
  <r>
    <s v="ORD-03161"/>
    <d v="2023-09-30T00:00:00"/>
    <s v="CUST77629"/>
    <x v="253"/>
    <n v="36"/>
    <x v="1"/>
    <x v="1"/>
    <x v="4"/>
    <x v="8"/>
    <x v="5"/>
    <s v="Sugar"/>
    <n v="2"/>
    <n v="384.04"/>
    <x v="13"/>
    <n v="819.11"/>
    <n v="70.23"/>
    <n v="67.84"/>
    <x v="4"/>
    <n v="2"/>
    <x v="0"/>
    <x v="0"/>
    <n v="5"/>
  </r>
  <r>
    <s v="ORD-01193"/>
    <d v="2021-06-20T00:00:00"/>
    <s v="CUST13957"/>
    <x v="47"/>
    <n v="28"/>
    <x v="0"/>
    <x v="2"/>
    <x v="3"/>
    <x v="12"/>
    <x v="1"/>
    <s v="Bed Frame"/>
    <n v="10"/>
    <n v="8582.4"/>
    <x v="3"/>
    <n v="82620.44"/>
    <n v="29287.56"/>
    <n v="68.430000000000007"/>
    <x v="1"/>
    <n v="4"/>
    <x v="0"/>
    <x v="0"/>
    <n v="8"/>
  </r>
  <r>
    <s v="ORD-02875"/>
    <d v="2023-06-01T00:00:00"/>
    <s v="CUST97371"/>
    <x v="285"/>
    <n v="50"/>
    <x v="1"/>
    <x v="1"/>
    <x v="4"/>
    <x v="7"/>
    <x v="2"/>
    <s v="Textbook"/>
    <n v="1"/>
    <n v="430.84"/>
    <x v="6"/>
    <n v="479.27"/>
    <n v="212.94"/>
    <n v="47.32"/>
    <x v="4"/>
    <n v="2"/>
    <x v="0"/>
    <x v="0"/>
    <n v="7"/>
  </r>
  <r>
    <s v="ORD-01889"/>
    <d v="2022-04-15T00:00:00"/>
    <s v="CUST95351"/>
    <x v="178"/>
    <n v="40"/>
    <x v="1"/>
    <x v="0"/>
    <x v="2"/>
    <x v="4"/>
    <x v="4"/>
    <s v="Yoga Mat"/>
    <n v="5"/>
    <n v="7694.53"/>
    <x v="33"/>
    <n v="39253.99"/>
    <n v="7429.11"/>
    <n v="45.05"/>
    <x v="5"/>
    <n v="2"/>
    <x v="1"/>
    <x v="1"/>
    <n v="2"/>
  </r>
  <r>
    <s v="ORD-03814"/>
    <d v="2024-07-18T00:00:00"/>
    <s v="CUST84704"/>
    <x v="221"/>
    <n v="60"/>
    <x v="2"/>
    <x v="1"/>
    <x v="4"/>
    <x v="8"/>
    <x v="2"/>
    <s v="Biography"/>
    <n v="9"/>
    <n v="1373"/>
    <x v="29"/>
    <n v="17944.78"/>
    <n v="4726.75"/>
    <n v="32.78"/>
    <x v="2"/>
    <n v="5"/>
    <x v="0"/>
    <x v="0"/>
    <n v="8"/>
  </r>
  <r>
    <s v="ORD-03899"/>
    <d v="2024-08-14T00:00:00"/>
    <s v="CUST68293"/>
    <x v="376"/>
    <n v="42"/>
    <x v="1"/>
    <x v="1"/>
    <x v="3"/>
    <x v="12"/>
    <x v="1"/>
    <s v="Desk"/>
    <n v="8"/>
    <n v="32976.81"/>
    <x v="38"/>
    <n v="345009.69"/>
    <n v="104290.26"/>
    <n v="89.17"/>
    <x v="0"/>
    <n v="4"/>
    <x v="1"/>
    <x v="1"/>
    <n v="2"/>
  </r>
  <r>
    <s v="ORD-02859"/>
    <d v="2023-05-28T00:00:00"/>
    <s v="CUST98103"/>
    <x v="122"/>
    <n v="30"/>
    <x v="0"/>
    <x v="2"/>
    <x v="1"/>
    <x v="10"/>
    <x v="4"/>
    <s v="Cycle"/>
    <n v="7"/>
    <n v="5477.01"/>
    <x v="37"/>
    <n v="47648.68"/>
    <n v="10592.45"/>
    <n v="58.19"/>
    <x v="1"/>
    <n v="1"/>
    <x v="0"/>
    <x v="0"/>
    <n v="1"/>
  </r>
  <r>
    <s v="ORD-03258"/>
    <d v="2023-11-06T00:00:00"/>
    <s v="CUST96311"/>
    <x v="256"/>
    <n v="35"/>
    <x v="0"/>
    <x v="1"/>
    <x v="2"/>
    <x v="13"/>
    <x v="1"/>
    <s v="Desk"/>
    <n v="2"/>
    <n v="19200.919999999998"/>
    <x v="25"/>
    <n v="29270.92"/>
    <n v="9828.67"/>
    <n v="57.73"/>
    <x v="2"/>
    <n v="1"/>
    <x v="0"/>
    <x v="0"/>
    <n v="4"/>
  </r>
  <r>
    <s v="ORD-03938"/>
    <d v="2024-08-26T00:00:00"/>
    <s v="CUST11052"/>
    <x v="8"/>
    <n v="42"/>
    <x v="1"/>
    <x v="2"/>
    <x v="1"/>
    <x v="10"/>
    <x v="1"/>
    <s v="Wardrobe"/>
    <n v="4"/>
    <n v="16102.25"/>
    <x v="28"/>
    <n v="99545.13"/>
    <n v="31612.91"/>
    <n v="51.44"/>
    <x v="5"/>
    <n v="3"/>
    <x v="0"/>
    <x v="0"/>
    <n v="3"/>
  </r>
  <r>
    <s v="ORD-01276"/>
    <d v="2021-07-29T00:00:00"/>
    <s v="CUST57127"/>
    <x v="65"/>
    <n v="30"/>
    <x v="0"/>
    <x v="2"/>
    <x v="3"/>
    <x v="15"/>
    <x v="2"/>
    <s v="Fiction Novel"/>
    <n v="5"/>
    <n v="1321.61"/>
    <x v="40"/>
    <n v="6316.69"/>
    <n v="1989.53"/>
    <n v="80.34"/>
    <x v="4"/>
    <n v="2"/>
    <x v="0"/>
    <x v="2"/>
    <n v="1"/>
  </r>
  <r>
    <s v="ORD-00739"/>
    <d v="2020-12-03T00:00:00"/>
    <s v="CUST79943"/>
    <x v="220"/>
    <n v="49"/>
    <x v="1"/>
    <x v="0"/>
    <x v="2"/>
    <x v="14"/>
    <x v="3"/>
    <s v="Saree"/>
    <n v="5"/>
    <n v="836.99"/>
    <x v="40"/>
    <n v="1880.14"/>
    <n v="686.79"/>
    <n v="30.4"/>
    <x v="1"/>
    <n v="2"/>
    <x v="0"/>
    <x v="0"/>
    <n v="8"/>
  </r>
  <r>
    <s v="ORD-03845"/>
    <d v="2024-07-29T00:00:00"/>
    <s v="CUST16479"/>
    <x v="101"/>
    <n v="21"/>
    <x v="3"/>
    <x v="0"/>
    <x v="1"/>
    <x v="6"/>
    <x v="4"/>
    <s v="Football"/>
    <n v="5"/>
    <n v="12528.36"/>
    <x v="11"/>
    <n v="80527.42"/>
    <n v="9443.81"/>
    <n v="90.11"/>
    <x v="1"/>
    <n v="2"/>
    <x v="0"/>
    <x v="0"/>
    <n v="7"/>
  </r>
  <r>
    <s v="ORD-00992"/>
    <d v="2021-03-28T00:00:00"/>
    <s v="CUST50288"/>
    <x v="322"/>
    <n v="29"/>
    <x v="0"/>
    <x v="2"/>
    <x v="1"/>
    <x v="11"/>
    <x v="3"/>
    <s v="Jeans"/>
    <n v="10"/>
    <n v="2005.76"/>
    <x v="3"/>
    <n v="15986.56"/>
    <n v="5111.22"/>
    <n v="51.92"/>
    <x v="0"/>
    <n v="3"/>
    <x v="0"/>
    <x v="0"/>
    <n v="10"/>
  </r>
  <r>
    <s v="ORD-02051"/>
    <d v="2022-06-21T00:00:00"/>
    <s v="CUST76675"/>
    <x v="329"/>
    <n v="51"/>
    <x v="2"/>
    <x v="0"/>
    <x v="4"/>
    <x v="18"/>
    <x v="5"/>
    <s v="Flour"/>
    <n v="1"/>
    <n v="341.43"/>
    <x v="14"/>
    <n v="376.21"/>
    <n v="32.950000000000003"/>
    <n v="85.56"/>
    <x v="3"/>
    <n v="4"/>
    <x v="0"/>
    <x v="2"/>
    <n v="7"/>
  </r>
  <r>
    <s v="ORD-03996"/>
    <d v="2024-09-21T00:00:00"/>
    <s v="CUST21024"/>
    <x v="24"/>
    <n v="33"/>
    <x v="0"/>
    <x v="1"/>
    <x v="0"/>
    <x v="19"/>
    <x v="6"/>
    <s v="Camera"/>
    <n v="2"/>
    <n v="79639.72"/>
    <x v="14"/>
    <n v="134225.29"/>
    <n v="11600.84"/>
    <n v="87.92"/>
    <x v="5"/>
    <n v="3"/>
    <x v="0"/>
    <x v="0"/>
    <n v="4"/>
  </r>
  <r>
    <s v="ORD-00048"/>
    <d v="2020-01-19T00:00:00"/>
    <s v="CUST66040"/>
    <x v="276"/>
    <n v="39"/>
    <x v="1"/>
    <x v="2"/>
    <x v="0"/>
    <x v="1"/>
    <x v="1"/>
    <s v="Wardrobe"/>
    <n v="2"/>
    <n v="27360.86"/>
    <x v="6"/>
    <n v="23527.01"/>
    <n v="6855.56"/>
    <n v="58.81"/>
    <x v="4"/>
    <n v="4"/>
    <x v="0"/>
    <x v="2"/>
    <n v="4"/>
  </r>
  <r>
    <s v="ORD-03994"/>
    <d v="2024-09-20T00:00:00"/>
    <s v="CUST52703"/>
    <x v="207"/>
    <n v="36"/>
    <x v="1"/>
    <x v="1"/>
    <x v="3"/>
    <x v="5"/>
    <x v="0"/>
    <s v="Sunscreen"/>
    <n v="3"/>
    <n v="1494.83"/>
    <x v="26"/>
    <n v="3664.34"/>
    <n v="2210.9299999999998"/>
    <n v="96.38"/>
    <x v="5"/>
    <n v="1"/>
    <x v="0"/>
    <x v="0"/>
    <n v="8"/>
  </r>
  <r>
    <s v="ORD-00673"/>
    <d v="2020-10-31T00:00:00"/>
    <s v="CUST95082"/>
    <x v="377"/>
    <n v="47"/>
    <x v="1"/>
    <x v="2"/>
    <x v="4"/>
    <x v="8"/>
    <x v="1"/>
    <s v="Bookshelf"/>
    <n v="6"/>
    <n v="14372.23"/>
    <x v="34"/>
    <n v="39890.370000000003"/>
    <n v="9362.8700000000008"/>
    <n v="62.14"/>
    <x v="2"/>
    <n v="1"/>
    <x v="0"/>
    <x v="2"/>
    <n v="1"/>
  </r>
  <r>
    <s v="ORD-02840"/>
    <d v="2023-05-21T00:00:00"/>
    <s v="CUST58515"/>
    <x v="285"/>
    <n v="56"/>
    <x v="2"/>
    <x v="2"/>
    <x v="2"/>
    <x v="14"/>
    <x v="0"/>
    <s v="Sunscreen"/>
    <n v="3"/>
    <n v="2042.61"/>
    <x v="25"/>
    <n v="6276.07"/>
    <n v="1964"/>
    <n v="43.44"/>
    <x v="3"/>
    <n v="4"/>
    <x v="1"/>
    <x v="1"/>
    <n v="7"/>
  </r>
  <r>
    <s v="ORD-03537"/>
    <d v="2024-03-16T00:00:00"/>
    <s v="CUST44168"/>
    <x v="344"/>
    <n v="27"/>
    <x v="0"/>
    <x v="0"/>
    <x v="2"/>
    <x v="14"/>
    <x v="4"/>
    <s v="Football"/>
    <n v="3"/>
    <n v="7222.19"/>
    <x v="1"/>
    <n v="26770.77"/>
    <n v="4462.6899999999996"/>
    <n v="53.66"/>
    <x v="4"/>
    <n v="4"/>
    <x v="1"/>
    <x v="1"/>
    <n v="10"/>
  </r>
  <r>
    <s v="ORD-02383"/>
    <d v="2022-10-28T00:00:00"/>
    <s v="CUST86276"/>
    <x v="303"/>
    <n v="33"/>
    <x v="0"/>
    <x v="2"/>
    <x v="2"/>
    <x v="13"/>
    <x v="0"/>
    <s v="Sunscreen"/>
    <n v="5"/>
    <n v="240.15"/>
    <x v="3"/>
    <n v="946.09"/>
    <n v="433.08"/>
    <n v="72.989999999999995"/>
    <x v="2"/>
    <n v="3"/>
    <x v="0"/>
    <x v="0"/>
    <n v="2"/>
  </r>
  <r>
    <s v="ORD-03183"/>
    <d v="2023-10-08T00:00:00"/>
    <s v="CUST13349"/>
    <x v="97"/>
    <n v="32"/>
    <x v="0"/>
    <x v="1"/>
    <x v="4"/>
    <x v="7"/>
    <x v="1"/>
    <s v="Bookshelf"/>
    <n v="5"/>
    <n v="12843.58"/>
    <x v="3"/>
    <n v="54184.88"/>
    <n v="11377.39"/>
    <n v="67.77"/>
    <x v="0"/>
    <n v="5"/>
    <x v="1"/>
    <x v="1"/>
    <n v="4"/>
  </r>
  <r>
    <s v="ORD-02855"/>
    <d v="2023-05-28T00:00:00"/>
    <s v="CUST40126"/>
    <x v="104"/>
    <n v="35"/>
    <x v="0"/>
    <x v="0"/>
    <x v="4"/>
    <x v="17"/>
    <x v="2"/>
    <s v="Comic Book"/>
    <n v="7"/>
    <n v="1017.23"/>
    <x v="8"/>
    <n v="11341.51"/>
    <n v="5245.65"/>
    <n v="86.02"/>
    <x v="0"/>
    <n v="5"/>
    <x v="0"/>
    <x v="0"/>
    <n v="3"/>
  </r>
  <r>
    <s v="ORD-03256"/>
    <d v="2023-11-06T00:00:00"/>
    <s v="CUST28145"/>
    <x v="163"/>
    <n v="56"/>
    <x v="2"/>
    <x v="1"/>
    <x v="3"/>
    <x v="15"/>
    <x v="5"/>
    <s v="Flour"/>
    <n v="10"/>
    <n v="220.19"/>
    <x v="14"/>
    <n v="1171.24"/>
    <n v="111.88"/>
    <n v="89.4"/>
    <x v="1"/>
    <n v="5"/>
    <x v="0"/>
    <x v="0"/>
    <n v="9"/>
  </r>
  <r>
    <s v="ORD-00107"/>
    <d v="2020-02-10T00:00:00"/>
    <s v="CUST65665"/>
    <x v="381"/>
    <n v="42"/>
    <x v="1"/>
    <x v="0"/>
    <x v="2"/>
    <x v="13"/>
    <x v="2"/>
    <s v="Fiction Novel"/>
    <n v="6"/>
    <n v="1324.58"/>
    <x v="8"/>
    <n v="5636.59"/>
    <n v="2151.6799999999998"/>
    <n v="32.81"/>
    <x v="5"/>
    <n v="1"/>
    <x v="0"/>
    <x v="0"/>
    <n v="5"/>
  </r>
  <r>
    <s v="ORD-02533"/>
    <d v="2023-01-04T00:00:00"/>
    <s v="CUST12043"/>
    <x v="372"/>
    <n v="35"/>
    <x v="0"/>
    <x v="2"/>
    <x v="0"/>
    <x v="0"/>
    <x v="0"/>
    <s v="Lipstick"/>
    <n v="6"/>
    <n v="2135.86"/>
    <x v="2"/>
    <n v="10370.780000000001"/>
    <n v="5319.35"/>
    <n v="62.28"/>
    <x v="4"/>
    <n v="2"/>
    <x v="0"/>
    <x v="0"/>
    <n v="8"/>
  </r>
  <r>
    <s v="ORD-03974"/>
    <d v="2024-09-10T00:00:00"/>
    <s v="CUST86540"/>
    <x v="245"/>
    <n v="38"/>
    <x v="1"/>
    <x v="2"/>
    <x v="4"/>
    <x v="17"/>
    <x v="3"/>
    <s v="Saree"/>
    <n v="2"/>
    <n v="3110.73"/>
    <x v="35"/>
    <n v="5626.31"/>
    <n v="2678.85"/>
    <n v="48.57"/>
    <x v="2"/>
    <n v="2"/>
    <x v="0"/>
    <x v="0"/>
    <n v="3"/>
  </r>
  <r>
    <s v="ORD-03165"/>
    <d v="2023-10-01T00:00:00"/>
    <s v="CUST41533"/>
    <x v="92"/>
    <n v="40"/>
    <x v="1"/>
    <x v="0"/>
    <x v="3"/>
    <x v="12"/>
    <x v="3"/>
    <s v="Saree"/>
    <n v="9"/>
    <n v="2536.02"/>
    <x v="1"/>
    <n v="21413.39"/>
    <n v="5628.93"/>
    <n v="110.12"/>
    <x v="5"/>
    <n v="3"/>
    <x v="0"/>
    <x v="0"/>
    <n v="8"/>
  </r>
  <r>
    <s v="ORD-00079"/>
    <d v="2020-01-29T00:00:00"/>
    <s v="CUST80503"/>
    <x v="280"/>
    <n v="32"/>
    <x v="0"/>
    <x v="1"/>
    <x v="1"/>
    <x v="6"/>
    <x v="2"/>
    <s v="Biography"/>
    <n v="10"/>
    <n v="1068.22"/>
    <x v="12"/>
    <n v="6120.48"/>
    <n v="1959.21"/>
    <n v="71.19"/>
    <x v="5"/>
    <n v="5"/>
    <x v="0"/>
    <x v="0"/>
    <n v="10"/>
  </r>
  <r>
    <s v="ORD-00032"/>
    <d v="2020-01-12T00:00:00"/>
    <s v="CUST11636"/>
    <x v="59"/>
    <n v="33"/>
    <x v="0"/>
    <x v="2"/>
    <x v="4"/>
    <x v="18"/>
    <x v="3"/>
    <s v="Jacket"/>
    <n v="5"/>
    <n v="982.12"/>
    <x v="1"/>
    <n v="3024.95"/>
    <n v="1479.25"/>
    <n v="87.03"/>
    <x v="0"/>
    <n v="1"/>
    <x v="0"/>
    <x v="2"/>
    <n v="6"/>
  </r>
  <r>
    <s v="ORD-03946"/>
    <d v="2024-08-28T00:00:00"/>
    <s v="CUST42531"/>
    <x v="48"/>
    <n v="43"/>
    <x v="1"/>
    <x v="0"/>
    <x v="0"/>
    <x v="19"/>
    <x v="1"/>
    <s v="Bookshelf"/>
    <n v="5"/>
    <n v="10461.44"/>
    <x v="21"/>
    <n v="47377.21"/>
    <n v="9996.02"/>
    <n v="42.47"/>
    <x v="0"/>
    <n v="3"/>
    <x v="0"/>
    <x v="0"/>
    <n v="8"/>
  </r>
  <r>
    <s v="ORD-01735"/>
    <d v="2022-02-09T00:00:00"/>
    <s v="CUST25514"/>
    <x v="12"/>
    <n v="49"/>
    <x v="1"/>
    <x v="0"/>
    <x v="2"/>
    <x v="14"/>
    <x v="6"/>
    <s v="Headphones"/>
    <n v="6"/>
    <n v="56561.21"/>
    <x v="12"/>
    <n v="224338.28"/>
    <n v="29151.1"/>
    <n v="44.91"/>
    <x v="1"/>
    <n v="3"/>
    <x v="0"/>
    <x v="4"/>
    <n v="6"/>
  </r>
  <r>
    <s v="ORD-02136"/>
    <d v="2022-07-27T00:00:00"/>
    <s v="CUST11127"/>
    <x v="157"/>
    <n v="20"/>
    <x v="3"/>
    <x v="2"/>
    <x v="3"/>
    <x v="16"/>
    <x v="1"/>
    <s v="Bed Frame"/>
    <n v="2"/>
    <n v="31495.21"/>
    <x v="30"/>
    <n v="64795.12"/>
    <n v="24291.07"/>
    <n v="75.12"/>
    <x v="2"/>
    <n v="2"/>
    <x v="0"/>
    <x v="0"/>
    <n v="2"/>
  </r>
  <r>
    <s v="ORD-00045"/>
    <d v="2020-01-18T00:00:00"/>
    <s v="CUST28149"/>
    <x v="194"/>
    <n v="35"/>
    <x v="0"/>
    <x v="0"/>
    <x v="0"/>
    <x v="2"/>
    <x v="0"/>
    <s v="Sunscreen"/>
    <n v="4"/>
    <n v="1072.98"/>
    <x v="30"/>
    <n v="2172.2399999999998"/>
    <n v="728.67"/>
    <n v="54.1"/>
    <x v="5"/>
    <n v="2"/>
    <x v="0"/>
    <x v="0"/>
    <n v="8"/>
  </r>
  <r>
    <s v="ORD-01988"/>
    <d v="2022-05-28T00:00:00"/>
    <s v="CUST56529"/>
    <x v="191"/>
    <n v="29"/>
    <x v="0"/>
    <x v="1"/>
    <x v="1"/>
    <x v="3"/>
    <x v="4"/>
    <s v="Yoga Mat"/>
    <n v="3"/>
    <n v="1982.04"/>
    <x v="26"/>
    <n v="6584.46"/>
    <n v="1776.74"/>
    <n v="74.510000000000005"/>
    <x v="5"/>
    <n v="1"/>
    <x v="1"/>
    <x v="1"/>
    <n v="2"/>
  </r>
  <r>
    <s v="ORD-01960"/>
    <d v="2022-05-16T00:00:00"/>
    <s v="CUST87825"/>
    <x v="316"/>
    <n v="35"/>
    <x v="0"/>
    <x v="2"/>
    <x v="4"/>
    <x v="18"/>
    <x v="5"/>
    <s v="Tea"/>
    <n v="4"/>
    <n v="88.31"/>
    <x v="22"/>
    <n v="308.14999999999998"/>
    <n v="28.01"/>
    <n v="51.4"/>
    <x v="1"/>
    <n v="3"/>
    <x v="1"/>
    <x v="1"/>
    <n v="5"/>
  </r>
  <r>
    <s v="ORD-02327"/>
    <d v="2022-10-07T00:00:00"/>
    <s v="CUST19975"/>
    <x v="251"/>
    <n v="23"/>
    <x v="3"/>
    <x v="1"/>
    <x v="1"/>
    <x v="6"/>
    <x v="1"/>
    <s v="Chair"/>
    <n v="8"/>
    <n v="14019.33"/>
    <x v="1"/>
    <n v="89382.21"/>
    <n v="25883.45"/>
    <n v="54.76"/>
    <x v="2"/>
    <n v="5"/>
    <x v="0"/>
    <x v="2"/>
    <n v="4"/>
  </r>
  <r>
    <s v="ORD-03030"/>
    <d v="2023-08-04T00:00:00"/>
    <s v="CUST86844"/>
    <x v="88"/>
    <n v="28"/>
    <x v="0"/>
    <x v="0"/>
    <x v="1"/>
    <x v="11"/>
    <x v="3"/>
    <s v="Saree"/>
    <n v="9"/>
    <n v="3487.12"/>
    <x v="30"/>
    <n v="31127.41"/>
    <n v="10643.66"/>
    <n v="62.57"/>
    <x v="2"/>
    <n v="4"/>
    <x v="0"/>
    <x v="0"/>
    <n v="7"/>
  </r>
  <r>
    <s v="ORD-03531"/>
    <d v="2024-03-14T00:00:00"/>
    <s v="CUST79922"/>
    <x v="395"/>
    <n v="25"/>
    <x v="3"/>
    <x v="1"/>
    <x v="1"/>
    <x v="6"/>
    <x v="0"/>
    <s v="Shampoo"/>
    <n v="7"/>
    <n v="140.28"/>
    <x v="32"/>
    <n v="1117.68"/>
    <n v="498.94"/>
    <n v="53.41"/>
    <x v="0"/>
    <n v="1"/>
    <x v="0"/>
    <x v="3"/>
    <n v="3"/>
  </r>
  <r>
    <s v="ORD-00708"/>
    <d v="2020-11-19T00:00:00"/>
    <s v="CUST56942"/>
    <x v="143"/>
    <n v="40"/>
    <x v="1"/>
    <x v="1"/>
    <x v="0"/>
    <x v="2"/>
    <x v="2"/>
    <s v="Biography"/>
    <n v="2"/>
    <n v="1299.05"/>
    <x v="23"/>
    <n v="1164.72"/>
    <n v="514.4"/>
    <n v="72.209999999999994"/>
    <x v="5"/>
    <n v="4"/>
    <x v="0"/>
    <x v="0"/>
    <n v="10"/>
  </r>
  <r>
    <s v="ORD-00811"/>
    <d v="2021-01-07T00:00:00"/>
    <s v="CUST59025"/>
    <x v="380"/>
    <n v="35"/>
    <x v="0"/>
    <x v="2"/>
    <x v="0"/>
    <x v="19"/>
    <x v="4"/>
    <s v="Cricket Bat"/>
    <n v="9"/>
    <n v="14339.86"/>
    <x v="8"/>
    <n v="107237.51"/>
    <n v="27378.18"/>
    <n v="59.88"/>
    <x v="2"/>
    <n v="5"/>
    <x v="0"/>
    <x v="0"/>
    <n v="7"/>
  </r>
  <r>
    <s v="ORD-03666"/>
    <d v="2024-05-13T00:00:00"/>
    <s v="CUST44030"/>
    <x v="5"/>
    <n v="19"/>
    <x v="3"/>
    <x v="2"/>
    <x v="2"/>
    <x v="4"/>
    <x v="3"/>
    <s v="Dress"/>
    <n v="1"/>
    <n v="1396.08"/>
    <x v="4"/>
    <n v="2286.71"/>
    <n v="826.31"/>
    <n v="32.4"/>
    <x v="3"/>
    <n v="2"/>
    <x v="0"/>
    <x v="0"/>
    <n v="4"/>
  </r>
  <r>
    <s v="ORD-03215"/>
    <d v="2023-10-22T00:00:00"/>
    <s v="CUST12249"/>
    <x v="104"/>
    <n v="21"/>
    <x v="3"/>
    <x v="0"/>
    <x v="2"/>
    <x v="9"/>
    <x v="4"/>
    <s v="Football"/>
    <n v="7"/>
    <n v="3704.66"/>
    <x v="30"/>
    <n v="18963.560000000001"/>
    <n v="3880.05"/>
    <n v="61.03"/>
    <x v="1"/>
    <n v="3"/>
    <x v="0"/>
    <x v="0"/>
    <n v="10"/>
  </r>
  <r>
    <s v="ORD-03132"/>
    <d v="2023-09-15T00:00:00"/>
    <s v="CUST70495"/>
    <x v="354"/>
    <n v="40"/>
    <x v="1"/>
    <x v="1"/>
    <x v="1"/>
    <x v="3"/>
    <x v="2"/>
    <s v="Self-Help Book"/>
    <n v="3"/>
    <n v="662.97"/>
    <x v="3"/>
    <n v="1602.1"/>
    <n v="682.08"/>
    <n v="60.4"/>
    <x v="4"/>
    <n v="3"/>
    <x v="0"/>
    <x v="0"/>
    <n v="8"/>
  </r>
  <r>
    <s v="ORD-04103"/>
    <d v="2024-11-16T00:00:00"/>
    <s v="CUST86891"/>
    <x v="76"/>
    <n v="53"/>
    <x v="2"/>
    <x v="2"/>
    <x v="2"/>
    <x v="9"/>
    <x v="4"/>
    <s v="Tennis Racket"/>
    <n v="6"/>
    <n v="6418.63"/>
    <x v="9"/>
    <n v="31683.87"/>
    <n v="6743.34"/>
    <n v="60.52"/>
    <x v="3"/>
    <n v="3"/>
    <x v="0"/>
    <x v="0"/>
    <n v="5"/>
  </r>
  <r>
    <s v="ORD-00851"/>
    <d v="2021-01-23T00:00:00"/>
    <s v="CUST39419"/>
    <x v="184"/>
    <n v="48"/>
    <x v="1"/>
    <x v="2"/>
    <x v="4"/>
    <x v="8"/>
    <x v="1"/>
    <s v="Bookshelf"/>
    <n v="1"/>
    <n v="6917.97"/>
    <x v="37"/>
    <n v="4191.1499999999996"/>
    <n v="1571.77"/>
    <n v="96.28"/>
    <x v="1"/>
    <n v="5"/>
    <x v="0"/>
    <x v="0"/>
    <n v="5"/>
  </r>
  <r>
    <s v="ORD-01297"/>
    <d v="2021-08-08T00:00:00"/>
    <s v="CUST93424"/>
    <x v="396"/>
    <n v="33"/>
    <x v="0"/>
    <x v="0"/>
    <x v="4"/>
    <x v="8"/>
    <x v="3"/>
    <s v="Dress"/>
    <n v="9"/>
    <n v="1576.8"/>
    <x v="35"/>
    <n v="14192.8"/>
    <n v="7027.01"/>
    <n v="63.25"/>
    <x v="4"/>
    <n v="2"/>
    <x v="0"/>
    <x v="0"/>
    <n v="6"/>
  </r>
  <r>
    <s v="ORD-01732"/>
    <d v="2022-02-08T00:00:00"/>
    <s v="CUST51801"/>
    <x v="89"/>
    <n v="18"/>
    <x v="3"/>
    <x v="0"/>
    <x v="4"/>
    <x v="7"/>
    <x v="2"/>
    <s v="Fiction Novel"/>
    <n v="999"/>
    <n v="709.64"/>
    <x v="31"/>
    <n v="533420.31000000006"/>
    <n v="141347.64000000001"/>
    <n v="82.77"/>
    <x v="0"/>
    <n v="2"/>
    <x v="1"/>
    <x v="1"/>
    <n v="2"/>
  </r>
  <r>
    <s v="ORD-03737"/>
    <d v="2024-06-17T00:00:00"/>
    <s v="CUST37666"/>
    <x v="46"/>
    <n v="39"/>
    <x v="1"/>
    <x v="1"/>
    <x v="0"/>
    <x v="19"/>
    <x v="0"/>
    <s v="Perfume"/>
    <n v="1"/>
    <n v="1139.19"/>
    <x v="4"/>
    <n v="2138.54"/>
    <n v="958.64"/>
    <n v="47.9"/>
    <x v="1"/>
    <n v="2"/>
    <x v="0"/>
    <x v="0"/>
    <n v="6"/>
  </r>
  <r>
    <s v="ORD-01067"/>
    <d v="2021-04-27T00:00:00"/>
    <s v="CUST21073"/>
    <x v="146"/>
    <n v="28"/>
    <x v="0"/>
    <x v="2"/>
    <x v="1"/>
    <x v="10"/>
    <x v="6"/>
    <s v="Headphones"/>
    <n v="8"/>
    <n v="55099.88"/>
    <x v="0"/>
    <n v="534701.88"/>
    <n v="62826.35"/>
    <n v="64.28"/>
    <x v="4"/>
    <n v="5"/>
    <x v="0"/>
    <x v="2"/>
    <n v="2"/>
  </r>
  <r>
    <s v="ORD-02419"/>
    <d v="2022-11-11T00:00:00"/>
    <s v="CUST71186"/>
    <x v="397"/>
    <n v="30"/>
    <x v="0"/>
    <x v="0"/>
    <x v="1"/>
    <x v="10"/>
    <x v="4"/>
    <s v="Cycle"/>
    <n v="2"/>
    <n v="9107.15"/>
    <x v="39"/>
    <n v="14915.74"/>
    <n v="3305.13"/>
    <n v="61.84"/>
    <x v="2"/>
    <n v="1"/>
    <x v="0"/>
    <x v="0"/>
    <n v="1"/>
  </r>
  <r>
    <s v="ORD-01646"/>
    <d v="2022-01-04T00:00:00"/>
    <s v="CUST16475"/>
    <x v="122"/>
    <n v="37"/>
    <x v="1"/>
    <x v="0"/>
    <x v="1"/>
    <x v="10"/>
    <x v="0"/>
    <s v="Face Cream"/>
    <n v="8"/>
    <n v="2293.23"/>
    <x v="5"/>
    <n v="15979.96"/>
    <n v="7902.58"/>
    <n v="42.27"/>
    <x v="1"/>
    <n v="3"/>
    <x v="0"/>
    <x v="0"/>
    <n v="2"/>
  </r>
  <r>
    <s v="ORD-02927"/>
    <d v="2023-06-20T00:00:00"/>
    <s v="CUST53444"/>
    <x v="45"/>
    <n v="38"/>
    <x v="1"/>
    <x v="2"/>
    <x v="0"/>
    <x v="0"/>
    <x v="4"/>
    <s v="Tennis Racket"/>
    <n v="10"/>
    <n v="12849.18"/>
    <x v="2"/>
    <n v="162026.23999999999"/>
    <n v="55613.66"/>
    <n v="50.59"/>
    <x v="4"/>
    <n v="1"/>
    <x v="1"/>
    <x v="1"/>
    <n v="6"/>
  </r>
  <r>
    <s v="ORD-00703"/>
    <d v="2020-11-15T00:00:00"/>
    <s v="CUST23905"/>
    <x v="103"/>
    <n v="27"/>
    <x v="0"/>
    <x v="2"/>
    <x v="0"/>
    <x v="2"/>
    <x v="0"/>
    <s v="Face Cream"/>
    <n v="8"/>
    <n v="577.09"/>
    <x v="35"/>
    <n v="1937.2"/>
    <n v="752.28"/>
    <n v="44.38"/>
    <x v="1"/>
    <n v="3"/>
    <x v="0"/>
    <x v="0"/>
    <n v="3"/>
  </r>
  <r>
    <s v="ORD-00719"/>
    <d v="2020-11-24T00:00:00"/>
    <s v="CUST77326"/>
    <x v="318"/>
    <n v="41"/>
    <x v="1"/>
    <x v="2"/>
    <x v="2"/>
    <x v="9"/>
    <x v="1"/>
    <s v="Wardrobe"/>
    <n v="5"/>
    <n v="13802.21"/>
    <x v="5"/>
    <n v="49453.99"/>
    <n v="11156.02"/>
    <n v="53.42"/>
    <x v="5"/>
    <n v="4"/>
    <x v="0"/>
    <x v="0"/>
    <n v="2"/>
  </r>
  <r>
    <s v="ORD-02689"/>
    <d v="2023-03-13T00:00:00"/>
    <s v="CUST30478"/>
    <x v="165"/>
    <n v="39"/>
    <x v="1"/>
    <x v="2"/>
    <x v="0"/>
    <x v="2"/>
    <x v="4"/>
    <s v="Dumbbells"/>
    <n v="5"/>
    <n v="7209.98"/>
    <x v="39"/>
    <n v="44585.53"/>
    <n v="6266.72"/>
    <n v="101.5"/>
    <x v="5"/>
    <n v="3"/>
    <x v="0"/>
    <x v="0"/>
    <n v="8"/>
  </r>
  <r>
    <s v="ORD-03076"/>
    <d v="2023-08-21T00:00:00"/>
    <s v="CUST49954"/>
    <x v="253"/>
    <n v="37"/>
    <x v="1"/>
    <x v="1"/>
    <x v="0"/>
    <x v="2"/>
    <x v="4"/>
    <s v="Yoga Mat"/>
    <n v="8"/>
    <n v="11625.18"/>
    <x v="5"/>
    <n v="129797.26"/>
    <n v="30345.040000000001"/>
    <n v="35.4"/>
    <x v="2"/>
    <n v="1"/>
    <x v="1"/>
    <x v="1"/>
    <n v="10"/>
  </r>
  <r>
    <s v="ORD-02882"/>
    <d v="2023-06-03T00:00:00"/>
    <s v="CUST50309"/>
    <x v="130"/>
    <n v="32"/>
    <x v="0"/>
    <x v="0"/>
    <x v="1"/>
    <x v="11"/>
    <x v="0"/>
    <s v="Lipstick"/>
    <n v="6"/>
    <n v="458.32"/>
    <x v="40"/>
    <n v="2879.46"/>
    <n v="1655.48"/>
    <n v="66.8"/>
    <x v="4"/>
    <n v="5"/>
    <x v="0"/>
    <x v="0"/>
    <n v="4"/>
  </r>
  <r>
    <s v="ORD-04023"/>
    <d v="2024-10-11T00:00:00"/>
    <s v="CUST25803"/>
    <x v="278"/>
    <n v="30"/>
    <x v="0"/>
    <x v="1"/>
    <x v="4"/>
    <x v="18"/>
    <x v="6"/>
    <s v="Headphones"/>
    <n v="9"/>
    <n v="59350.94"/>
    <x v="40"/>
    <n v="398128.01"/>
    <n v="49023.97"/>
    <n v="67.319999999999993"/>
    <x v="3"/>
    <n v="2"/>
    <x v="0"/>
    <x v="4"/>
    <n v="3"/>
  </r>
  <r>
    <s v="ORD-03957"/>
    <d v="2024-09-03T00:00:00"/>
    <s v="CUST42062"/>
    <x v="186"/>
    <n v="33"/>
    <x v="0"/>
    <x v="1"/>
    <x v="1"/>
    <x v="3"/>
    <x v="5"/>
    <s v="Flour"/>
    <n v="3"/>
    <n v="428.57"/>
    <x v="22"/>
    <n v="1124.8"/>
    <n v="97.77"/>
    <n v="52.97"/>
    <x v="1"/>
    <n v="4"/>
    <x v="0"/>
    <x v="2"/>
    <n v="6"/>
  </r>
  <r>
    <s v="ORD-00972"/>
    <d v="2021-03-20T00:00:00"/>
    <s v="CUST58228"/>
    <x v="279"/>
    <n v="34"/>
    <x v="0"/>
    <x v="0"/>
    <x v="3"/>
    <x v="5"/>
    <x v="0"/>
    <s v="Lipstick"/>
    <n v="3"/>
    <n v="1728.65"/>
    <x v="32"/>
    <n v="5386.67"/>
    <n v="2960.24"/>
    <n v="87"/>
    <x v="0"/>
    <n v="3"/>
    <x v="0"/>
    <x v="0"/>
    <n v="1"/>
  </r>
  <r>
    <s v="ORD-03460"/>
    <d v="2024-02-09T00:00:00"/>
    <s v="CUST25321"/>
    <x v="336"/>
    <n v="32"/>
    <x v="0"/>
    <x v="1"/>
    <x v="1"/>
    <x v="11"/>
    <x v="3"/>
    <s v="Kurta"/>
    <n v="7"/>
    <n v="1122.22"/>
    <x v="2"/>
    <n v="7195.72"/>
    <n v="2557.08"/>
    <n v="47.28"/>
    <x v="2"/>
    <n v="5"/>
    <x v="0"/>
    <x v="0"/>
    <n v="8"/>
  </r>
  <r>
    <s v="ORD-02189"/>
    <d v="2022-08-14T00:00:00"/>
    <s v="CUST72195"/>
    <x v="369"/>
    <n v="39"/>
    <x v="1"/>
    <x v="0"/>
    <x v="3"/>
    <x v="12"/>
    <x v="0"/>
    <s v="Lipstick"/>
    <n v="6"/>
    <n v="553.63"/>
    <x v="21"/>
    <n v="2469.37"/>
    <n v="684.81"/>
    <n v="53.3"/>
    <x v="0"/>
    <n v="5"/>
    <x v="0"/>
    <x v="3"/>
    <n v="4"/>
  </r>
  <r>
    <s v="ORD-00231"/>
    <d v="2020-04-11T00:00:00"/>
    <s v="CUST27455"/>
    <x v="145"/>
    <n v="29"/>
    <x v="0"/>
    <x v="2"/>
    <x v="3"/>
    <x v="16"/>
    <x v="2"/>
    <s v="Self-Help Book"/>
    <n v="3"/>
    <n v="859.03"/>
    <x v="16"/>
    <n v="3048.93"/>
    <n v="1479.26"/>
    <n v="81.27"/>
    <x v="4"/>
    <n v="4"/>
    <x v="0"/>
    <x v="0"/>
    <n v="7"/>
  </r>
  <r>
    <s v="ORD-03591"/>
    <d v="2024-04-10T00:00:00"/>
    <s v="CUST08962"/>
    <x v="20"/>
    <n v="48"/>
    <x v="1"/>
    <x v="1"/>
    <x v="2"/>
    <x v="14"/>
    <x v="5"/>
    <s v="Cooking Oil"/>
    <n v="4"/>
    <n v="266.5"/>
    <x v="33"/>
    <n v="1241.25"/>
    <n v="67.67"/>
    <n v="73.91"/>
    <x v="5"/>
    <n v="4"/>
    <x v="1"/>
    <x v="1"/>
    <n v="8"/>
  </r>
  <r>
    <s v="ORD-00954"/>
    <d v="2021-03-10T00:00:00"/>
    <s v="CUST75813"/>
    <x v="177"/>
    <n v="21"/>
    <x v="3"/>
    <x v="0"/>
    <x v="4"/>
    <x v="18"/>
    <x v="1"/>
    <s v="Chair"/>
    <n v="5"/>
    <n v="10002.31"/>
    <x v="17"/>
    <n v="30147.32"/>
    <n v="7265.89"/>
    <n v="45.96"/>
    <x v="2"/>
    <n v="1"/>
    <x v="0"/>
    <x v="4"/>
    <n v="6"/>
  </r>
  <r>
    <s v="ORD-02240"/>
    <d v="2022-09-04T00:00:00"/>
    <s v="CUST70797"/>
    <x v="280"/>
    <n v="20"/>
    <x v="3"/>
    <x v="2"/>
    <x v="2"/>
    <x v="9"/>
    <x v="1"/>
    <s v="Sofa"/>
    <n v="3"/>
    <n v="18846.39"/>
    <x v="21"/>
    <n v="38600"/>
    <n v="11313.95"/>
    <n v="56.75"/>
    <x v="2"/>
    <n v="5"/>
    <x v="0"/>
    <x v="0"/>
    <n v="4"/>
  </r>
  <r>
    <s v="ORD-03889"/>
    <d v="2024-08-10T00:00:00"/>
    <s v="CUST81355"/>
    <x v="216"/>
    <n v="25"/>
    <x v="3"/>
    <x v="0"/>
    <x v="0"/>
    <x v="19"/>
    <x v="3"/>
    <s v="Kurta"/>
    <n v="3"/>
    <n v="2244.17"/>
    <x v="12"/>
    <n v="8279.0400000000009"/>
    <n v="2388.36"/>
    <n v="62.4"/>
    <x v="3"/>
    <n v="2"/>
    <x v="0"/>
    <x v="0"/>
    <n v="3"/>
  </r>
  <r>
    <s v="ORD-01543"/>
    <d v="2021-11-22T00:00:00"/>
    <s v="CUST69055"/>
    <x v="162"/>
    <n v="37"/>
    <x v="1"/>
    <x v="2"/>
    <x v="1"/>
    <x v="11"/>
    <x v="3"/>
    <s v="T-Shirt"/>
    <n v="2"/>
    <n v="2623.58"/>
    <x v="6"/>
    <n v="2762.31"/>
    <n v="713.47"/>
    <n v="62.67"/>
    <x v="3"/>
    <n v="1"/>
    <x v="1"/>
    <x v="1"/>
    <n v="3"/>
  </r>
  <r>
    <s v="ORD-01216"/>
    <d v="2021-07-03T00:00:00"/>
    <s v="CUST87398"/>
    <x v="398"/>
    <n v="24"/>
    <x v="3"/>
    <x v="1"/>
    <x v="2"/>
    <x v="14"/>
    <x v="2"/>
    <s v="Textbook"/>
    <n v="7"/>
    <n v="902.94"/>
    <x v="16"/>
    <n v="8693.5300000000007"/>
    <n v="4021.37"/>
    <n v="58.45"/>
    <x v="0"/>
    <n v="4"/>
    <x v="0"/>
    <x v="0"/>
    <n v="4"/>
  </r>
  <r>
    <s v="ORD-01621"/>
    <d v="2021-12-26T00:00:00"/>
    <s v="CUST91294"/>
    <x v="316"/>
    <n v="32"/>
    <x v="0"/>
    <x v="2"/>
    <x v="4"/>
    <x v="7"/>
    <x v="2"/>
    <s v="Self-Help Book"/>
    <n v="8"/>
    <n v="1023.77"/>
    <x v="34"/>
    <n v="4221.3599999999997"/>
    <n v="1605.93"/>
    <n v="33.93"/>
    <x v="3"/>
    <n v="2"/>
    <x v="0"/>
    <x v="2"/>
    <n v="4"/>
  </r>
  <r>
    <s v="ORD-00821"/>
    <d v="2021-01-11T00:00:00"/>
    <s v="CUST07868"/>
    <x v="42"/>
    <n v="34"/>
    <x v="0"/>
    <x v="1"/>
    <x v="2"/>
    <x v="13"/>
    <x v="5"/>
    <s v="Flour"/>
    <n v="4"/>
    <n v="249.86"/>
    <x v="2"/>
    <n v="572.04"/>
    <n v="50.92"/>
    <n v="67.97"/>
    <x v="3"/>
    <n v="5"/>
    <x v="0"/>
    <x v="0"/>
    <n v="3"/>
  </r>
  <r>
    <s v="ORD-00282"/>
    <d v="2020-05-05T00:00:00"/>
    <s v="CUST51993"/>
    <x v="326"/>
    <n v="53"/>
    <x v="2"/>
    <x v="1"/>
    <x v="3"/>
    <x v="15"/>
    <x v="0"/>
    <s v="Hair Oil"/>
    <n v="3"/>
    <n v="842.68"/>
    <x v="34"/>
    <n v="2239.4899999999998"/>
    <n v="716.54"/>
    <n v="89.81"/>
    <x v="4"/>
    <n v="4"/>
    <x v="0"/>
    <x v="0"/>
    <n v="10"/>
  </r>
  <r>
    <s v="ORD-01982"/>
    <d v="2022-05-26T00:00:00"/>
    <s v="CUST60037"/>
    <x v="288"/>
    <n v="45"/>
    <x v="1"/>
    <x v="1"/>
    <x v="4"/>
    <x v="18"/>
    <x v="2"/>
    <s v="Cook Book"/>
    <n v="2"/>
    <n v="567.24"/>
    <x v="1"/>
    <n v="1366.97"/>
    <n v="547.22"/>
    <n v="86.26"/>
    <x v="5"/>
    <n v="4"/>
    <x v="0"/>
    <x v="0"/>
    <n v="3"/>
  </r>
  <r>
    <s v="ORD-01249"/>
    <d v="2021-07-17T00:00:00"/>
    <s v="CUST24069"/>
    <x v="96"/>
    <n v="58"/>
    <x v="2"/>
    <x v="2"/>
    <x v="2"/>
    <x v="14"/>
    <x v="4"/>
    <s v="Dumbbells"/>
    <n v="10"/>
    <n v="4548.04"/>
    <x v="19"/>
    <n v="54271.82"/>
    <n v="14354.18"/>
    <n v="56.47"/>
    <x v="4"/>
    <n v="2"/>
    <x v="0"/>
    <x v="0"/>
    <n v="10"/>
  </r>
  <r>
    <s v="ORD-01494"/>
    <d v="2021-11-02T00:00:00"/>
    <s v="CUST49312"/>
    <x v="136"/>
    <n v="34"/>
    <x v="0"/>
    <x v="1"/>
    <x v="2"/>
    <x v="4"/>
    <x v="4"/>
    <s v="Cycle"/>
    <n v="6"/>
    <n v="4549.08"/>
    <x v="31"/>
    <n v="21213.25"/>
    <n v="2811.21"/>
    <n v="61.26"/>
    <x v="2"/>
    <n v="2"/>
    <x v="0"/>
    <x v="3"/>
    <n v="9"/>
  </r>
  <r>
    <s v="ORD-03255"/>
    <d v="2023-11-06T00:00:00"/>
    <s v="CUST68003"/>
    <x v="304"/>
    <n v="38"/>
    <x v="1"/>
    <x v="1"/>
    <x v="2"/>
    <x v="4"/>
    <x v="6"/>
    <s v="Smartphone"/>
    <n v="7"/>
    <n v="45852.67"/>
    <x v="2"/>
    <n v="273026.12"/>
    <n v="30112.39"/>
    <n v="26.23"/>
    <x v="1"/>
    <n v="3"/>
    <x v="0"/>
    <x v="0"/>
    <n v="6"/>
  </r>
  <r>
    <s v="ORD-02372"/>
    <d v="2022-10-22T00:00:00"/>
    <s v="CUST49286"/>
    <x v="386"/>
    <n v="34"/>
    <x v="0"/>
    <x v="2"/>
    <x v="1"/>
    <x v="3"/>
    <x v="4"/>
    <s v="Yoga Mat"/>
    <n v="6"/>
    <n v="9589.48"/>
    <x v="7"/>
    <n v="48651.38"/>
    <n v="11292.58"/>
    <n v="25.65"/>
    <x v="1"/>
    <n v="3"/>
    <x v="1"/>
    <x v="1"/>
    <n v="2"/>
  </r>
  <r>
    <s v="ORD-01210"/>
    <d v="2021-06-30T00:00:00"/>
    <s v="CUST18457"/>
    <x v="356"/>
    <n v="35"/>
    <x v="0"/>
    <x v="2"/>
    <x v="1"/>
    <x v="6"/>
    <x v="1"/>
    <s v="Wardrobe"/>
    <n v="3"/>
    <n v="21424.67"/>
    <x v="29"/>
    <n v="89031.360000000001"/>
    <n v="26411.55"/>
    <n v="50.15"/>
    <x v="0"/>
    <n v="4"/>
    <x v="0"/>
    <x v="0"/>
    <n v="100"/>
  </r>
  <r>
    <s v="ORD-03956"/>
    <d v="2024-09-03T00:00:00"/>
    <s v="CUST78830"/>
    <x v="334"/>
    <n v="36"/>
    <x v="1"/>
    <x v="2"/>
    <x v="0"/>
    <x v="2"/>
    <x v="1"/>
    <s v="Sofa"/>
    <n v="10"/>
    <n v="3353.32"/>
    <x v="27"/>
    <n v="34535.760000000002"/>
    <n v="8625.6200000000008"/>
    <n v="64.38"/>
    <x v="3"/>
    <n v="4"/>
    <x v="0"/>
    <x v="0"/>
    <n v="1"/>
  </r>
  <r>
    <s v="ORD-01136"/>
    <d v="2021-05-27T00:00:00"/>
    <s v="CUST75145"/>
    <x v="126"/>
    <n v="29"/>
    <x v="0"/>
    <x v="2"/>
    <x v="0"/>
    <x v="0"/>
    <x v="0"/>
    <s v="Sunscreen"/>
    <n v="4"/>
    <n v="801.79"/>
    <x v="7"/>
    <n v="3581.26"/>
    <n v="1505.99"/>
    <n v="60.89"/>
    <x v="0"/>
    <n v="5"/>
    <x v="0"/>
    <x v="0"/>
    <n v="5"/>
  </r>
  <r>
    <s v="ORD-03127"/>
    <d v="2023-09-11T00:00:00"/>
    <s v="CUST95818"/>
    <x v="62"/>
    <n v="37"/>
    <x v="1"/>
    <x v="1"/>
    <x v="4"/>
    <x v="17"/>
    <x v="6"/>
    <s v="Tablet"/>
    <n v="2"/>
    <n v="73717.77"/>
    <x v="1"/>
    <n v="145540.46"/>
    <n v="16844.099999999999"/>
    <n v="84.06"/>
    <x v="3"/>
    <n v="4"/>
    <x v="0"/>
    <x v="0"/>
    <n v="7"/>
  </r>
  <r>
    <s v="ORD-03245"/>
    <d v="2023-11-02T00:00:00"/>
    <s v="CUST51623"/>
    <x v="242"/>
    <n v="57"/>
    <x v="2"/>
    <x v="0"/>
    <x v="0"/>
    <x v="2"/>
    <x v="2"/>
    <s v="Textbook"/>
    <n v="8"/>
    <n v="784.92"/>
    <x v="33"/>
    <n v="4517.75"/>
    <n v="1812.28"/>
    <n v="66.510000000000005"/>
    <x v="5"/>
    <n v="2"/>
    <x v="0"/>
    <x v="3"/>
    <n v="5"/>
  </r>
  <r>
    <s v="ORD-02263"/>
    <d v="2022-09-11T00:00:00"/>
    <s v="CUST80227"/>
    <x v="325"/>
    <n v="37"/>
    <x v="1"/>
    <x v="0"/>
    <x v="2"/>
    <x v="4"/>
    <x v="5"/>
    <s v="Dal (1kg)"/>
    <n v="3"/>
    <n v="466.4"/>
    <x v="36"/>
    <n v="1143.9000000000001"/>
    <n v="83.86"/>
    <n v="52.43"/>
    <x v="1"/>
    <n v="5"/>
    <x v="0"/>
    <x v="0"/>
    <n v="10"/>
  </r>
  <r>
    <s v="ORD-00852"/>
    <d v="2021-01-23T00:00:00"/>
    <s v="CUST80007"/>
    <x v="339"/>
    <n v="25"/>
    <x v="3"/>
    <x v="1"/>
    <x v="0"/>
    <x v="2"/>
    <x v="3"/>
    <s v="Dress"/>
    <n v="2"/>
    <n v="1329.5"/>
    <x v="12"/>
    <n v="1346.05"/>
    <n v="364.15"/>
    <n v="72.34"/>
    <x v="2"/>
    <n v="4"/>
    <x v="0"/>
    <x v="4"/>
    <n v="9"/>
  </r>
  <r>
    <s v="ORD-04027"/>
    <d v="2024-10-14T00:00:00"/>
    <s v="CUST22444"/>
    <x v="93"/>
    <n v="41"/>
    <x v="1"/>
    <x v="2"/>
    <x v="2"/>
    <x v="13"/>
    <x v="3"/>
    <s v="Kurta"/>
    <n v="5"/>
    <n v="720.42"/>
    <x v="11"/>
    <n v="3357.38"/>
    <n v="988.15"/>
    <n v="51.08"/>
    <x v="4"/>
    <n v="1"/>
    <x v="1"/>
    <x v="1"/>
    <n v="8"/>
  </r>
  <r>
    <s v="ORD-00884"/>
    <d v="2021-02-03T00:00:00"/>
    <s v="CUST13555"/>
    <x v="294"/>
    <n v="54"/>
    <x v="2"/>
    <x v="1"/>
    <x v="2"/>
    <x v="9"/>
    <x v="1"/>
    <s v="Bed Frame"/>
    <n v="6"/>
    <n v="32916.71"/>
    <x v="0"/>
    <n v="176331.64"/>
    <n v="48719.54"/>
    <n v="48.18"/>
    <x v="0"/>
    <n v="5"/>
    <x v="0"/>
    <x v="0"/>
    <n v="3"/>
  </r>
  <r>
    <s v="ORD-01962"/>
    <d v="2022-05-16T00:00:00"/>
    <s v="CUST39536"/>
    <x v="387"/>
    <n v="53"/>
    <x v="2"/>
    <x v="2"/>
    <x v="2"/>
    <x v="14"/>
    <x v="2"/>
    <s v="Cook Book"/>
    <n v="6"/>
    <n v="308.33"/>
    <x v="2"/>
    <n v="2120.2800000000002"/>
    <n v="875.63"/>
    <n v="48.94"/>
    <x v="3"/>
    <n v="4"/>
    <x v="0"/>
    <x v="0"/>
    <n v="5"/>
  </r>
  <r>
    <s v="ORD-03308"/>
    <d v="2023-12-01T00:00:00"/>
    <s v="CUST41593"/>
    <x v="10"/>
    <n v="24"/>
    <x v="3"/>
    <x v="1"/>
    <x v="1"/>
    <x v="6"/>
    <x v="1"/>
    <s v="Chair"/>
    <n v="10"/>
    <n v="23621.89"/>
    <x v="13"/>
    <n v="192313.69"/>
    <n v="56375.97"/>
    <n v="73.91"/>
    <x v="4"/>
    <n v="2"/>
    <x v="0"/>
    <x v="0"/>
    <n v="2"/>
  </r>
  <r>
    <s v="ORD-00980"/>
    <d v="2021-03-22T00:00:00"/>
    <s v="CUST55402"/>
    <x v="193"/>
    <n v="43"/>
    <x v="1"/>
    <x v="2"/>
    <x v="3"/>
    <x v="12"/>
    <x v="4"/>
    <s v="Yoga Mat"/>
    <n v="4"/>
    <n v="9423.81"/>
    <x v="17"/>
    <n v="23341.98"/>
    <n v="3961.16"/>
    <n v="92.67"/>
    <x v="1"/>
    <n v="5"/>
    <x v="0"/>
    <x v="0"/>
    <n v="1"/>
  </r>
  <r>
    <s v="ORD-02627"/>
    <d v="2023-02-14T00:00:00"/>
    <s v="CUST23490"/>
    <x v="260"/>
    <n v="29"/>
    <x v="0"/>
    <x v="0"/>
    <x v="2"/>
    <x v="9"/>
    <x v="4"/>
    <s v="Dumbbells"/>
    <n v="5"/>
    <n v="11924.73"/>
    <x v="10"/>
    <n v="39073.019999999997"/>
    <n v="7762.52"/>
    <n v="63.8"/>
    <x v="4"/>
    <n v="2"/>
    <x v="0"/>
    <x v="0"/>
    <n v="9"/>
  </r>
  <r>
    <s v="ORD-02553"/>
    <d v="2023-01-12T00:00:00"/>
    <s v="CUST10304"/>
    <x v="205"/>
    <n v="53"/>
    <x v="2"/>
    <x v="2"/>
    <x v="2"/>
    <x v="4"/>
    <x v="5"/>
    <s v="Tea"/>
    <n v="1"/>
    <n v="114.17"/>
    <x v="39"/>
    <n v="90.79"/>
    <n v="8.1"/>
    <n v="44.85"/>
    <x v="1"/>
    <n v="4"/>
    <x v="0"/>
    <x v="0"/>
    <n v="9"/>
  </r>
  <r>
    <s v="ORD-00216"/>
    <d v="2020-04-04T00:00:00"/>
    <s v="CUST86362"/>
    <x v="135"/>
    <n v="44"/>
    <x v="1"/>
    <x v="0"/>
    <x v="0"/>
    <x v="1"/>
    <x v="3"/>
    <s v="Jacket"/>
    <n v="1"/>
    <n v="1784.28"/>
    <x v="16"/>
    <n v="2034.49"/>
    <n v="543.72"/>
    <n v="26.17"/>
    <x v="0"/>
    <n v="3"/>
    <x v="0"/>
    <x v="0"/>
    <n v="10"/>
  </r>
  <r>
    <s v="ORD-03247"/>
    <d v="2023-11-04T00:00:00"/>
    <s v="CUST92610"/>
    <x v="67"/>
    <n v="36"/>
    <x v="1"/>
    <x v="1"/>
    <x v="2"/>
    <x v="9"/>
    <x v="0"/>
    <s v="Perfume"/>
    <n v="7"/>
    <n v="2068.81"/>
    <x v="12"/>
    <n v="7932.49"/>
    <n v="3524.81"/>
    <n v="40.22"/>
    <x v="3"/>
    <n v="2"/>
    <x v="0"/>
    <x v="3"/>
    <n v="5"/>
  </r>
  <r>
    <s v="ORD-00839"/>
    <d v="2021-01-19T00:00:00"/>
    <s v="CUST85913"/>
    <x v="377"/>
    <n v="31"/>
    <x v="0"/>
    <x v="0"/>
    <x v="4"/>
    <x v="18"/>
    <x v="1"/>
    <s v="Bookshelf"/>
    <n v="6"/>
    <n v="2676.31"/>
    <x v="0"/>
    <n v="10381.040000000001"/>
    <n v="3229.7"/>
    <n v="70.150000000000006"/>
    <x v="5"/>
    <n v="1"/>
    <x v="0"/>
    <x v="3"/>
    <n v="10"/>
  </r>
  <r>
    <s v="ORD-03985"/>
    <d v="2024-09-14T00:00:00"/>
    <s v="CUST56825"/>
    <x v="126"/>
    <n v="41"/>
    <x v="1"/>
    <x v="1"/>
    <x v="4"/>
    <x v="17"/>
    <x v="6"/>
    <s v="Camera"/>
    <n v="1"/>
    <n v="39155.85"/>
    <x v="14"/>
    <n v="30626"/>
    <n v="4110.3500000000004"/>
    <n v="83.36"/>
    <x v="3"/>
    <n v="4"/>
    <x v="1"/>
    <x v="1"/>
    <n v="9"/>
  </r>
  <r>
    <s v="ORD-01915"/>
    <d v="2022-04-27T00:00:00"/>
    <s v="CUST50959"/>
    <x v="15"/>
    <n v="35"/>
    <x v="0"/>
    <x v="0"/>
    <x v="2"/>
    <x v="13"/>
    <x v="4"/>
    <s v="Dumbbells"/>
    <n v="8"/>
    <n v="13974.28"/>
    <x v="11"/>
    <n v="125535.27"/>
    <n v="26988.18"/>
    <n v="63.87"/>
    <x v="4"/>
    <n v="4"/>
    <x v="0"/>
    <x v="4"/>
    <n v="3"/>
  </r>
  <r>
    <s v="ORD-02706"/>
    <d v="2023-03-17T00:00:00"/>
    <s v="CUST55586"/>
    <x v="157"/>
    <n v="25"/>
    <x v="3"/>
    <x v="1"/>
    <x v="3"/>
    <x v="16"/>
    <x v="3"/>
    <s v="T-Shirt"/>
    <n v="3"/>
    <n v="3828.11"/>
    <x v="33"/>
    <n v="10968.02"/>
    <n v="3716.33"/>
    <n v="90.35"/>
    <x v="2"/>
    <n v="4"/>
    <x v="0"/>
    <x v="0"/>
    <n v="7"/>
  </r>
  <r>
    <s v="ORD-01687"/>
    <d v="2022-01-22T00:00:00"/>
    <s v="CUST88552"/>
    <x v="180"/>
    <n v="48"/>
    <x v="1"/>
    <x v="0"/>
    <x v="0"/>
    <x v="0"/>
    <x v="0"/>
    <s v="Face Cream"/>
    <n v="9"/>
    <n v="2217.86"/>
    <x v="27"/>
    <n v="11510.54"/>
    <n v="6314.77"/>
    <n v="50.57"/>
    <x v="5"/>
    <n v="3"/>
    <x v="0"/>
    <x v="0"/>
    <n v="3"/>
  </r>
  <r>
    <s v="ORD-03561"/>
    <d v="2024-03-27T00:00:00"/>
    <s v="CUST09606"/>
    <x v="315"/>
    <n v="26"/>
    <x v="0"/>
    <x v="2"/>
    <x v="0"/>
    <x v="19"/>
    <x v="4"/>
    <s v="Tennis Racket"/>
    <n v="1"/>
    <n v="13730.08"/>
    <x v="30"/>
    <n v="11658.53"/>
    <n v="2595.3000000000002"/>
    <n v="49.66"/>
    <x v="4"/>
    <n v="2"/>
    <x v="1"/>
    <x v="1"/>
    <n v="5"/>
  </r>
  <r>
    <s v="ORD-03475"/>
    <d v="2024-02-17T00:00:00"/>
    <s v="CUST36492"/>
    <x v="75"/>
    <n v="51"/>
    <x v="2"/>
    <x v="1"/>
    <x v="1"/>
    <x v="10"/>
    <x v="6"/>
    <s v="Camera"/>
    <n v="3"/>
    <n v="18251.7"/>
    <x v="8"/>
    <n v="57280.67"/>
    <n v="7183.26"/>
    <n v="47.7"/>
    <x v="1"/>
    <n v="3"/>
    <x v="0"/>
    <x v="0"/>
    <n v="10"/>
  </r>
  <r>
    <s v="ORD-03639"/>
    <d v="2024-04-30T00:00:00"/>
    <s v="CUST46406"/>
    <x v="203"/>
    <n v="44"/>
    <x v="1"/>
    <x v="0"/>
    <x v="0"/>
    <x v="0"/>
    <x v="0"/>
    <s v="Shampoo"/>
    <n v="1"/>
    <n v="1276.8900000000001"/>
    <x v="1"/>
    <n v="1679.21"/>
    <n v="753.07"/>
    <n v="91.51"/>
    <x v="4"/>
    <n v="2"/>
    <x v="0"/>
    <x v="0"/>
    <n v="1"/>
  </r>
  <r>
    <s v="ORD-04067"/>
    <d v="2024-10-29T00:00:00"/>
    <s v="CUST49069"/>
    <x v="308"/>
    <n v="43"/>
    <x v="1"/>
    <x v="2"/>
    <x v="2"/>
    <x v="4"/>
    <x v="3"/>
    <s v="Jacket"/>
    <n v="2"/>
    <n v="899.53"/>
    <x v="37"/>
    <n v="1788.88"/>
    <n v="523.65"/>
    <n v="68.44"/>
    <x v="2"/>
    <n v="5"/>
    <x v="0"/>
    <x v="3"/>
    <n v="10"/>
  </r>
  <r>
    <s v="ORD-01539"/>
    <d v="2021-11-20T00:00:00"/>
    <s v="CUST68441"/>
    <x v="123"/>
    <n v="52"/>
    <x v="2"/>
    <x v="0"/>
    <x v="4"/>
    <x v="17"/>
    <x v="2"/>
    <s v="Comic Book"/>
    <n v="2"/>
    <n v="1067.1300000000001"/>
    <x v="34"/>
    <n v="1180.6099999999999"/>
    <n v="481.98"/>
    <n v="91.57"/>
    <x v="0"/>
    <n v="2"/>
    <x v="0"/>
    <x v="0"/>
    <n v="10"/>
  </r>
  <r>
    <s v="ORD-01254"/>
    <d v="2021-07-19T00:00:00"/>
    <s v="CUST21375"/>
    <x v="342"/>
    <n v="38"/>
    <x v="1"/>
    <x v="2"/>
    <x v="3"/>
    <x v="12"/>
    <x v="6"/>
    <s v="Camera"/>
    <n v="10"/>
    <n v="14508.42"/>
    <x v="33"/>
    <n v="157988.20000000001"/>
    <n v="19642.09"/>
    <n v="83.47"/>
    <x v="2"/>
    <n v="1"/>
    <x v="0"/>
    <x v="0"/>
    <n v="8"/>
  </r>
  <r>
    <s v="ORD-00426"/>
    <d v="2020-07-08T00:00:00"/>
    <s v="CUST45896"/>
    <x v="386"/>
    <n v="29"/>
    <x v="0"/>
    <x v="0"/>
    <x v="1"/>
    <x v="3"/>
    <x v="0"/>
    <s v="Sunscreen"/>
    <n v="9"/>
    <n v="267.99"/>
    <x v="0"/>
    <n v="2666.59"/>
    <n v="1181.3699999999999"/>
    <n v="39.67"/>
    <x v="5"/>
    <n v="1"/>
    <x v="0"/>
    <x v="2"/>
    <n v="4"/>
  </r>
  <r>
    <s v="ORD-03000"/>
    <d v="2023-07-23T00:00:00"/>
    <s v="CUST14868"/>
    <x v="347"/>
    <n v="32"/>
    <x v="0"/>
    <x v="1"/>
    <x v="4"/>
    <x v="18"/>
    <x v="4"/>
    <s v="Cycle"/>
    <n v="7"/>
    <n v="12914.01"/>
    <x v="3"/>
    <n v="122070.77"/>
    <n v="24152.84"/>
    <n v="53.5"/>
    <x v="1"/>
    <n v="4"/>
    <x v="0"/>
    <x v="0"/>
    <n v="7"/>
  </r>
  <r>
    <s v="ORD-00230"/>
    <d v="2020-04-10T00:00:00"/>
    <s v="CUST62810"/>
    <x v="29"/>
    <n v="31"/>
    <x v="0"/>
    <x v="2"/>
    <x v="2"/>
    <x v="9"/>
    <x v="4"/>
    <s v="Football"/>
    <n v="6"/>
    <n v="13425.83"/>
    <x v="32"/>
    <n v="83316.58"/>
    <n v="14180.23"/>
    <n v="54.3"/>
    <x v="5"/>
    <n v="5"/>
    <x v="0"/>
    <x v="0"/>
    <n v="8"/>
  </r>
  <r>
    <s v="ORD-02318"/>
    <d v="2022-10-04T00:00:00"/>
    <s v="CUST67509"/>
    <x v="20"/>
    <n v="32"/>
    <x v="0"/>
    <x v="0"/>
    <x v="4"/>
    <x v="17"/>
    <x v="1"/>
    <s v="Bed Frame"/>
    <n v="3"/>
    <n v="18611.53"/>
    <x v="8"/>
    <n v="52590.42"/>
    <n v="13887.81"/>
    <n v="99.49"/>
    <x v="0"/>
    <n v="3"/>
    <x v="0"/>
    <x v="0"/>
    <n v="4"/>
  </r>
  <r>
    <s v="ORD-01327"/>
    <d v="2021-08-18T00:00:00"/>
    <s v="CUST26929"/>
    <x v="329"/>
    <n v="25"/>
    <x v="3"/>
    <x v="2"/>
    <x v="3"/>
    <x v="12"/>
    <x v="2"/>
    <s v="Textbook"/>
    <n v="6"/>
    <n v="729.34"/>
    <x v="8"/>
    <n v="5901.9"/>
    <n v="2786.64"/>
    <n v="104.25"/>
    <x v="5"/>
    <n v="5"/>
    <x v="0"/>
    <x v="0"/>
    <n v="3"/>
  </r>
  <r>
    <s v="ORD-03569"/>
    <d v="2024-03-29T00:00:00"/>
    <s v="CUST54474"/>
    <x v="126"/>
    <n v="38"/>
    <x v="1"/>
    <x v="0"/>
    <x v="4"/>
    <x v="8"/>
    <x v="6"/>
    <s v="Camera"/>
    <n v="3"/>
    <n v="12872.17"/>
    <x v="16"/>
    <n v="43511.94"/>
    <n v="5535.12"/>
    <n v="64.47"/>
    <x v="0"/>
    <n v="2"/>
    <x v="1"/>
    <x v="1"/>
    <n v="1"/>
  </r>
  <r>
    <s v="ORD-00877"/>
    <d v="2021-02-01T00:00:00"/>
    <s v="CUST26337"/>
    <x v="384"/>
    <n v="32"/>
    <x v="0"/>
    <x v="0"/>
    <x v="0"/>
    <x v="0"/>
    <x v="5"/>
    <s v="Dal (1kg)"/>
    <n v="1"/>
    <n v="50.26"/>
    <x v="19"/>
    <n v="39.450000000000003"/>
    <n v="1.56"/>
    <n v="76.23"/>
    <x v="0"/>
    <n v="1"/>
    <x v="0"/>
    <x v="0"/>
    <n v="7"/>
  </r>
  <r>
    <s v="ORD-00475"/>
    <d v="2020-07-28T00:00:00"/>
    <s v="CUST88974"/>
    <x v="150"/>
    <n v="48"/>
    <x v="1"/>
    <x v="1"/>
    <x v="3"/>
    <x v="5"/>
    <x v="3"/>
    <s v="Saree"/>
    <n v="6"/>
    <n v="3799.36"/>
    <x v="12"/>
    <n v="19572.07"/>
    <n v="5911.72"/>
    <n v="88.51"/>
    <x v="5"/>
    <n v="3"/>
    <x v="0"/>
    <x v="3"/>
    <n v="5"/>
  </r>
  <r>
    <s v="ORD-01480"/>
    <d v="2021-10-26T00:00:00"/>
    <s v="CUST85847"/>
    <x v="203"/>
    <n v="47"/>
    <x v="1"/>
    <x v="0"/>
    <x v="2"/>
    <x v="14"/>
    <x v="3"/>
    <s v="Jacket"/>
    <n v="7"/>
    <n v="1774.08"/>
    <x v="11"/>
    <n v="8124.61"/>
    <n v="3210.86"/>
    <n v="46.79"/>
    <x v="5"/>
    <n v="1"/>
    <x v="0"/>
    <x v="0"/>
    <n v="3"/>
  </r>
  <r>
    <s v="ORD-01053"/>
    <d v="2021-04-21T00:00:00"/>
    <s v="CUST27057"/>
    <x v="16"/>
    <n v="58"/>
    <x v="2"/>
    <x v="1"/>
    <x v="0"/>
    <x v="0"/>
    <x v="1"/>
    <s v="Wardrobe"/>
    <n v="3"/>
    <n v="10104.68"/>
    <x v="40"/>
    <n v="21793.75"/>
    <n v="6667.44"/>
    <n v="61.07"/>
    <x v="5"/>
    <n v="5"/>
    <x v="1"/>
    <x v="1"/>
    <n v="10"/>
  </r>
  <r>
    <s v="ORD-00570"/>
    <d v="2020-09-10T00:00:00"/>
    <s v="CUST24704"/>
    <x v="151"/>
    <n v="47"/>
    <x v="1"/>
    <x v="1"/>
    <x v="4"/>
    <x v="18"/>
    <x v="4"/>
    <s v="Cricket Bat"/>
    <n v="1"/>
    <n v="13770.41"/>
    <x v="16"/>
    <n v="14059.26"/>
    <n v="2621.88"/>
    <n v="56.12"/>
    <x v="4"/>
    <n v="1"/>
    <x v="0"/>
    <x v="2"/>
    <n v="7"/>
  </r>
  <r>
    <s v="ORD-00106"/>
    <d v="2020-02-10T00:00:00"/>
    <s v="CUST55820"/>
    <x v="379"/>
    <n v="24"/>
    <x v="3"/>
    <x v="1"/>
    <x v="0"/>
    <x v="19"/>
    <x v="2"/>
    <s v="Comic Book"/>
    <n v="1"/>
    <n v="747.6"/>
    <x v="34"/>
    <n v="467.87"/>
    <n v="188.11"/>
    <n v="49.6"/>
    <x v="0"/>
    <n v="1"/>
    <x v="0"/>
    <x v="0"/>
    <n v="9"/>
  </r>
  <r>
    <s v="ORD-02202"/>
    <d v="2022-08-17T00:00:00"/>
    <s v="CUST31801"/>
    <x v="325"/>
    <n v="25"/>
    <x v="3"/>
    <x v="0"/>
    <x v="3"/>
    <x v="5"/>
    <x v="5"/>
    <s v="Dal (1kg)"/>
    <n v="5"/>
    <n v="51.58"/>
    <x v="25"/>
    <n v="237.06"/>
    <n v="24.71"/>
    <n v="82.67"/>
    <x v="3"/>
    <n v="2"/>
    <x v="1"/>
    <x v="1"/>
    <n v="6"/>
  </r>
  <r>
    <s v="ORD-00254"/>
    <d v="2020-04-22T00:00:00"/>
    <s v="CUST17284"/>
    <x v="12"/>
    <n v="44"/>
    <x v="1"/>
    <x v="1"/>
    <x v="0"/>
    <x v="1"/>
    <x v="5"/>
    <s v="Rice (5kg)"/>
    <n v="4"/>
    <n v="270.70999999999998"/>
    <x v="16"/>
    <n v="1316.63"/>
    <n v="117.56"/>
    <n v="77.760000000000005"/>
    <x v="5"/>
    <n v="2"/>
    <x v="0"/>
    <x v="3"/>
    <n v="3"/>
  </r>
  <r>
    <s v="ORD-01972"/>
    <d v="2022-05-21T00:00:00"/>
    <s v="CUST38989"/>
    <x v="74"/>
    <n v="47"/>
    <x v="1"/>
    <x v="2"/>
    <x v="0"/>
    <x v="19"/>
    <x v="5"/>
    <s v="Rice (5kg)"/>
    <n v="2"/>
    <n v="209.57"/>
    <x v="17"/>
    <n v="406.36"/>
    <n v="24.52"/>
    <n v="47.01"/>
    <x v="1"/>
    <n v="3"/>
    <x v="0"/>
    <x v="0"/>
    <n v="8"/>
  </r>
  <r>
    <s v="ORD-01423"/>
    <d v="2021-10-03T00:00:00"/>
    <s v="CUST36676"/>
    <x v="396"/>
    <n v="35"/>
    <x v="0"/>
    <x v="0"/>
    <x v="2"/>
    <x v="14"/>
    <x v="5"/>
    <s v="Dal (1kg)"/>
    <n v="6"/>
    <n v="204.17"/>
    <x v="18"/>
    <n v="703.05"/>
    <n v="59.99"/>
    <n v="27.12"/>
    <x v="0"/>
    <n v="4"/>
    <x v="0"/>
    <x v="0"/>
    <n v="1"/>
  </r>
  <r>
    <s v="ORD-01287"/>
    <d v="2021-08-03T00:00:00"/>
    <s v="CUST98013"/>
    <x v="202"/>
    <n v="52"/>
    <x v="2"/>
    <x v="0"/>
    <x v="1"/>
    <x v="11"/>
    <x v="0"/>
    <s v="Lipstick"/>
    <n v="2"/>
    <n v="725.19"/>
    <x v="22"/>
    <n v="1066.1600000000001"/>
    <n v="607.29999999999995"/>
    <n v="27.53"/>
    <x v="4"/>
    <n v="2"/>
    <x v="0"/>
    <x v="3"/>
    <n v="10"/>
  </r>
  <r>
    <s v="ORD-02196"/>
    <d v="2022-08-15T00:00:00"/>
    <s v="CUST89124"/>
    <x v="199"/>
    <n v="18"/>
    <x v="3"/>
    <x v="1"/>
    <x v="2"/>
    <x v="4"/>
    <x v="0"/>
    <s v="Sunscreen"/>
    <n v="1"/>
    <n v="1639.28"/>
    <x v="29"/>
    <n v="1994.57"/>
    <n v="1129.1600000000001"/>
    <n v="33.72"/>
    <x v="3"/>
    <n v="5"/>
    <x v="0"/>
    <x v="0"/>
    <n v="7"/>
  </r>
  <r>
    <s v="ORD-03462"/>
    <d v="2024-09-02T00:00:00"/>
    <s v="CUST54484"/>
    <x v="40"/>
    <n v="24"/>
    <x v="3"/>
    <x v="1"/>
    <x v="1"/>
    <x v="3"/>
    <x v="1"/>
    <s v="Chair"/>
    <n v="8"/>
    <n v="6926.63"/>
    <x v="33"/>
    <n v="48142.68"/>
    <n v="9087.93"/>
    <n v="44.2"/>
    <x v="5"/>
    <n v="5"/>
    <x v="0"/>
    <x v="0"/>
    <n v="6"/>
  </r>
  <r>
    <s v="ORD-01764"/>
    <d v="2022-02-19T00:00:00"/>
    <s v="CUST85243"/>
    <x v="110"/>
    <n v="34"/>
    <x v="0"/>
    <x v="0"/>
    <x v="2"/>
    <x v="9"/>
    <x v="5"/>
    <s v="Tea"/>
    <n v="10"/>
    <n v="459.8"/>
    <x v="18"/>
    <n v="3495.22"/>
    <n v="314"/>
    <n v="45.01"/>
    <x v="4"/>
    <n v="1"/>
    <x v="0"/>
    <x v="0"/>
    <n v="6"/>
  </r>
  <r>
    <s v="ORD-02436"/>
    <d v="2022-11-22T00:00:00"/>
    <s v="CUST21059"/>
    <x v="115"/>
    <n v="31"/>
    <x v="0"/>
    <x v="1"/>
    <x v="4"/>
    <x v="7"/>
    <x v="5"/>
    <s v="Flour"/>
    <n v="9"/>
    <n v="51.92"/>
    <x v="35"/>
    <n v="278.98"/>
    <n v="26.11"/>
    <n v="58.05"/>
    <x v="0"/>
    <n v="2"/>
    <x v="0"/>
    <x v="0"/>
    <n v="8"/>
  </r>
  <r>
    <s v="ORD-01313"/>
    <d v="2021-08-13T00:00:00"/>
    <s v="CUST70748"/>
    <x v="254"/>
    <n v="46"/>
    <x v="1"/>
    <x v="0"/>
    <x v="1"/>
    <x v="3"/>
    <x v="6"/>
    <s v="Laptop"/>
    <n v="10"/>
    <n v="25085.8"/>
    <x v="15"/>
    <n v="207921.9"/>
    <n v="24463.52"/>
    <n v="67.239999999999995"/>
    <x v="4"/>
    <n v="3"/>
    <x v="0"/>
    <x v="4"/>
    <n v="4"/>
  </r>
  <r>
    <s v="ORD-03681"/>
    <d v="2024-05-17T00:00:00"/>
    <s v="CUST54460"/>
    <x v="204"/>
    <n v="35"/>
    <x v="0"/>
    <x v="1"/>
    <x v="4"/>
    <x v="7"/>
    <x v="3"/>
    <s v="Jacket"/>
    <n v="2"/>
    <n v="2532.85"/>
    <x v="28"/>
    <n v="6919.55"/>
    <n v="2112.7800000000002"/>
    <n v="67.930000000000007"/>
    <x v="4"/>
    <n v="5"/>
    <x v="0"/>
    <x v="0"/>
    <n v="2"/>
  </r>
  <r>
    <s v="ORD-03671"/>
    <d v="2024-05-14T00:00:00"/>
    <s v="CUST25446"/>
    <x v="112"/>
    <n v="40"/>
    <x v="1"/>
    <x v="1"/>
    <x v="2"/>
    <x v="4"/>
    <x v="0"/>
    <s v="Perfume"/>
    <n v="9"/>
    <n v="1744.29"/>
    <x v="20"/>
    <n v="21619.82"/>
    <n v="8141.08"/>
    <n v="64.2"/>
    <x v="0"/>
    <n v="5"/>
    <x v="0"/>
    <x v="2"/>
    <n v="4"/>
  </r>
  <r>
    <s v="ORD-02564"/>
    <d v="2023-01-16T00:00:00"/>
    <s v="CUST30884"/>
    <x v="57"/>
    <n v="34"/>
    <x v="0"/>
    <x v="1"/>
    <x v="3"/>
    <x v="5"/>
    <x v="3"/>
    <s v="Dress"/>
    <n v="1"/>
    <n v="3320.34"/>
    <x v="19"/>
    <n v="2592.3000000000002"/>
    <n v="1110.93"/>
    <n v="91.86"/>
    <x v="3"/>
    <n v="4"/>
    <x v="0"/>
    <x v="0"/>
    <n v="6"/>
  </r>
  <r>
    <s v="ORD-02405"/>
    <d v="2022-11-05T00:00:00"/>
    <s v="CUST00698"/>
    <x v="80"/>
    <n v="46"/>
    <x v="1"/>
    <x v="2"/>
    <x v="1"/>
    <x v="6"/>
    <x v="0"/>
    <s v="Face Cream"/>
    <n v="10"/>
    <n v="1470.73"/>
    <x v="11"/>
    <n v="9648.06"/>
    <n v="5328.61"/>
    <n v="34.42"/>
    <x v="4"/>
    <n v="5"/>
    <x v="0"/>
    <x v="0"/>
    <n v="8"/>
  </r>
  <r>
    <s v="ORD-00391"/>
    <d v="2020-06-15T00:00:00"/>
    <s v="CUST29649"/>
    <x v="15"/>
    <n v="42"/>
    <x v="1"/>
    <x v="2"/>
    <x v="1"/>
    <x v="3"/>
    <x v="4"/>
    <s v="Yoga Mat"/>
    <n v="3"/>
    <n v="13341.26"/>
    <x v="7"/>
    <n v="48831.45"/>
    <n v="11505.37"/>
    <n v="59.51"/>
    <x v="5"/>
    <n v="5"/>
    <x v="0"/>
    <x v="0"/>
    <n v="1"/>
  </r>
  <r>
    <s v="ORD-03835"/>
    <d v="2024-07-25T00:00:00"/>
    <s v="CUST19222"/>
    <x v="30"/>
    <n v="59"/>
    <x v="2"/>
    <x v="1"/>
    <x v="1"/>
    <x v="11"/>
    <x v="0"/>
    <s v="Sunscreen"/>
    <n v="4"/>
    <n v="575.05999999999995"/>
    <x v="4"/>
    <n v="3788.19"/>
    <n v="1608.33"/>
    <n v="74.42"/>
    <x v="0"/>
    <n v="2"/>
    <x v="0"/>
    <x v="2"/>
    <n v="7"/>
  </r>
  <r>
    <s v="ORD-00007"/>
    <d v="2020-01-02T00:00:00"/>
    <s v="CUST36722"/>
    <x v="304"/>
    <n v="40"/>
    <x v="1"/>
    <x v="0"/>
    <x v="0"/>
    <x v="0"/>
    <x v="3"/>
    <s v="Saree"/>
    <n v="8"/>
    <n v="3870.61"/>
    <x v="29"/>
    <n v="21825.83"/>
    <n v="9142"/>
    <n v="72.61"/>
    <x v="5"/>
    <n v="1"/>
    <x v="1"/>
    <x v="1"/>
    <n v="2"/>
  </r>
  <r>
    <s v="ORD-02298"/>
    <d v="2022-09-24T00:00:00"/>
    <s v="CUST36266"/>
    <x v="35"/>
    <n v="31"/>
    <x v="0"/>
    <x v="1"/>
    <x v="3"/>
    <x v="12"/>
    <x v="4"/>
    <s v="Yoga Mat"/>
    <n v="10"/>
    <n v="4545.91"/>
    <x v="5"/>
    <n v="55303.33"/>
    <n v="13195.84"/>
    <n v="71.77"/>
    <x v="1"/>
    <n v="3"/>
    <x v="0"/>
    <x v="0"/>
    <n v="9"/>
  </r>
  <r>
    <s v="ORD-03553"/>
    <d v="2024-03-23T00:00:00"/>
    <s v="CUST14583"/>
    <x v="395"/>
    <n v="38"/>
    <x v="1"/>
    <x v="2"/>
    <x v="0"/>
    <x v="0"/>
    <x v="6"/>
    <s v="Tablet"/>
    <n v="2"/>
    <n v="50847.56"/>
    <x v="10"/>
    <n v="99290.01"/>
    <n v="11766.04"/>
    <n v="62.35"/>
    <x v="0"/>
    <n v="5"/>
    <x v="0"/>
    <x v="0"/>
    <n v="3"/>
  </r>
  <r>
    <s v="ORD-03950"/>
    <d v="2024-08-31T00:00:00"/>
    <s v="CUST58511"/>
    <x v="345"/>
    <n v="59"/>
    <x v="2"/>
    <x v="2"/>
    <x v="1"/>
    <x v="11"/>
    <x v="1"/>
    <s v="Wardrobe"/>
    <n v="10"/>
    <n v="4875.22"/>
    <x v="40"/>
    <n v="49256.25"/>
    <n v="15655.19"/>
    <n v="54.49"/>
    <x v="4"/>
    <n v="1"/>
    <x v="0"/>
    <x v="0"/>
    <n v="10"/>
  </r>
  <r>
    <s v="ORD-02353"/>
    <d v="2022-10-13T00:00:00"/>
    <s v="CUST90384"/>
    <x v="161"/>
    <n v="36"/>
    <x v="1"/>
    <x v="2"/>
    <x v="1"/>
    <x v="10"/>
    <x v="1"/>
    <s v="Wardrobe"/>
    <n v="2"/>
    <n v="24650.720000000001"/>
    <x v="37"/>
    <n v="33579.519999999997"/>
    <n v="8642.75"/>
    <n v="35.1"/>
    <x v="0"/>
    <n v="5"/>
    <x v="0"/>
    <x v="0"/>
    <n v="2"/>
  </r>
  <r>
    <s v="ORD-00185"/>
    <d v="2020-03-23T00:00:00"/>
    <s v="CUST40829"/>
    <x v="12"/>
    <n v="37"/>
    <x v="1"/>
    <x v="2"/>
    <x v="1"/>
    <x v="10"/>
    <x v="4"/>
    <s v="Football"/>
    <n v="8"/>
    <n v="7246.65"/>
    <x v="14"/>
    <n v="43301.82"/>
    <n v="7525.66"/>
    <n v="68.12"/>
    <x v="5"/>
    <n v="2"/>
    <x v="1"/>
    <x v="1"/>
    <n v="1"/>
  </r>
  <r>
    <s v="ORD-02549"/>
    <d v="2023-01-12T00:00:00"/>
    <s v="CUST27551"/>
    <x v="310"/>
    <n v="48"/>
    <x v="1"/>
    <x v="2"/>
    <x v="4"/>
    <x v="7"/>
    <x v="4"/>
    <s v="Cycle"/>
    <n v="4"/>
    <n v="13669.75"/>
    <x v="2"/>
    <n v="43819.54"/>
    <n v="8792.51"/>
    <n v="72.709999999999994"/>
    <x v="5"/>
    <n v="3"/>
    <x v="1"/>
    <x v="1"/>
    <n v="10"/>
  </r>
  <r>
    <s v="ORD-02351"/>
    <d v="2022-10-13T00:00:00"/>
    <s v="CUST84589"/>
    <x v="197"/>
    <n v="55"/>
    <x v="2"/>
    <x v="1"/>
    <x v="1"/>
    <x v="3"/>
    <x v="6"/>
    <s v="Tablet"/>
    <n v="10"/>
    <n v="13324.53"/>
    <x v="29"/>
    <n v="123315.72"/>
    <n v="14023.48"/>
    <n v="55.67"/>
    <x v="4"/>
    <n v="5"/>
    <x v="0"/>
    <x v="0"/>
    <n v="4"/>
  </r>
  <r>
    <s v="ORD-01202"/>
    <d v="2021-06-26T00:00:00"/>
    <s v="CUST40333"/>
    <x v="84"/>
    <n v="39"/>
    <x v="1"/>
    <x v="2"/>
    <x v="3"/>
    <x v="5"/>
    <x v="6"/>
    <s v="Smartwatch"/>
    <n v="9"/>
    <n v="72194.399999999994"/>
    <x v="7"/>
    <n v="787787.19"/>
    <n v="113907.22"/>
    <n v="83.94"/>
    <x v="3"/>
    <n v="3"/>
    <x v="0"/>
    <x v="0"/>
    <n v="5"/>
  </r>
  <r>
    <s v="ORD-03380"/>
    <d v="2024-01-02T00:00:00"/>
    <s v="CUST31806"/>
    <x v="10"/>
    <n v="35"/>
    <x v="0"/>
    <x v="1"/>
    <x v="3"/>
    <x v="16"/>
    <x v="6"/>
    <s v="Smartphone"/>
    <n v="2"/>
    <n v="12932.65"/>
    <x v="39"/>
    <n v="23560.5"/>
    <n v="2257.37"/>
    <n v="92.17"/>
    <x v="1"/>
    <n v="3"/>
    <x v="1"/>
    <x v="1"/>
    <n v="2"/>
  </r>
  <r>
    <s v="ORD-00274"/>
    <d v="2020-05-01T00:00:00"/>
    <s v="CUST60735"/>
    <x v="399"/>
    <n v="35"/>
    <x v="0"/>
    <x v="0"/>
    <x v="0"/>
    <x v="1"/>
    <x v="3"/>
    <s v="Kurta"/>
    <n v="4"/>
    <n v="729.42"/>
    <x v="16"/>
    <n v="3601.48"/>
    <n v="1162.92"/>
    <n v="76.61"/>
    <x v="1"/>
    <n v="4"/>
    <x v="0"/>
    <x v="0"/>
    <n v="3"/>
  </r>
  <r>
    <s v="ORD-01689"/>
    <d v="2022-01-23T00:00:00"/>
    <s v="CUST51141"/>
    <x v="27"/>
    <n v="28"/>
    <x v="0"/>
    <x v="2"/>
    <x v="0"/>
    <x v="0"/>
    <x v="1"/>
    <s v="Wardrobe"/>
    <n v="4"/>
    <n v="9575.92"/>
    <x v="19"/>
    <n v="30650.77"/>
    <n v="8465.15"/>
    <n v="71.900000000000006"/>
    <x v="4"/>
    <n v="1"/>
    <x v="0"/>
    <x v="0"/>
    <n v="5"/>
  </r>
  <r>
    <s v="ORD-01424"/>
    <d v="2021-10-03T00:00:00"/>
    <s v="CUST12417"/>
    <x v="322"/>
    <n v="54"/>
    <x v="2"/>
    <x v="1"/>
    <x v="1"/>
    <x v="3"/>
    <x v="3"/>
    <s v="Dress"/>
    <n v="2"/>
    <n v="3491.48"/>
    <x v="31"/>
    <n v="4903.58"/>
    <n v="1061.0899999999999"/>
    <n v="82.05"/>
    <x v="0"/>
    <n v="2"/>
    <x v="0"/>
    <x v="0"/>
    <n v="9"/>
  </r>
  <r>
    <s v="ORD-02165"/>
    <d v="2022-08-06T00:00:00"/>
    <s v="CUST76665"/>
    <x v="29"/>
    <n v="41"/>
    <x v="1"/>
    <x v="1"/>
    <x v="4"/>
    <x v="8"/>
    <x v="3"/>
    <s v="T-Shirt"/>
    <n v="3"/>
    <n v="3296.83"/>
    <x v="11"/>
    <n v="11607.78"/>
    <n v="3249.52"/>
    <n v="63.52"/>
    <x v="2"/>
    <n v="3"/>
    <x v="0"/>
    <x v="4"/>
    <n v="8"/>
  </r>
  <r>
    <s v="ORD-01284"/>
    <d v="2021-08-01T00:00:00"/>
    <s v="CUST80616"/>
    <x v="222"/>
    <n v="50"/>
    <x v="1"/>
    <x v="1"/>
    <x v="4"/>
    <x v="17"/>
    <x v="4"/>
    <s v="Cricket Bat"/>
    <n v="9"/>
    <n v="10928.77"/>
    <x v="26"/>
    <n v="93398.29"/>
    <n v="13807.62"/>
    <n v="73.25"/>
    <x v="1"/>
    <n v="3"/>
    <x v="0"/>
    <x v="0"/>
    <n v="2"/>
  </r>
  <r>
    <s v="ORD-01768"/>
    <d v="2022-02-22T00:00:00"/>
    <s v="CUST56693"/>
    <x v="178"/>
    <n v="50"/>
    <x v="1"/>
    <x v="0"/>
    <x v="1"/>
    <x v="11"/>
    <x v="3"/>
    <s v="T-Shirt"/>
    <n v="7"/>
    <n v="3304.59"/>
    <x v="9"/>
    <n v="18587.240000000002"/>
    <n v="8409.65"/>
    <n v="54.71"/>
    <x v="0"/>
    <n v="2"/>
    <x v="0"/>
    <x v="0"/>
    <n v="9"/>
  </r>
  <r>
    <s v="ORD-02936"/>
    <d v="2023-06-28T00:00:00"/>
    <s v="CUST18941"/>
    <x v="206"/>
    <n v="30"/>
    <x v="0"/>
    <x v="2"/>
    <x v="4"/>
    <x v="18"/>
    <x v="5"/>
    <s v="Cooking Oil"/>
    <n v="9"/>
    <n v="452.13"/>
    <x v="15"/>
    <n v="4808.83"/>
    <n v="248.08"/>
    <n v="97.53"/>
    <x v="0"/>
    <n v="1"/>
    <x v="1"/>
    <x v="1"/>
    <n v="9"/>
  </r>
  <r>
    <s v="ORD-03817"/>
    <d v="2024-07-19T00:00:00"/>
    <s v="CUST73190"/>
    <x v="81"/>
    <n v="55"/>
    <x v="2"/>
    <x v="0"/>
    <x v="0"/>
    <x v="0"/>
    <x v="6"/>
    <s v="Tablet"/>
    <n v="3"/>
    <n v="56831.24"/>
    <x v="36"/>
    <n v="238477.33"/>
    <n v="35537.620000000003"/>
    <n v="65.069999999999993"/>
    <x v="5"/>
    <n v="1"/>
    <x v="0"/>
    <x v="0"/>
    <n v="6"/>
  </r>
  <r>
    <s v="ORD-02169"/>
    <d v="2022-08-09T00:00:00"/>
    <s v="CUST26086"/>
    <x v="131"/>
    <n v="45"/>
    <x v="1"/>
    <x v="0"/>
    <x v="0"/>
    <x v="2"/>
    <x v="3"/>
    <s v="Jeans"/>
    <n v="3"/>
    <n v="3376.07"/>
    <x v="16"/>
    <n v="13544.47"/>
    <n v="5495.51"/>
    <n v="69.599999999999994"/>
    <x v="1"/>
    <n v="5"/>
    <x v="0"/>
    <x v="0"/>
    <n v="3"/>
  </r>
  <r>
    <s v="ORD-02309"/>
    <d v="2022-09-30T00:00:00"/>
    <s v="CUST06929"/>
    <x v="101"/>
    <n v="24"/>
    <x v="3"/>
    <x v="1"/>
    <x v="1"/>
    <x v="6"/>
    <x v="1"/>
    <s v="Desk"/>
    <n v="3"/>
    <n v="34037.07"/>
    <x v="39"/>
    <n v="115980.74"/>
    <n v="26885.75"/>
    <n v="49.16"/>
    <x v="4"/>
    <n v="2"/>
    <x v="0"/>
    <x v="0"/>
    <n v="8"/>
  </r>
  <r>
    <s v="ORD-01056"/>
    <d v="2021-04-22T00:00:00"/>
    <s v="CUST25647"/>
    <x v="70"/>
    <n v="30"/>
    <x v="0"/>
    <x v="1"/>
    <x v="2"/>
    <x v="9"/>
    <x v="2"/>
    <s v="Textbook"/>
    <n v="6"/>
    <n v="1073.03"/>
    <x v="26"/>
    <n v="5286.85"/>
    <n v="1947.67"/>
    <n v="45.82"/>
    <x v="3"/>
    <n v="3"/>
    <x v="1"/>
    <x v="1"/>
    <n v="3"/>
  </r>
  <r>
    <s v="ORD-00981"/>
    <d v="2021-03-22T00:00:00"/>
    <s v="CUST13256"/>
    <x v="129"/>
    <n v="30"/>
    <x v="0"/>
    <x v="0"/>
    <x v="1"/>
    <x v="11"/>
    <x v="4"/>
    <s v="Cricket Bat"/>
    <n v="1"/>
    <n v="12561.13"/>
    <x v="19"/>
    <n v="10989.14"/>
    <n v="2498.7800000000002"/>
    <n v="68.19"/>
    <x v="0"/>
    <n v="3"/>
    <x v="0"/>
    <x v="0"/>
    <n v="7"/>
  </r>
  <r>
    <s v="ORD-03778"/>
    <d v="2024-07-02T00:00:00"/>
    <s v="CUST84717"/>
    <x v="190"/>
    <n v="25"/>
    <x v="3"/>
    <x v="1"/>
    <x v="4"/>
    <x v="17"/>
    <x v="1"/>
    <s v="Sofa"/>
    <n v="4"/>
    <n v="28275.08"/>
    <x v="27"/>
    <n v="147352.35"/>
    <n v="53042.720000000001"/>
    <n v="97.32"/>
    <x v="2"/>
    <n v="2"/>
    <x v="0"/>
    <x v="0"/>
    <n v="2"/>
  </r>
  <r>
    <s v="ORD-04186"/>
    <d v="2024-12-25T00:00:00"/>
    <s v="CUST56795"/>
    <x v="158"/>
    <n v="26"/>
    <x v="0"/>
    <x v="1"/>
    <x v="2"/>
    <x v="4"/>
    <x v="4"/>
    <s v="Tennis Racket"/>
    <n v="1"/>
    <n v="5533.14"/>
    <x v="2"/>
    <n v="4162.6899999999996"/>
    <n v="628.33000000000004"/>
    <n v="62.44"/>
    <x v="1"/>
    <n v="4"/>
    <x v="0"/>
    <x v="2"/>
    <n v="6"/>
  </r>
  <r>
    <s v="ORD-02967"/>
    <d v="2023-07-08T00:00:00"/>
    <s v="CUST52334"/>
    <x v="299"/>
    <n v="33"/>
    <x v="0"/>
    <x v="0"/>
    <x v="4"/>
    <x v="17"/>
    <x v="6"/>
    <s v="Camera"/>
    <n v="2"/>
    <n v="56614.17"/>
    <x v="12"/>
    <n v="144440.74"/>
    <n v="23219.18"/>
    <n v="57.08"/>
    <x v="3"/>
    <n v="1"/>
    <x v="0"/>
    <x v="2"/>
    <n v="10"/>
  </r>
  <r>
    <s v="ORD-02790"/>
    <d v="2023-04-22T00:00:00"/>
    <s v="CUST65266"/>
    <x v="339"/>
    <n v="54"/>
    <x v="2"/>
    <x v="2"/>
    <x v="0"/>
    <x v="0"/>
    <x v="3"/>
    <s v="T-Shirt"/>
    <n v="8"/>
    <n v="567.16999999999996"/>
    <x v="0"/>
    <n v="6261.36"/>
    <n v="1397.16"/>
    <n v="86.75"/>
    <x v="4"/>
    <n v="4"/>
    <x v="0"/>
    <x v="3"/>
    <n v="9"/>
  </r>
  <r>
    <s v="ORD-00721"/>
    <d v="2020-11-25T00:00:00"/>
    <s v="CUST21865"/>
    <x v="374"/>
    <n v="38"/>
    <x v="1"/>
    <x v="2"/>
    <x v="1"/>
    <x v="11"/>
    <x v="3"/>
    <s v="T-Shirt"/>
    <n v="3"/>
    <n v="388.2"/>
    <x v="38"/>
    <n v="726"/>
    <n v="291.01"/>
    <n v="45.27"/>
    <x v="4"/>
    <n v="4"/>
    <x v="0"/>
    <x v="0"/>
    <n v="10"/>
  </r>
  <r>
    <s v="ORD-00469"/>
    <d v="2020-07-26T00:00:00"/>
    <s v="CUST18174"/>
    <x v="260"/>
    <n v="36"/>
    <x v="1"/>
    <x v="0"/>
    <x v="2"/>
    <x v="4"/>
    <x v="5"/>
    <s v="Sugar"/>
    <n v="7"/>
    <n v="118.71"/>
    <x v="27"/>
    <n v="795.47"/>
    <n v="48.6"/>
    <n v="62.14"/>
    <x v="4"/>
    <n v="5"/>
    <x v="0"/>
    <x v="0"/>
    <n v="1"/>
  </r>
  <r>
    <s v="ORD-01859"/>
    <d v="2022-04-01T00:00:00"/>
    <s v="CUST93119"/>
    <x v="100"/>
    <n v="46"/>
    <x v="1"/>
    <x v="2"/>
    <x v="0"/>
    <x v="2"/>
    <x v="5"/>
    <s v="Cooking Oil"/>
    <n v="4"/>
    <n v="330.31"/>
    <x v="37"/>
    <n v="1343.96"/>
    <n v="143.62"/>
    <n v="54.53"/>
    <x v="4"/>
    <n v="2"/>
    <x v="0"/>
    <x v="0"/>
    <n v="9"/>
  </r>
  <r>
    <s v="ORD-02093"/>
    <d v="2022-07-09T00:00:00"/>
    <s v="CUST94639"/>
    <x v="367"/>
    <n v="33"/>
    <x v="0"/>
    <x v="0"/>
    <x v="1"/>
    <x v="6"/>
    <x v="5"/>
    <s v="Sugar"/>
    <n v="8"/>
    <n v="369.94"/>
    <x v="26"/>
    <n v="3428.74"/>
    <n v="224.86"/>
    <n v="71.66"/>
    <x v="1"/>
    <n v="2"/>
    <x v="0"/>
    <x v="0"/>
    <n v="5"/>
  </r>
  <r>
    <s v="ORD-01778"/>
    <d v="2022-02-28T00:00:00"/>
    <s v="CUST75473"/>
    <x v="87"/>
    <n v="41"/>
    <x v="1"/>
    <x v="1"/>
    <x v="3"/>
    <x v="5"/>
    <x v="2"/>
    <s v="Textbook"/>
    <n v="8"/>
    <n v="1067.22"/>
    <x v="26"/>
    <n v="5458.98"/>
    <n v="2138.94"/>
    <n v="104.44"/>
    <x v="0"/>
    <n v="4"/>
    <x v="0"/>
    <x v="2"/>
    <n v="4"/>
  </r>
  <r>
    <s v="ORD-03046"/>
    <d v="2023-08-10T00:00:00"/>
    <s v="CUST98613"/>
    <x v="76"/>
    <n v="23"/>
    <x v="3"/>
    <x v="0"/>
    <x v="3"/>
    <x v="12"/>
    <x v="1"/>
    <s v="Desk"/>
    <n v="7"/>
    <n v="15156.04"/>
    <x v="7"/>
    <n v="114775.93"/>
    <n v="33669.82"/>
    <n v="85.32"/>
    <x v="0"/>
    <n v="5"/>
    <x v="0"/>
    <x v="0"/>
    <n v="5"/>
  </r>
  <r>
    <s v="ORD-00127"/>
    <d v="2020-02-18T00:00:00"/>
    <s v="CUST88548"/>
    <x v="105"/>
    <n v="30"/>
    <x v="0"/>
    <x v="1"/>
    <x v="3"/>
    <x v="12"/>
    <x v="0"/>
    <s v="Hair Oil"/>
    <n v="3"/>
    <n v="1886.27"/>
    <x v="30"/>
    <n v="3436.09"/>
    <n v="1565.04"/>
    <n v="95.79"/>
    <x v="5"/>
    <n v="2"/>
    <x v="0"/>
    <x v="0"/>
    <n v="3"/>
  </r>
  <r>
    <s v="ORD-01987"/>
    <d v="2022-05-28T00:00:00"/>
    <s v="CUST54169"/>
    <x v="70"/>
    <n v="23"/>
    <x v="3"/>
    <x v="0"/>
    <x v="0"/>
    <x v="0"/>
    <x v="6"/>
    <s v="Headphones"/>
    <n v="6"/>
    <n v="5871.14"/>
    <x v="20"/>
    <n v="43719.56"/>
    <n v="4755.5"/>
    <n v="68.010000000000005"/>
    <x v="0"/>
    <n v="2"/>
    <x v="0"/>
    <x v="0"/>
    <n v="5"/>
  </r>
  <r>
    <s v="ORD-00652"/>
    <d v="2020-10-19T00:00:00"/>
    <s v="CUST29202"/>
    <x v="170"/>
    <n v="41"/>
    <x v="1"/>
    <x v="0"/>
    <x v="2"/>
    <x v="9"/>
    <x v="3"/>
    <s v="Kurta"/>
    <n v="8"/>
    <n v="1138.0899999999999"/>
    <x v="21"/>
    <n v="5187.76"/>
    <n v="1423.15"/>
    <n v="52.7"/>
    <x v="5"/>
    <n v="4"/>
    <x v="0"/>
    <x v="0"/>
    <n v="9"/>
  </r>
  <r>
    <s v="ORD-01405"/>
    <d v="2021-09-25T00:00:00"/>
    <s v="CUST15111"/>
    <x v="175"/>
    <n v="43"/>
    <x v="1"/>
    <x v="1"/>
    <x v="1"/>
    <x v="3"/>
    <x v="3"/>
    <s v="Dress"/>
    <n v="10"/>
    <n v="3186.14"/>
    <x v="12"/>
    <n v="22148.240000000002"/>
    <n v="6072.78"/>
    <n v="50.45"/>
    <x v="4"/>
    <n v="1"/>
    <x v="0"/>
    <x v="2"/>
    <n v="9"/>
  </r>
  <r>
    <s v="ORD-03407"/>
    <d v="2024-01-16T00:00:00"/>
    <s v="CUST97699"/>
    <x v="53"/>
    <n v="40"/>
    <x v="1"/>
    <x v="2"/>
    <x v="0"/>
    <x v="2"/>
    <x v="5"/>
    <s v="Cooking Oil"/>
    <n v="7"/>
    <n v="173.44"/>
    <x v="28"/>
    <n v="1132.82"/>
    <n v="55.67"/>
    <n v="58.19"/>
    <x v="1"/>
    <n v="3"/>
    <x v="0"/>
    <x v="0"/>
    <n v="9"/>
  </r>
  <r>
    <s v="ORD-03850"/>
    <d v="2024-07-29T00:00:00"/>
    <s v="CUST65624"/>
    <x v="279"/>
    <n v="38"/>
    <x v="1"/>
    <x v="2"/>
    <x v="3"/>
    <x v="5"/>
    <x v="4"/>
    <s v="Yoga Mat"/>
    <n v="3"/>
    <n v="6269.53"/>
    <x v="27"/>
    <n v="23681.14"/>
    <n v="4768.1099999999997"/>
    <n v="85.33"/>
    <x v="5"/>
    <n v="4"/>
    <x v="0"/>
    <x v="0"/>
    <n v="9"/>
  </r>
  <r>
    <s v="ORD-03865"/>
    <d v="2024-08-05T00:00:00"/>
    <s v="CUST15771"/>
    <x v="199"/>
    <n v="30"/>
    <x v="0"/>
    <x v="0"/>
    <x v="2"/>
    <x v="4"/>
    <x v="3"/>
    <s v="Jacket"/>
    <n v="8"/>
    <n v="621.6"/>
    <x v="22"/>
    <n v="4928.83"/>
    <n v="1949.33"/>
    <n v="65.22"/>
    <x v="0"/>
    <n v="5"/>
    <x v="0"/>
    <x v="0"/>
    <n v="3"/>
  </r>
  <r>
    <s v="ORD-03810"/>
    <d v="2024-07-14T00:00:00"/>
    <s v="CUST08609"/>
    <x v="236"/>
    <n v="23"/>
    <x v="3"/>
    <x v="2"/>
    <x v="0"/>
    <x v="0"/>
    <x v="6"/>
    <s v="Smartphone"/>
    <n v="10"/>
    <n v="57591.46"/>
    <x v="19"/>
    <n v="797146.87"/>
    <n v="88464.11"/>
    <n v="76.680000000000007"/>
    <x v="1"/>
    <n v="2"/>
    <x v="1"/>
    <x v="1"/>
    <n v="6"/>
  </r>
  <r>
    <s v="ORD-01098"/>
    <d v="2021-05-11T00:00:00"/>
    <s v="CUST73609"/>
    <x v="126"/>
    <n v="38"/>
    <x v="1"/>
    <x v="1"/>
    <x v="1"/>
    <x v="3"/>
    <x v="6"/>
    <s v="Tablet"/>
    <n v="3"/>
    <n v="54861.77"/>
    <x v="15"/>
    <n v="147965.94"/>
    <n v="19461.73"/>
    <n v="30.94"/>
    <x v="2"/>
    <n v="5"/>
    <x v="0"/>
    <x v="2"/>
    <n v="2"/>
  </r>
  <r>
    <s v="ORD-02186"/>
    <d v="2022-08-14T00:00:00"/>
    <s v="CUST37457"/>
    <x v="245"/>
    <n v="35"/>
    <x v="0"/>
    <x v="1"/>
    <x v="1"/>
    <x v="6"/>
    <x v="0"/>
    <s v="Sunscreen"/>
    <n v="1"/>
    <n v="2306.84"/>
    <x v="16"/>
    <n v="3142.24"/>
    <n v="1403.38"/>
    <n v="57.67"/>
    <x v="3"/>
    <n v="5"/>
    <x v="0"/>
    <x v="0"/>
    <n v="10"/>
  </r>
  <r>
    <s v="ORD-02455"/>
    <d v="2022-11-30T00:00:00"/>
    <s v="CUST78730"/>
    <x v="46"/>
    <n v="30"/>
    <x v="0"/>
    <x v="0"/>
    <x v="2"/>
    <x v="9"/>
    <x v="0"/>
    <s v="Perfume"/>
    <n v="9"/>
    <n v="489.2"/>
    <x v="38"/>
    <n v="3465.11"/>
    <n v="1799.02"/>
    <n v="53.71"/>
    <x v="1"/>
    <n v="5"/>
    <x v="0"/>
    <x v="0"/>
    <n v="1"/>
  </r>
  <r>
    <s v="ORD-01364"/>
    <d v="2021-09-05T00:00:00"/>
    <s v="CUST64778"/>
    <x v="179"/>
    <n v="26"/>
    <x v="0"/>
    <x v="2"/>
    <x v="2"/>
    <x v="9"/>
    <x v="5"/>
    <s v="Dal (1kg)"/>
    <n v="1"/>
    <n v="110.62"/>
    <x v="25"/>
    <n v="75.53"/>
    <n v="6.99"/>
    <n v="52.75"/>
    <x v="1"/>
    <n v="3"/>
    <x v="1"/>
    <x v="1"/>
    <n v="9"/>
  </r>
  <r>
    <s v="ORD-00694"/>
    <d v="2020-11-10T00:00:00"/>
    <s v="CUST85469"/>
    <x v="349"/>
    <n v="40"/>
    <x v="1"/>
    <x v="1"/>
    <x v="1"/>
    <x v="3"/>
    <x v="4"/>
    <s v="Dumbbells"/>
    <n v="3"/>
    <n v="1501.94"/>
    <x v="39"/>
    <n v="3166.64"/>
    <n v="579.91999999999996"/>
    <n v="43.07"/>
    <x v="5"/>
    <n v="4"/>
    <x v="0"/>
    <x v="0"/>
    <n v="5"/>
  </r>
  <r>
    <s v="ORD-03055"/>
    <d v="2023-08-14T00:00:00"/>
    <s v="CUST44516"/>
    <x v="378"/>
    <n v="30"/>
    <x v="0"/>
    <x v="0"/>
    <x v="3"/>
    <x v="12"/>
    <x v="5"/>
    <s v="Rice (5kg)"/>
    <n v="1"/>
    <n v="228.52"/>
    <x v="32"/>
    <n v="307.76"/>
    <n v="24.8"/>
    <n v="61.3"/>
    <x v="2"/>
    <n v="1"/>
    <x v="0"/>
    <x v="0"/>
    <n v="6"/>
  </r>
  <r>
    <s v="ORD-00043"/>
    <d v="2020-01-17T00:00:00"/>
    <s v="CUST34094"/>
    <x v="345"/>
    <n v="34"/>
    <x v="0"/>
    <x v="1"/>
    <x v="3"/>
    <x v="12"/>
    <x v="1"/>
    <s v="Chair"/>
    <n v="9"/>
    <n v="20878.86"/>
    <x v="24"/>
    <n v="146912.47"/>
    <n v="46428.4"/>
    <n v="74.599999999999994"/>
    <x v="3"/>
    <n v="2"/>
    <x v="0"/>
    <x v="2"/>
    <n v="4"/>
  </r>
  <r>
    <s v="ORD-03051"/>
    <d v="2023-08-12T00:00:00"/>
    <s v="CUST77025"/>
    <x v="281"/>
    <n v="18"/>
    <x v="3"/>
    <x v="2"/>
    <x v="0"/>
    <x v="0"/>
    <x v="4"/>
    <s v="Football"/>
    <n v="9"/>
    <n v="10111.780000000001"/>
    <x v="18"/>
    <n v="83964.06"/>
    <n v="20724.63"/>
    <n v="28.35"/>
    <x v="3"/>
    <n v="4"/>
    <x v="1"/>
    <x v="1"/>
    <n v="1"/>
  </r>
  <r>
    <s v="ORD-00249"/>
    <d v="2020-04-20T00:00:00"/>
    <s v="CUST09291"/>
    <x v="373"/>
    <n v="46"/>
    <x v="1"/>
    <x v="2"/>
    <x v="0"/>
    <x v="0"/>
    <x v="2"/>
    <s v="Biography"/>
    <n v="6"/>
    <n v="877.7"/>
    <x v="14"/>
    <n v="3376.89"/>
    <n v="1107.53"/>
    <n v="53.93"/>
    <x v="3"/>
    <n v="4"/>
    <x v="0"/>
    <x v="2"/>
    <n v="1"/>
  </r>
  <r>
    <s v="ORD-01180"/>
    <d v="2021-06-14T00:00:00"/>
    <s v="CUST50029"/>
    <x v="184"/>
    <n v="47"/>
    <x v="1"/>
    <x v="0"/>
    <x v="3"/>
    <x v="16"/>
    <x v="4"/>
    <s v="Yoga Mat"/>
    <n v="10"/>
    <n v="11322.84"/>
    <x v="18"/>
    <n v="101284.81"/>
    <n v="16342.96"/>
    <n v="65.25"/>
    <x v="5"/>
    <n v="5"/>
    <x v="0"/>
    <x v="0"/>
    <n v="8"/>
  </r>
  <r>
    <s v="ORD-03451"/>
    <d v="2024-02-05T00:00:00"/>
    <s v="CUST41962"/>
    <x v="166"/>
    <n v="25"/>
    <x v="3"/>
    <x v="1"/>
    <x v="0"/>
    <x v="2"/>
    <x v="6"/>
    <s v="Headphones"/>
    <n v="6"/>
    <n v="29123.87"/>
    <x v="23"/>
    <n v="151990.82999999999"/>
    <n v="18816.93"/>
    <n v="65.28"/>
    <x v="3"/>
    <n v="1"/>
    <x v="1"/>
    <x v="1"/>
    <n v="3"/>
  </r>
  <r>
    <s v="ORD-02127"/>
    <d v="2022-07-24T00:00:00"/>
    <s v="CUST94881"/>
    <x v="47"/>
    <n v="24"/>
    <x v="3"/>
    <x v="2"/>
    <x v="4"/>
    <x v="7"/>
    <x v="2"/>
    <s v="Self-Help Book"/>
    <n v="5"/>
    <n v="1265.3599999999999"/>
    <x v="13"/>
    <n v="8924.6299999999992"/>
    <n v="3374.31"/>
    <n v="72.97"/>
    <x v="2"/>
    <n v="2"/>
    <x v="0"/>
    <x v="0"/>
    <n v="5"/>
  </r>
  <r>
    <s v="ORD-01450"/>
    <d v="2021-10-18T00:00:00"/>
    <s v="CUST04445"/>
    <x v="369"/>
    <n v="55"/>
    <x v="2"/>
    <x v="1"/>
    <x v="2"/>
    <x v="4"/>
    <x v="0"/>
    <s v="Shampoo"/>
    <n v="8"/>
    <n v="2387.85"/>
    <x v="13"/>
    <n v="16986.77"/>
    <n v="9892.56"/>
    <n v="51.89"/>
    <x v="2"/>
    <n v="4"/>
    <x v="0"/>
    <x v="2"/>
    <n v="1"/>
  </r>
  <r>
    <s v="ORD-03628"/>
    <d v="2024-04-26T00:00:00"/>
    <s v="CUST29710"/>
    <x v="99"/>
    <n v="30"/>
    <x v="0"/>
    <x v="0"/>
    <x v="2"/>
    <x v="13"/>
    <x v="1"/>
    <s v="Desk"/>
    <n v="7"/>
    <n v="3546.07"/>
    <x v="21"/>
    <n v="24765.72"/>
    <n v="7503.38"/>
    <n v="51.04"/>
    <x v="0"/>
    <n v="4"/>
    <x v="0"/>
    <x v="0"/>
    <n v="9"/>
  </r>
  <r>
    <s v="ORD-02448"/>
    <d v="2022-11-28T00:00:00"/>
    <s v="CUST48568"/>
    <x v="223"/>
    <n v="37"/>
    <x v="1"/>
    <x v="1"/>
    <x v="4"/>
    <x v="17"/>
    <x v="2"/>
    <s v="Biography"/>
    <n v="1"/>
    <n v="1315.36"/>
    <x v="1"/>
    <n v="962.09"/>
    <n v="365.81"/>
    <n v="67.33"/>
    <x v="2"/>
    <n v="4"/>
    <x v="1"/>
    <x v="1"/>
    <n v="2"/>
  </r>
  <r>
    <s v="ORD-00224"/>
    <d v="2020-04-07T00:00:00"/>
    <s v="CUST28783"/>
    <x v="398"/>
    <n v="25"/>
    <x v="3"/>
    <x v="2"/>
    <x v="0"/>
    <x v="2"/>
    <x v="5"/>
    <s v="Cooking Oil"/>
    <n v="2"/>
    <n v="62.44"/>
    <x v="25"/>
    <n v="90.55"/>
    <n v="8.3699999999999992"/>
    <n v="56.9"/>
    <x v="3"/>
    <n v="5"/>
    <x v="1"/>
    <x v="1"/>
    <n v="7"/>
  </r>
  <r>
    <s v="ORD-00665"/>
    <d v="2020-10-28T00:00:00"/>
    <s v="CUST66018"/>
    <x v="342"/>
    <n v="29"/>
    <x v="0"/>
    <x v="2"/>
    <x v="2"/>
    <x v="4"/>
    <x v="5"/>
    <s v="Cooking Oil"/>
    <n v="8"/>
    <n v="421.35"/>
    <x v="30"/>
    <n v="1863.59"/>
    <n v="143.5"/>
    <n v="62.73"/>
    <x v="4"/>
    <n v="1"/>
    <x v="1"/>
    <x v="1"/>
    <n v="7"/>
  </r>
  <r>
    <s v="ORD-01877"/>
    <d v="2022-04-07T00:00:00"/>
    <s v="CUST48958"/>
    <x v="174"/>
    <n v="39"/>
    <x v="1"/>
    <x v="0"/>
    <x v="4"/>
    <x v="7"/>
    <x v="2"/>
    <s v="Fiction Novel"/>
    <n v="1"/>
    <n v="801.96"/>
    <x v="8"/>
    <n v="1115.18"/>
    <n v="461.7"/>
    <n v="65.930000000000007"/>
    <x v="2"/>
    <n v="5"/>
    <x v="0"/>
    <x v="0"/>
    <n v="2"/>
  </r>
  <r>
    <s v="ORD-03189"/>
    <d v="2023-10-11T00:00:00"/>
    <s v="CUST05334"/>
    <x v="347"/>
    <n v="31"/>
    <x v="0"/>
    <x v="0"/>
    <x v="2"/>
    <x v="14"/>
    <x v="2"/>
    <s v="Biography"/>
    <n v="9"/>
    <n v="991.57"/>
    <x v="21"/>
    <n v="6481.41"/>
    <n v="2354.0500000000002"/>
    <n v="85.05"/>
    <x v="0"/>
    <n v="1"/>
    <x v="0"/>
    <x v="0"/>
    <n v="4"/>
  </r>
  <r>
    <s v="ORD-03345"/>
    <d v="2023-12-18T00:00:00"/>
    <s v="CUST37057"/>
    <x v="229"/>
    <n v="53"/>
    <x v="2"/>
    <x v="2"/>
    <x v="2"/>
    <x v="4"/>
    <x v="6"/>
    <s v="Headphones"/>
    <n v="1"/>
    <n v="23254.63"/>
    <x v="5"/>
    <n v="20122.419999999998"/>
    <n v="2165.17"/>
    <n v="35.380000000000003"/>
    <x v="0"/>
    <n v="5"/>
    <x v="0"/>
    <x v="0"/>
    <n v="7"/>
  </r>
  <r>
    <s v="ORD-03173"/>
    <d v="2023-10-04T00:00:00"/>
    <s v="CUST89046"/>
    <x v="105"/>
    <n v="44"/>
    <x v="1"/>
    <x v="2"/>
    <x v="0"/>
    <x v="19"/>
    <x v="4"/>
    <s v="Football"/>
    <n v="4"/>
    <n v="12573.57"/>
    <x v="22"/>
    <n v="32140.85"/>
    <n v="8492.7199999999993"/>
    <n v="47"/>
    <x v="3"/>
    <n v="3"/>
    <x v="0"/>
    <x v="0"/>
    <n v="4"/>
  </r>
  <r>
    <s v="ORD-02074"/>
    <d v="2022-07-04T00:00:00"/>
    <s v="CUST45847"/>
    <x v="380"/>
    <n v="53"/>
    <x v="2"/>
    <x v="1"/>
    <x v="3"/>
    <x v="12"/>
    <x v="5"/>
    <s v="Cooking Oil"/>
    <n v="1"/>
    <n v="365.27"/>
    <x v="31"/>
    <n v="496.1"/>
    <n v="27.14"/>
    <n v="70.650000000000006"/>
    <x v="5"/>
    <n v="4"/>
    <x v="0"/>
    <x v="2"/>
    <n v="2"/>
  </r>
  <r>
    <s v="ORD-02623"/>
    <d v="2023-02-12T00:00:00"/>
    <s v="CUST26102"/>
    <x v="268"/>
    <n v="24"/>
    <x v="3"/>
    <x v="2"/>
    <x v="0"/>
    <x v="1"/>
    <x v="5"/>
    <s v="Rice (5kg)"/>
    <n v="9"/>
    <n v="278.27"/>
    <x v="21"/>
    <n v="1742.13"/>
    <n v="147.02000000000001"/>
    <n v="66.790000000000006"/>
    <x v="4"/>
    <n v="4"/>
    <x v="1"/>
    <x v="1"/>
    <n v="3"/>
  </r>
  <r>
    <s v="ORD-01963"/>
    <d v="2022-05-16T00:00:00"/>
    <s v="CUST48981"/>
    <x v="241"/>
    <n v="34"/>
    <x v="0"/>
    <x v="2"/>
    <x v="0"/>
    <x v="2"/>
    <x v="3"/>
    <s v="Saree"/>
    <n v="6"/>
    <n v="3595.66"/>
    <x v="0"/>
    <n v="28857.83"/>
    <n v="14157.85"/>
    <n v="33.61"/>
    <x v="5"/>
    <n v="3"/>
    <x v="0"/>
    <x v="0"/>
    <n v="5"/>
  </r>
  <r>
    <s v="ORD-02140"/>
    <d v="2022-07-28T00:00:00"/>
    <s v="CUST21643"/>
    <x v="196"/>
    <n v="26"/>
    <x v="0"/>
    <x v="2"/>
    <x v="2"/>
    <x v="4"/>
    <x v="2"/>
    <s v="Fiction Novel"/>
    <n v="6"/>
    <n v="868.63"/>
    <x v="20"/>
    <n v="5798"/>
    <n v="3070"/>
    <n v="44.25"/>
    <x v="5"/>
    <n v="4"/>
    <x v="0"/>
    <x v="3"/>
    <n v="7"/>
  </r>
  <r>
    <s v="ORD-01017"/>
    <d v="2021-04-04T00:00:00"/>
    <s v="CUST14507"/>
    <x v="7"/>
    <n v="39"/>
    <x v="1"/>
    <x v="2"/>
    <x v="3"/>
    <x v="5"/>
    <x v="2"/>
    <s v="Self-Help Book"/>
    <n v="2"/>
    <n v="742.65"/>
    <x v="40"/>
    <n v="1191.31"/>
    <n v="548.78"/>
    <n v="71.69"/>
    <x v="4"/>
    <n v="4"/>
    <x v="0"/>
    <x v="0"/>
    <n v="7"/>
  </r>
  <r>
    <s v="ORD-02277"/>
    <d v="2022-09-16T00:00:00"/>
    <s v="CUST41635"/>
    <x v="119"/>
    <n v="22"/>
    <x v="3"/>
    <x v="2"/>
    <x v="2"/>
    <x v="4"/>
    <x v="6"/>
    <s v="Laptop"/>
    <n v="4"/>
    <n v="63972.59"/>
    <x v="12"/>
    <n v="208355.63"/>
    <n v="16914.36"/>
    <n v="37.35"/>
    <x v="4"/>
    <n v="1"/>
    <x v="0"/>
    <x v="2"/>
    <n v="7"/>
  </r>
  <r>
    <s v="ORD-02675"/>
    <d v="2023-03-02T00:00:00"/>
    <s v="CUST02795"/>
    <x v="358"/>
    <n v="36"/>
    <x v="1"/>
    <x v="1"/>
    <x v="4"/>
    <x v="7"/>
    <x v="5"/>
    <s v="Cooking Oil"/>
    <n v="9"/>
    <n v="57.61"/>
    <x v="10"/>
    <n v="449.35"/>
    <n v="35.51"/>
    <n v="88.76"/>
    <x v="1"/>
    <n v="1"/>
    <x v="0"/>
    <x v="0"/>
    <n v="4"/>
  </r>
  <r>
    <s v="ORD-02920"/>
    <d v="2023-06-16T00:00:00"/>
    <s v="CUST13418"/>
    <x v="42"/>
    <n v="26"/>
    <x v="0"/>
    <x v="1"/>
    <x v="4"/>
    <x v="8"/>
    <x v="2"/>
    <s v="Self-Help Book"/>
    <n v="6"/>
    <n v="254.61"/>
    <x v="34"/>
    <n v="1558.67"/>
    <n v="563.70000000000005"/>
    <n v="74.55"/>
    <x v="4"/>
    <n v="4"/>
    <x v="0"/>
    <x v="2"/>
    <n v="7"/>
  </r>
  <r>
    <s v="ORD-01726"/>
    <d v="2022-02-07T00:00:00"/>
    <s v="CUST66954"/>
    <x v="82"/>
    <n v="28"/>
    <x v="0"/>
    <x v="2"/>
    <x v="3"/>
    <x v="16"/>
    <x v="1"/>
    <s v="Bed Frame"/>
    <n v="3"/>
    <n v="22715.24"/>
    <x v="26"/>
    <n v="47070.16"/>
    <n v="14935.41"/>
    <n v="83.56"/>
    <x v="4"/>
    <n v="4"/>
    <x v="0"/>
    <x v="0"/>
    <n v="8"/>
  </r>
  <r>
    <s v="ORD-03498"/>
    <d v="2024-02-29T00:00:00"/>
    <s v="CUST03536"/>
    <x v="56"/>
    <n v="55"/>
    <x v="2"/>
    <x v="0"/>
    <x v="0"/>
    <x v="19"/>
    <x v="0"/>
    <s v="Face Cream"/>
    <n v="1"/>
    <n v="356.08"/>
    <x v="31"/>
    <n v="293.48"/>
    <n v="113.23"/>
    <n v="49.34"/>
    <x v="4"/>
    <n v="3"/>
    <x v="0"/>
    <x v="0"/>
    <n v="8"/>
  </r>
  <r>
    <s v="ORD-00588"/>
    <d v="2020-09-19T00:00:00"/>
    <s v="CUST24071"/>
    <x v="186"/>
    <n v="40"/>
    <x v="1"/>
    <x v="0"/>
    <x v="0"/>
    <x v="2"/>
    <x v="0"/>
    <s v="Shampoo"/>
    <n v="3"/>
    <n v="2164.7199999999998"/>
    <x v="35"/>
    <n v="3914.75"/>
    <n v="2019.53"/>
    <n v="42.56"/>
    <x v="2"/>
    <n v="1"/>
    <x v="0"/>
    <x v="3"/>
    <n v="7"/>
  </r>
  <r>
    <s v="ORD-00667"/>
    <d v="2020-10-29T00:00:00"/>
    <s v="CUST93755"/>
    <x v="194"/>
    <n v="47"/>
    <x v="1"/>
    <x v="2"/>
    <x v="4"/>
    <x v="8"/>
    <x v="0"/>
    <s v="Shampoo"/>
    <n v="8"/>
    <n v="155.44"/>
    <x v="37"/>
    <n v="882.09"/>
    <n v="419.32"/>
    <n v="56.84"/>
    <x v="0"/>
    <n v="4"/>
    <x v="0"/>
    <x v="0"/>
    <n v="7"/>
  </r>
  <r>
    <s v="ORD-02708"/>
    <d v="2023-03-20T00:00:00"/>
    <s v="CUST34073"/>
    <x v="275"/>
    <n v="27"/>
    <x v="0"/>
    <x v="0"/>
    <x v="4"/>
    <x v="18"/>
    <x v="2"/>
    <s v="Textbook"/>
    <n v="3"/>
    <n v="435.38"/>
    <x v="23"/>
    <n v="1015.42"/>
    <n v="374.01"/>
    <n v="46.53"/>
    <x v="5"/>
    <n v="1"/>
    <x v="0"/>
    <x v="0"/>
    <n v="10"/>
  </r>
  <r>
    <s v="ORD-01956"/>
    <d v="2022-05-15T00:00:00"/>
    <s v="CUST35857"/>
    <x v="299"/>
    <n v="48"/>
    <x v="1"/>
    <x v="1"/>
    <x v="3"/>
    <x v="16"/>
    <x v="0"/>
    <s v="Face Cream"/>
    <n v="2"/>
    <n v="722.06"/>
    <x v="33"/>
    <n v="2091.67"/>
    <n v="471.88"/>
    <n v="87.98"/>
    <x v="5"/>
    <n v="5"/>
    <x v="0"/>
    <x v="3"/>
    <n v="3"/>
  </r>
  <r>
    <s v="ORD-02113"/>
    <d v="2022-07-19T00:00:00"/>
    <s v="CUST19165"/>
    <x v="396"/>
    <n v="28"/>
    <x v="0"/>
    <x v="2"/>
    <x v="4"/>
    <x v="17"/>
    <x v="5"/>
    <s v="Cooking Oil"/>
    <n v="3"/>
    <n v="187.48"/>
    <x v="19"/>
    <n v="717.47"/>
    <n v="70.37"/>
    <n v="77.819999999999993"/>
    <x v="1"/>
    <n v="1"/>
    <x v="0"/>
    <x v="0"/>
    <n v="10"/>
  </r>
  <r>
    <s v="ORD-01255"/>
    <d v="2021-07-19T00:00:00"/>
    <s v="CUST86441"/>
    <x v="17"/>
    <n v="36"/>
    <x v="1"/>
    <x v="0"/>
    <x v="2"/>
    <x v="4"/>
    <x v="6"/>
    <s v="Smartphone"/>
    <n v="1"/>
    <n v="60275.27"/>
    <x v="29"/>
    <n v="74194.61"/>
    <n v="8194.66"/>
    <n v="64.8"/>
    <x v="5"/>
    <n v="4"/>
    <x v="0"/>
    <x v="4"/>
    <n v="1"/>
  </r>
  <r>
    <s v="ORD-03575"/>
    <d v="2024-04-02T00:00:00"/>
    <s v="CUST61605"/>
    <x v="237"/>
    <n v="46"/>
    <x v="1"/>
    <x v="2"/>
    <x v="3"/>
    <x v="12"/>
    <x v="4"/>
    <s v="Yoga Mat"/>
    <n v="7"/>
    <n v="13076.37"/>
    <x v="29"/>
    <n v="136693.89000000001"/>
    <n v="34072.35"/>
    <n v="89.88"/>
    <x v="3"/>
    <n v="5"/>
    <x v="0"/>
    <x v="0"/>
    <n v="8"/>
  </r>
  <r>
    <s v="ORD-03837"/>
    <d v="2024-07-26T00:00:00"/>
    <s v="CUST54910"/>
    <x v="241"/>
    <n v="29"/>
    <x v="0"/>
    <x v="2"/>
    <x v="3"/>
    <x v="5"/>
    <x v="4"/>
    <s v="Tennis Racket"/>
    <n v="1"/>
    <n v="14799.57"/>
    <x v="35"/>
    <n v="18615.04"/>
    <n v="2577.83"/>
    <n v="93.94"/>
    <x v="5"/>
    <n v="1"/>
    <x v="0"/>
    <x v="2"/>
    <n v="4"/>
  </r>
  <r>
    <s v="ORD-01498"/>
    <d v="2021-11-03T00:00:00"/>
    <s v="CUST49593"/>
    <x v="169"/>
    <n v="29"/>
    <x v="0"/>
    <x v="0"/>
    <x v="2"/>
    <x v="9"/>
    <x v="0"/>
    <s v="Hair Oil"/>
    <n v="1"/>
    <n v="1351.86"/>
    <x v="4"/>
    <n v="984.4"/>
    <n v="308.39"/>
    <n v="59.52"/>
    <x v="3"/>
    <n v="4"/>
    <x v="0"/>
    <x v="0"/>
    <n v="8"/>
  </r>
  <r>
    <s v="ORD-01344"/>
    <d v="2021-08-27T00:00:00"/>
    <s v="CUST50875"/>
    <x v="5"/>
    <n v="24"/>
    <x v="3"/>
    <x v="0"/>
    <x v="0"/>
    <x v="1"/>
    <x v="4"/>
    <s v="Tennis Racket"/>
    <n v="3"/>
    <n v="13785.98"/>
    <x v="29"/>
    <n v="45600.79"/>
    <n v="9994.7800000000007"/>
    <n v="77.7"/>
    <x v="2"/>
    <n v="5"/>
    <x v="0"/>
    <x v="0"/>
    <n v="8"/>
  </r>
  <r>
    <s v="ORD-02414"/>
    <d v="2022-11-09T00:00:00"/>
    <s v="CUST28757"/>
    <x v="220"/>
    <n v="43"/>
    <x v="1"/>
    <x v="1"/>
    <x v="1"/>
    <x v="3"/>
    <x v="2"/>
    <s v="Textbook"/>
    <n v="6"/>
    <n v="1444.95"/>
    <x v="36"/>
    <n v="6041.34"/>
    <n v="2352.1999999999998"/>
    <n v="58.8"/>
    <x v="4"/>
    <n v="3"/>
    <x v="0"/>
    <x v="0"/>
    <n v="4"/>
  </r>
  <r>
    <s v="ORD-00646"/>
    <d v="2020-10-15T00:00:00"/>
    <s v="CUST29116"/>
    <x v="89"/>
    <n v="30"/>
    <x v="0"/>
    <x v="0"/>
    <x v="3"/>
    <x v="12"/>
    <x v="4"/>
    <s v="Football"/>
    <n v="7"/>
    <n v="14669.86"/>
    <x v="13"/>
    <n v="88163.95"/>
    <n v="19639.12"/>
    <n v="61"/>
    <x v="1"/>
    <n v="5"/>
    <x v="0"/>
    <x v="0"/>
    <n v="2"/>
  </r>
  <r>
    <s v="ORD-00457"/>
    <d v="2020-07-20T00:00:00"/>
    <s v="CUST62741"/>
    <x v="70"/>
    <n v="39"/>
    <x v="1"/>
    <x v="0"/>
    <x v="0"/>
    <x v="19"/>
    <x v="2"/>
    <s v="Comic Book"/>
    <n v="6"/>
    <n v="214.61"/>
    <x v="39"/>
    <n v="1705.11"/>
    <n v="803.75"/>
    <n v="59.79"/>
    <x v="5"/>
    <n v="1"/>
    <x v="1"/>
    <x v="1"/>
    <n v="5"/>
  </r>
  <r>
    <s v="ORD-02034"/>
    <d v="2022-06-15T00:00:00"/>
    <s v="CUST52824"/>
    <x v="176"/>
    <n v="45"/>
    <x v="1"/>
    <x v="0"/>
    <x v="3"/>
    <x v="15"/>
    <x v="3"/>
    <s v="Kurta"/>
    <n v="3"/>
    <n v="3907.45"/>
    <x v="16"/>
    <n v="16325.84"/>
    <n v="7720.27"/>
    <n v="94.28"/>
    <x v="1"/>
    <n v="4"/>
    <x v="0"/>
    <x v="0"/>
    <n v="5"/>
  </r>
  <r>
    <s v="ORD-01319"/>
    <d v="2021-08-15T00:00:00"/>
    <s v="CUST97277"/>
    <x v="377"/>
    <n v="31"/>
    <x v="0"/>
    <x v="1"/>
    <x v="3"/>
    <x v="12"/>
    <x v="5"/>
    <s v="Sugar"/>
    <n v="1"/>
    <n v="446.2"/>
    <x v="9"/>
    <n v="424.33"/>
    <n v="36.33"/>
    <n v="85.34"/>
    <x v="2"/>
    <n v="4"/>
    <x v="0"/>
    <x v="0"/>
    <n v="7"/>
  </r>
  <r>
    <s v="ORD-03381"/>
    <d v="2024-01-02T00:00:00"/>
    <s v="CUST00337"/>
    <x v="375"/>
    <n v="44"/>
    <x v="1"/>
    <x v="1"/>
    <x v="4"/>
    <x v="8"/>
    <x v="4"/>
    <s v="Cycle"/>
    <n v="2"/>
    <n v="2101.38"/>
    <x v="6"/>
    <n v="2358.4299999999998"/>
    <n v="543.20000000000005"/>
    <n v="90.14"/>
    <x v="3"/>
    <n v="1"/>
    <x v="1"/>
    <x v="1"/>
    <n v="6"/>
  </r>
  <r>
    <s v="ORD-00813"/>
    <d v="2021-01-08T00:00:00"/>
    <s v="CUST99023"/>
    <x v="66"/>
    <n v="29"/>
    <x v="0"/>
    <x v="2"/>
    <x v="2"/>
    <x v="4"/>
    <x v="1"/>
    <s v="Bookshelf"/>
    <n v="3"/>
    <n v="6110.59"/>
    <x v="6"/>
    <n v="8446.52"/>
    <n v="2197.3000000000002"/>
    <n v="23.22"/>
    <x v="5"/>
    <n v="3"/>
    <x v="0"/>
    <x v="0"/>
    <n v="9"/>
  </r>
  <r>
    <s v="ORD-00309"/>
    <d v="2020-05-14T00:00:00"/>
    <s v="CUST17538"/>
    <x v="68"/>
    <n v="27"/>
    <x v="0"/>
    <x v="2"/>
    <x v="2"/>
    <x v="9"/>
    <x v="2"/>
    <s v="Textbook"/>
    <n v="1"/>
    <n v="255.93"/>
    <x v="6"/>
    <n v="191.35"/>
    <n v="73.83"/>
    <n v="46.7"/>
    <x v="2"/>
    <n v="5"/>
    <x v="0"/>
    <x v="2"/>
    <n v="10"/>
  </r>
  <r>
    <s v="ORD-03273"/>
    <d v="2023-11-15T00:00:00"/>
    <s v="CUST10941"/>
    <x v="273"/>
    <n v="38"/>
    <x v="1"/>
    <x v="2"/>
    <x v="2"/>
    <x v="9"/>
    <x v="1"/>
    <s v="Wardrobe"/>
    <n v="5"/>
    <n v="10929.41"/>
    <x v="38"/>
    <n v="46559.15"/>
    <n v="13560.07"/>
    <n v="34.1"/>
    <x v="4"/>
    <n v="4"/>
    <x v="0"/>
    <x v="2"/>
    <n v="10"/>
  </r>
  <r>
    <s v="ORD-04066"/>
    <d v="2024-10-28T00:00:00"/>
    <s v="CUST43387"/>
    <x v="63"/>
    <n v="19"/>
    <x v="3"/>
    <x v="2"/>
    <x v="3"/>
    <x v="12"/>
    <x v="0"/>
    <s v="Hair Oil"/>
    <n v="4"/>
    <n v="2333"/>
    <x v="6"/>
    <n v="6101.49"/>
    <n v="1874.65"/>
    <n v="119.62"/>
    <x v="3"/>
    <n v="3"/>
    <x v="0"/>
    <x v="0"/>
    <n v="3"/>
  </r>
  <r>
    <s v="ORD-04013"/>
    <d v="2024-09-30T00:00:00"/>
    <s v="CUST80488"/>
    <x v="397"/>
    <n v="18"/>
    <x v="3"/>
    <x v="0"/>
    <x v="4"/>
    <x v="17"/>
    <x v="5"/>
    <s v="Rice (5kg)"/>
    <n v="4"/>
    <n v="497.25"/>
    <x v="18"/>
    <n v="1775.14"/>
    <n v="168.64"/>
    <n v="81.5"/>
    <x v="3"/>
    <n v="1"/>
    <x v="0"/>
    <x v="4"/>
    <n v="3"/>
  </r>
  <r>
    <s v="ORD-01218"/>
    <d v="2021-07-04T00:00:00"/>
    <s v="CUST69231"/>
    <x v="349"/>
    <n v="40"/>
    <x v="1"/>
    <x v="0"/>
    <x v="2"/>
    <x v="4"/>
    <x v="0"/>
    <s v="Perfume"/>
    <n v="2"/>
    <n v="2060.77"/>
    <x v="27"/>
    <n v="3603.29"/>
    <n v="1268.67"/>
    <n v="69.45"/>
    <x v="1"/>
    <n v="2"/>
    <x v="0"/>
    <x v="0"/>
    <n v="2"/>
  </r>
  <r>
    <s v="ORD-03199"/>
    <d v="2023-10-16T00:00:00"/>
    <s v="CUST93632"/>
    <x v="371"/>
    <n v="61"/>
    <x v="2"/>
    <x v="2"/>
    <x v="0"/>
    <x v="19"/>
    <x v="0"/>
    <s v="Shampoo"/>
    <n v="8"/>
    <n v="1354.9"/>
    <x v="35"/>
    <n v="8717.93"/>
    <n v="4918.95"/>
    <n v="41.01"/>
    <x v="4"/>
    <n v="3"/>
    <x v="0"/>
    <x v="0"/>
    <n v="1"/>
  </r>
  <r>
    <s v="ORD-03446"/>
    <d v="2024-02-03T00:00:00"/>
    <s v="CUST54039"/>
    <x v="33"/>
    <n v="48"/>
    <x v="1"/>
    <x v="0"/>
    <x v="2"/>
    <x v="14"/>
    <x v="1"/>
    <s v="Desk"/>
    <n v="7"/>
    <n v="34101.69"/>
    <x v="31"/>
    <n v="221777.76"/>
    <n v="50413.18"/>
    <n v="63.76"/>
    <x v="3"/>
    <n v="1"/>
    <x v="0"/>
    <x v="0"/>
    <n v="5"/>
  </r>
  <r>
    <s v="ORD-01886"/>
    <d v="2022-04-12T00:00:00"/>
    <s v="CUST07676"/>
    <x v="1"/>
    <n v="39"/>
    <x v="1"/>
    <x v="1"/>
    <x v="0"/>
    <x v="19"/>
    <x v="4"/>
    <s v="Dumbbells"/>
    <n v="3"/>
    <n v="3135.03"/>
    <x v="32"/>
    <n v="11451.49"/>
    <n v="2694.43"/>
    <n v="82.19"/>
    <x v="0"/>
    <n v="1"/>
    <x v="1"/>
    <x v="1"/>
    <n v="3"/>
  </r>
  <r>
    <s v="ORD-03026"/>
    <d v="2023-08-04T00:00:00"/>
    <s v="CUST65223"/>
    <x v="79"/>
    <n v="52"/>
    <x v="2"/>
    <x v="0"/>
    <x v="0"/>
    <x v="0"/>
    <x v="3"/>
    <s v="Jacket"/>
    <n v="5"/>
    <n v="1505.76"/>
    <x v="2"/>
    <n v="9211.7199999999993"/>
    <n v="3763.52"/>
    <n v="52.62"/>
    <x v="2"/>
    <n v="3"/>
    <x v="0"/>
    <x v="4"/>
    <n v="6"/>
  </r>
  <r>
    <s v="ORD-02957"/>
    <d v="2023-07-04T00:00:00"/>
    <s v="CUST77083"/>
    <x v="223"/>
    <n v="60"/>
    <x v="2"/>
    <x v="2"/>
    <x v="3"/>
    <x v="5"/>
    <x v="5"/>
    <s v="Tea"/>
    <n v="9"/>
    <n v="462.67"/>
    <x v="8"/>
    <n v="6520.25"/>
    <n v="574.64"/>
    <n v="60.51"/>
    <x v="0"/>
    <n v="2"/>
    <x v="0"/>
    <x v="0"/>
    <n v="8"/>
  </r>
  <r>
    <s v="ORD-03687"/>
    <d v="2024-05-20T00:00:00"/>
    <s v="CUST45246"/>
    <x v="101"/>
    <n v="30"/>
    <x v="0"/>
    <x v="1"/>
    <x v="4"/>
    <x v="18"/>
    <x v="3"/>
    <s v="Jeans"/>
    <n v="2"/>
    <n v="511.88"/>
    <x v="30"/>
    <n v="1034.06"/>
    <n v="311.79000000000002"/>
    <n v="75.89"/>
    <x v="5"/>
    <n v="1"/>
    <x v="0"/>
    <x v="0"/>
    <n v="7"/>
  </r>
  <r>
    <s v="ORD-01226"/>
    <d v="2021-07-07T00:00:00"/>
    <s v="CUST93943"/>
    <x v="271"/>
    <n v="51"/>
    <x v="2"/>
    <x v="2"/>
    <x v="0"/>
    <x v="0"/>
    <x v="1"/>
    <s v="Desk"/>
    <n v="3"/>
    <n v="7678.25"/>
    <x v="29"/>
    <n v="32400.33"/>
    <n v="9162.5400000000009"/>
    <n v="49.32"/>
    <x v="3"/>
    <n v="3"/>
    <x v="0"/>
    <x v="4"/>
    <n v="4"/>
  </r>
  <r>
    <s v="ORD-02385"/>
    <d v="2022-10-28T00:00:00"/>
    <s v="CUST01228"/>
    <x v="14"/>
    <n v="27"/>
    <x v="0"/>
    <x v="1"/>
    <x v="0"/>
    <x v="0"/>
    <x v="5"/>
    <s v="Cooking Oil"/>
    <n v="5"/>
    <n v="69.84"/>
    <x v="25"/>
    <n v="256.11"/>
    <n v="21.93"/>
    <n v="48.03"/>
    <x v="0"/>
    <n v="1"/>
    <x v="0"/>
    <x v="0"/>
    <n v="5"/>
  </r>
  <r>
    <s v="ORD-00085"/>
    <d v="2020-02-03T00:00:00"/>
    <s v="CUST18248"/>
    <x v="296"/>
    <n v="48"/>
    <x v="1"/>
    <x v="1"/>
    <x v="3"/>
    <x v="5"/>
    <x v="4"/>
    <s v="Football"/>
    <n v="2"/>
    <n v="4104.3100000000004"/>
    <x v="0"/>
    <n v="5892.6"/>
    <n v="1384.77"/>
    <n v="72.459999999999994"/>
    <x v="1"/>
    <n v="1"/>
    <x v="0"/>
    <x v="0"/>
    <n v="6"/>
  </r>
  <r>
    <s v="ORD-02824"/>
    <d v="2023-05-12T00:00:00"/>
    <s v="CUST94776"/>
    <x v="206"/>
    <n v="41"/>
    <x v="1"/>
    <x v="1"/>
    <x v="2"/>
    <x v="9"/>
    <x v="3"/>
    <s v="Jacket"/>
    <n v="6"/>
    <n v="1809.68"/>
    <x v="35"/>
    <n v="12448.65"/>
    <n v="4684.8500000000004"/>
    <n v="37.159999999999997"/>
    <x v="2"/>
    <n v="1"/>
    <x v="0"/>
    <x v="0"/>
    <n v="4"/>
  </r>
  <r>
    <s v="ORD-03338"/>
    <d v="2023-12-14T00:00:00"/>
    <s v="CUST84437"/>
    <x v="361"/>
    <n v="34"/>
    <x v="0"/>
    <x v="0"/>
    <x v="4"/>
    <x v="7"/>
    <x v="3"/>
    <s v="T-Shirt"/>
    <n v="5"/>
    <n v="416.65"/>
    <x v="5"/>
    <n v="1999.94"/>
    <n v="825.09"/>
    <n v="59.89"/>
    <x v="1"/>
    <n v="5"/>
    <x v="0"/>
    <x v="0"/>
    <n v="5"/>
  </r>
  <r>
    <s v="ORD-04084"/>
    <d v="2024-11-07T00:00:00"/>
    <s v="CUST03465"/>
    <x v="242"/>
    <n v="39"/>
    <x v="1"/>
    <x v="2"/>
    <x v="0"/>
    <x v="0"/>
    <x v="3"/>
    <s v="Dress"/>
    <n v="9"/>
    <n v="3359.16"/>
    <x v="29"/>
    <n v="30905.25"/>
    <n v="7947.77"/>
    <n v="64.84"/>
    <x v="4"/>
    <n v="5"/>
    <x v="0"/>
    <x v="0"/>
    <n v="6"/>
  </r>
  <r>
    <s v="ORD-02733"/>
    <d v="2023-03-30T00:00:00"/>
    <s v="CUST12771"/>
    <x v="51"/>
    <n v="40"/>
    <x v="1"/>
    <x v="2"/>
    <x v="0"/>
    <x v="1"/>
    <x v="2"/>
    <s v="Textbook"/>
    <n v="5"/>
    <n v="971.23"/>
    <x v="34"/>
    <n v="3832.92"/>
    <n v="1442.59"/>
    <n v="59.73"/>
    <x v="2"/>
    <n v="1"/>
    <x v="0"/>
    <x v="0"/>
    <n v="4"/>
  </r>
  <r>
    <s v="ORD-04080"/>
    <d v="2024-03-11T00:00:00"/>
    <s v="CUST09163"/>
    <x v="124"/>
    <n v="34"/>
    <x v="0"/>
    <x v="1"/>
    <x v="3"/>
    <x v="5"/>
    <x v="5"/>
    <s v="Cooking Oil"/>
    <n v="2"/>
    <n v="275.55"/>
    <x v="4"/>
    <n v="545.95000000000005"/>
    <n v="40.630000000000003"/>
    <n v="75.84"/>
    <x v="0"/>
    <n v="4"/>
    <x v="0"/>
    <x v="0"/>
    <n v="3"/>
  </r>
  <r>
    <s v="ORD-01089"/>
    <d v="2021-05-07T00:00:00"/>
    <s v="CUST29692"/>
    <x v="209"/>
    <n v="36"/>
    <x v="1"/>
    <x v="2"/>
    <x v="3"/>
    <x v="12"/>
    <x v="1"/>
    <s v="Bookshelf"/>
    <n v="5"/>
    <n v="4812.43"/>
    <x v="23"/>
    <n v="22526.71"/>
    <n v="6783.1"/>
    <n v="109.38"/>
    <x v="2"/>
    <n v="4"/>
    <x v="0"/>
    <x v="0"/>
    <n v="4"/>
  </r>
  <r>
    <s v="ORD-00620"/>
    <d v="2020-10-04T00:00:00"/>
    <s v="CUST68733"/>
    <x v="71"/>
    <n v="55"/>
    <x v="2"/>
    <x v="0"/>
    <x v="4"/>
    <x v="17"/>
    <x v="5"/>
    <s v="Dal (1kg)"/>
    <n v="9"/>
    <n v="410.87"/>
    <x v="32"/>
    <n v="3133.82"/>
    <n v="346.09"/>
    <n v="74.58"/>
    <x v="0"/>
    <n v="5"/>
    <x v="1"/>
    <x v="1"/>
    <n v="6"/>
  </r>
  <r>
    <s v="ORD-02960"/>
    <d v="2023-07-06T00:00:00"/>
    <s v="CUST73492"/>
    <x v="353"/>
    <n v="35"/>
    <x v="0"/>
    <x v="2"/>
    <x v="4"/>
    <x v="18"/>
    <x v="5"/>
    <s v="Dal (1kg)"/>
    <n v="8"/>
    <n v="421.42"/>
    <x v="1"/>
    <n v="4774.2700000000004"/>
    <n v="467.76"/>
    <n v="84.51"/>
    <x v="2"/>
    <n v="3"/>
    <x v="0"/>
    <x v="3"/>
    <n v="8"/>
  </r>
  <r>
    <s v="ORD-01215"/>
    <d v="2021-07-03T00:00:00"/>
    <s v="CUST92946"/>
    <x v="99"/>
    <n v="38"/>
    <x v="1"/>
    <x v="0"/>
    <x v="3"/>
    <x v="15"/>
    <x v="0"/>
    <s v="Shampoo"/>
    <n v="5"/>
    <n v="205.05"/>
    <x v="6"/>
    <n v="875.73"/>
    <n v="336.22"/>
    <n v="58.05"/>
    <x v="0"/>
    <n v="1"/>
    <x v="1"/>
    <x v="1"/>
    <n v="10"/>
  </r>
  <r>
    <s v="ORD-01703"/>
    <d v="2022-01-30T00:00:00"/>
    <s v="CUST78614"/>
    <x v="114"/>
    <n v="47"/>
    <x v="1"/>
    <x v="2"/>
    <x v="0"/>
    <x v="19"/>
    <x v="3"/>
    <s v="Dress"/>
    <n v="4"/>
    <n v="1960.32"/>
    <x v="13"/>
    <n v="7027.87"/>
    <n v="2732.62"/>
    <n v="65.849999999999994"/>
    <x v="0"/>
    <n v="2"/>
    <x v="0"/>
    <x v="0"/>
    <n v="1"/>
  </r>
  <r>
    <s v="ORD-02066"/>
    <d v="2022-06-30T00:00:00"/>
    <s v="CUST80371"/>
    <x v="377"/>
    <n v="22"/>
    <x v="3"/>
    <x v="0"/>
    <x v="0"/>
    <x v="19"/>
    <x v="5"/>
    <s v="Cooking Oil"/>
    <n v="4"/>
    <n v="291.88"/>
    <x v="6"/>
    <n v="1107.6199999999999"/>
    <n v="79.28"/>
    <n v="60.21"/>
    <x v="1"/>
    <n v="2"/>
    <x v="1"/>
    <x v="1"/>
    <n v="1"/>
  </r>
  <r>
    <s v="ORD-03278"/>
    <d v="2023-11-17T00:00:00"/>
    <s v="CUST28845"/>
    <x v="188"/>
    <n v="36"/>
    <x v="1"/>
    <x v="1"/>
    <x v="1"/>
    <x v="11"/>
    <x v="5"/>
    <s v="Cooking Oil"/>
    <n v="3"/>
    <n v="362.83"/>
    <x v="30"/>
    <n v="704.3"/>
    <n v="51.58"/>
    <n v="40.17"/>
    <x v="3"/>
    <n v="2"/>
    <x v="0"/>
    <x v="0"/>
    <n v="3"/>
  </r>
  <r>
    <s v="ORD-02693"/>
    <d v="2023-03-14T00:00:00"/>
    <s v="CUST31367"/>
    <x v="124"/>
    <n v="57"/>
    <x v="2"/>
    <x v="2"/>
    <x v="3"/>
    <x v="16"/>
    <x v="5"/>
    <s v="Sugar"/>
    <n v="3"/>
    <n v="451.94"/>
    <x v="16"/>
    <n v="1470.9"/>
    <n v="132.82"/>
    <n v="72.180000000000007"/>
    <x v="0"/>
    <n v="2"/>
    <x v="0"/>
    <x v="3"/>
    <n v="8"/>
  </r>
  <r>
    <s v="ORD-02996"/>
    <d v="2023-07-21T00:00:00"/>
    <s v="CUST44301"/>
    <x v="151"/>
    <n v="44"/>
    <x v="1"/>
    <x v="1"/>
    <x v="1"/>
    <x v="6"/>
    <x v="3"/>
    <s v="Kurta"/>
    <n v="6"/>
    <n v="2551.46"/>
    <x v="12"/>
    <n v="16184.75"/>
    <n v="5763.29"/>
    <n v="52.45"/>
    <x v="3"/>
    <n v="1"/>
    <x v="0"/>
    <x v="0"/>
    <n v="8"/>
  </r>
  <r>
    <s v="ORD-01580"/>
    <d v="2021-12-07T00:00:00"/>
    <s v="CUST43143"/>
    <x v="10"/>
    <n v="46"/>
    <x v="1"/>
    <x v="2"/>
    <x v="4"/>
    <x v="8"/>
    <x v="4"/>
    <s v="Cycle"/>
    <n v="3"/>
    <n v="11079.73"/>
    <x v="12"/>
    <n v="19386.16"/>
    <n v="3946.3"/>
    <n v="44.65"/>
    <x v="0"/>
    <n v="1"/>
    <x v="0"/>
    <x v="0"/>
    <n v="5"/>
  </r>
  <r>
    <s v="ORD-03204"/>
    <d v="2023-10-18T00:00:00"/>
    <s v="CUST20726"/>
    <x v="113"/>
    <n v="30"/>
    <x v="0"/>
    <x v="0"/>
    <x v="0"/>
    <x v="0"/>
    <x v="6"/>
    <s v="Laptop"/>
    <n v="1"/>
    <n v="48359.17"/>
    <x v="29"/>
    <n v="51500.800000000003"/>
    <n v="6586.38"/>
    <n v="81.7"/>
    <x v="5"/>
    <n v="3"/>
    <x v="0"/>
    <x v="0"/>
    <n v="9"/>
  </r>
  <r>
    <s v="ORD-04102"/>
    <d v="2024-11-16T00:00:00"/>
    <s v="CUST19687"/>
    <x v="54"/>
    <n v="25"/>
    <x v="3"/>
    <x v="1"/>
    <x v="3"/>
    <x v="12"/>
    <x v="6"/>
    <s v="Headphones"/>
    <n v="6"/>
    <n v="76147.08"/>
    <x v="25"/>
    <n v="275656.14"/>
    <n v="33935.620000000003"/>
    <n v="79.39"/>
    <x v="5"/>
    <n v="4"/>
    <x v="0"/>
    <x v="4"/>
    <n v="5"/>
  </r>
  <r>
    <s v="ORD-02995"/>
    <d v="2023-07-20T00:00:00"/>
    <s v="CUST01120"/>
    <x v="291"/>
    <n v="19"/>
    <x v="3"/>
    <x v="2"/>
    <x v="4"/>
    <x v="17"/>
    <x v="0"/>
    <s v="Shampoo"/>
    <n v="1"/>
    <n v="581.9"/>
    <x v="40"/>
    <n v="573.91"/>
    <n v="321.44"/>
    <n v="61.08"/>
    <x v="2"/>
    <n v="5"/>
    <x v="0"/>
    <x v="0"/>
    <n v="2"/>
  </r>
  <r>
    <s v="ORD-02396"/>
    <d v="2022-11-02T00:00:00"/>
    <s v="CUST15736"/>
    <x v="117"/>
    <n v="33"/>
    <x v="0"/>
    <x v="1"/>
    <x v="3"/>
    <x v="15"/>
    <x v="1"/>
    <s v="Chair"/>
    <n v="3"/>
    <n v="4404.99"/>
    <x v="8"/>
    <n v="10146.469999999999"/>
    <n v="2903.13"/>
    <n v="93.9"/>
    <x v="0"/>
    <n v="3"/>
    <x v="0"/>
    <x v="3"/>
    <n v="5"/>
  </r>
  <r>
    <s v="ORD-01366"/>
    <d v="2021-09-07T00:00:00"/>
    <s v="CUST19666"/>
    <x v="275"/>
    <n v="21"/>
    <x v="3"/>
    <x v="1"/>
    <x v="0"/>
    <x v="2"/>
    <x v="6"/>
    <s v="Headphones"/>
    <n v="10"/>
    <n v="69111.009999999995"/>
    <x v="20"/>
    <n v="610027.66"/>
    <n v="80887.73"/>
    <n v="59.74"/>
    <x v="4"/>
    <n v="1"/>
    <x v="0"/>
    <x v="0"/>
    <n v="2"/>
  </r>
  <r>
    <s v="ORD-02221"/>
    <d v="2022-08-27T00:00:00"/>
    <s v="CUST03778"/>
    <x v="115"/>
    <n v="39"/>
    <x v="1"/>
    <x v="0"/>
    <x v="4"/>
    <x v="18"/>
    <x v="3"/>
    <s v="Dress"/>
    <n v="2"/>
    <n v="2544.65"/>
    <x v="32"/>
    <n v="5282.35"/>
    <n v="1652.06"/>
    <n v="68.22"/>
    <x v="0"/>
    <n v="3"/>
    <x v="0"/>
    <x v="0"/>
    <n v="3"/>
  </r>
  <r>
    <s v="ORD-02182"/>
    <d v="2022-08-13T00:00:00"/>
    <s v="CUST10127"/>
    <x v="124"/>
    <n v="39"/>
    <x v="1"/>
    <x v="1"/>
    <x v="3"/>
    <x v="12"/>
    <x v="6"/>
    <s v="Laptop"/>
    <n v="9"/>
    <n v="56874.87"/>
    <x v="25"/>
    <n v="478142.34"/>
    <n v="58158.93"/>
    <n v="63.71"/>
    <x v="5"/>
    <n v="4"/>
    <x v="1"/>
    <x v="1"/>
    <n v="2"/>
  </r>
  <r>
    <s v="ORD-02893"/>
    <d v="2023-06-06T00:00:00"/>
    <s v="CUST15263"/>
    <x v="373"/>
    <n v="36"/>
    <x v="1"/>
    <x v="2"/>
    <x v="4"/>
    <x v="17"/>
    <x v="6"/>
    <s v="Tablet"/>
    <n v="9"/>
    <n v="39846.870000000003"/>
    <x v="27"/>
    <n v="452014.92"/>
    <n v="43093.98"/>
    <n v="51.7"/>
    <x v="4"/>
    <n v="4"/>
    <x v="0"/>
    <x v="0"/>
    <n v="3"/>
  </r>
  <r>
    <s v="ORD-03643"/>
    <d v="2024-05-03T00:00:00"/>
    <s v="CUST93078"/>
    <x v="37"/>
    <n v="47"/>
    <x v="1"/>
    <x v="2"/>
    <x v="0"/>
    <x v="1"/>
    <x v="2"/>
    <s v="Fiction Novel"/>
    <n v="7"/>
    <n v="377"/>
    <x v="37"/>
    <n v="3325.2"/>
    <n v="1638.79"/>
    <n v="55.63"/>
    <x v="1"/>
    <n v="5"/>
    <x v="0"/>
    <x v="0"/>
    <n v="7"/>
  </r>
  <r>
    <s v="ORD-00355"/>
    <d v="2020-06-02T00:00:00"/>
    <s v="CUST29275"/>
    <x v="350"/>
    <n v="28"/>
    <x v="0"/>
    <x v="1"/>
    <x v="4"/>
    <x v="18"/>
    <x v="5"/>
    <s v="Cooking Oil"/>
    <n v="6"/>
    <n v="457.1"/>
    <x v="2"/>
    <n v="3525.53"/>
    <n v="394.03"/>
    <n v="69.69"/>
    <x v="4"/>
    <n v="2"/>
    <x v="0"/>
    <x v="0"/>
    <n v="8"/>
  </r>
  <r>
    <s v="ORD-02634"/>
    <d v="2023-02-15T00:00:00"/>
    <s v="CUST87463"/>
    <x v="396"/>
    <n v="18"/>
    <x v="3"/>
    <x v="2"/>
    <x v="4"/>
    <x v="8"/>
    <x v="3"/>
    <s v="Kurta"/>
    <n v="9"/>
    <n v="630.66999999999996"/>
    <x v="14"/>
    <n v="4097.13"/>
    <n v="1593.87"/>
    <n v="69.77"/>
    <x v="1"/>
    <n v="3"/>
    <x v="0"/>
    <x v="0"/>
    <n v="6"/>
  </r>
  <r>
    <s v="ORD-01268"/>
    <d v="2021-07-26T00:00:00"/>
    <s v="CUST13250"/>
    <x v="340"/>
    <n v="33"/>
    <x v="0"/>
    <x v="2"/>
    <x v="3"/>
    <x v="16"/>
    <x v="0"/>
    <s v="Shampoo"/>
    <n v="10"/>
    <n v="1776.76"/>
    <x v="32"/>
    <n v="24043.07"/>
    <n v="7186.83"/>
    <n v="76.78"/>
    <x v="1"/>
    <n v="5"/>
    <x v="0"/>
    <x v="2"/>
    <n v="8"/>
  </r>
  <r>
    <s v="ORD-03154"/>
    <d v="2023-09-29T00:00:00"/>
    <s v="CUST59117"/>
    <x v="100"/>
    <n v="42"/>
    <x v="1"/>
    <x v="2"/>
    <x v="0"/>
    <x v="1"/>
    <x v="5"/>
    <s v="Cooking Oil"/>
    <n v="8"/>
    <n v="424.28"/>
    <x v="22"/>
    <n v="2407.56"/>
    <n v="178.57"/>
    <n v="64.599999999999994"/>
    <x v="4"/>
    <n v="3"/>
    <x v="0"/>
    <x v="0"/>
    <n v="4"/>
  </r>
  <r>
    <s v="ORD-00459"/>
    <d v="2020-07-20T00:00:00"/>
    <s v="CUST05833"/>
    <x v="125"/>
    <n v="28"/>
    <x v="0"/>
    <x v="0"/>
    <x v="3"/>
    <x v="15"/>
    <x v="4"/>
    <s v="Yoga Mat"/>
    <n v="7"/>
    <n v="10622.1"/>
    <x v="37"/>
    <n v="72296.800000000003"/>
    <n v="14967.8"/>
    <n v="76.84"/>
    <x v="2"/>
    <n v="3"/>
    <x v="0"/>
    <x v="0"/>
    <n v="10"/>
  </r>
  <r>
    <s v="ORD-00009"/>
    <d v="2020-01-02T00:00:00"/>
    <s v="CUST92855"/>
    <x v="67"/>
    <n v="57"/>
    <x v="2"/>
    <x v="2"/>
    <x v="1"/>
    <x v="11"/>
    <x v="6"/>
    <s v="Smartphone"/>
    <n v="7"/>
    <n v="7248.51"/>
    <x v="8"/>
    <n v="35721.050000000003"/>
    <n v="2520.31"/>
    <n v="54.45"/>
    <x v="2"/>
    <n v="1"/>
    <x v="0"/>
    <x v="2"/>
    <n v="3"/>
  </r>
  <r>
    <s v="ORD-03848"/>
    <d v="2024-07-29T00:00:00"/>
    <s v="CUST92309"/>
    <x v="123"/>
    <n v="35"/>
    <x v="0"/>
    <x v="0"/>
    <x v="4"/>
    <x v="7"/>
    <x v="0"/>
    <s v="Perfume"/>
    <n v="2"/>
    <n v="423.08"/>
    <x v="15"/>
    <n v="1086.7"/>
    <n v="513.6"/>
    <n v="65.64"/>
    <x v="2"/>
    <n v="5"/>
    <x v="0"/>
    <x v="0"/>
    <n v="6"/>
  </r>
  <r>
    <s v="ORD-02898"/>
    <d v="2023-06-06T00:00:00"/>
    <s v="CUST27445"/>
    <x v="365"/>
    <n v="26"/>
    <x v="0"/>
    <x v="0"/>
    <x v="4"/>
    <x v="8"/>
    <x v="1"/>
    <s v="Desk"/>
    <n v="3"/>
    <n v="28004.75"/>
    <x v="35"/>
    <n v="94421.01"/>
    <n v="29532.44"/>
    <n v="43.07"/>
    <x v="5"/>
    <n v="2"/>
    <x v="0"/>
    <x v="0"/>
    <n v="6"/>
  </r>
  <r>
    <s v="ORD-01542"/>
    <d v="2021-11-21T00:00:00"/>
    <s v="CUST20530"/>
    <x v="214"/>
    <n v="20"/>
    <x v="3"/>
    <x v="1"/>
    <x v="0"/>
    <x v="19"/>
    <x v="5"/>
    <s v="Tea"/>
    <n v="9"/>
    <n v="291.31"/>
    <x v="19"/>
    <n v="2013.93"/>
    <n v="153.84"/>
    <n v="74.73"/>
    <x v="1"/>
    <n v="3"/>
    <x v="1"/>
    <x v="1"/>
    <n v="2"/>
  </r>
  <r>
    <s v="ORD-02431"/>
    <d v="2022-11-17T00:00:00"/>
    <s v="CUST33602"/>
    <x v="397"/>
    <n v="31"/>
    <x v="0"/>
    <x v="0"/>
    <x v="0"/>
    <x v="0"/>
    <x v="3"/>
    <s v="Dress"/>
    <n v="9"/>
    <n v="2890.57"/>
    <x v="32"/>
    <n v="22605.25"/>
    <n v="10028.129999999999"/>
    <n v="70.61"/>
    <x v="1"/>
    <n v="1"/>
    <x v="0"/>
    <x v="3"/>
    <n v="9"/>
  </r>
  <r>
    <s v="ORD-00716"/>
    <d v="2020-11-23T00:00:00"/>
    <s v="CUST94113"/>
    <x v="119"/>
    <n v="19"/>
    <x v="3"/>
    <x v="1"/>
    <x v="1"/>
    <x v="6"/>
    <x v="6"/>
    <s v="Headphones"/>
    <n v="1"/>
    <n v="40524.35"/>
    <x v="9"/>
    <n v="24819.03"/>
    <n v="3365.1"/>
    <n v="36.229999999999997"/>
    <x v="4"/>
    <n v="3"/>
    <x v="1"/>
    <x v="1"/>
    <n v="3"/>
  </r>
  <r>
    <s v="ORD-00444"/>
    <d v="2020-07-14T00:00:00"/>
    <s v="CUST81670"/>
    <x v="65"/>
    <n v="31"/>
    <x v="0"/>
    <x v="0"/>
    <x v="1"/>
    <x v="3"/>
    <x v="2"/>
    <s v="Fiction Novel"/>
    <n v="4"/>
    <n v="1113.43"/>
    <x v="7"/>
    <n v="4962.42"/>
    <n v="2141.31"/>
    <n v="34.15"/>
    <x v="1"/>
    <n v="1"/>
    <x v="0"/>
    <x v="0"/>
    <n v="7"/>
  </r>
  <r>
    <s v="ORD-02815"/>
    <d v="2023-05-08T00:00:00"/>
    <s v="CUST75268"/>
    <x v="249"/>
    <n v="30"/>
    <x v="0"/>
    <x v="1"/>
    <x v="0"/>
    <x v="19"/>
    <x v="4"/>
    <s v="Yoga Mat"/>
    <n v="3"/>
    <n v="6620.8"/>
    <x v="23"/>
    <n v="22527.03"/>
    <n v="3790.08"/>
    <n v="89.03"/>
    <x v="1"/>
    <n v="4"/>
    <x v="0"/>
    <x v="0"/>
    <n v="8"/>
  </r>
  <r>
    <s v="ORD-04069"/>
    <d v="2024-10-29T00:00:00"/>
    <s v="CUST61722"/>
    <x v="325"/>
    <n v="54"/>
    <x v="2"/>
    <x v="1"/>
    <x v="1"/>
    <x v="10"/>
    <x v="6"/>
    <s v="Smartwatch"/>
    <n v="2"/>
    <n v="11751.86"/>
    <x v="26"/>
    <n v="19687.8"/>
    <n v="2001.28"/>
    <n v="73.23"/>
    <x v="5"/>
    <n v="4"/>
    <x v="0"/>
    <x v="0"/>
    <n v="5"/>
  </r>
  <r>
    <s v="ORD-03630"/>
    <d v="2024-04-28T00:00:00"/>
    <s v="CUST62637"/>
    <x v="43"/>
    <n v="27"/>
    <x v="0"/>
    <x v="0"/>
    <x v="3"/>
    <x v="16"/>
    <x v="5"/>
    <s v="Sugar"/>
    <n v="1"/>
    <n v="373.86"/>
    <x v="15"/>
    <n v="400.65"/>
    <n v="34.770000000000003"/>
    <n v="90.23"/>
    <x v="5"/>
    <n v="4"/>
    <x v="0"/>
    <x v="3"/>
    <n v="1"/>
  </r>
  <r>
    <s v="ORD-02063"/>
    <d v="2022-06-29T00:00:00"/>
    <s v="CUST13406"/>
    <x v="108"/>
    <n v="18"/>
    <x v="3"/>
    <x v="0"/>
    <x v="4"/>
    <x v="17"/>
    <x v="5"/>
    <s v="Cooking Oil"/>
    <n v="4"/>
    <n v="122.82"/>
    <x v="8"/>
    <n v="681.47"/>
    <n v="47.66"/>
    <n v="66.72"/>
    <x v="5"/>
    <n v="5"/>
    <x v="0"/>
    <x v="0"/>
    <n v="10"/>
  </r>
  <r>
    <s v="ORD-00425"/>
    <d v="2020-07-06T00:00:00"/>
    <s v="CUST69172"/>
    <x v="1"/>
    <n v="30"/>
    <x v="0"/>
    <x v="2"/>
    <x v="0"/>
    <x v="0"/>
    <x v="6"/>
    <s v="Camera"/>
    <n v="6"/>
    <n v="65523.97"/>
    <x v="3"/>
    <n v="395580.05"/>
    <n v="39810.19"/>
    <n v="79"/>
    <x v="2"/>
    <n v="1"/>
    <x v="0"/>
    <x v="0"/>
    <n v="7"/>
  </r>
  <r>
    <s v="ORD-01073"/>
    <d v="2021-04-29T00:00:00"/>
    <s v="CUST74821"/>
    <x v="39"/>
    <n v="24"/>
    <x v="3"/>
    <x v="1"/>
    <x v="0"/>
    <x v="0"/>
    <x v="3"/>
    <s v="Jeans"/>
    <n v="5"/>
    <n v="1564.77"/>
    <x v="0"/>
    <n v="9104.3799999999992"/>
    <n v="2408.11"/>
    <n v="46.89"/>
    <x v="4"/>
    <n v="2"/>
    <x v="0"/>
    <x v="0"/>
    <n v="4"/>
  </r>
  <r>
    <s v="ORD-01644"/>
    <d v="2022-01-02T00:00:00"/>
    <s v="CUST20877"/>
    <x v="60"/>
    <n v="36"/>
    <x v="1"/>
    <x v="0"/>
    <x v="2"/>
    <x v="9"/>
    <x v="6"/>
    <s v="Camera"/>
    <n v="6"/>
    <n v="72040.03"/>
    <x v="5"/>
    <n v="368787.75"/>
    <n v="39292.14"/>
    <n v="53.76"/>
    <x v="2"/>
    <n v="5"/>
    <x v="0"/>
    <x v="3"/>
    <n v="9"/>
  </r>
  <r>
    <s v="ORD-00182"/>
    <d v="2020-03-21T00:00:00"/>
    <s v="CUST63049"/>
    <x v="150"/>
    <n v="61"/>
    <x v="2"/>
    <x v="0"/>
    <x v="3"/>
    <x v="16"/>
    <x v="4"/>
    <s v="Yoga Mat"/>
    <n v="9"/>
    <n v="2019.71"/>
    <x v="11"/>
    <n v="14642.06"/>
    <n v="3698.35"/>
    <n v="55.65"/>
    <x v="4"/>
    <n v="2"/>
    <x v="0"/>
    <x v="0"/>
    <n v="3"/>
  </r>
  <r>
    <s v="ORD-01681"/>
    <d v="2022-01-20T00:00:00"/>
    <s v="CUST96522"/>
    <x v="292"/>
    <n v="56"/>
    <x v="2"/>
    <x v="1"/>
    <x v="0"/>
    <x v="2"/>
    <x v="1"/>
    <s v="Sofa"/>
    <n v="2"/>
    <n v="27991.06"/>
    <x v="27"/>
    <n v="34746.07"/>
    <n v="12370.47"/>
    <n v="77.48"/>
    <x v="1"/>
    <n v="2"/>
    <x v="1"/>
    <x v="1"/>
    <n v="6"/>
  </r>
  <r>
    <s v="ORD-03369"/>
    <d v="2023-12-29T00:00:00"/>
    <s v="CUST12624"/>
    <x v="285"/>
    <n v="25"/>
    <x v="3"/>
    <x v="0"/>
    <x v="2"/>
    <x v="9"/>
    <x v="1"/>
    <s v="Sofa"/>
    <n v="10"/>
    <n v="26482.959999999999"/>
    <x v="40"/>
    <n v="159573.04"/>
    <n v="39420.71"/>
    <n v="31.73"/>
    <x v="2"/>
    <n v="1"/>
    <x v="0"/>
    <x v="0"/>
    <n v="9"/>
  </r>
  <r>
    <s v="ORD-00788"/>
    <d v="2020-12-25T00:00:00"/>
    <s v="CUST62453"/>
    <x v="186"/>
    <n v="26"/>
    <x v="0"/>
    <x v="2"/>
    <x v="0"/>
    <x v="0"/>
    <x v="5"/>
    <s v="Rice (5kg)"/>
    <n v="7"/>
    <n v="79.95"/>
    <x v="13"/>
    <n v="404.31"/>
    <n v="30.99"/>
    <n v="45.31"/>
    <x v="1"/>
    <n v="2"/>
    <x v="0"/>
    <x v="3"/>
    <n v="2"/>
  </r>
  <r>
    <s v="ORD-01351"/>
    <d v="2021-08-31T00:00:00"/>
    <s v="CUST05251"/>
    <x v="82"/>
    <n v="31"/>
    <x v="0"/>
    <x v="2"/>
    <x v="2"/>
    <x v="13"/>
    <x v="1"/>
    <s v="Chair"/>
    <n v="2"/>
    <n v="11559.97"/>
    <x v="6"/>
    <n v="19813.12"/>
    <n v="6537.8"/>
    <n v="64.47"/>
    <x v="3"/>
    <n v="5"/>
    <x v="0"/>
    <x v="0"/>
    <n v="6"/>
  </r>
  <r>
    <s v="ORD-01491"/>
    <d v="2021-10-31T00:00:00"/>
    <s v="CUST70333"/>
    <x v="191"/>
    <n v="43"/>
    <x v="1"/>
    <x v="0"/>
    <x v="2"/>
    <x v="13"/>
    <x v="0"/>
    <s v="Sunscreen"/>
    <n v="8"/>
    <n v="902.95"/>
    <x v="4"/>
    <n v="6609.67"/>
    <n v="3273.83"/>
    <n v="49.46"/>
    <x v="0"/>
    <n v="5"/>
    <x v="0"/>
    <x v="0"/>
    <n v="4"/>
  </r>
  <r>
    <s v="ORD-04153"/>
    <d v="2024-08-12T00:00:00"/>
    <s v="CUST73466"/>
    <x v="34"/>
    <n v="24"/>
    <x v="3"/>
    <x v="0"/>
    <x v="0"/>
    <x v="19"/>
    <x v="5"/>
    <s v="Dal (1kg)"/>
    <n v="10"/>
    <n v="390.96"/>
    <x v="6"/>
    <n v="2025.46"/>
    <n v="195.36"/>
    <n v="83.81"/>
    <x v="3"/>
    <n v="2"/>
    <x v="0"/>
    <x v="0"/>
    <n v="1"/>
  </r>
  <r>
    <s v="ORD-01601"/>
    <d v="2021-12-15T00:00:00"/>
    <s v="CUST25228"/>
    <x v="29"/>
    <n v="45"/>
    <x v="1"/>
    <x v="2"/>
    <x v="1"/>
    <x v="6"/>
    <x v="0"/>
    <s v="Sunscreen"/>
    <n v="8"/>
    <n v="1478.6"/>
    <x v="16"/>
    <n v="8581.43"/>
    <n v="3617.51"/>
    <n v="72.319999999999993"/>
    <x v="4"/>
    <n v="2"/>
    <x v="0"/>
    <x v="0"/>
    <n v="8"/>
  </r>
  <r>
    <s v="ORD-04193"/>
    <d v="2024-12-28T00:00:00"/>
    <s v="CUST18192"/>
    <x v="14"/>
    <n v="25"/>
    <x v="3"/>
    <x v="2"/>
    <x v="3"/>
    <x v="5"/>
    <x v="0"/>
    <s v="Perfume"/>
    <n v="5"/>
    <n v="724.63"/>
    <x v="39"/>
    <n v="3163.89"/>
    <n v="1918.69"/>
    <n v="48.49"/>
    <x v="3"/>
    <n v="5"/>
    <x v="0"/>
    <x v="0"/>
    <n v="6"/>
  </r>
  <r>
    <s v="ORD-01901"/>
    <d v="2022-04-20T00:00:00"/>
    <s v="CUST72800"/>
    <x v="268"/>
    <n v="46"/>
    <x v="1"/>
    <x v="1"/>
    <x v="3"/>
    <x v="16"/>
    <x v="2"/>
    <s v="Biography"/>
    <n v="2"/>
    <n v="231.44"/>
    <x v="21"/>
    <n v="417.99"/>
    <n v="155.21"/>
    <n v="103.55"/>
    <x v="1"/>
    <n v="3"/>
    <x v="0"/>
    <x v="2"/>
    <n v="8"/>
  </r>
  <r>
    <s v="ORD-04180"/>
    <d v="2024-12-22T00:00:00"/>
    <s v="CUST01003"/>
    <x v="119"/>
    <n v="28"/>
    <x v="0"/>
    <x v="2"/>
    <x v="1"/>
    <x v="3"/>
    <x v="5"/>
    <s v="Sugar"/>
    <n v="10"/>
    <n v="194.61"/>
    <x v="23"/>
    <n v="1329.87"/>
    <n v="143.25"/>
    <n v="23.86"/>
    <x v="1"/>
    <n v="2"/>
    <x v="0"/>
    <x v="0"/>
    <n v="5"/>
  </r>
  <r>
    <s v="ORD-02827"/>
    <d v="2023-05-14T00:00:00"/>
    <s v="CUST71925"/>
    <x v="393"/>
    <n v="32"/>
    <x v="0"/>
    <x v="2"/>
    <x v="0"/>
    <x v="2"/>
    <x v="0"/>
    <s v="Perfume"/>
    <n v="3"/>
    <n v="975.85"/>
    <x v="1"/>
    <n v="3386.22"/>
    <n v="2179.66"/>
    <n v="87.45"/>
    <x v="3"/>
    <n v="2"/>
    <x v="0"/>
    <x v="3"/>
    <n v="10"/>
  </r>
  <r>
    <s v="ORD-03493"/>
    <d v="2024-02-27T00:00:00"/>
    <s v="CUST44061"/>
    <x v="102"/>
    <n v="29"/>
    <x v="0"/>
    <x v="2"/>
    <x v="0"/>
    <x v="2"/>
    <x v="0"/>
    <s v="Lipstick"/>
    <n v="1"/>
    <n v="848.25"/>
    <x v="8"/>
    <n v="894.07"/>
    <n v="422.93"/>
    <n v="74.23"/>
    <x v="2"/>
    <n v="5"/>
    <x v="0"/>
    <x v="0"/>
    <n v="9"/>
  </r>
  <r>
    <s v="ORD-03484"/>
    <d v="2024-02-23T00:00:00"/>
    <s v="CUST42985"/>
    <x v="170"/>
    <n v="35"/>
    <x v="0"/>
    <x v="2"/>
    <x v="1"/>
    <x v="10"/>
    <x v="6"/>
    <s v="Camera"/>
    <n v="9"/>
    <n v="70923.399999999994"/>
    <x v="14"/>
    <n v="506257.71"/>
    <n v="52952.38"/>
    <n v="42.34"/>
    <x v="4"/>
    <n v="2"/>
    <x v="0"/>
    <x v="0"/>
    <n v="3"/>
  </r>
  <r>
    <s v="ORD-01002"/>
    <d v="2021-03-30T00:00:00"/>
    <s v="CUST22154"/>
    <x v="23"/>
    <n v="19"/>
    <x v="3"/>
    <x v="2"/>
    <x v="0"/>
    <x v="0"/>
    <x v="2"/>
    <s v="Self-Help Book"/>
    <n v="6"/>
    <n v="1364.16"/>
    <x v="40"/>
    <n v="5115.87"/>
    <n v="1835.6"/>
    <n v="62.5"/>
    <x v="4"/>
    <n v="4"/>
    <x v="0"/>
    <x v="4"/>
    <n v="2"/>
  </r>
  <r>
    <s v="ORD-00827"/>
    <d v="2021-01-14T00:00:00"/>
    <s v="CUST71416"/>
    <x v="396"/>
    <n v="43"/>
    <x v="1"/>
    <x v="2"/>
    <x v="4"/>
    <x v="8"/>
    <x v="6"/>
    <s v="Headphones"/>
    <n v="2"/>
    <n v="43066.95"/>
    <x v="15"/>
    <n v="50066.36"/>
    <n v="6929.76"/>
    <n v="69.88"/>
    <x v="5"/>
    <n v="2"/>
    <x v="0"/>
    <x v="0"/>
    <n v="7"/>
  </r>
  <r>
    <s v="ORD-00527"/>
    <d v="2020-08-20T00:00:00"/>
    <s v="CUST81582"/>
    <x v="346"/>
    <n v="46"/>
    <x v="1"/>
    <x v="0"/>
    <x v="3"/>
    <x v="15"/>
    <x v="6"/>
    <s v="Tablet"/>
    <n v="1"/>
    <n v="39870.46"/>
    <x v="1"/>
    <n v="42279.37"/>
    <n v="4768.46"/>
    <n v="76.58"/>
    <x v="0"/>
    <n v="4"/>
    <x v="0"/>
    <x v="0"/>
    <n v="1"/>
  </r>
  <r>
    <s v="ORD-02002"/>
    <d v="2022-06-02T00:00:00"/>
    <s v="CUST93495"/>
    <x v="358"/>
    <n v="24"/>
    <x v="3"/>
    <x v="1"/>
    <x v="1"/>
    <x v="10"/>
    <x v="6"/>
    <s v="Smartphone"/>
    <n v="4"/>
    <n v="79903.31"/>
    <x v="36"/>
    <n v="381040.75"/>
    <n v="46291.37"/>
    <n v="49.66"/>
    <x v="3"/>
    <n v="2"/>
    <x v="0"/>
    <x v="0"/>
    <n v="9"/>
  </r>
  <r>
    <s v="ORD-01547"/>
    <d v="2021-11-25T00:00:00"/>
    <s v="CUST82417"/>
    <x v="379"/>
    <n v="32"/>
    <x v="0"/>
    <x v="2"/>
    <x v="4"/>
    <x v="18"/>
    <x v="0"/>
    <s v="Hair Oil"/>
    <n v="8"/>
    <n v="1747.96"/>
    <x v="8"/>
    <n v="10534.51"/>
    <n v="5549.08"/>
    <n v="70.95"/>
    <x v="4"/>
    <n v="5"/>
    <x v="0"/>
    <x v="0"/>
    <n v="9"/>
  </r>
  <r>
    <s v="ORD-02671"/>
    <d v="2023-03-01T00:00:00"/>
    <s v="CUST19942"/>
    <x v="130"/>
    <n v="29"/>
    <x v="0"/>
    <x v="1"/>
    <x v="0"/>
    <x v="0"/>
    <x v="2"/>
    <s v="Cook Book"/>
    <n v="7"/>
    <n v="286.55"/>
    <x v="36"/>
    <n v="1865.14"/>
    <n v="943.5"/>
    <n v="60.27"/>
    <x v="2"/>
    <n v="1"/>
    <x v="0"/>
    <x v="3"/>
    <n v="1"/>
  </r>
  <r>
    <s v="ORD-02688"/>
    <d v="2023-12-03T00:00:00"/>
    <s v="CUST01507"/>
    <x v="326"/>
    <n v="30"/>
    <x v="0"/>
    <x v="2"/>
    <x v="0"/>
    <x v="0"/>
    <x v="2"/>
    <s v="Comic Book"/>
    <n v="1"/>
    <n v="1377.62"/>
    <x v="9"/>
    <n v="1266.17"/>
    <n v="565.49"/>
    <n v="53.93"/>
    <x v="3"/>
    <n v="4"/>
    <x v="0"/>
    <x v="3"/>
    <n v="3"/>
  </r>
  <r>
    <s v="ORD-03878"/>
    <d v="2024-08-08T00:00:00"/>
    <s v="CUST09035"/>
    <x v="209"/>
    <n v="35"/>
    <x v="0"/>
    <x v="0"/>
    <x v="2"/>
    <x v="13"/>
    <x v="1"/>
    <s v="Desk"/>
    <n v="3"/>
    <n v="19778.53"/>
    <x v="3"/>
    <n v="67218.58"/>
    <n v="15015.41"/>
    <n v="30.24"/>
    <x v="4"/>
    <n v="3"/>
    <x v="0"/>
    <x v="0"/>
    <n v="5"/>
  </r>
  <r>
    <s v="ORD-00279"/>
    <d v="2020-05-03T00:00:00"/>
    <s v="CUST43418"/>
    <x v="116"/>
    <n v="47"/>
    <x v="1"/>
    <x v="0"/>
    <x v="3"/>
    <x v="16"/>
    <x v="3"/>
    <s v="Saree"/>
    <n v="5"/>
    <n v="1209.8399999999999"/>
    <x v="26"/>
    <n v="5409.13"/>
    <n v="1839.27"/>
    <n v="70.069999999999993"/>
    <x v="3"/>
    <n v="1"/>
    <x v="0"/>
    <x v="0"/>
    <n v="7"/>
  </r>
  <r>
    <s v="ORD-02890"/>
    <d v="2023-06-05T00:00:00"/>
    <s v="CUST22330"/>
    <x v="290"/>
    <n v="61"/>
    <x v="2"/>
    <x v="2"/>
    <x v="3"/>
    <x v="12"/>
    <x v="0"/>
    <s v="Face Cream"/>
    <n v="1"/>
    <n v="830.66"/>
    <x v="7"/>
    <n v="1004.6"/>
    <n v="465.76"/>
    <n v="56.2"/>
    <x v="2"/>
    <n v="5"/>
    <x v="0"/>
    <x v="3"/>
    <n v="10"/>
  </r>
  <r>
    <s v="ORD-00883"/>
    <d v="2021-03-02T00:00:00"/>
    <s v="CUST25736"/>
    <x v="371"/>
    <n v="43"/>
    <x v="1"/>
    <x v="1"/>
    <x v="2"/>
    <x v="4"/>
    <x v="0"/>
    <s v="Hair Oil"/>
    <n v="9"/>
    <n v="1071.8800000000001"/>
    <x v="11"/>
    <n v="6143.09"/>
    <n v="3577.85"/>
    <n v="64.180000000000007"/>
    <x v="0"/>
    <n v="5"/>
    <x v="0"/>
    <x v="0"/>
    <n v="9"/>
  </r>
  <r>
    <s v="ORD-00738"/>
    <d v="2020-12-03T00:00:00"/>
    <s v="CUST90925"/>
    <x v="149"/>
    <n v="45"/>
    <x v="1"/>
    <x v="0"/>
    <x v="1"/>
    <x v="11"/>
    <x v="4"/>
    <s v="Cricket Bat"/>
    <n v="2"/>
    <n v="2618.63"/>
    <x v="6"/>
    <n v="2183.04"/>
    <n v="381.86"/>
    <n v="63.43"/>
    <x v="1"/>
    <n v="1"/>
    <x v="0"/>
    <x v="0"/>
    <n v="10"/>
  </r>
  <r>
    <s v="ORD-03295"/>
    <d v="2023-11-25T00:00:00"/>
    <s v="CUST19218"/>
    <x v="394"/>
    <n v="41"/>
    <x v="1"/>
    <x v="2"/>
    <x v="2"/>
    <x v="4"/>
    <x v="4"/>
    <s v="Cricket Bat"/>
    <n v="5"/>
    <n v="7855.23"/>
    <x v="26"/>
    <n v="24768.639999999999"/>
    <n v="5747.72"/>
    <n v="37.97"/>
    <x v="3"/>
    <n v="1"/>
    <x v="1"/>
    <x v="1"/>
    <n v="2"/>
  </r>
  <r>
    <s v="ORD-00505"/>
    <d v="2020-12-08T00:00:00"/>
    <s v="CUST37735"/>
    <x v="259"/>
    <n v="51"/>
    <x v="2"/>
    <x v="1"/>
    <x v="3"/>
    <x v="15"/>
    <x v="6"/>
    <s v="Tablet"/>
    <n v="8"/>
    <n v="43322.03"/>
    <x v="23"/>
    <n v="257970.06"/>
    <n v="20962.59"/>
    <n v="81.23"/>
    <x v="3"/>
    <n v="5"/>
    <x v="0"/>
    <x v="2"/>
    <n v="3"/>
  </r>
  <r>
    <s v="ORD-01660"/>
    <d v="2022-01-10T00:00:00"/>
    <s v="CUST07883"/>
    <x v="342"/>
    <n v="35"/>
    <x v="0"/>
    <x v="2"/>
    <x v="1"/>
    <x v="10"/>
    <x v="4"/>
    <s v="Yoga Mat"/>
    <n v="3"/>
    <n v="14314.59"/>
    <x v="12"/>
    <n v="24565.05"/>
    <n v="6700.1"/>
    <n v="49.08"/>
    <x v="0"/>
    <n v="2"/>
    <x v="1"/>
    <x v="1"/>
    <n v="7"/>
  </r>
  <r>
    <s v="ORD-02120"/>
    <d v="2022-07-22T00:00:00"/>
    <s v="CUST74638"/>
    <x v="228"/>
    <n v="40"/>
    <x v="1"/>
    <x v="0"/>
    <x v="3"/>
    <x v="12"/>
    <x v="5"/>
    <s v="Flour"/>
    <n v="8"/>
    <n v="473.04"/>
    <x v="30"/>
    <n v="4049.28"/>
    <n v="301.36"/>
    <n v="76.099999999999994"/>
    <x v="2"/>
    <n v="5"/>
    <x v="0"/>
    <x v="0"/>
    <n v="9"/>
  </r>
  <r>
    <s v="ORD-01718"/>
    <d v="2022-02-02T00:00:00"/>
    <s v="CUST91928"/>
    <x v="152"/>
    <n v="39"/>
    <x v="1"/>
    <x v="0"/>
    <x v="0"/>
    <x v="1"/>
    <x v="4"/>
    <s v="Football"/>
    <n v="7"/>
    <n v="6522.84"/>
    <x v="32"/>
    <n v="37840.550000000003"/>
    <n v="7201.91"/>
    <n v="45.29"/>
    <x v="1"/>
    <n v="3"/>
    <x v="1"/>
    <x v="1"/>
    <n v="3"/>
  </r>
  <r>
    <s v="ORD-00548"/>
    <d v="2020-08-30T00:00:00"/>
    <s v="CUST25946"/>
    <x v="301"/>
    <n v="27"/>
    <x v="0"/>
    <x v="2"/>
    <x v="1"/>
    <x v="11"/>
    <x v="5"/>
    <s v="Cooking Oil"/>
    <n v="1"/>
    <n v="387.88"/>
    <x v="40"/>
    <n v="293.72000000000003"/>
    <n v="15.64"/>
    <n v="65.680000000000007"/>
    <x v="3"/>
    <n v="4"/>
    <x v="0"/>
    <x v="0"/>
    <n v="7"/>
  </r>
  <r>
    <s v="ORD-00004"/>
    <d v="2020-01-01T00:00:00"/>
    <s v="CUST59539"/>
    <x v="230"/>
    <n v="43"/>
    <x v="1"/>
    <x v="0"/>
    <x v="1"/>
    <x v="6"/>
    <x v="0"/>
    <s v="Shampoo"/>
    <n v="1"/>
    <n v="2179.09"/>
    <x v="26"/>
    <n v="1240"/>
    <n v="548.45000000000005"/>
    <n v="71"/>
    <x v="0"/>
    <n v="5"/>
    <x v="0"/>
    <x v="4"/>
    <n v="9"/>
  </r>
  <r>
    <s v="ORD-00979"/>
    <d v="2021-03-22T00:00:00"/>
    <s v="CUST08503"/>
    <x v="52"/>
    <n v="48"/>
    <x v="1"/>
    <x v="1"/>
    <x v="4"/>
    <x v="7"/>
    <x v="0"/>
    <s v="Perfume"/>
    <n v="5"/>
    <n v="357.2"/>
    <x v="15"/>
    <n v="1350.29"/>
    <n v="473.38"/>
    <n v="95.58"/>
    <x v="4"/>
    <n v="3"/>
    <x v="0"/>
    <x v="0"/>
    <n v="8"/>
  </r>
  <r>
    <s v="ORD-04114"/>
    <d v="2024-11-25T00:00:00"/>
    <s v="CUST90879"/>
    <x v="42"/>
    <n v="38"/>
    <x v="1"/>
    <x v="1"/>
    <x v="0"/>
    <x v="19"/>
    <x v="3"/>
    <s v="Jacket"/>
    <n v="8"/>
    <n v="2242.21"/>
    <x v="0"/>
    <n v="15849.85"/>
    <n v="5745.26"/>
    <n v="58.08"/>
    <x v="4"/>
    <n v="3"/>
    <x v="0"/>
    <x v="2"/>
    <n v="5"/>
  </r>
  <r>
    <s v="ORD-03044"/>
    <d v="2023-09-08T00:00:00"/>
    <s v="CUST65535"/>
    <x v="103"/>
    <n v="31"/>
    <x v="0"/>
    <x v="1"/>
    <x v="4"/>
    <x v="8"/>
    <x v="5"/>
    <s v="Dal (1kg)"/>
    <n v="6"/>
    <n v="180.04"/>
    <x v="6"/>
    <n v="955.97"/>
    <n v="84.65"/>
    <n v="65.569999999999993"/>
    <x v="1"/>
    <n v="2"/>
    <x v="0"/>
    <x v="2"/>
    <n v="7"/>
  </r>
  <r>
    <s v="ORD-02571"/>
    <d v="2023-01-25T00:00:00"/>
    <s v="CUST27786"/>
    <x v="265"/>
    <n v="27"/>
    <x v="0"/>
    <x v="0"/>
    <x v="1"/>
    <x v="10"/>
    <x v="5"/>
    <s v="Tea"/>
    <n v="2"/>
    <n v="419.88"/>
    <x v="13"/>
    <n v="701.1"/>
    <n v="57.86"/>
    <n v="49.02"/>
    <x v="2"/>
    <n v="2"/>
    <x v="0"/>
    <x v="3"/>
    <n v="7"/>
  </r>
  <r>
    <s v="ORD-03212"/>
    <d v="2023-10-20T00:00:00"/>
    <s v="CUST59899"/>
    <x v="165"/>
    <n v="37"/>
    <x v="1"/>
    <x v="0"/>
    <x v="0"/>
    <x v="1"/>
    <x v="5"/>
    <s v="Sugar"/>
    <n v="3"/>
    <n v="309.69"/>
    <x v="20"/>
    <n v="839.42"/>
    <n v="69.64"/>
    <n v="50.8"/>
    <x v="4"/>
    <n v="1"/>
    <x v="0"/>
    <x v="0"/>
    <n v="1"/>
  </r>
  <r>
    <s v="ORD-00836"/>
    <d v="2021-01-17T00:00:00"/>
    <s v="CUST64754"/>
    <x v="205"/>
    <n v="52"/>
    <x v="2"/>
    <x v="1"/>
    <x v="0"/>
    <x v="19"/>
    <x v="4"/>
    <s v="Football"/>
    <n v="4"/>
    <n v="9859.42"/>
    <x v="39"/>
    <n v="30461.87"/>
    <n v="8214.61"/>
    <n v="75.89"/>
    <x v="5"/>
    <n v="5"/>
    <x v="0"/>
    <x v="0"/>
    <n v="7"/>
  </r>
  <r>
    <s v="ORD-00198"/>
    <d v="2020-03-29T00:00:00"/>
    <s v="CUST42117"/>
    <x v="154"/>
    <n v="34"/>
    <x v="0"/>
    <x v="1"/>
    <x v="4"/>
    <x v="18"/>
    <x v="1"/>
    <s v="Desk"/>
    <n v="9"/>
    <n v="20805.29"/>
    <x v="27"/>
    <n v="146348.29999999999"/>
    <n v="36051.94"/>
    <n v="59.05"/>
    <x v="4"/>
    <n v="5"/>
    <x v="0"/>
    <x v="0"/>
    <n v="7"/>
  </r>
  <r>
    <s v="ORD-00612"/>
    <d v="2020-09-30T00:00:00"/>
    <s v="CUST14600"/>
    <x v="322"/>
    <n v="46"/>
    <x v="1"/>
    <x v="1"/>
    <x v="0"/>
    <x v="1"/>
    <x v="4"/>
    <s v="Dumbbells"/>
    <n v="2"/>
    <n v="1417.62"/>
    <x v="30"/>
    <n v="1983.4"/>
    <n v="404.4"/>
    <n v="38.22"/>
    <x v="4"/>
    <n v="1"/>
    <x v="0"/>
    <x v="0"/>
    <n v="4"/>
  </r>
  <r>
    <s v="ORD-02525"/>
    <d v="2023-01-01T00:00:00"/>
    <s v="CUST46864"/>
    <x v="6"/>
    <n v="26"/>
    <x v="0"/>
    <x v="2"/>
    <x v="1"/>
    <x v="6"/>
    <x v="3"/>
    <s v="Jeans"/>
    <n v="8"/>
    <n v="2369.91"/>
    <x v="34"/>
    <n v="12912.46"/>
    <n v="4497.08"/>
    <n v="59.82"/>
    <x v="0"/>
    <n v="1"/>
    <x v="0"/>
    <x v="0"/>
    <n v="10"/>
  </r>
  <r>
    <s v="ORD-02913"/>
    <d v="2023-06-12T00:00:00"/>
    <s v="CUST21693"/>
    <x v="143"/>
    <n v="43"/>
    <x v="1"/>
    <x v="1"/>
    <x v="2"/>
    <x v="14"/>
    <x v="0"/>
    <s v="Perfume"/>
    <n v="4"/>
    <n v="623.29999999999995"/>
    <x v="18"/>
    <n v="3062.97"/>
    <n v="1736.95"/>
    <n v="52.12"/>
    <x v="4"/>
    <n v="2"/>
    <x v="0"/>
    <x v="0"/>
    <n v="3"/>
  </r>
  <r>
    <s v="ORD-01803"/>
    <d v="2022-03-08T00:00:00"/>
    <s v="CUST75917"/>
    <x v="270"/>
    <n v="48"/>
    <x v="1"/>
    <x v="2"/>
    <x v="2"/>
    <x v="4"/>
    <x v="5"/>
    <s v="Sugar"/>
    <n v="1"/>
    <n v="259.95"/>
    <x v="25"/>
    <n v="210.74"/>
    <n v="16.68"/>
    <n v="40.85"/>
    <x v="5"/>
    <n v="3"/>
    <x v="0"/>
    <x v="0"/>
    <n v="9"/>
  </r>
  <r>
    <s v="ORD-01141"/>
    <d v="2021-05-29T00:00:00"/>
    <s v="CUST04487"/>
    <x v="166"/>
    <n v="34"/>
    <x v="0"/>
    <x v="2"/>
    <x v="0"/>
    <x v="2"/>
    <x v="2"/>
    <s v="Biography"/>
    <n v="7"/>
    <n v="846.48"/>
    <x v="33"/>
    <n v="6420.7"/>
    <n v="2975.81"/>
    <n v="30.99"/>
    <x v="3"/>
    <n v="3"/>
    <x v="0"/>
    <x v="0"/>
    <n v="1"/>
  </r>
  <r>
    <s v="ORD-01022"/>
    <d v="2021-04-07T00:00:00"/>
    <s v="CUST91541"/>
    <x v="290"/>
    <n v="23"/>
    <x v="3"/>
    <x v="1"/>
    <x v="1"/>
    <x v="11"/>
    <x v="3"/>
    <s v="Jacket"/>
    <n v="9"/>
    <n v="2816.32"/>
    <x v="19"/>
    <n v="29155.08"/>
    <n v="5473.17"/>
    <n v="58.3"/>
    <x v="0"/>
    <n v="3"/>
    <x v="0"/>
    <x v="2"/>
    <n v="3"/>
  </r>
  <r>
    <s v="ORD-03638"/>
    <d v="2024-04-30T00:00:00"/>
    <s v="CUST06952"/>
    <x v="19"/>
    <n v="42"/>
    <x v="1"/>
    <x v="1"/>
    <x v="4"/>
    <x v="7"/>
    <x v="1"/>
    <s v="Bookshelf"/>
    <n v="4"/>
    <n v="15880.17"/>
    <x v="0"/>
    <n v="96311.3"/>
    <n v="34839.089999999997"/>
    <n v="69.260000000000005"/>
    <x v="0"/>
    <n v="4"/>
    <x v="0"/>
    <x v="0"/>
    <n v="4"/>
  </r>
  <r>
    <s v="ORD-03505"/>
    <d v="2024-03-03T00:00:00"/>
    <s v="CUST59852"/>
    <x v="388"/>
    <n v="25"/>
    <x v="3"/>
    <x v="0"/>
    <x v="1"/>
    <x v="11"/>
    <x v="5"/>
    <s v="Tea"/>
    <n v="7"/>
    <n v="126.08"/>
    <x v="0"/>
    <n v="1012.38"/>
    <n v="81.39"/>
    <n v="55.37"/>
    <x v="3"/>
    <n v="2"/>
    <x v="0"/>
    <x v="0"/>
    <n v="9"/>
  </r>
  <r>
    <s v="ORD-02440"/>
    <d v="2022-11-24T00:00:00"/>
    <s v="CUST91846"/>
    <x v="252"/>
    <n v="48"/>
    <x v="1"/>
    <x v="1"/>
    <x v="2"/>
    <x v="4"/>
    <x v="4"/>
    <s v="Tennis Racket"/>
    <n v="2"/>
    <n v="1682.52"/>
    <x v="8"/>
    <n v="3162.9"/>
    <n v="650.21"/>
    <n v="69.290000000000006"/>
    <x v="0"/>
    <n v="2"/>
    <x v="0"/>
    <x v="0"/>
    <n v="2"/>
  </r>
  <r>
    <s v="ORD-01819"/>
    <d v="2022-03-15T00:00:00"/>
    <s v="CUST63222"/>
    <x v="2"/>
    <n v="39"/>
    <x v="1"/>
    <x v="2"/>
    <x v="3"/>
    <x v="15"/>
    <x v="1"/>
    <s v="Desk"/>
    <n v="3"/>
    <n v="5315.14"/>
    <x v="33"/>
    <n v="17403.330000000002"/>
    <n v="5876.17"/>
    <n v="97.08"/>
    <x v="3"/>
    <n v="5"/>
    <x v="0"/>
    <x v="0"/>
    <n v="6"/>
  </r>
  <r>
    <s v="ORD-03793"/>
    <d v="2024-07-06T00:00:00"/>
    <s v="CUST34536"/>
    <x v="183"/>
    <n v="27"/>
    <x v="0"/>
    <x v="2"/>
    <x v="4"/>
    <x v="17"/>
    <x v="0"/>
    <s v="Sunscreen"/>
    <n v="7"/>
    <n v="1042.17"/>
    <x v="22"/>
    <n v="7279.6"/>
    <n v="3363.37"/>
    <n v="71.040000000000006"/>
    <x v="1"/>
    <n v="5"/>
    <x v="0"/>
    <x v="4"/>
    <n v="5"/>
  </r>
  <r>
    <s v="ORD-03507"/>
    <d v="2024-03-04T00:00:00"/>
    <s v="CUST15344"/>
    <x v="376"/>
    <n v="53"/>
    <x v="2"/>
    <x v="0"/>
    <x v="0"/>
    <x v="1"/>
    <x v="3"/>
    <s v="Dress"/>
    <n v="7"/>
    <n v="2771.26"/>
    <x v="7"/>
    <n v="21782.06"/>
    <n v="8460.2099999999991"/>
    <n v="35.65"/>
    <x v="3"/>
    <n v="5"/>
    <x v="0"/>
    <x v="0"/>
    <n v="7"/>
  </r>
  <r>
    <s v="ORD-02636"/>
    <d v="2023-02-15T00:00:00"/>
    <s v="CUST87391"/>
    <x v="158"/>
    <n v="26"/>
    <x v="0"/>
    <x v="1"/>
    <x v="2"/>
    <x v="14"/>
    <x v="0"/>
    <s v="Hair Oil"/>
    <n v="3"/>
    <n v="1142.82"/>
    <x v="37"/>
    <n v="2958.07"/>
    <n v="1291.21"/>
    <n v="53.34"/>
    <x v="2"/>
    <n v="5"/>
    <x v="1"/>
    <x v="1"/>
    <n v="9"/>
  </r>
  <r>
    <s v="ORD-03103"/>
    <d v="2023-09-03T00:00:00"/>
    <s v="CUST01278"/>
    <x v="131"/>
    <n v="18"/>
    <x v="3"/>
    <x v="1"/>
    <x v="3"/>
    <x v="5"/>
    <x v="0"/>
    <s v="Lipstick"/>
    <n v="6"/>
    <n v="993.05"/>
    <x v="5"/>
    <n v="7148.92"/>
    <n v="2268.41"/>
    <n v="82.4"/>
    <x v="4"/>
    <n v="5"/>
    <x v="0"/>
    <x v="0"/>
    <n v="1"/>
  </r>
  <r>
    <s v="ORD-03650"/>
    <d v="2024-05-04T00:00:00"/>
    <s v="CUST58829"/>
    <x v="164"/>
    <n v="57"/>
    <x v="2"/>
    <x v="2"/>
    <x v="1"/>
    <x v="3"/>
    <x v="2"/>
    <s v="Fiction Novel"/>
    <n v="8"/>
    <n v="1190.92"/>
    <x v="3"/>
    <n v="14021.08"/>
    <n v="5817.67"/>
    <n v="76.180000000000007"/>
    <x v="4"/>
    <n v="3"/>
    <x v="1"/>
    <x v="1"/>
    <n v="1"/>
  </r>
  <r>
    <s v="ORD-02696"/>
    <d v="2023-03-14T00:00:00"/>
    <s v="CUST64855"/>
    <x v="344"/>
    <n v="46"/>
    <x v="1"/>
    <x v="1"/>
    <x v="0"/>
    <x v="2"/>
    <x v="2"/>
    <s v="Comic Book"/>
    <n v="2"/>
    <n v="1077.1099999999999"/>
    <x v="25"/>
    <n v="1827.02"/>
    <n v="727.8"/>
    <n v="61.35"/>
    <x v="4"/>
    <n v="5"/>
    <x v="0"/>
    <x v="0"/>
    <n v="6"/>
  </r>
  <r>
    <s v="ORD-00714"/>
    <d v="2020-11-23T00:00:00"/>
    <s v="CUST61590"/>
    <x v="190"/>
    <n v="47"/>
    <x v="1"/>
    <x v="1"/>
    <x v="4"/>
    <x v="8"/>
    <x v="5"/>
    <s v="Rice (5kg)"/>
    <n v="7"/>
    <n v="368.78"/>
    <x v="9"/>
    <n v="1528.79"/>
    <n v="127.54"/>
    <n v="66.03"/>
    <x v="4"/>
    <n v="4"/>
    <x v="0"/>
    <x v="0"/>
    <n v="9"/>
  </r>
  <r>
    <s v="ORD-00753"/>
    <d v="2020-12-07T00:00:00"/>
    <s v="CUST57450"/>
    <x v="214"/>
    <n v="31"/>
    <x v="0"/>
    <x v="0"/>
    <x v="2"/>
    <x v="9"/>
    <x v="0"/>
    <s v="Face Cream"/>
    <n v="8"/>
    <n v="1138.01"/>
    <x v="38"/>
    <n v="5468.92"/>
    <n v="1289.6600000000001"/>
    <n v="49.38"/>
    <x v="5"/>
    <n v="2"/>
    <x v="0"/>
    <x v="0"/>
    <n v="2"/>
  </r>
  <r>
    <s v="ORD-01223"/>
    <d v="2021-07-06T00:00:00"/>
    <s v="CUST92686"/>
    <x v="10"/>
    <n v="39"/>
    <x v="1"/>
    <x v="2"/>
    <x v="4"/>
    <x v="18"/>
    <x v="1"/>
    <s v="Bookshelf"/>
    <n v="7"/>
    <n v="20357.47"/>
    <x v="13"/>
    <n v="174471.77"/>
    <n v="45868.32"/>
    <n v="75.400000000000006"/>
    <x v="3"/>
    <n v="4"/>
    <x v="0"/>
    <x v="0"/>
    <n v="9"/>
  </r>
  <r>
    <s v="ORD-03378"/>
    <d v="2023-12-31T00:00:00"/>
    <s v="CUST54270"/>
    <x v="300"/>
    <n v="40"/>
    <x v="1"/>
    <x v="0"/>
    <x v="4"/>
    <x v="17"/>
    <x v="1"/>
    <s v="Wardrobe"/>
    <n v="9"/>
    <n v="13849.98"/>
    <x v="15"/>
    <n v="72465.97"/>
    <n v="23060.68"/>
    <n v="47.19"/>
    <x v="4"/>
    <n v="2"/>
    <x v="0"/>
    <x v="0"/>
    <n v="5"/>
  </r>
  <r>
    <s v="ORD-00809"/>
    <d v="2021-01-05T00:00:00"/>
    <s v="CUST99388"/>
    <x v="326"/>
    <n v="33"/>
    <x v="0"/>
    <x v="0"/>
    <x v="4"/>
    <x v="18"/>
    <x v="3"/>
    <s v="Jeans"/>
    <n v="999"/>
    <n v="3280.13"/>
    <x v="13"/>
    <n v="2586345.13"/>
    <n v="921794.6"/>
    <n v="83.69"/>
    <x v="1"/>
    <n v="1"/>
    <x v="1"/>
    <x v="1"/>
    <n v="7"/>
  </r>
  <r>
    <s v="ORD-02106"/>
    <d v="2022-07-16T00:00:00"/>
    <s v="CUST15065"/>
    <x v="68"/>
    <n v="36"/>
    <x v="1"/>
    <x v="2"/>
    <x v="1"/>
    <x v="10"/>
    <x v="4"/>
    <s v="Cricket Bat"/>
    <n v="6"/>
    <n v="7187.46"/>
    <x v="23"/>
    <n v="45280.94"/>
    <n v="7760.51"/>
    <n v="48.71"/>
    <x v="1"/>
    <n v="3"/>
    <x v="0"/>
    <x v="0"/>
    <n v="5"/>
  </r>
  <r>
    <s v="ORD-01928"/>
    <d v="2022-05-02T00:00:00"/>
    <s v="CUST06307"/>
    <x v="138"/>
    <n v="56"/>
    <x v="2"/>
    <x v="0"/>
    <x v="4"/>
    <x v="7"/>
    <x v="4"/>
    <s v="Cycle"/>
    <n v="1"/>
    <n v="9069.14"/>
    <x v="10"/>
    <n v="8752.76"/>
    <n v="1861.72"/>
    <n v="32.619999999999997"/>
    <x v="0"/>
    <n v="4"/>
    <x v="0"/>
    <x v="4"/>
    <n v="5"/>
  </r>
  <r>
    <s v="ORD-01189"/>
    <d v="2021-06-19T00:00:00"/>
    <s v="CUST03077"/>
    <x v="162"/>
    <n v="34"/>
    <x v="0"/>
    <x v="2"/>
    <x v="1"/>
    <x v="10"/>
    <x v="5"/>
    <s v="Tea"/>
    <n v="10"/>
    <n v="203.58"/>
    <x v="5"/>
    <n v="2770.83"/>
    <n v="255.25"/>
    <n v="18.95"/>
    <x v="0"/>
    <n v="3"/>
    <x v="0"/>
    <x v="0"/>
    <n v="6"/>
  </r>
  <r>
    <s v="ORD-01971"/>
    <d v="2022-05-21T00:00:00"/>
    <s v="CUST35736"/>
    <x v="11"/>
    <n v="28"/>
    <x v="0"/>
    <x v="1"/>
    <x v="1"/>
    <x v="10"/>
    <x v="1"/>
    <s v="Chair"/>
    <n v="10"/>
    <n v="28073.85"/>
    <x v="28"/>
    <n v="383279"/>
    <n v="108417.14"/>
    <n v="54.05"/>
    <x v="1"/>
    <n v="1"/>
    <x v="0"/>
    <x v="0"/>
    <n v="8"/>
  </r>
  <r>
    <s v="ORD-01447"/>
    <d v="2021-10-16T00:00:00"/>
    <s v="CUST92723"/>
    <x v="332"/>
    <n v="42"/>
    <x v="1"/>
    <x v="1"/>
    <x v="0"/>
    <x v="19"/>
    <x v="1"/>
    <s v="Bed Frame"/>
    <n v="5"/>
    <n v="5397.15"/>
    <x v="34"/>
    <n v="15752.78"/>
    <n v="4521.5"/>
    <n v="33.64"/>
    <x v="1"/>
    <n v="5"/>
    <x v="0"/>
    <x v="0"/>
    <n v="3"/>
  </r>
  <r>
    <s v="ORD-00717"/>
    <d v="2020-11-24T00:00:00"/>
    <s v="CUST23500"/>
    <x v="67"/>
    <n v="47"/>
    <x v="1"/>
    <x v="1"/>
    <x v="4"/>
    <x v="18"/>
    <x v="1"/>
    <s v="Bookshelf"/>
    <n v="5"/>
    <n v="20390.29"/>
    <x v="16"/>
    <n v="66216.67"/>
    <n v="23720.97"/>
    <n v="102.38"/>
    <x v="4"/>
    <n v="3"/>
    <x v="0"/>
    <x v="0"/>
    <n v="3"/>
  </r>
  <r>
    <s v="ORD-01883"/>
    <d v="2022-04-10T00:00:00"/>
    <s v="CUST03672"/>
    <x v="324"/>
    <n v="24"/>
    <x v="3"/>
    <x v="0"/>
    <x v="0"/>
    <x v="19"/>
    <x v="1"/>
    <s v="Bookshelf"/>
    <n v="9"/>
    <n v="11907.81"/>
    <x v="20"/>
    <n v="119048.66"/>
    <n v="42582.04"/>
    <n v="73.86"/>
    <x v="2"/>
    <n v="5"/>
    <x v="0"/>
    <x v="0"/>
    <n v="10"/>
  </r>
  <r>
    <s v="ORD-01300"/>
    <d v="2021-08-10T00:00:00"/>
    <s v="CUST98101"/>
    <x v="127"/>
    <n v="30"/>
    <x v="0"/>
    <x v="2"/>
    <x v="0"/>
    <x v="19"/>
    <x v="5"/>
    <s v="Sugar"/>
    <n v="6"/>
    <n v="303.35000000000002"/>
    <x v="19"/>
    <n v="2102.56"/>
    <n v="144.04"/>
    <n v="55.2"/>
    <x v="3"/>
    <n v="1"/>
    <x v="1"/>
    <x v="1"/>
    <n v="3"/>
  </r>
  <r>
    <s v="ORD-01676"/>
    <d v="2022-01-18T00:00:00"/>
    <s v="CUST65261"/>
    <x v="386"/>
    <n v="30"/>
    <x v="0"/>
    <x v="1"/>
    <x v="1"/>
    <x v="11"/>
    <x v="1"/>
    <s v="Sofa"/>
    <n v="3"/>
    <n v="30465.56"/>
    <x v="27"/>
    <n v="48391.98"/>
    <n v="16835.509999999998"/>
    <n v="57.1"/>
    <x v="2"/>
    <n v="5"/>
    <x v="0"/>
    <x v="0"/>
    <n v="3"/>
  </r>
  <r>
    <s v="ORD-00987"/>
    <d v="2021-03-25T00:00:00"/>
    <s v="CUST04483"/>
    <x v="38"/>
    <n v="29"/>
    <x v="0"/>
    <x v="0"/>
    <x v="1"/>
    <x v="10"/>
    <x v="1"/>
    <s v="Wardrobe"/>
    <n v="4"/>
    <n v="7372.62"/>
    <x v="38"/>
    <n v="32182.82"/>
    <n v="11067.17"/>
    <n v="75.03"/>
    <x v="1"/>
    <n v="2"/>
    <x v="0"/>
    <x v="0"/>
    <n v="9"/>
  </r>
  <r>
    <s v="ORD-00141"/>
    <d v="2020-02-25T00:00:00"/>
    <s v="CUST83686"/>
    <x v="378"/>
    <n v="42"/>
    <x v="1"/>
    <x v="1"/>
    <x v="3"/>
    <x v="12"/>
    <x v="0"/>
    <s v="Face Cream"/>
    <n v="9"/>
    <n v="900.37"/>
    <x v="9"/>
    <n v="6635.38"/>
    <n v="2823.39"/>
    <n v="81.17"/>
    <x v="2"/>
    <n v="5"/>
    <x v="0"/>
    <x v="0"/>
    <n v="2"/>
  </r>
  <r>
    <s v="ORD-01924"/>
    <d v="2022-04-30T00:00:00"/>
    <s v="CUST39294"/>
    <x v="190"/>
    <n v="30"/>
    <x v="0"/>
    <x v="2"/>
    <x v="4"/>
    <x v="18"/>
    <x v="5"/>
    <s v="Sugar"/>
    <n v="1"/>
    <n v="306.95999999999998"/>
    <x v="6"/>
    <n v="278.33"/>
    <n v="24.24"/>
    <n v="44.4"/>
    <x v="4"/>
    <n v="1"/>
    <x v="0"/>
    <x v="0"/>
    <n v="3"/>
  </r>
  <r>
    <s v="ORD-03134"/>
    <d v="2023-09-16T00:00:00"/>
    <s v="CUST94057"/>
    <x v="231"/>
    <n v="29"/>
    <x v="0"/>
    <x v="0"/>
    <x v="4"/>
    <x v="7"/>
    <x v="4"/>
    <s v="Cycle"/>
    <n v="5"/>
    <n v="11278.57"/>
    <x v="33"/>
    <n v="57170.080000000002"/>
    <n v="13004.09"/>
    <n v="76.709999999999994"/>
    <x v="0"/>
    <n v="2"/>
    <x v="0"/>
    <x v="2"/>
    <n v="4"/>
  </r>
  <r>
    <s v="ORD-01800"/>
    <d v="2022-03-08T00:00:00"/>
    <s v="CUST93477"/>
    <x v="65"/>
    <n v="29"/>
    <x v="0"/>
    <x v="2"/>
    <x v="4"/>
    <x v="8"/>
    <x v="2"/>
    <s v="Self-Help Book"/>
    <n v="1"/>
    <n v="1151.01"/>
    <x v="2"/>
    <n v="1165.98"/>
    <n v="528.79"/>
    <n v="79.86"/>
    <x v="5"/>
    <n v="5"/>
    <x v="0"/>
    <x v="0"/>
    <n v="1"/>
  </r>
  <r>
    <s v="ORD-01637"/>
    <d v="2021-12-30T00:00:00"/>
    <s v="CUST05372"/>
    <x v="247"/>
    <n v="18"/>
    <x v="3"/>
    <x v="1"/>
    <x v="1"/>
    <x v="11"/>
    <x v="2"/>
    <s v="Comic Book"/>
    <n v="5"/>
    <n v="679.37"/>
    <x v="2"/>
    <n v="1782.03"/>
    <n v="915.89"/>
    <n v="55.83"/>
    <x v="1"/>
    <n v="2"/>
    <x v="0"/>
    <x v="0"/>
    <n v="8"/>
  </r>
  <r>
    <s v="ORD-00500"/>
    <d v="2020-08-07T00:00:00"/>
    <s v="CUST80941"/>
    <x v="199"/>
    <n v="56"/>
    <x v="2"/>
    <x v="0"/>
    <x v="4"/>
    <x v="18"/>
    <x v="4"/>
    <s v="Yoga Mat"/>
    <n v="10"/>
    <n v="10625.78"/>
    <x v="2"/>
    <n v="105870.48"/>
    <n v="26797.52"/>
    <n v="51.49"/>
    <x v="2"/>
    <n v="5"/>
    <x v="0"/>
    <x v="0"/>
    <n v="8"/>
  </r>
  <r>
    <s v="ORD-02067"/>
    <d v="2022-07-01T00:00:00"/>
    <s v="CUST70593"/>
    <x v="313"/>
    <n v="34"/>
    <x v="0"/>
    <x v="0"/>
    <x v="0"/>
    <x v="1"/>
    <x v="6"/>
    <s v="Smartwatch"/>
    <n v="5"/>
    <n v="38796.6"/>
    <x v="11"/>
    <n v="209644.29"/>
    <n v="25458.48"/>
    <n v="62.35"/>
    <x v="4"/>
    <n v="4"/>
    <x v="0"/>
    <x v="2"/>
    <n v="8"/>
  </r>
  <r>
    <s v="ORD-01280"/>
    <d v="2021-07-31T00:00:00"/>
    <s v="CUST18652"/>
    <x v="263"/>
    <n v="21"/>
    <x v="3"/>
    <x v="1"/>
    <x v="1"/>
    <x v="10"/>
    <x v="3"/>
    <s v="Dress"/>
    <n v="2"/>
    <n v="3825.43"/>
    <x v="22"/>
    <n v="5477.43"/>
    <n v="1454.06"/>
    <n v="57.72"/>
    <x v="2"/>
    <n v="3"/>
    <x v="0"/>
    <x v="0"/>
    <n v="2"/>
  </r>
  <r>
    <s v="ORD-00145"/>
    <d v="2020-02-28T00:00:00"/>
    <s v="CUST49284"/>
    <x v="302"/>
    <n v="25"/>
    <x v="3"/>
    <x v="0"/>
    <x v="4"/>
    <x v="8"/>
    <x v="6"/>
    <s v="Camera"/>
    <n v="6"/>
    <n v="35454.89"/>
    <x v="7"/>
    <n v="175411.87"/>
    <n v="19968.599999999999"/>
    <n v="54.28"/>
    <x v="3"/>
    <n v="5"/>
    <x v="0"/>
    <x v="0"/>
    <n v="1"/>
  </r>
  <r>
    <s v="ORD-03921"/>
    <d v="2024-08-20T00:00:00"/>
    <s v="CUST65997"/>
    <x v="67"/>
    <n v="41"/>
    <x v="1"/>
    <x v="1"/>
    <x v="3"/>
    <x v="12"/>
    <x v="5"/>
    <s v="Tea"/>
    <n v="3"/>
    <n v="392.38"/>
    <x v="9"/>
    <n v="1567.64"/>
    <n v="108.65"/>
    <n v="81.44"/>
    <x v="2"/>
    <n v="4"/>
    <x v="0"/>
    <x v="4"/>
    <n v="5"/>
  </r>
  <r>
    <s v="ORD-02335"/>
    <d v="2022-10-09T00:00:00"/>
    <s v="CUST67913"/>
    <x v="215"/>
    <n v="27"/>
    <x v="0"/>
    <x v="2"/>
    <x v="0"/>
    <x v="19"/>
    <x v="6"/>
    <s v="Laptop"/>
    <n v="3"/>
    <n v="79758.61"/>
    <x v="30"/>
    <n v="167128.85999999999"/>
    <n v="19212.28"/>
    <n v="56.24"/>
    <x v="0"/>
    <n v="1"/>
    <x v="0"/>
    <x v="2"/>
    <n v="2"/>
  </r>
  <r>
    <s v="ORD-00367"/>
    <d v="2020-06-06T00:00:00"/>
    <s v="CUST80217"/>
    <x v="7"/>
    <n v="53"/>
    <x v="2"/>
    <x v="2"/>
    <x v="4"/>
    <x v="18"/>
    <x v="5"/>
    <s v="Cooking Oil"/>
    <n v="9"/>
    <n v="324.66000000000003"/>
    <x v="1"/>
    <n v="3440.59"/>
    <n v="225.96"/>
    <n v="74.78"/>
    <x v="0"/>
    <n v="1"/>
    <x v="1"/>
    <x v="1"/>
    <n v="5"/>
  </r>
  <r>
    <s v="ORD-03343"/>
    <d v="2023-12-17T00:00:00"/>
    <s v="CUST67045"/>
    <x v="257"/>
    <n v="54"/>
    <x v="2"/>
    <x v="0"/>
    <x v="1"/>
    <x v="11"/>
    <x v="6"/>
    <s v="Tablet"/>
    <n v="5"/>
    <n v="39863.480000000003"/>
    <x v="30"/>
    <n v="99121.04"/>
    <n v="11921.37"/>
    <n v="75.459999999999994"/>
    <x v="2"/>
    <n v="4"/>
    <x v="0"/>
    <x v="2"/>
    <n v="10"/>
  </r>
  <r>
    <s v="ORD-01675"/>
    <d v="2022-01-18T00:00:00"/>
    <s v="CUST33813"/>
    <x v="30"/>
    <n v="36"/>
    <x v="1"/>
    <x v="1"/>
    <x v="0"/>
    <x v="19"/>
    <x v="0"/>
    <s v="Perfume"/>
    <n v="5"/>
    <n v="1392.93"/>
    <x v="17"/>
    <n v="3575.81"/>
    <n v="1461.67"/>
    <n v="71.760000000000005"/>
    <x v="5"/>
    <n v="3"/>
    <x v="0"/>
    <x v="0"/>
    <n v="10"/>
  </r>
  <r>
    <s v="ORD-02430"/>
    <d v="2022-11-17T00:00:00"/>
    <s v="CUST93527"/>
    <x v="69"/>
    <n v="28"/>
    <x v="0"/>
    <x v="1"/>
    <x v="4"/>
    <x v="7"/>
    <x v="0"/>
    <s v="Sunscreen"/>
    <n v="9"/>
    <n v="113.69"/>
    <x v="3"/>
    <n v="699.53"/>
    <n v="335.72"/>
    <n v="40.1"/>
    <x v="4"/>
    <n v="5"/>
    <x v="1"/>
    <x v="1"/>
    <n v="7"/>
  </r>
  <r>
    <s v="ORD-02619"/>
    <d v="2023-02-10T00:00:00"/>
    <s v="CUST88761"/>
    <x v="29"/>
    <n v="50"/>
    <x v="1"/>
    <x v="2"/>
    <x v="1"/>
    <x v="6"/>
    <x v="3"/>
    <s v="T-Shirt"/>
    <n v="6"/>
    <n v="1362.12"/>
    <x v="8"/>
    <n v="7638.08"/>
    <n v="3612.77"/>
    <n v="61.28"/>
    <x v="3"/>
    <n v="4"/>
    <x v="0"/>
    <x v="0"/>
    <n v="8"/>
  </r>
  <r>
    <s v="ORD-00967"/>
    <d v="2021-03-17T00:00:00"/>
    <s v="CUST90596"/>
    <x v="199"/>
    <n v="21"/>
    <x v="3"/>
    <x v="0"/>
    <x v="3"/>
    <x v="12"/>
    <x v="0"/>
    <s v="Hair Oil"/>
    <n v="2"/>
    <n v="119.38"/>
    <x v="19"/>
    <n v="236.95"/>
    <n v="137.69"/>
    <n v="86.43"/>
    <x v="1"/>
    <n v="3"/>
    <x v="0"/>
    <x v="4"/>
    <n v="10"/>
  </r>
  <r>
    <s v="ORD-02226"/>
    <d v="2022-08-29T00:00:00"/>
    <s v="CUST46124"/>
    <x v="355"/>
    <n v="26"/>
    <x v="0"/>
    <x v="0"/>
    <x v="2"/>
    <x v="4"/>
    <x v="2"/>
    <s v="Cook Book"/>
    <n v="9"/>
    <n v="830.37"/>
    <x v="15"/>
    <n v="6671.85"/>
    <n v="3182.54"/>
    <n v="37.06"/>
    <x v="2"/>
    <n v="2"/>
    <x v="0"/>
    <x v="0"/>
    <n v="2"/>
  </r>
  <r>
    <s v="ORD-02599"/>
    <d v="2023-02-03T00:00:00"/>
    <s v="CUST92468"/>
    <x v="350"/>
    <n v="39"/>
    <x v="1"/>
    <x v="2"/>
    <x v="3"/>
    <x v="16"/>
    <x v="1"/>
    <s v="Desk"/>
    <n v="7"/>
    <n v="12553.02"/>
    <x v="3"/>
    <n v="71332.69"/>
    <n v="19645.47"/>
    <n v="85.94"/>
    <x v="1"/>
    <n v="3"/>
    <x v="0"/>
    <x v="0"/>
    <n v="1"/>
  </r>
  <r>
    <s v="ORD-04127"/>
    <d v="2024-11-30T00:00:00"/>
    <s v="CUST07792"/>
    <x v="38"/>
    <n v="34"/>
    <x v="0"/>
    <x v="0"/>
    <x v="0"/>
    <x v="1"/>
    <x v="0"/>
    <s v="Lipstick"/>
    <n v="4"/>
    <n v="1854.35"/>
    <x v="8"/>
    <n v="6462.23"/>
    <n v="3552.01"/>
    <n v="32.770000000000003"/>
    <x v="5"/>
    <n v="5"/>
    <x v="0"/>
    <x v="0"/>
    <n v="2"/>
  </r>
  <r>
    <s v="ORD-02334"/>
    <d v="2022-10-09T00:00:00"/>
    <s v="CUST20367"/>
    <x v="292"/>
    <n v="21"/>
    <x v="3"/>
    <x v="1"/>
    <x v="4"/>
    <x v="8"/>
    <x v="4"/>
    <s v="Cricket Bat"/>
    <n v="5"/>
    <n v="13397.51"/>
    <x v="14"/>
    <n v="43451.18"/>
    <n v="7788.1"/>
    <n v="73.66"/>
    <x v="5"/>
    <n v="4"/>
    <x v="0"/>
    <x v="0"/>
    <n v="5"/>
  </r>
  <r>
    <s v="ORD-01019"/>
    <d v="2021-04-04T00:00:00"/>
    <s v="CUST72581"/>
    <x v="364"/>
    <n v="35"/>
    <x v="0"/>
    <x v="1"/>
    <x v="1"/>
    <x v="10"/>
    <x v="2"/>
    <s v="Textbook"/>
    <n v="2"/>
    <n v="1240.07"/>
    <x v="23"/>
    <n v="2086.4899999999998"/>
    <n v="966.59"/>
    <n v="50.83"/>
    <x v="2"/>
    <n v="4"/>
    <x v="0"/>
    <x v="0"/>
    <n v="9"/>
  </r>
  <r>
    <s v="ORD-03762"/>
    <d v="2024-06-26T00:00:00"/>
    <s v="CUST95973"/>
    <x v="297"/>
    <n v="36"/>
    <x v="1"/>
    <x v="0"/>
    <x v="3"/>
    <x v="15"/>
    <x v="0"/>
    <s v="Face Cream"/>
    <n v="5"/>
    <n v="506.32"/>
    <x v="37"/>
    <n v="3615.35"/>
    <n v="1883.1"/>
    <n v="101.92"/>
    <x v="2"/>
    <n v="3"/>
    <x v="0"/>
    <x v="4"/>
    <n v="8"/>
  </r>
  <r>
    <s v="ORD-01146"/>
    <d v="2021-05-30T00:00:00"/>
    <s v="CUST14306"/>
    <x v="11"/>
    <n v="32"/>
    <x v="0"/>
    <x v="2"/>
    <x v="1"/>
    <x v="3"/>
    <x v="3"/>
    <s v="Jeans"/>
    <n v="3"/>
    <n v="2929.95"/>
    <x v="29"/>
    <n v="12682.78"/>
    <n v="4420.51"/>
    <n v="33.4"/>
    <x v="2"/>
    <n v="2"/>
    <x v="0"/>
    <x v="2"/>
    <n v="10"/>
  </r>
  <r>
    <s v="ORD-03466"/>
    <d v="2024-02-10T00:00:00"/>
    <s v="CUST49074"/>
    <x v="98"/>
    <n v="27"/>
    <x v="0"/>
    <x v="0"/>
    <x v="4"/>
    <x v="18"/>
    <x v="3"/>
    <s v="Dress"/>
    <n v="5"/>
    <n v="1140.3900000000001"/>
    <x v="0"/>
    <n v="5942.91"/>
    <n v="2945.59"/>
    <n v="66.62"/>
    <x v="0"/>
    <n v="1"/>
    <x v="1"/>
    <x v="1"/>
    <n v="2"/>
  </r>
  <r>
    <s v="ORD-00306"/>
    <d v="2020-05-12T00:00:00"/>
    <s v="CUST49089"/>
    <x v="70"/>
    <n v="32"/>
    <x v="0"/>
    <x v="0"/>
    <x v="2"/>
    <x v="4"/>
    <x v="3"/>
    <s v="Dress"/>
    <n v="1"/>
    <n v="2507.91"/>
    <x v="10"/>
    <n v="2231.21"/>
    <n v="589.57000000000005"/>
    <n v="42.69"/>
    <x v="1"/>
    <n v="2"/>
    <x v="0"/>
    <x v="0"/>
    <n v="3"/>
  </r>
  <r>
    <s v="ORD-04001"/>
    <d v="2024-09-23T00:00:00"/>
    <s v="CUST65012"/>
    <x v="10"/>
    <n v="39"/>
    <x v="1"/>
    <x v="0"/>
    <x v="4"/>
    <x v="8"/>
    <x v="3"/>
    <s v="Dress"/>
    <n v="6"/>
    <n v="633.62"/>
    <x v="38"/>
    <n v="4634.74"/>
    <n v="1771.15"/>
    <n v="66.09"/>
    <x v="0"/>
    <n v="2"/>
    <x v="0"/>
    <x v="0"/>
    <n v="3"/>
  </r>
  <r>
    <s v="ORD-01454"/>
    <d v="2021-10-20T00:00:00"/>
    <s v="CUST23242"/>
    <x v="51"/>
    <n v="43"/>
    <x v="1"/>
    <x v="2"/>
    <x v="2"/>
    <x v="14"/>
    <x v="4"/>
    <s v="Cricket Bat"/>
    <n v="3"/>
    <n v="6413.38"/>
    <x v="19"/>
    <n v="14627.15"/>
    <n v="3690.83"/>
    <n v="28.34"/>
    <x v="2"/>
    <n v="5"/>
    <x v="0"/>
    <x v="3"/>
    <n v="2"/>
  </r>
  <r>
    <s v="ORD-02968"/>
    <d v="2023-08-07T00:00:00"/>
    <s v="CUST30076"/>
    <x v="57"/>
    <n v="21"/>
    <x v="3"/>
    <x v="0"/>
    <x v="3"/>
    <x v="12"/>
    <x v="3"/>
    <s v="Kurta"/>
    <n v="8"/>
    <n v="306.88"/>
    <x v="36"/>
    <n v="2993.13"/>
    <n v="1019.95"/>
    <n v="53.78"/>
    <x v="3"/>
    <n v="3"/>
    <x v="1"/>
    <x v="1"/>
    <n v="8"/>
  </r>
  <r>
    <s v="ORD-04121"/>
    <d v="2024-11-27T00:00:00"/>
    <s v="CUST46430"/>
    <x v="114"/>
    <n v="42"/>
    <x v="1"/>
    <x v="0"/>
    <x v="3"/>
    <x v="12"/>
    <x v="6"/>
    <s v="Laptop"/>
    <n v="7"/>
    <n v="26719.46"/>
    <x v="18"/>
    <n v="125839.81"/>
    <n v="16743.79"/>
    <n v="87.4"/>
    <x v="3"/>
    <n v="1"/>
    <x v="0"/>
    <x v="0"/>
    <n v="9"/>
  </r>
  <r>
    <s v="ORD-01496"/>
    <d v="2021-11-02T00:00:00"/>
    <s v="CUST57725"/>
    <x v="163"/>
    <n v="43"/>
    <x v="1"/>
    <x v="1"/>
    <x v="2"/>
    <x v="14"/>
    <x v="0"/>
    <s v="Hair Oil"/>
    <n v="2"/>
    <n v="870.66"/>
    <x v="8"/>
    <n v="1465.34"/>
    <n v="696.19"/>
    <n v="29.61"/>
    <x v="3"/>
    <n v="1"/>
    <x v="1"/>
    <x v="1"/>
    <n v="10"/>
  </r>
  <r>
    <s v="ORD-00890"/>
    <d v="2021-02-04T00:00:00"/>
    <s v="CUST21364"/>
    <x v="4"/>
    <n v="33"/>
    <x v="0"/>
    <x v="1"/>
    <x v="4"/>
    <x v="17"/>
    <x v="6"/>
    <s v="Tablet"/>
    <n v="1"/>
    <n v="41541.620000000003"/>
    <x v="20"/>
    <n v="29525.13"/>
    <n v="3792.31"/>
    <n v="88.25"/>
    <x v="5"/>
    <n v="2"/>
    <x v="0"/>
    <x v="2"/>
    <n v="6"/>
  </r>
  <r>
    <s v="ORD-03736"/>
    <d v="2024-06-17T00:00:00"/>
    <s v="CUST82654"/>
    <x v="69"/>
    <n v="28"/>
    <x v="0"/>
    <x v="1"/>
    <x v="1"/>
    <x v="10"/>
    <x v="5"/>
    <s v="Dal (1kg)"/>
    <n v="5"/>
    <n v="303.44"/>
    <x v="29"/>
    <n v="2686.06"/>
    <n v="221.12"/>
    <n v="32.81"/>
    <x v="4"/>
    <n v="4"/>
    <x v="0"/>
    <x v="0"/>
    <n v="9"/>
  </r>
  <r>
    <s v="ORD-02939"/>
    <d v="2023-06-28T00:00:00"/>
    <s v="CUST99269"/>
    <x v="206"/>
    <n v="42"/>
    <x v="1"/>
    <x v="1"/>
    <x v="2"/>
    <x v="13"/>
    <x v="6"/>
    <s v="Headphones"/>
    <n v="3"/>
    <n v="28197.79"/>
    <x v="31"/>
    <n v="103938.59"/>
    <n v="17181.509999999998"/>
    <n v="73.989999999999995"/>
    <x v="3"/>
    <n v="4"/>
    <x v="0"/>
    <x v="3"/>
    <n v="1"/>
  </r>
  <r>
    <s v="ORD-01427"/>
    <d v="2021-10-06T00:00:00"/>
    <s v="CUST62447"/>
    <x v="31"/>
    <n v="25"/>
    <x v="3"/>
    <x v="1"/>
    <x v="4"/>
    <x v="8"/>
    <x v="3"/>
    <s v="Kurta"/>
    <n v="3"/>
    <n v="1683.92"/>
    <x v="5"/>
    <n v="5129.49"/>
    <n v="1700.69"/>
    <n v="84.8"/>
    <x v="2"/>
    <n v="3"/>
    <x v="0"/>
    <x v="4"/>
    <n v="8"/>
  </r>
  <r>
    <s v="ORD-00654"/>
    <d v="2020-10-21T00:00:00"/>
    <s v="CUST92572"/>
    <x v="329"/>
    <n v="36"/>
    <x v="1"/>
    <x v="2"/>
    <x v="1"/>
    <x v="10"/>
    <x v="1"/>
    <s v="Wardrobe"/>
    <n v="6"/>
    <n v="29603.47"/>
    <x v="32"/>
    <n v="131775.14000000001"/>
    <n v="31425.24"/>
    <n v="72.709999999999994"/>
    <x v="2"/>
    <n v="4"/>
    <x v="0"/>
    <x v="0"/>
    <n v="2"/>
  </r>
  <r>
    <s v="ORD-01501"/>
    <d v="2021-11-04T00:00:00"/>
    <s v="CUST09268"/>
    <x v="93"/>
    <n v="47"/>
    <x v="1"/>
    <x v="1"/>
    <x v="4"/>
    <x v="18"/>
    <x v="6"/>
    <s v="Camera"/>
    <n v="4"/>
    <n v="32627.08"/>
    <x v="7"/>
    <n v="92706.13"/>
    <n v="13307.57"/>
    <n v="72.28"/>
    <x v="0"/>
    <n v="3"/>
    <x v="1"/>
    <x v="1"/>
    <n v="8"/>
  </r>
  <r>
    <s v="ORD-00631"/>
    <d v="2020-10-10T00:00:00"/>
    <s v="CUST25609"/>
    <x v="199"/>
    <n v="60"/>
    <x v="2"/>
    <x v="0"/>
    <x v="2"/>
    <x v="4"/>
    <x v="2"/>
    <s v="Biography"/>
    <n v="4"/>
    <n v="902.54"/>
    <x v="30"/>
    <n v="1938.35"/>
    <n v="751.4"/>
    <n v="75.5"/>
    <x v="1"/>
    <n v="1"/>
    <x v="0"/>
    <x v="0"/>
    <n v="2"/>
  </r>
  <r>
    <s v="ORD-01235"/>
    <d v="2021-07-12T00:00:00"/>
    <s v="CUST68009"/>
    <x v="264"/>
    <n v="30"/>
    <x v="0"/>
    <x v="2"/>
    <x v="3"/>
    <x v="16"/>
    <x v="5"/>
    <s v="Dal (1kg)"/>
    <n v="10"/>
    <n v="359.56"/>
    <x v="0"/>
    <n v="4470.5600000000004"/>
    <n v="416.18"/>
    <n v="62.31"/>
    <x v="0"/>
    <n v="1"/>
    <x v="1"/>
    <x v="1"/>
    <n v="9"/>
  </r>
  <r>
    <s v="ORD-03504"/>
    <d v="2024-03-03T00:00:00"/>
    <s v="CUST34451"/>
    <x v="270"/>
    <n v="31"/>
    <x v="0"/>
    <x v="1"/>
    <x v="0"/>
    <x v="0"/>
    <x v="4"/>
    <s v="Dumbbells"/>
    <n v="7"/>
    <n v="1704.58"/>
    <x v="40"/>
    <n v="10255.26"/>
    <n v="3143.81"/>
    <n v="60.24"/>
    <x v="2"/>
    <n v="1"/>
    <x v="0"/>
    <x v="0"/>
    <n v="4"/>
  </r>
  <r>
    <s v="ORD-04190"/>
    <d v="2024-12-26T00:00:00"/>
    <s v="CUST01943"/>
    <x v="190"/>
    <n v="21"/>
    <x v="3"/>
    <x v="1"/>
    <x v="2"/>
    <x v="14"/>
    <x v="4"/>
    <s v="Cricket Bat"/>
    <n v="6"/>
    <n v="5492.54"/>
    <x v="32"/>
    <n v="25243.43"/>
    <n v="6104.49"/>
    <n v="71.5"/>
    <x v="1"/>
    <n v="5"/>
    <x v="0"/>
    <x v="0"/>
    <n v="1"/>
  </r>
  <r>
    <s v="ORD-01804"/>
    <d v="2022-03-10T00:00:00"/>
    <s v="CUST98137"/>
    <x v="333"/>
    <n v="21"/>
    <x v="3"/>
    <x v="2"/>
    <x v="2"/>
    <x v="9"/>
    <x v="2"/>
    <s v="Self-Help Book"/>
    <n v="1"/>
    <n v="268.61"/>
    <x v="4"/>
    <n v="281.45999999999998"/>
    <n v="81.290000000000006"/>
    <n v="49.64"/>
    <x v="1"/>
    <n v="5"/>
    <x v="0"/>
    <x v="0"/>
    <n v="1"/>
  </r>
  <r>
    <s v="ORD-03541"/>
    <d v="2024-03-19T00:00:00"/>
    <s v="CUST20196"/>
    <x v="58"/>
    <n v="39"/>
    <x v="1"/>
    <x v="2"/>
    <x v="1"/>
    <x v="6"/>
    <x v="0"/>
    <s v="Sunscreen"/>
    <n v="5"/>
    <n v="2034.91"/>
    <x v="21"/>
    <n v="7446.29"/>
    <n v="2266.42"/>
    <n v="51.38"/>
    <x v="2"/>
    <n v="3"/>
    <x v="0"/>
    <x v="0"/>
    <n v="7"/>
  </r>
  <r>
    <s v="ORD-03750"/>
    <d v="2024-06-21T00:00:00"/>
    <s v="CUST58867"/>
    <x v="158"/>
    <n v="47"/>
    <x v="1"/>
    <x v="1"/>
    <x v="1"/>
    <x v="6"/>
    <x v="0"/>
    <s v="Sunscreen"/>
    <n v="9"/>
    <n v="2060.87"/>
    <x v="39"/>
    <n v="28144"/>
    <n v="10192.200000000001"/>
    <n v="37.799999999999997"/>
    <x v="2"/>
    <n v="4"/>
    <x v="0"/>
    <x v="4"/>
    <n v="4"/>
  </r>
  <r>
    <s v="ORD-01104"/>
    <d v="2021-05-13T00:00:00"/>
    <s v="CUST46318"/>
    <x v="33"/>
    <n v="21"/>
    <x v="3"/>
    <x v="1"/>
    <x v="0"/>
    <x v="1"/>
    <x v="6"/>
    <s v="Laptop"/>
    <n v="2"/>
    <n v="78594.039999999994"/>
    <x v="28"/>
    <n v="193777.03"/>
    <n v="25135.71"/>
    <n v="35.32"/>
    <x v="3"/>
    <n v="3"/>
    <x v="0"/>
    <x v="0"/>
    <n v="8"/>
  </r>
  <r>
    <s v="ORD-00567"/>
    <d v="2020-09-09T00:00:00"/>
    <s v="CUST22945"/>
    <x v="29"/>
    <n v="52"/>
    <x v="2"/>
    <x v="2"/>
    <x v="4"/>
    <x v="8"/>
    <x v="2"/>
    <s v="Fiction Novel"/>
    <n v="9"/>
    <n v="955.64"/>
    <x v="7"/>
    <n v="8375.59"/>
    <n v="2836.26"/>
    <n v="75.790000000000006"/>
    <x v="3"/>
    <n v="4"/>
    <x v="0"/>
    <x v="4"/>
    <n v="9"/>
  </r>
  <r>
    <s v="ORD-01662"/>
    <d v="2022-01-12T00:00:00"/>
    <s v="CUST29153"/>
    <x v="243"/>
    <n v="26"/>
    <x v="0"/>
    <x v="1"/>
    <x v="1"/>
    <x v="6"/>
    <x v="0"/>
    <s v="Face Cream"/>
    <n v="6"/>
    <n v="779.63"/>
    <x v="20"/>
    <n v="3057.53"/>
    <n v="1544.23"/>
    <n v="28.85"/>
    <x v="1"/>
    <n v="2"/>
    <x v="1"/>
    <x v="1"/>
    <n v="9"/>
  </r>
  <r>
    <s v="ORD-03139"/>
    <d v="2023-09-18T00:00:00"/>
    <s v="CUST16592"/>
    <x v="92"/>
    <n v="22"/>
    <x v="3"/>
    <x v="1"/>
    <x v="0"/>
    <x v="1"/>
    <x v="1"/>
    <s v="Bed Frame"/>
    <n v="6"/>
    <n v="8704.76"/>
    <x v="37"/>
    <n v="52701.51"/>
    <n v="16266.5"/>
    <n v="67.260000000000005"/>
    <x v="3"/>
    <n v="1"/>
    <x v="0"/>
    <x v="4"/>
    <n v="9"/>
  </r>
  <r>
    <s v="ORD-03409"/>
    <d v="2024-01-17T00:00:00"/>
    <s v="CUST78204"/>
    <x v="201"/>
    <n v="52"/>
    <x v="2"/>
    <x v="2"/>
    <x v="1"/>
    <x v="10"/>
    <x v="6"/>
    <s v="Smartphone"/>
    <n v="10"/>
    <n v="9943.85"/>
    <x v="28"/>
    <n v="93726.28"/>
    <n v="11320.82"/>
    <n v="33.450000000000003"/>
    <x v="4"/>
    <n v="4"/>
    <x v="1"/>
    <x v="1"/>
    <n v="6"/>
  </r>
  <r>
    <s v="ORD-01612"/>
    <d v="2021-12-21T00:00:00"/>
    <s v="CUST27676"/>
    <x v="389"/>
    <n v="33"/>
    <x v="0"/>
    <x v="2"/>
    <x v="2"/>
    <x v="13"/>
    <x v="5"/>
    <s v="Sugar"/>
    <n v="6"/>
    <n v="377.46"/>
    <x v="35"/>
    <n v="1187.1600000000001"/>
    <n v="62.24"/>
    <n v="64.09"/>
    <x v="5"/>
    <n v="2"/>
    <x v="0"/>
    <x v="3"/>
    <n v="5"/>
  </r>
  <r>
    <s v="ORD-03761"/>
    <d v="2024-06-25T00:00:00"/>
    <s v="CUST71732"/>
    <x v="41"/>
    <n v="27"/>
    <x v="0"/>
    <x v="2"/>
    <x v="4"/>
    <x v="7"/>
    <x v="5"/>
    <s v="Cooking Oil"/>
    <n v="1"/>
    <n v="389.09"/>
    <x v="30"/>
    <n v="384.54"/>
    <n v="33.54"/>
    <n v="93.62"/>
    <x v="3"/>
    <n v="5"/>
    <x v="0"/>
    <x v="0"/>
    <n v="3"/>
  </r>
  <r>
    <s v="ORD-00569"/>
    <d v="2020-09-10T00:00:00"/>
    <s v="CUST30901"/>
    <x v="254"/>
    <n v="49"/>
    <x v="1"/>
    <x v="0"/>
    <x v="1"/>
    <x v="10"/>
    <x v="3"/>
    <s v="Dress"/>
    <n v="9"/>
    <n v="1086.28"/>
    <x v="5"/>
    <n v="10096.41"/>
    <n v="2991.15"/>
    <n v="60.79"/>
    <x v="4"/>
    <n v="5"/>
    <x v="0"/>
    <x v="3"/>
    <n v="5"/>
  </r>
  <r>
    <s v="ORD-02038"/>
    <d v="2022-06-17T00:00:00"/>
    <s v="CUST04354"/>
    <x v="166"/>
    <n v="50"/>
    <x v="1"/>
    <x v="1"/>
    <x v="3"/>
    <x v="15"/>
    <x v="0"/>
    <s v="Face Cream"/>
    <n v="2"/>
    <n v="884.91"/>
    <x v="10"/>
    <n v="2004.25"/>
    <n v="1116.42"/>
    <n v="82.19"/>
    <x v="3"/>
    <n v="2"/>
    <x v="0"/>
    <x v="3"/>
    <n v="3"/>
  </r>
  <r>
    <s v="ORD-01570"/>
    <d v="2021-12-03T00:00:00"/>
    <s v="CUST84183"/>
    <x v="324"/>
    <n v="21"/>
    <x v="3"/>
    <x v="0"/>
    <x v="2"/>
    <x v="4"/>
    <x v="6"/>
    <s v="Smartwatch"/>
    <n v="9"/>
    <n v="53847.63"/>
    <x v="35"/>
    <n v="246850.13"/>
    <n v="37649.519999999997"/>
    <n v="59.17"/>
    <x v="4"/>
    <n v="4"/>
    <x v="0"/>
    <x v="0"/>
    <n v="2"/>
  </r>
  <r>
    <s v="ORD-03115"/>
    <d v="2023-09-08T00:00:00"/>
    <s v="CUST63946"/>
    <x v="275"/>
    <n v="45"/>
    <x v="1"/>
    <x v="1"/>
    <x v="2"/>
    <x v="14"/>
    <x v="3"/>
    <s v="Kurta"/>
    <n v="6"/>
    <n v="828.79"/>
    <x v="36"/>
    <n v="4849.25"/>
    <n v="1887.14"/>
    <n v="32.64"/>
    <x v="1"/>
    <n v="5"/>
    <x v="0"/>
    <x v="2"/>
    <n v="6"/>
  </r>
  <r>
    <s v="ORD-00826"/>
    <d v="2021-01-13T00:00:00"/>
    <s v="CUST30306"/>
    <x v="351"/>
    <n v="22"/>
    <x v="3"/>
    <x v="1"/>
    <x v="4"/>
    <x v="18"/>
    <x v="0"/>
    <s v="Sunscreen"/>
    <n v="8"/>
    <n v="920.84"/>
    <x v="37"/>
    <n v="4710.2"/>
    <n v="2543.38"/>
    <n v="46.86"/>
    <x v="3"/>
    <n v="5"/>
    <x v="0"/>
    <x v="0"/>
    <n v="8"/>
  </r>
  <r>
    <s v="ORD-01160"/>
    <d v="2021-06-04T00:00:00"/>
    <s v="CUST00213"/>
    <x v="386"/>
    <n v="24"/>
    <x v="3"/>
    <x v="2"/>
    <x v="2"/>
    <x v="14"/>
    <x v="2"/>
    <s v="Cook Book"/>
    <n v="4"/>
    <n v="514.84"/>
    <x v="0"/>
    <n v="2778.42"/>
    <n v="1048.18"/>
    <n v="49.45"/>
    <x v="0"/>
    <n v="5"/>
    <x v="0"/>
    <x v="0"/>
    <n v="7"/>
  </r>
  <r>
    <s v="ORD-04043"/>
    <d v="2024-10-20T00:00:00"/>
    <s v="CUST23084"/>
    <x v="372"/>
    <n v="28"/>
    <x v="0"/>
    <x v="1"/>
    <x v="2"/>
    <x v="14"/>
    <x v="2"/>
    <s v="Textbook"/>
    <n v="2"/>
    <n v="1282.6300000000001"/>
    <x v="10"/>
    <n v="1929.76"/>
    <n v="782.47"/>
    <n v="19.68"/>
    <x v="0"/>
    <n v="4"/>
    <x v="0"/>
    <x v="0"/>
    <n v="6"/>
  </r>
  <r>
    <s v="ORD-01352"/>
    <d v="2021-09-01T00:00:00"/>
    <s v="CUST17309"/>
    <x v="212"/>
    <n v="31"/>
    <x v="0"/>
    <x v="2"/>
    <x v="3"/>
    <x v="15"/>
    <x v="2"/>
    <s v="Fiction Novel"/>
    <n v="1"/>
    <n v="1491.06"/>
    <x v="8"/>
    <n v="1674.24"/>
    <n v="498.53"/>
    <n v="77.849999999999994"/>
    <x v="0"/>
    <n v="3"/>
    <x v="0"/>
    <x v="0"/>
    <n v="10"/>
  </r>
  <r>
    <s v="ORD-01797"/>
    <d v="2022-03-07T00:00:00"/>
    <s v="CUST91049"/>
    <x v="277"/>
    <n v="30"/>
    <x v="0"/>
    <x v="2"/>
    <x v="1"/>
    <x v="10"/>
    <x v="6"/>
    <s v="Smartphone"/>
    <n v="7"/>
    <n v="56508.01"/>
    <x v="2"/>
    <n v="346370.5"/>
    <n v="51195.31"/>
    <n v="55.94"/>
    <x v="1"/>
    <n v="1"/>
    <x v="0"/>
    <x v="2"/>
    <n v="5"/>
  </r>
  <r>
    <s v="ORD-01143"/>
    <d v="2021-05-30T00:00:00"/>
    <s v="CUST25482"/>
    <x v="86"/>
    <n v="44"/>
    <x v="1"/>
    <x v="1"/>
    <x v="1"/>
    <x v="11"/>
    <x v="2"/>
    <s v="Textbook"/>
    <n v="9"/>
    <n v="1098.3800000000001"/>
    <x v="25"/>
    <n v="8954.36"/>
    <n v="4025.08"/>
    <n v="53.61"/>
    <x v="1"/>
    <n v="4"/>
    <x v="0"/>
    <x v="0"/>
    <n v="2"/>
  </r>
  <r>
    <s v="ORD-03370"/>
    <d v="2023-12-30T00:00:00"/>
    <s v="CUST29187"/>
    <x v="104"/>
    <n v="38"/>
    <x v="1"/>
    <x v="2"/>
    <x v="4"/>
    <x v="8"/>
    <x v="5"/>
    <s v="Sugar"/>
    <n v="4"/>
    <n v="447.49"/>
    <x v="26"/>
    <n v="1195.23"/>
    <n v="126.56"/>
    <n v="87.92"/>
    <x v="3"/>
    <n v="5"/>
    <x v="0"/>
    <x v="3"/>
    <n v="3"/>
  </r>
  <r>
    <s v="ORD-03176"/>
    <d v="2023-10-05T00:00:00"/>
    <s v="CUST24094"/>
    <x v="232"/>
    <n v="42"/>
    <x v="1"/>
    <x v="1"/>
    <x v="1"/>
    <x v="11"/>
    <x v="4"/>
    <s v="Dumbbells"/>
    <n v="5"/>
    <n v="10121.780000000001"/>
    <x v="1"/>
    <n v="46514.29"/>
    <n v="14209.66"/>
    <n v="67.27"/>
    <x v="5"/>
    <n v="1"/>
    <x v="0"/>
    <x v="0"/>
    <n v="6"/>
  </r>
  <r>
    <s v="ORD-00965"/>
    <d v="2021-03-17T00:00:00"/>
    <s v="CUST01123"/>
    <x v="144"/>
    <n v="37"/>
    <x v="1"/>
    <x v="0"/>
    <x v="4"/>
    <x v="8"/>
    <x v="1"/>
    <s v="Bed Frame"/>
    <n v="4"/>
    <n v="14435.97"/>
    <x v="5"/>
    <n v="62179.839999999997"/>
    <n v="17618.77"/>
    <n v="57.05"/>
    <x v="5"/>
    <n v="3"/>
    <x v="0"/>
    <x v="0"/>
    <n v="7"/>
  </r>
  <r>
    <s v="ORD-00900"/>
    <d v="2021-02-08T00:00:00"/>
    <s v="CUST52346"/>
    <x v="89"/>
    <n v="39"/>
    <x v="1"/>
    <x v="1"/>
    <x v="0"/>
    <x v="2"/>
    <x v="6"/>
    <s v="Smartphone"/>
    <n v="3"/>
    <n v="76079.41"/>
    <x v="16"/>
    <n v="168287.61"/>
    <n v="15094"/>
    <n v="31.95"/>
    <x v="4"/>
    <n v="2"/>
    <x v="1"/>
    <x v="1"/>
    <n v="8"/>
  </r>
  <r>
    <s v="ORD-00250"/>
    <d v="2020-04-20T00:00:00"/>
    <s v="CUST60360"/>
    <x v="34"/>
    <n v="54"/>
    <x v="2"/>
    <x v="2"/>
    <x v="1"/>
    <x v="11"/>
    <x v="0"/>
    <s v="Sunscreen"/>
    <n v="5"/>
    <n v="1643.32"/>
    <x v="38"/>
    <n v="9008.4699999999993"/>
    <n v="4000.95"/>
    <n v="84.55"/>
    <x v="2"/>
    <n v="4"/>
    <x v="0"/>
    <x v="0"/>
    <n v="4"/>
  </r>
  <r>
    <s v="ORD-01805"/>
    <d v="2022-03-10T00:00:00"/>
    <s v="CUST13304"/>
    <x v="195"/>
    <n v="44"/>
    <x v="1"/>
    <x v="1"/>
    <x v="4"/>
    <x v="17"/>
    <x v="4"/>
    <s v="Cycle"/>
    <n v="3"/>
    <n v="10264.85"/>
    <x v="32"/>
    <n v="30609.29"/>
    <n v="8490.6299999999992"/>
    <n v="39.51"/>
    <x v="5"/>
    <n v="5"/>
    <x v="0"/>
    <x v="0"/>
    <n v="8"/>
  </r>
  <r>
    <s v="ORD-03206"/>
    <d v="2023-10-19T00:00:00"/>
    <s v="CUST74267"/>
    <x v="286"/>
    <n v="29"/>
    <x v="0"/>
    <x v="0"/>
    <x v="1"/>
    <x v="6"/>
    <x v="6"/>
    <s v="Tablet"/>
    <n v="1"/>
    <n v="75894.5"/>
    <x v="9"/>
    <n v="69743.960000000006"/>
    <n v="8164.31"/>
    <n v="36.14"/>
    <x v="4"/>
    <n v="1"/>
    <x v="0"/>
    <x v="0"/>
    <n v="5"/>
  </r>
  <r>
    <s v="ORD-03680"/>
    <d v="2024-05-16T00:00:00"/>
    <s v="CUST34978"/>
    <x v="339"/>
    <n v="19"/>
    <x v="3"/>
    <x v="2"/>
    <x v="2"/>
    <x v="13"/>
    <x v="5"/>
    <s v="Sugar"/>
    <n v="4"/>
    <n v="237.91"/>
    <x v="33"/>
    <n v="1123.6099999999999"/>
    <n v="104.78"/>
    <n v="61.7"/>
    <x v="3"/>
    <n v="5"/>
    <x v="1"/>
    <x v="1"/>
    <n v="4"/>
  </r>
  <r>
    <s v="ORD-03072"/>
    <d v="2023-08-19T00:00:00"/>
    <s v="CUST71775"/>
    <x v="342"/>
    <n v="25"/>
    <x v="3"/>
    <x v="0"/>
    <x v="4"/>
    <x v="17"/>
    <x v="0"/>
    <s v="Hair Oil"/>
    <n v="6"/>
    <n v="1067.32"/>
    <x v="39"/>
    <n v="9986.14"/>
    <n v="3581.4"/>
    <n v="84.82"/>
    <x v="1"/>
    <n v="4"/>
    <x v="1"/>
    <x v="1"/>
    <n v="9"/>
  </r>
  <r>
    <s v="ORD-01964"/>
    <d v="2022-05-17T00:00:00"/>
    <s v="CUST41576"/>
    <x v="274"/>
    <n v="38"/>
    <x v="1"/>
    <x v="2"/>
    <x v="0"/>
    <x v="19"/>
    <x v="2"/>
    <s v="Biography"/>
    <n v="10"/>
    <n v="550.80999999999995"/>
    <x v="16"/>
    <n v="6670.17"/>
    <n v="3295.18"/>
    <n v="67.61"/>
    <x v="2"/>
    <n v="4"/>
    <x v="0"/>
    <x v="0"/>
    <n v="4"/>
  </r>
  <r>
    <s v="ORD-00889"/>
    <d v="2021-02-04T00:00:00"/>
    <s v="CUST13240"/>
    <x v="279"/>
    <n v="41"/>
    <x v="1"/>
    <x v="1"/>
    <x v="1"/>
    <x v="10"/>
    <x v="5"/>
    <s v="Sugar"/>
    <n v="2"/>
    <n v="184.78"/>
    <x v="4"/>
    <n v="289.36"/>
    <n v="22.18"/>
    <n v="44.84"/>
    <x v="0"/>
    <n v="1"/>
    <x v="0"/>
    <x v="0"/>
    <n v="9"/>
  </r>
  <r>
    <s v="ORD-02845"/>
    <d v="2023-05-24T00:00:00"/>
    <s v="CUST08284"/>
    <x v="282"/>
    <n v="19"/>
    <x v="3"/>
    <x v="0"/>
    <x v="0"/>
    <x v="0"/>
    <x v="2"/>
    <s v="Comic Book"/>
    <n v="9"/>
    <n v="1391.1"/>
    <x v="32"/>
    <n v="19579.439999999999"/>
    <n v="8225.4500000000007"/>
    <n v="57.35"/>
    <x v="0"/>
    <n v="5"/>
    <x v="0"/>
    <x v="3"/>
    <n v="5"/>
  </r>
  <r>
    <s v="ORD-00492"/>
    <d v="2020-08-04T00:00:00"/>
    <s v="CUST93700"/>
    <x v="310"/>
    <n v="26"/>
    <x v="0"/>
    <x v="1"/>
    <x v="2"/>
    <x v="4"/>
    <x v="4"/>
    <s v="Football"/>
    <n v="7"/>
    <n v="8179.73"/>
    <x v="39"/>
    <n v="61790.38"/>
    <n v="13078.48"/>
    <n v="40.31"/>
    <x v="3"/>
    <n v="1"/>
    <x v="0"/>
    <x v="0"/>
    <n v="1"/>
  </r>
  <r>
    <s v="ORD-00124"/>
    <d v="2020-02-16T00:00:00"/>
    <s v="CUST06506"/>
    <x v="383"/>
    <n v="32"/>
    <x v="0"/>
    <x v="2"/>
    <x v="0"/>
    <x v="0"/>
    <x v="6"/>
    <s v="Tablet"/>
    <n v="10"/>
    <n v="53531.64"/>
    <x v="19"/>
    <n v="400722.8"/>
    <n v="51938.51"/>
    <n v="58.35"/>
    <x v="2"/>
    <n v="4"/>
    <x v="1"/>
    <x v="1"/>
    <n v="10"/>
  </r>
  <r>
    <s v="ORD-00618"/>
    <d v="2020-10-03T00:00:00"/>
    <s v="CUST23090"/>
    <x v="151"/>
    <n v="43"/>
    <x v="1"/>
    <x v="1"/>
    <x v="0"/>
    <x v="0"/>
    <x v="2"/>
    <s v="Fiction Novel"/>
    <n v="5"/>
    <n v="1447.22"/>
    <x v="0"/>
    <n v="4844.51"/>
    <n v="2794.08"/>
    <n v="69.42"/>
    <x v="4"/>
    <n v="5"/>
    <x v="0"/>
    <x v="0"/>
    <n v="2"/>
  </r>
  <r>
    <s v="ORD-01562"/>
    <d v="2021-11-30T00:00:00"/>
    <s v="CUST52989"/>
    <x v="389"/>
    <n v="37"/>
    <x v="1"/>
    <x v="2"/>
    <x v="1"/>
    <x v="10"/>
    <x v="5"/>
    <s v="Tea"/>
    <n v="10"/>
    <n v="114.63"/>
    <x v="23"/>
    <n v="544.49"/>
    <n v="42.94"/>
    <n v="49.31"/>
    <x v="1"/>
    <n v="4"/>
    <x v="0"/>
    <x v="0"/>
    <n v="8"/>
  </r>
  <r>
    <s v="ORD-01977"/>
    <d v="2022-05-23T00:00:00"/>
    <s v="CUST02433"/>
    <x v="284"/>
    <n v="27"/>
    <x v="0"/>
    <x v="1"/>
    <x v="2"/>
    <x v="14"/>
    <x v="1"/>
    <s v="Wardrobe"/>
    <n v="2"/>
    <n v="14453.77"/>
    <x v="3"/>
    <n v="32603.05"/>
    <n v="8034.59"/>
    <n v="53.68"/>
    <x v="4"/>
    <n v="5"/>
    <x v="0"/>
    <x v="0"/>
    <n v="9"/>
  </r>
  <r>
    <s v="ORD-00562"/>
    <d v="2020-09-06T00:00:00"/>
    <s v="CUST35414"/>
    <x v="365"/>
    <n v="39"/>
    <x v="1"/>
    <x v="2"/>
    <x v="0"/>
    <x v="1"/>
    <x v="0"/>
    <s v="Lipstick"/>
    <n v="6"/>
    <n v="1280.8399999999999"/>
    <x v="37"/>
    <n v="5974.92"/>
    <n v="2678.22"/>
    <n v="72.989999999999995"/>
    <x v="5"/>
    <n v="3"/>
    <x v="0"/>
    <x v="0"/>
    <n v="1"/>
  </r>
  <r>
    <s v="ORD-01698"/>
    <d v="2022-01-28T00:00:00"/>
    <s v="CUST81725"/>
    <x v="297"/>
    <n v="29"/>
    <x v="0"/>
    <x v="1"/>
    <x v="3"/>
    <x v="15"/>
    <x v="1"/>
    <s v="Sofa"/>
    <n v="4"/>
    <n v="30087.03"/>
    <x v="33"/>
    <n v="73826.31"/>
    <n v="20501.91"/>
    <n v="80.38"/>
    <x v="0"/>
    <n v="1"/>
    <x v="0"/>
    <x v="0"/>
    <n v="7"/>
  </r>
  <r>
    <s v="ORD-00765"/>
    <d v="2020-12-13T00:00:00"/>
    <s v="CUST44683"/>
    <x v="134"/>
    <n v="26"/>
    <x v="0"/>
    <x v="1"/>
    <x v="2"/>
    <x v="13"/>
    <x v="1"/>
    <s v="Bed Frame"/>
    <n v="1"/>
    <n v="19060.919999999998"/>
    <x v="35"/>
    <n v="9008.82"/>
    <n v="2392.71"/>
    <n v="30.32"/>
    <x v="5"/>
    <n v="2"/>
    <x v="0"/>
    <x v="0"/>
    <n v="4"/>
  </r>
  <r>
    <s v="ORD-02155"/>
    <d v="2022-08-04T00:00:00"/>
    <s v="CUST14965"/>
    <x v="97"/>
    <n v="36"/>
    <x v="1"/>
    <x v="2"/>
    <x v="4"/>
    <x v="18"/>
    <x v="4"/>
    <s v="Tennis Racket"/>
    <n v="5"/>
    <n v="10085.52"/>
    <x v="8"/>
    <n v="65977.61"/>
    <n v="14440.37"/>
    <n v="73.11"/>
    <x v="4"/>
    <n v="2"/>
    <x v="1"/>
    <x v="1"/>
    <n v="5"/>
  </r>
  <r>
    <s v="ORD-01267"/>
    <d v="2021-07-26T00:00:00"/>
    <s v="CUST48930"/>
    <x v="66"/>
    <n v="32"/>
    <x v="0"/>
    <x v="1"/>
    <x v="4"/>
    <x v="17"/>
    <x v="0"/>
    <s v="Shampoo"/>
    <n v="2"/>
    <n v="434.45"/>
    <x v="18"/>
    <n v="753.9"/>
    <n v="264.33999999999997"/>
    <n v="66.45"/>
    <x v="5"/>
    <n v="4"/>
    <x v="1"/>
    <x v="1"/>
    <n v="3"/>
  </r>
  <r>
    <s v="ORD-01951"/>
    <d v="2022-05-11T00:00:00"/>
    <s v="CUST38752"/>
    <x v="1"/>
    <n v="52"/>
    <x v="2"/>
    <x v="2"/>
    <x v="4"/>
    <x v="7"/>
    <x v="3"/>
    <s v="Jeans"/>
    <n v="5"/>
    <n v="3102.98"/>
    <x v="38"/>
    <n v="20951.580000000002"/>
    <n v="8948.8799999999992"/>
    <n v="34.130000000000003"/>
    <x v="4"/>
    <n v="5"/>
    <x v="0"/>
    <x v="0"/>
    <n v="8"/>
  </r>
  <r>
    <s v="ORD-02802"/>
    <d v="2023-04-30T00:00:00"/>
    <s v="CUST45496"/>
    <x v="74"/>
    <n v="38"/>
    <x v="1"/>
    <x v="1"/>
    <x v="4"/>
    <x v="18"/>
    <x v="0"/>
    <s v="Sunscreen"/>
    <n v="1"/>
    <n v="2094.6999999999998"/>
    <x v="21"/>
    <n v="1650.79"/>
    <n v="699.91"/>
    <n v="51.65"/>
    <x v="3"/>
    <n v="2"/>
    <x v="1"/>
    <x v="1"/>
    <n v="10"/>
  </r>
  <r>
    <s v="ORD-03202"/>
    <d v="2023-10-16T00:00:00"/>
    <s v="CUST22113"/>
    <x v="285"/>
    <n v="44"/>
    <x v="1"/>
    <x v="1"/>
    <x v="2"/>
    <x v="13"/>
    <x v="6"/>
    <s v="Smartphone"/>
    <n v="6"/>
    <n v="44612.23"/>
    <x v="28"/>
    <n v="267791.02"/>
    <n v="30140.48"/>
    <n v="34"/>
    <x v="2"/>
    <n v="3"/>
    <x v="0"/>
    <x v="0"/>
    <n v="8"/>
  </r>
  <r>
    <s v="ORD-02299"/>
    <d v="2022-09-24T00:00:00"/>
    <s v="CUST52655"/>
    <x v="35"/>
    <n v="30"/>
    <x v="0"/>
    <x v="2"/>
    <x v="4"/>
    <x v="7"/>
    <x v="5"/>
    <s v="Rice (5kg)"/>
    <n v="3"/>
    <n v="236.04"/>
    <x v="5"/>
    <n v="832.73"/>
    <n v="49.56"/>
    <n v="57.97"/>
    <x v="3"/>
    <n v="3"/>
    <x v="1"/>
    <x v="1"/>
    <n v="8"/>
  </r>
  <r>
    <s v="ORD-02020"/>
    <d v="2022-06-10T00:00:00"/>
    <s v="CUST31285"/>
    <x v="23"/>
    <n v="33"/>
    <x v="0"/>
    <x v="1"/>
    <x v="0"/>
    <x v="19"/>
    <x v="5"/>
    <s v="Flour"/>
    <n v="8"/>
    <n v="267.91000000000003"/>
    <x v="13"/>
    <n v="2920.99"/>
    <n v="292.83999999999997"/>
    <n v="61.35"/>
    <x v="2"/>
    <n v="2"/>
    <x v="0"/>
    <x v="0"/>
    <n v="1"/>
  </r>
  <r>
    <s v="ORD-02729"/>
    <d v="2023-03-29T00:00:00"/>
    <s v="CUST02485"/>
    <x v="210"/>
    <n v="45"/>
    <x v="1"/>
    <x v="2"/>
    <x v="4"/>
    <x v="17"/>
    <x v="5"/>
    <s v="Sugar"/>
    <n v="8"/>
    <n v="85.59"/>
    <x v="15"/>
    <n v="545.76"/>
    <n v="41.46"/>
    <n v="75.34"/>
    <x v="5"/>
    <n v="4"/>
    <x v="0"/>
    <x v="0"/>
    <n v="9"/>
  </r>
  <r>
    <s v="ORD-03881"/>
    <d v="2024-08-09T00:00:00"/>
    <s v="CUST11708"/>
    <x v="300"/>
    <n v="37"/>
    <x v="1"/>
    <x v="1"/>
    <x v="2"/>
    <x v="4"/>
    <x v="4"/>
    <s v="Football"/>
    <n v="9"/>
    <n v="6043.66"/>
    <x v="34"/>
    <n v="50068.82"/>
    <n v="12593.51"/>
    <n v="35.57"/>
    <x v="0"/>
    <n v="2"/>
    <x v="0"/>
    <x v="2"/>
    <n v="1"/>
  </r>
  <r>
    <s v="ORD-00358"/>
    <d v="2020-06-02T00:00:00"/>
    <s v="CUST25786"/>
    <x v="187"/>
    <n v="33"/>
    <x v="0"/>
    <x v="0"/>
    <x v="1"/>
    <x v="10"/>
    <x v="3"/>
    <s v="Kurta"/>
    <n v="9"/>
    <n v="1720.87"/>
    <x v="16"/>
    <n v="18041.55"/>
    <n v="5490.24"/>
    <n v="62.42"/>
    <x v="3"/>
    <n v="1"/>
    <x v="0"/>
    <x v="2"/>
    <n v="8"/>
  </r>
  <r>
    <s v="ORD-03032"/>
    <d v="2023-08-05T00:00:00"/>
    <s v="CUST90825"/>
    <x v="8"/>
    <n v="30"/>
    <x v="0"/>
    <x v="1"/>
    <x v="4"/>
    <x v="18"/>
    <x v="5"/>
    <s v="Dal (1kg)"/>
    <n v="3"/>
    <n v="394.17"/>
    <x v="39"/>
    <n v="1466.75"/>
    <n v="91.2"/>
    <n v="58.94"/>
    <x v="5"/>
    <n v="5"/>
    <x v="0"/>
    <x v="0"/>
    <n v="1"/>
  </r>
  <r>
    <s v="ORD-03074"/>
    <d v="2023-08-20T00:00:00"/>
    <s v="CUST55244"/>
    <x v="380"/>
    <n v="24"/>
    <x v="3"/>
    <x v="0"/>
    <x v="2"/>
    <x v="14"/>
    <x v="3"/>
    <s v="T-Shirt"/>
    <n v="7"/>
    <n v="3670.29"/>
    <x v="23"/>
    <n v="26206.04"/>
    <n v="9315.2199999999993"/>
    <n v="40.44"/>
    <x v="4"/>
    <n v="1"/>
    <x v="0"/>
    <x v="2"/>
    <n v="9"/>
  </r>
  <r>
    <s v="ORD-03580"/>
    <d v="2024-04-04T00:00:00"/>
    <s v="CUST38004"/>
    <x v="330"/>
    <n v="27"/>
    <x v="0"/>
    <x v="1"/>
    <x v="4"/>
    <x v="8"/>
    <x v="3"/>
    <s v="Saree"/>
    <n v="9"/>
    <n v="2254.39"/>
    <x v="18"/>
    <n v="17631.009999999998"/>
    <n v="5765.83"/>
    <n v="101.76"/>
    <x v="0"/>
    <n v="4"/>
    <x v="1"/>
    <x v="1"/>
    <n v="8"/>
  </r>
  <r>
    <s v="ORD-01308"/>
    <d v="2021-08-11T00:00:00"/>
    <s v="CUST81370"/>
    <x v="275"/>
    <n v="39"/>
    <x v="1"/>
    <x v="1"/>
    <x v="0"/>
    <x v="19"/>
    <x v="3"/>
    <s v="Jeans"/>
    <n v="10"/>
    <n v="1816.68"/>
    <x v="7"/>
    <n v="18053.22"/>
    <n v="7198.9"/>
    <n v="61.69"/>
    <x v="3"/>
    <n v="5"/>
    <x v="0"/>
    <x v="2"/>
    <n v="2"/>
  </r>
  <r>
    <s v="ORD-03477"/>
    <d v="2024-02-18T00:00:00"/>
    <s v="CUST49962"/>
    <x v="223"/>
    <n v="35"/>
    <x v="0"/>
    <x v="1"/>
    <x v="2"/>
    <x v="14"/>
    <x v="6"/>
    <s v="Tablet"/>
    <n v="5"/>
    <n v="54916.9"/>
    <x v="17"/>
    <n v="177362.61"/>
    <n v="24965.38"/>
    <n v="46.27"/>
    <x v="3"/>
    <n v="5"/>
    <x v="0"/>
    <x v="3"/>
    <n v="8"/>
  </r>
  <r>
    <s v="ORD-03785"/>
    <d v="2024-07-04T00:00:00"/>
    <s v="CUST16284"/>
    <x v="378"/>
    <n v="40"/>
    <x v="1"/>
    <x v="2"/>
    <x v="3"/>
    <x v="15"/>
    <x v="5"/>
    <s v="Dal (1kg)"/>
    <n v="3"/>
    <n v="316.44"/>
    <x v="30"/>
    <n v="1181.33"/>
    <n v="72.84"/>
    <n v="95.3"/>
    <x v="0"/>
    <n v="3"/>
    <x v="0"/>
    <x v="0"/>
    <n v="1"/>
  </r>
  <r>
    <s v="ORD-00660"/>
    <d v="2020-10-24T00:00:00"/>
    <s v="CUST65041"/>
    <x v="368"/>
    <n v="36"/>
    <x v="1"/>
    <x v="2"/>
    <x v="4"/>
    <x v="7"/>
    <x v="5"/>
    <s v="Dal (1kg)"/>
    <n v="5"/>
    <n v="425.46"/>
    <x v="0"/>
    <n v="1535.18"/>
    <n v="99.18"/>
    <n v="73.11"/>
    <x v="4"/>
    <n v="5"/>
    <x v="0"/>
    <x v="0"/>
    <n v="9"/>
  </r>
  <r>
    <s v="ORD-02979"/>
    <d v="2023-07-14T00:00:00"/>
    <s v="CUST09411"/>
    <x v="367"/>
    <n v="39"/>
    <x v="1"/>
    <x v="2"/>
    <x v="4"/>
    <x v="18"/>
    <x v="4"/>
    <s v="Tennis Racket"/>
    <n v="4"/>
    <n v="1405.49"/>
    <x v="35"/>
    <n v="5675.34"/>
    <n v="1445.6"/>
    <n v="69.73"/>
    <x v="1"/>
    <n v="3"/>
    <x v="0"/>
    <x v="0"/>
    <n v="6"/>
  </r>
  <r>
    <s v="ORD-01674"/>
    <d v="2022-01-17T00:00:00"/>
    <s v="CUST09628"/>
    <x v="192"/>
    <n v="38"/>
    <x v="1"/>
    <x v="2"/>
    <x v="4"/>
    <x v="17"/>
    <x v="1"/>
    <s v="Bed Frame"/>
    <n v="9"/>
    <n v="18712.5"/>
    <x v="12"/>
    <n v="98718.080000000002"/>
    <n v="31705.16"/>
    <n v="69.33"/>
    <x v="2"/>
    <n v="4"/>
    <x v="0"/>
    <x v="0"/>
    <n v="7"/>
  </r>
  <r>
    <s v="ORD-03129"/>
    <d v="2023-09-12T00:00:00"/>
    <s v="CUST31428"/>
    <x v="361"/>
    <n v="29"/>
    <x v="0"/>
    <x v="1"/>
    <x v="0"/>
    <x v="19"/>
    <x v="1"/>
    <s v="Bed Frame"/>
    <n v="6"/>
    <n v="5060.62"/>
    <x v="26"/>
    <n v="28677.01"/>
    <n v="10234.549999999999"/>
    <n v="79.73"/>
    <x v="2"/>
    <n v="3"/>
    <x v="1"/>
    <x v="1"/>
    <n v="8"/>
  </r>
  <r>
    <s v="ORD-01531"/>
    <d v="2021-11-18T00:00:00"/>
    <s v="CUST67021"/>
    <x v="18"/>
    <n v="44"/>
    <x v="1"/>
    <x v="2"/>
    <x v="0"/>
    <x v="1"/>
    <x v="1"/>
    <s v="Bed Frame"/>
    <n v="1"/>
    <n v="3623.08"/>
    <x v="2"/>
    <n v="2627.42"/>
    <n v="856.29"/>
    <n v="74.400000000000006"/>
    <x v="0"/>
    <n v="2"/>
    <x v="0"/>
    <x v="4"/>
    <n v="3"/>
  </r>
  <r>
    <s v="ORD-02713"/>
    <d v="2023-03-22T00:00:00"/>
    <s v="CUST44605"/>
    <x v="305"/>
    <n v="30"/>
    <x v="0"/>
    <x v="2"/>
    <x v="0"/>
    <x v="1"/>
    <x v="1"/>
    <s v="Bed Frame"/>
    <n v="4"/>
    <n v="23122.77"/>
    <x v="14"/>
    <n v="75992.62"/>
    <n v="25870.080000000002"/>
    <n v="83.74"/>
    <x v="1"/>
    <n v="4"/>
    <x v="0"/>
    <x v="0"/>
    <n v="1"/>
  </r>
  <r>
    <s v="ORD-00044"/>
    <d v="2020-01-17T00:00:00"/>
    <s v="CUST88344"/>
    <x v="335"/>
    <n v="21"/>
    <x v="3"/>
    <x v="1"/>
    <x v="0"/>
    <x v="0"/>
    <x v="5"/>
    <s v="Cooking Oil"/>
    <n v="7"/>
    <n v="134.49"/>
    <x v="2"/>
    <n v="553.96"/>
    <n v="54.43"/>
    <n v="58.18"/>
    <x v="1"/>
    <n v="1"/>
    <x v="1"/>
    <x v="1"/>
    <n v="9"/>
  </r>
  <r>
    <s v="ORD-02505"/>
    <d v="2022-12-23T00:00:00"/>
    <s v="CUST69354"/>
    <x v="163"/>
    <n v="38"/>
    <x v="1"/>
    <x v="2"/>
    <x v="1"/>
    <x v="11"/>
    <x v="5"/>
    <s v="Dal (1kg)"/>
    <n v="10"/>
    <n v="358.19"/>
    <x v="5"/>
    <n v="2982.6"/>
    <n v="268.81"/>
    <n v="72.77"/>
    <x v="1"/>
    <n v="2"/>
    <x v="0"/>
    <x v="2"/>
    <n v="1"/>
  </r>
  <r>
    <s v="ORD-03756"/>
    <d v="2024-06-24T00:00:00"/>
    <s v="CUST46771"/>
    <x v="272"/>
    <n v="46"/>
    <x v="1"/>
    <x v="1"/>
    <x v="3"/>
    <x v="16"/>
    <x v="4"/>
    <s v="Dumbbells"/>
    <n v="2"/>
    <n v="4339.24"/>
    <x v="8"/>
    <n v="15428.64"/>
    <n v="2162.54"/>
    <n v="103.91"/>
    <x v="3"/>
    <n v="5"/>
    <x v="0"/>
    <x v="0"/>
    <n v="2"/>
  </r>
  <r>
    <s v="ORD-04093"/>
    <d v="2024-11-10T00:00:00"/>
    <s v="CUST78809"/>
    <x v="2"/>
    <n v="38"/>
    <x v="1"/>
    <x v="2"/>
    <x v="0"/>
    <x v="2"/>
    <x v="4"/>
    <s v="Dumbbells"/>
    <n v="10"/>
    <n v="4613.71"/>
    <x v="2"/>
    <n v="37689.699999999997"/>
    <n v="8096.33"/>
    <n v="57.21"/>
    <x v="3"/>
    <n v="1"/>
    <x v="0"/>
    <x v="0"/>
    <n v="8"/>
  </r>
  <r>
    <s v="ORD-01793"/>
    <d v="2022-03-05T00:00:00"/>
    <s v="CUST72099"/>
    <x v="109"/>
    <n v="44"/>
    <x v="1"/>
    <x v="2"/>
    <x v="0"/>
    <x v="0"/>
    <x v="1"/>
    <s v="Wardrobe"/>
    <n v="10"/>
    <n v="30639.279999999999"/>
    <x v="30"/>
    <n v="251539.23"/>
    <n v="67740.72"/>
    <n v="51.84"/>
    <x v="4"/>
    <n v="1"/>
    <x v="0"/>
    <x v="0"/>
    <n v="4"/>
  </r>
  <r>
    <s v="ORD-01741"/>
    <d v="2022-02-12T00:00:00"/>
    <s v="CUST77934"/>
    <x v="216"/>
    <n v="42"/>
    <x v="1"/>
    <x v="1"/>
    <x v="2"/>
    <x v="4"/>
    <x v="4"/>
    <s v="Tennis Racket"/>
    <n v="8"/>
    <n v="3604.43"/>
    <x v="1"/>
    <n v="22742.31"/>
    <n v="5019.1099999999997"/>
    <n v="45.29"/>
    <x v="2"/>
    <n v="3"/>
    <x v="0"/>
    <x v="0"/>
    <n v="1"/>
  </r>
  <r>
    <s v="ORD-01546"/>
    <d v="2021-11-23T00:00:00"/>
    <s v="CUST16135"/>
    <x v="297"/>
    <n v="39"/>
    <x v="1"/>
    <x v="2"/>
    <x v="1"/>
    <x v="11"/>
    <x v="1"/>
    <s v="Wardrobe"/>
    <n v="8"/>
    <n v="29381.66"/>
    <x v="3"/>
    <n v="157614.57999999999"/>
    <n v="32492.98"/>
    <n v="48.89"/>
    <x v="4"/>
    <n v="1"/>
    <x v="0"/>
    <x v="0"/>
    <n v="3"/>
  </r>
  <r>
    <s v="ORD-02539"/>
    <d v="2023-01-07T00:00:00"/>
    <s v="CUST20162"/>
    <x v="39"/>
    <n v="32"/>
    <x v="0"/>
    <x v="2"/>
    <x v="4"/>
    <x v="7"/>
    <x v="5"/>
    <s v="Sugar"/>
    <n v="9"/>
    <n v="314.07"/>
    <x v="30"/>
    <n v="1512.76"/>
    <n v="125.71"/>
    <n v="61.79"/>
    <x v="4"/>
    <n v="1"/>
    <x v="0"/>
    <x v="0"/>
    <n v="2"/>
  </r>
  <r>
    <s v="ORD-02364"/>
    <d v="2022-10-18T00:00:00"/>
    <s v="CUST13899"/>
    <x v="282"/>
    <n v="40"/>
    <x v="1"/>
    <x v="0"/>
    <x v="4"/>
    <x v="17"/>
    <x v="5"/>
    <s v="Cooking Oil"/>
    <n v="1"/>
    <n v="480.83"/>
    <x v="13"/>
    <n v="413.43"/>
    <n v="28.39"/>
    <n v="66.81"/>
    <x v="1"/>
    <n v="2"/>
    <x v="1"/>
    <x v="1"/>
    <n v="10"/>
  </r>
  <r>
    <s v="ORD-01004"/>
    <d v="2021-03-31T00:00:00"/>
    <s v="CUST99373"/>
    <x v="163"/>
    <n v="67"/>
    <x v="2"/>
    <x v="0"/>
    <x v="1"/>
    <x v="6"/>
    <x v="5"/>
    <s v="Dal (1kg)"/>
    <n v="3"/>
    <n v="205.29"/>
    <x v="24"/>
    <n v="664.78"/>
    <n v="44.95"/>
    <n v="36.409999999999997"/>
    <x v="5"/>
    <n v="1"/>
    <x v="0"/>
    <x v="0"/>
    <n v="6"/>
  </r>
  <r>
    <s v="ORD-04020"/>
    <d v="2024-10-07T00:00:00"/>
    <s v="CUST94098"/>
    <x v="243"/>
    <n v="43"/>
    <x v="1"/>
    <x v="1"/>
    <x v="4"/>
    <x v="17"/>
    <x v="2"/>
    <s v="Self-Help Book"/>
    <n v="7"/>
    <n v="1255.05"/>
    <x v="29"/>
    <n v="10208.81"/>
    <n v="4389.6099999999997"/>
    <n v="46.86"/>
    <x v="0"/>
    <n v="5"/>
    <x v="0"/>
    <x v="2"/>
    <n v="10"/>
  </r>
  <r>
    <s v="ORD-02496"/>
    <d v="2022-12-19T00:00:00"/>
    <s v="CUST46384"/>
    <x v="377"/>
    <n v="27"/>
    <x v="0"/>
    <x v="0"/>
    <x v="2"/>
    <x v="13"/>
    <x v="6"/>
    <s v="Tablet"/>
    <n v="9"/>
    <n v="35439.71"/>
    <x v="39"/>
    <n v="264067.45"/>
    <n v="27911.46"/>
    <n v="45.64"/>
    <x v="5"/>
    <n v="5"/>
    <x v="0"/>
    <x v="3"/>
    <n v="6"/>
  </r>
  <r>
    <s v="ORD-01843"/>
    <d v="2022-03-26T00:00:00"/>
    <s v="CUST28515"/>
    <x v="297"/>
    <n v="29"/>
    <x v="0"/>
    <x v="0"/>
    <x v="3"/>
    <x v="12"/>
    <x v="1"/>
    <s v="Bed Frame"/>
    <n v="2"/>
    <n v="7344.48"/>
    <x v="20"/>
    <n v="14733.39"/>
    <n v="4347.3100000000004"/>
    <n v="74.59"/>
    <x v="2"/>
    <n v="5"/>
    <x v="0"/>
    <x v="0"/>
    <n v="4"/>
  </r>
  <r>
    <s v="ORD-03784"/>
    <d v="2024-07-04T00:00:00"/>
    <s v="CUST30184"/>
    <x v="302"/>
    <n v="36"/>
    <x v="1"/>
    <x v="1"/>
    <x v="0"/>
    <x v="19"/>
    <x v="3"/>
    <s v="Jacket"/>
    <n v="6"/>
    <n v="3443.27"/>
    <x v="14"/>
    <n v="23314.01"/>
    <n v="6106.27"/>
    <n v="43.69"/>
    <x v="1"/>
    <n v="3"/>
    <x v="0"/>
    <x v="0"/>
    <n v="4"/>
  </r>
  <r>
    <s v="ORD-02042"/>
    <d v="2022-06-18T00:00:00"/>
    <s v="CUST37864"/>
    <x v="164"/>
    <n v="49"/>
    <x v="1"/>
    <x v="1"/>
    <x v="4"/>
    <x v="17"/>
    <x v="4"/>
    <s v="Cycle"/>
    <n v="1"/>
    <n v="3118.43"/>
    <x v="37"/>
    <n v="3847.49"/>
    <n v="1157.76"/>
    <n v="70.540000000000006"/>
    <x v="3"/>
    <n v="4"/>
    <x v="0"/>
    <x v="0"/>
    <n v="3"/>
  </r>
  <r>
    <s v="ORD-00366"/>
    <d v="2020-06-05T00:00:00"/>
    <s v="CUST37493"/>
    <x v="262"/>
    <n v="34"/>
    <x v="0"/>
    <x v="0"/>
    <x v="4"/>
    <x v="7"/>
    <x v="2"/>
    <s v="Self-Help Book"/>
    <n v="8"/>
    <n v="1191.17"/>
    <x v="40"/>
    <n v="7944.27"/>
    <n v="3452.54"/>
    <n v="91.97"/>
    <x v="5"/>
    <n v="5"/>
    <x v="0"/>
    <x v="3"/>
    <n v="2"/>
  </r>
  <r>
    <s v="ORD-04105"/>
    <d v="2024-11-17T00:00:00"/>
    <s v="CUST23063"/>
    <x v="246"/>
    <n v="33"/>
    <x v="0"/>
    <x v="1"/>
    <x v="3"/>
    <x v="5"/>
    <x v="4"/>
    <s v="Tennis Racket"/>
    <n v="8"/>
    <n v="10030.91"/>
    <x v="4"/>
    <n v="67222.600000000006"/>
    <n v="15466.13"/>
    <n v="100.02"/>
    <x v="1"/>
    <n v="3"/>
    <x v="0"/>
    <x v="0"/>
    <n v="3"/>
  </r>
  <r>
    <s v="ORD-03807"/>
    <d v="2024-07-13T00:00:00"/>
    <s v="CUST40435"/>
    <x v="177"/>
    <n v="34"/>
    <x v="0"/>
    <x v="0"/>
    <x v="3"/>
    <x v="12"/>
    <x v="5"/>
    <s v="Cooking Oil"/>
    <n v="10"/>
    <n v="263.05"/>
    <x v="12"/>
    <n v="3446.63"/>
    <n v="252.71"/>
    <n v="60.29"/>
    <x v="5"/>
    <n v="4"/>
    <x v="0"/>
    <x v="0"/>
    <n v="9"/>
  </r>
  <r>
    <s v="ORD-02692"/>
    <d v="2023-03-13T00:00:00"/>
    <s v="CUST16083"/>
    <x v="177"/>
    <n v="40"/>
    <x v="1"/>
    <x v="2"/>
    <x v="3"/>
    <x v="5"/>
    <x v="5"/>
    <s v="Dal (1kg)"/>
    <n v="5"/>
    <n v="83.39"/>
    <x v="19"/>
    <n v="507.85"/>
    <n v="48.88"/>
    <n v="72.28"/>
    <x v="2"/>
    <n v="5"/>
    <x v="0"/>
    <x v="0"/>
    <n v="8"/>
  </r>
  <r>
    <s v="ORD-02324"/>
    <d v="2022-10-06T00:00:00"/>
    <s v="CUST50408"/>
    <x v="183"/>
    <n v="44"/>
    <x v="1"/>
    <x v="2"/>
    <x v="2"/>
    <x v="13"/>
    <x v="6"/>
    <s v="Headphones"/>
    <n v="10"/>
    <n v="66222.83"/>
    <x v="40"/>
    <n v="364937.13"/>
    <n v="37488.21"/>
    <n v="35.08"/>
    <x v="3"/>
    <n v="3"/>
    <x v="0"/>
    <x v="0"/>
    <n v="9"/>
  </r>
  <r>
    <s v="ORD-01917"/>
    <d v="2022-04-28T00:00:00"/>
    <s v="CUST61040"/>
    <x v="5"/>
    <n v="21"/>
    <x v="3"/>
    <x v="0"/>
    <x v="0"/>
    <x v="2"/>
    <x v="5"/>
    <s v="Flour"/>
    <n v="9"/>
    <n v="150.66"/>
    <x v="25"/>
    <n v="1376.18"/>
    <n v="82.84"/>
    <n v="30.25"/>
    <x v="1"/>
    <n v="5"/>
    <x v="0"/>
    <x v="0"/>
    <n v="4"/>
  </r>
  <r>
    <s v="ORD-01495"/>
    <d v="2021-11-02T00:00:00"/>
    <s v="CUST79339"/>
    <x v="252"/>
    <n v="48"/>
    <x v="1"/>
    <x v="1"/>
    <x v="4"/>
    <x v="18"/>
    <x v="1"/>
    <s v="Wardrobe"/>
    <n v="3"/>
    <n v="22015.61"/>
    <x v="30"/>
    <n v="34539.97"/>
    <n v="5647.61"/>
    <n v="67.290000000000006"/>
    <x v="3"/>
    <n v="5"/>
    <x v="0"/>
    <x v="0"/>
    <n v="9"/>
  </r>
  <r>
    <s v="ORD-01756"/>
    <d v="2022-02-17T00:00:00"/>
    <s v="CUST12665"/>
    <x v="1"/>
    <n v="35"/>
    <x v="0"/>
    <x v="1"/>
    <x v="1"/>
    <x v="6"/>
    <x v="1"/>
    <s v="Bed Frame"/>
    <n v="1"/>
    <n v="28755.19"/>
    <x v="13"/>
    <n v="24177.47"/>
    <n v="5824.34"/>
    <n v="35.93"/>
    <x v="1"/>
    <n v="4"/>
    <x v="0"/>
    <x v="0"/>
    <n v="4"/>
  </r>
  <r>
    <s v="ORD-01151"/>
    <d v="2021-05-31T00:00:00"/>
    <s v="CUST42604"/>
    <x v="395"/>
    <n v="45"/>
    <x v="1"/>
    <x v="2"/>
    <x v="3"/>
    <x v="5"/>
    <x v="3"/>
    <s v="Kurta"/>
    <n v="1"/>
    <n v="708.87"/>
    <x v="8"/>
    <n v="897.13"/>
    <n v="364.6"/>
    <n v="69.260000000000005"/>
    <x v="1"/>
    <n v="1"/>
    <x v="0"/>
    <x v="0"/>
    <n v="6"/>
  </r>
  <r>
    <s v="ORD-01599"/>
    <d v="2021-12-14T00:00:00"/>
    <s v="CUST93504"/>
    <x v="108"/>
    <n v="40"/>
    <x v="1"/>
    <x v="0"/>
    <x v="0"/>
    <x v="1"/>
    <x v="5"/>
    <s v="Sugar"/>
    <n v="1"/>
    <n v="324.69"/>
    <x v="11"/>
    <n v="195.27"/>
    <n v="15.34"/>
    <n v="67.290000000000006"/>
    <x v="4"/>
    <n v="4"/>
    <x v="1"/>
    <x v="1"/>
    <n v="6"/>
  </r>
  <r>
    <s v="ORD-01314"/>
    <d v="2021-08-14T00:00:00"/>
    <s v="CUST47839"/>
    <x v="200"/>
    <n v="32"/>
    <x v="0"/>
    <x v="1"/>
    <x v="2"/>
    <x v="4"/>
    <x v="6"/>
    <s v="Laptop"/>
    <n v="5"/>
    <n v="69893.850000000006"/>
    <x v="26"/>
    <n v="364875.53"/>
    <n v="30513.58"/>
    <n v="59.78"/>
    <x v="2"/>
    <n v="1"/>
    <x v="0"/>
    <x v="3"/>
    <n v="7"/>
  </r>
  <r>
    <s v="ORD-03944"/>
    <d v="2024-08-28T00:00:00"/>
    <s v="CUST94187"/>
    <x v="253"/>
    <n v="43"/>
    <x v="1"/>
    <x v="1"/>
    <x v="2"/>
    <x v="9"/>
    <x v="5"/>
    <s v="Rice (5kg)"/>
    <n v="6"/>
    <n v="294"/>
    <x v="5"/>
    <n v="2476.75"/>
    <n v="189.51"/>
    <n v="46.01"/>
    <x v="3"/>
    <n v="3"/>
    <x v="0"/>
    <x v="0"/>
    <n v="10"/>
  </r>
  <r>
    <s v="ORD-01959"/>
    <d v="2022-05-16T00:00:00"/>
    <s v="CUST38124"/>
    <x v="275"/>
    <n v="48"/>
    <x v="1"/>
    <x v="2"/>
    <x v="4"/>
    <x v="17"/>
    <x v="0"/>
    <s v="Shampoo"/>
    <n v="1"/>
    <n v="2120.9299999999998"/>
    <x v="3"/>
    <n v="2475.08"/>
    <n v="882.31"/>
    <n v="64.27"/>
    <x v="0"/>
    <n v="5"/>
    <x v="0"/>
    <x v="0"/>
    <n v="5"/>
  </r>
  <r>
    <s v="ORD-00483"/>
    <d v="2020-08-01T00:00:00"/>
    <s v="CUST65437"/>
    <x v="69"/>
    <n v="20"/>
    <x v="3"/>
    <x v="2"/>
    <x v="1"/>
    <x v="3"/>
    <x v="0"/>
    <s v="Shampoo"/>
    <n v="7"/>
    <n v="1269.1099999999999"/>
    <x v="33"/>
    <n v="8655.36"/>
    <n v="3040.64"/>
    <n v="22.45"/>
    <x v="5"/>
    <n v="3"/>
    <x v="0"/>
    <x v="0"/>
    <n v="5"/>
  </r>
  <r>
    <s v="ORD-02595"/>
    <d v="2023-02-01T00:00:00"/>
    <s v="CUST96722"/>
    <x v="88"/>
    <n v="47"/>
    <x v="1"/>
    <x v="1"/>
    <x v="0"/>
    <x v="0"/>
    <x v="1"/>
    <s v="Sofa"/>
    <n v="4"/>
    <n v="23419.55"/>
    <x v="35"/>
    <n v="74390.92"/>
    <n v="24893.16"/>
    <n v="60.16"/>
    <x v="2"/>
    <n v="3"/>
    <x v="0"/>
    <x v="3"/>
    <n v="10"/>
  </r>
  <r>
    <s v="ORD-03386"/>
    <d v="2024-01-04T00:00:00"/>
    <s v="CUST80775"/>
    <x v="198"/>
    <n v="63"/>
    <x v="2"/>
    <x v="2"/>
    <x v="1"/>
    <x v="10"/>
    <x v="0"/>
    <s v="Sunscreen"/>
    <n v="4"/>
    <n v="2223.64"/>
    <x v="7"/>
    <n v="6525.42"/>
    <n v="3524.54"/>
    <n v="33.24"/>
    <x v="1"/>
    <n v="2"/>
    <x v="0"/>
    <x v="0"/>
    <n v="9"/>
  </r>
  <r>
    <s v="ORD-02283"/>
    <d v="2022-09-19T00:00:00"/>
    <s v="CUST06888"/>
    <x v="397"/>
    <n v="44"/>
    <x v="1"/>
    <x v="0"/>
    <x v="4"/>
    <x v="8"/>
    <x v="3"/>
    <s v="Dress"/>
    <n v="8"/>
    <n v="598.22"/>
    <x v="6"/>
    <n v="3507.68"/>
    <n v="1290.6400000000001"/>
    <n v="67.180000000000007"/>
    <x v="4"/>
    <n v="5"/>
    <x v="0"/>
    <x v="0"/>
    <n v="7"/>
  </r>
  <r>
    <s v="ORD-00903"/>
    <d v="2021-02-09T00:00:00"/>
    <s v="CUST30562"/>
    <x v="202"/>
    <n v="46"/>
    <x v="1"/>
    <x v="2"/>
    <x v="0"/>
    <x v="0"/>
    <x v="5"/>
    <s v="Flour"/>
    <n v="6"/>
    <n v="442.45"/>
    <x v="12"/>
    <n v="1791.03"/>
    <n v="144.22"/>
    <n v="60.22"/>
    <x v="1"/>
    <n v="2"/>
    <x v="0"/>
    <x v="2"/>
    <n v="1"/>
  </r>
  <r>
    <s v="ORD-03047"/>
    <d v="2023-08-11T00:00:00"/>
    <s v="CUST16193"/>
    <x v="229"/>
    <n v="34"/>
    <x v="0"/>
    <x v="1"/>
    <x v="2"/>
    <x v="13"/>
    <x v="4"/>
    <s v="Tennis Racket"/>
    <n v="10"/>
    <n v="12222.2"/>
    <x v="12"/>
    <n v="131369.75"/>
    <n v="28537.32"/>
    <n v="26.86"/>
    <x v="0"/>
    <n v="5"/>
    <x v="0"/>
    <x v="0"/>
    <n v="8"/>
  </r>
  <r>
    <s v="ORD-02998"/>
    <d v="2023-07-21T00:00:00"/>
    <s v="CUST44251"/>
    <x v="232"/>
    <n v="38"/>
    <x v="1"/>
    <x v="2"/>
    <x v="2"/>
    <x v="9"/>
    <x v="4"/>
    <s v="Cycle"/>
    <n v="7"/>
    <n v="14576.84"/>
    <x v="8"/>
    <n v="162740.76"/>
    <n v="34015.33"/>
    <n v="54.66"/>
    <x v="3"/>
    <n v="3"/>
    <x v="0"/>
    <x v="3"/>
    <n v="4"/>
  </r>
  <r>
    <s v="ORD-00832"/>
    <d v="2021-01-15T00:00:00"/>
    <s v="CUST36178"/>
    <x v="54"/>
    <n v="43"/>
    <x v="1"/>
    <x v="0"/>
    <x v="4"/>
    <x v="7"/>
    <x v="1"/>
    <s v="Sofa"/>
    <n v="10"/>
    <n v="15368.38"/>
    <x v="25"/>
    <n v="93128.19"/>
    <n v="25001.119999999999"/>
    <n v="71.290000000000006"/>
    <x v="4"/>
    <n v="2"/>
    <x v="0"/>
    <x v="0"/>
    <n v="6"/>
  </r>
  <r>
    <s v="ORD-02180"/>
    <d v="2022-08-13T00:00:00"/>
    <s v="CUST97256"/>
    <x v="156"/>
    <n v="50"/>
    <x v="1"/>
    <x v="0"/>
    <x v="2"/>
    <x v="14"/>
    <x v="6"/>
    <s v="Laptop"/>
    <n v="6"/>
    <n v="6117.71"/>
    <x v="31"/>
    <n v="40557.08"/>
    <n v="4428.08"/>
    <n v="28.16"/>
    <x v="0"/>
    <n v="3"/>
    <x v="0"/>
    <x v="3"/>
    <n v="4"/>
  </r>
  <r>
    <s v="ORD-03884"/>
    <d v="2024-08-09T00:00:00"/>
    <s v="CUST63006"/>
    <x v="79"/>
    <n v="36"/>
    <x v="1"/>
    <x v="1"/>
    <x v="1"/>
    <x v="11"/>
    <x v="5"/>
    <s v="Flour"/>
    <n v="2"/>
    <n v="66.77"/>
    <x v="5"/>
    <n v="216.47"/>
    <n v="11.57"/>
    <n v="50.95"/>
    <x v="2"/>
    <n v="3"/>
    <x v="0"/>
    <x v="0"/>
    <n v="8"/>
  </r>
  <r>
    <s v="ORD-00328"/>
    <d v="2020-05-22T00:00:00"/>
    <s v="CUST60147"/>
    <x v="304"/>
    <n v="33"/>
    <x v="0"/>
    <x v="1"/>
    <x v="2"/>
    <x v="4"/>
    <x v="6"/>
    <s v="Smartwatch"/>
    <n v="9"/>
    <n v="45918.69"/>
    <x v="10"/>
    <n v="357689.69"/>
    <n v="29447.82"/>
    <n v="48.88"/>
    <x v="5"/>
    <n v="4"/>
    <x v="0"/>
    <x v="0"/>
    <n v="6"/>
  </r>
  <r>
    <s v="ORD-02273"/>
    <d v="2022-09-15T00:00:00"/>
    <s v="CUST71816"/>
    <x v="362"/>
    <n v="36"/>
    <x v="1"/>
    <x v="2"/>
    <x v="1"/>
    <x v="10"/>
    <x v="2"/>
    <s v="Textbook"/>
    <n v="9"/>
    <n v="1131.92"/>
    <x v="9"/>
    <n v="10966.62"/>
    <n v="3680.22"/>
    <n v="39.840000000000003"/>
    <x v="1"/>
    <n v="3"/>
    <x v="0"/>
    <x v="0"/>
    <n v="7"/>
  </r>
  <r>
    <s v="ORD-01865"/>
    <d v="2022-04-02T00:00:00"/>
    <s v="CUST36542"/>
    <x v="239"/>
    <n v="44"/>
    <x v="1"/>
    <x v="2"/>
    <x v="2"/>
    <x v="13"/>
    <x v="6"/>
    <s v="Laptop"/>
    <n v="6"/>
    <n v="8309.27"/>
    <x v="12"/>
    <n v="51030.14"/>
    <n v="6755.64"/>
    <n v="53.74"/>
    <x v="0"/>
    <n v="5"/>
    <x v="0"/>
    <x v="0"/>
    <n v="8"/>
  </r>
  <r>
    <s v="ORD-03447"/>
    <d v="2024-02-04T00:00:00"/>
    <s v="CUST05925"/>
    <x v="396"/>
    <n v="53"/>
    <x v="2"/>
    <x v="2"/>
    <x v="2"/>
    <x v="4"/>
    <x v="3"/>
    <s v="Kurta"/>
    <n v="9"/>
    <n v="1260.1600000000001"/>
    <x v="10"/>
    <n v="9260.74"/>
    <n v="1885.34"/>
    <n v="43.16"/>
    <x v="0"/>
    <n v="3"/>
    <x v="0"/>
    <x v="0"/>
    <n v="3"/>
  </r>
  <r>
    <s v="ORD-01126"/>
    <d v="2021-05-24T00:00:00"/>
    <s v="CUST35386"/>
    <x v="370"/>
    <n v="43"/>
    <x v="1"/>
    <x v="2"/>
    <x v="2"/>
    <x v="14"/>
    <x v="3"/>
    <s v="Jeans"/>
    <n v="7"/>
    <n v="2698.4"/>
    <x v="11"/>
    <n v="23690.17"/>
    <n v="9129.7000000000007"/>
    <n v="40.03"/>
    <x v="4"/>
    <n v="4"/>
    <x v="0"/>
    <x v="0"/>
    <n v="4"/>
  </r>
  <r>
    <s v="ORD-01509"/>
    <d v="2021-11-09T00:00:00"/>
    <s v="CUST01750"/>
    <x v="295"/>
    <n v="49"/>
    <x v="1"/>
    <x v="0"/>
    <x v="0"/>
    <x v="0"/>
    <x v="0"/>
    <s v="Face Cream"/>
    <n v="2"/>
    <n v="1889.82"/>
    <x v="35"/>
    <n v="2196.85"/>
    <n v="602"/>
    <n v="54.82"/>
    <x v="1"/>
    <n v="5"/>
    <x v="0"/>
    <x v="0"/>
    <n v="6"/>
  </r>
  <r>
    <s v="ORD-00301"/>
    <d v="2020-05-11T00:00:00"/>
    <s v="CUST15889"/>
    <x v="285"/>
    <n v="26"/>
    <x v="0"/>
    <x v="2"/>
    <x v="1"/>
    <x v="6"/>
    <x v="6"/>
    <s v="Headphones"/>
    <n v="8"/>
    <n v="40911.480000000003"/>
    <x v="32"/>
    <n v="361315.62"/>
    <n v="40799.74"/>
    <n v="67.150000000000006"/>
    <x v="0"/>
    <n v="1"/>
    <x v="0"/>
    <x v="0"/>
    <n v="4"/>
  </r>
  <r>
    <s v="ORD-01048"/>
    <d v="2021-04-20T00:00:00"/>
    <s v="CUST60742"/>
    <x v="330"/>
    <n v="45"/>
    <x v="1"/>
    <x v="1"/>
    <x v="2"/>
    <x v="9"/>
    <x v="4"/>
    <s v="Yoga Mat"/>
    <n v="9"/>
    <n v="11805.28"/>
    <x v="23"/>
    <n v="86430.39"/>
    <n v="29866.83"/>
    <n v="49.92"/>
    <x v="2"/>
    <n v="1"/>
    <x v="0"/>
    <x v="0"/>
    <n v="8"/>
  </r>
  <r>
    <s v="ORD-02272"/>
    <d v="2022-09-14T00:00:00"/>
    <s v="CUST73221"/>
    <x v="374"/>
    <n v="28"/>
    <x v="0"/>
    <x v="0"/>
    <x v="2"/>
    <x v="13"/>
    <x v="0"/>
    <s v="Sunscreen"/>
    <n v="10"/>
    <n v="537.83000000000004"/>
    <x v="37"/>
    <n v="4825.68"/>
    <n v="2340.29"/>
    <n v="51.8"/>
    <x v="5"/>
    <n v="5"/>
    <x v="0"/>
    <x v="0"/>
    <n v="10"/>
  </r>
  <r>
    <s v="ORD-03533"/>
    <d v="2024-03-15T00:00:00"/>
    <s v="CUST80821"/>
    <x v="338"/>
    <n v="27"/>
    <x v="0"/>
    <x v="1"/>
    <x v="4"/>
    <x v="17"/>
    <x v="0"/>
    <s v="Lipstick"/>
    <n v="3"/>
    <n v="1642.41"/>
    <x v="0"/>
    <n v="5813.31"/>
    <n v="2075.4499999999998"/>
    <n v="71.2"/>
    <x v="4"/>
    <n v="3"/>
    <x v="1"/>
    <x v="1"/>
    <n v="5"/>
  </r>
  <r>
    <s v="ORD-01909"/>
    <d v="2022-04-24T00:00:00"/>
    <s v="CUST04537"/>
    <x v="370"/>
    <n v="37"/>
    <x v="1"/>
    <x v="1"/>
    <x v="2"/>
    <x v="4"/>
    <x v="2"/>
    <s v="Cook Book"/>
    <n v="10"/>
    <n v="549.69000000000005"/>
    <x v="7"/>
    <n v="6379.06"/>
    <n v="2818.11"/>
    <n v="41.87"/>
    <x v="1"/>
    <n v="2"/>
    <x v="1"/>
    <x v="1"/>
    <n v="5"/>
  </r>
  <r>
    <s v="ORD-01080"/>
    <d v="2021-05-03T00:00:00"/>
    <s v="CUST75006"/>
    <x v="31"/>
    <n v="38"/>
    <x v="1"/>
    <x v="2"/>
    <x v="1"/>
    <x v="10"/>
    <x v="0"/>
    <s v="Sunscreen"/>
    <n v="9"/>
    <n v="1894.31"/>
    <x v="31"/>
    <n v="22532.03"/>
    <n v="10031.98"/>
    <n v="58.22"/>
    <x v="1"/>
    <n v="4"/>
    <x v="0"/>
    <x v="4"/>
    <n v="4"/>
  </r>
  <r>
    <s v="ORD-00480"/>
    <d v="2020-07-31T00:00:00"/>
    <s v="CUST64893"/>
    <x v="221"/>
    <n v="41"/>
    <x v="1"/>
    <x v="2"/>
    <x v="0"/>
    <x v="1"/>
    <x v="0"/>
    <s v="Sunscreen"/>
    <n v="1"/>
    <n v="765.68"/>
    <x v="11"/>
    <n v="780.12"/>
    <n v="338.31"/>
    <n v="66.83"/>
    <x v="2"/>
    <n v="4"/>
    <x v="0"/>
    <x v="0"/>
    <n v="1"/>
  </r>
  <r>
    <s v="ORD-03883"/>
    <d v="2024-08-09T00:00:00"/>
    <s v="CUST62193"/>
    <x v="348"/>
    <n v="45"/>
    <x v="1"/>
    <x v="2"/>
    <x v="1"/>
    <x v="6"/>
    <x v="6"/>
    <s v="Smartwatch"/>
    <n v="9"/>
    <n v="15767.46"/>
    <x v="4"/>
    <n v="198910.86"/>
    <n v="22958.1"/>
    <n v="44.62"/>
    <x v="3"/>
    <n v="3"/>
    <x v="1"/>
    <x v="1"/>
    <n v="6"/>
  </r>
  <r>
    <s v="ORD-01340"/>
    <d v="2021-08-24T00:00:00"/>
    <s v="CUST16922"/>
    <x v="171"/>
    <n v="32"/>
    <x v="0"/>
    <x v="2"/>
    <x v="4"/>
    <x v="18"/>
    <x v="0"/>
    <s v="Hair Oil"/>
    <n v="4"/>
    <n v="154.86000000000001"/>
    <x v="30"/>
    <n v="476.99"/>
    <n v="235.99"/>
    <n v="64.400000000000006"/>
    <x v="0"/>
    <n v="3"/>
    <x v="0"/>
    <x v="0"/>
    <n v="100"/>
  </r>
  <r>
    <s v="ORD-00513"/>
    <d v="2020-08-14T00:00:00"/>
    <s v="CUST92623"/>
    <x v="117"/>
    <n v="44"/>
    <x v="1"/>
    <x v="0"/>
    <x v="2"/>
    <x v="9"/>
    <x v="3"/>
    <s v="Kurta"/>
    <n v="8"/>
    <n v="310.3"/>
    <x v="15"/>
    <n v="2033.35"/>
    <n v="737.69"/>
    <n v="67.739999999999995"/>
    <x v="3"/>
    <n v="2"/>
    <x v="0"/>
    <x v="0"/>
    <n v="1"/>
  </r>
  <r>
    <s v="ORD-00871"/>
    <d v="2021-01-31T00:00:00"/>
    <s v="CUST03293"/>
    <x v="297"/>
    <n v="56"/>
    <x v="2"/>
    <x v="1"/>
    <x v="0"/>
    <x v="2"/>
    <x v="3"/>
    <s v="Jeans"/>
    <n v="9"/>
    <n v="3487.25"/>
    <x v="12"/>
    <n v="17823.41"/>
    <n v="4665.95"/>
    <n v="82.7"/>
    <x v="2"/>
    <n v="3"/>
    <x v="0"/>
    <x v="4"/>
    <n v="1"/>
  </r>
  <r>
    <s v="ORD-02460"/>
    <d v="2022-12-03T00:00:00"/>
    <s v="CUST99353"/>
    <x v="17"/>
    <n v="53"/>
    <x v="2"/>
    <x v="1"/>
    <x v="4"/>
    <x v="8"/>
    <x v="1"/>
    <s v="Sofa"/>
    <n v="8"/>
    <n v="18080.060000000001"/>
    <x v="28"/>
    <n v="115257.52"/>
    <n v="35354.74"/>
    <n v="73.790000000000006"/>
    <x v="3"/>
    <n v="4"/>
    <x v="0"/>
    <x v="4"/>
    <n v="8"/>
  </r>
  <r>
    <s v="ORD-03672"/>
    <d v="2024-05-14T00:00:00"/>
    <s v="CUST50417"/>
    <x v="345"/>
    <n v="31"/>
    <x v="0"/>
    <x v="2"/>
    <x v="0"/>
    <x v="1"/>
    <x v="5"/>
    <s v="Dal (1kg)"/>
    <n v="9"/>
    <n v="452.08"/>
    <x v="6"/>
    <n v="4593.7"/>
    <n v="347.56"/>
    <n v="25.04"/>
    <x v="1"/>
    <n v="3"/>
    <x v="1"/>
    <x v="1"/>
    <n v="8"/>
  </r>
  <r>
    <s v="ORD-01401"/>
    <d v="2021-09-24T00:00:00"/>
    <s v="CUST40146"/>
    <x v="76"/>
    <n v="22"/>
    <x v="3"/>
    <x v="2"/>
    <x v="4"/>
    <x v="7"/>
    <x v="0"/>
    <s v="Lipstick"/>
    <n v="6"/>
    <n v="669.59"/>
    <x v="19"/>
    <n v="3355.53"/>
    <n v="1841.16"/>
    <n v="75.650000000000006"/>
    <x v="5"/>
    <n v="3"/>
    <x v="0"/>
    <x v="0"/>
    <n v="9"/>
  </r>
  <r>
    <s v="ORD-02311"/>
    <d v="2022-10-01T00:00:00"/>
    <s v="CUST01001"/>
    <x v="153"/>
    <n v="44"/>
    <x v="1"/>
    <x v="0"/>
    <x v="2"/>
    <x v="4"/>
    <x v="1"/>
    <s v="Bed Frame"/>
    <n v="3"/>
    <n v="27210.05"/>
    <x v="36"/>
    <n v="62722.39"/>
    <n v="17708.259999999998"/>
    <n v="59.37"/>
    <x v="5"/>
    <n v="2"/>
    <x v="0"/>
    <x v="0"/>
    <n v="3"/>
  </r>
  <r>
    <s v="ORD-01062"/>
    <d v="2021-04-26T00:00:00"/>
    <s v="CUST17327"/>
    <x v="374"/>
    <n v="35"/>
    <x v="0"/>
    <x v="2"/>
    <x v="1"/>
    <x v="11"/>
    <x v="0"/>
    <s v="Face Cream"/>
    <n v="7"/>
    <n v="2147.13"/>
    <x v="1"/>
    <n v="15222.32"/>
    <n v="7449.79"/>
    <n v="44.3"/>
    <x v="1"/>
    <n v="1"/>
    <x v="1"/>
    <x v="1"/>
    <n v="6"/>
  </r>
  <r>
    <s v="ORD-03523"/>
    <d v="2024-03-10T00:00:00"/>
    <s v="CUST64913"/>
    <x v="393"/>
    <n v="25"/>
    <x v="3"/>
    <x v="0"/>
    <x v="3"/>
    <x v="15"/>
    <x v="0"/>
    <s v="Lipstick"/>
    <n v="8"/>
    <n v="2047.88"/>
    <x v="30"/>
    <n v="14345.76"/>
    <n v="7218"/>
    <n v="91.61"/>
    <x v="4"/>
    <n v="4"/>
    <x v="0"/>
    <x v="0"/>
    <n v="7"/>
  </r>
  <r>
    <s v="ORD-01134"/>
    <d v="2021-05-27T00:00:00"/>
    <s v="CUST08345"/>
    <x v="286"/>
    <n v="46"/>
    <x v="1"/>
    <x v="2"/>
    <x v="0"/>
    <x v="19"/>
    <x v="3"/>
    <s v="T-Shirt"/>
    <n v="1"/>
    <n v="1888.98"/>
    <x v="34"/>
    <n v="2013.48"/>
    <n v="657.59"/>
    <n v="53.7"/>
    <x v="3"/>
    <n v="2"/>
    <x v="0"/>
    <x v="0"/>
    <n v="7"/>
  </r>
  <r>
    <s v="ORD-00802"/>
    <d v="2020-12-30T00:00:00"/>
    <s v="CUST38432"/>
    <x v="327"/>
    <n v="23"/>
    <x v="3"/>
    <x v="2"/>
    <x v="1"/>
    <x v="10"/>
    <x v="4"/>
    <s v="Cricket Bat"/>
    <n v="3"/>
    <n v="642.91"/>
    <x v="30"/>
    <n v="879.77"/>
    <n v="176.34"/>
    <n v="61.52"/>
    <x v="0"/>
    <n v="2"/>
    <x v="1"/>
    <x v="1"/>
    <n v="6"/>
  </r>
  <r>
    <s v="ORD-02178"/>
    <d v="2022-08-12T00:00:00"/>
    <s v="CUST85408"/>
    <x v="314"/>
    <n v="64"/>
    <x v="2"/>
    <x v="2"/>
    <x v="4"/>
    <x v="7"/>
    <x v="2"/>
    <s v="Biography"/>
    <n v="5"/>
    <n v="923.72"/>
    <x v="36"/>
    <n v="4931.75"/>
    <n v="2749.25"/>
    <n v="63.68"/>
    <x v="5"/>
    <n v="2"/>
    <x v="1"/>
    <x v="1"/>
    <n v="1"/>
  </r>
  <r>
    <s v="ORD-01815"/>
    <d v="2022-03-15T00:00:00"/>
    <s v="CUST92618"/>
    <x v="162"/>
    <n v="44"/>
    <x v="1"/>
    <x v="1"/>
    <x v="2"/>
    <x v="13"/>
    <x v="3"/>
    <s v="Saree"/>
    <n v="2"/>
    <n v="348.61"/>
    <x v="6"/>
    <n v="468.08"/>
    <n v="156.44"/>
    <n v="76.849999999999994"/>
    <x v="1"/>
    <n v="3"/>
    <x v="0"/>
    <x v="0"/>
    <n v="6"/>
  </r>
  <r>
    <s v="ORD-00510"/>
    <d v="2020-08-14T00:00:00"/>
    <s v="CUST90008"/>
    <x v="39"/>
    <n v="39"/>
    <x v="1"/>
    <x v="1"/>
    <x v="2"/>
    <x v="4"/>
    <x v="5"/>
    <s v="Dal (1kg)"/>
    <n v="7"/>
    <n v="406.08"/>
    <x v="6"/>
    <n v="2000.38"/>
    <n v="109.82"/>
    <n v="1.6"/>
    <x v="3"/>
    <n v="5"/>
    <x v="0"/>
    <x v="0"/>
    <n v="7"/>
  </r>
  <r>
    <s v="ORD-02457"/>
    <d v="2022-12-01T00:00:00"/>
    <s v="CUST32217"/>
    <x v="390"/>
    <n v="24"/>
    <x v="3"/>
    <x v="2"/>
    <x v="3"/>
    <x v="5"/>
    <x v="4"/>
    <s v="Yoga Mat"/>
    <n v="3"/>
    <n v="8281.49"/>
    <x v="12"/>
    <n v="14650.55"/>
    <n v="4700.0200000000004"/>
    <n v="73.150000000000006"/>
    <x v="4"/>
    <n v="3"/>
    <x v="0"/>
    <x v="0"/>
    <n v="2"/>
  </r>
  <r>
    <s v="ORD-03632"/>
    <d v="2024-04-28T00:00:00"/>
    <s v="CUST07289"/>
    <x v="116"/>
    <n v="26"/>
    <x v="0"/>
    <x v="2"/>
    <x v="3"/>
    <x v="5"/>
    <x v="5"/>
    <s v="Flour"/>
    <n v="2"/>
    <n v="180.86"/>
    <x v="8"/>
    <n v="487.22"/>
    <n v="40.04"/>
    <n v="88.04"/>
    <x v="3"/>
    <n v="4"/>
    <x v="0"/>
    <x v="0"/>
    <n v="5"/>
  </r>
  <r>
    <s v="ORD-00725"/>
    <d v="2020-11-29T00:00:00"/>
    <s v="CUST53613"/>
    <x v="168"/>
    <n v="40"/>
    <x v="1"/>
    <x v="0"/>
    <x v="0"/>
    <x v="2"/>
    <x v="5"/>
    <s v="Rice (5kg)"/>
    <n v="7"/>
    <n v="486.89"/>
    <x v="37"/>
    <n v="1947.86"/>
    <n v="122.41"/>
    <n v="56.74"/>
    <x v="0"/>
    <n v="5"/>
    <x v="0"/>
    <x v="0"/>
    <n v="4"/>
  </r>
  <r>
    <s v="ORD-03726"/>
    <d v="2024-06-13T00:00:00"/>
    <s v="CUST30497"/>
    <x v="230"/>
    <n v="47"/>
    <x v="1"/>
    <x v="1"/>
    <x v="4"/>
    <x v="18"/>
    <x v="0"/>
    <s v="Face Cream"/>
    <n v="4"/>
    <n v="1180.8399999999999"/>
    <x v="40"/>
    <n v="5917.92"/>
    <n v="3098.15"/>
    <n v="55.9"/>
    <x v="1"/>
    <n v="3"/>
    <x v="0"/>
    <x v="0"/>
    <n v="6"/>
  </r>
  <r>
    <s v="ORD-01856"/>
    <d v="2022-03-31T00:00:00"/>
    <s v="CUST17816"/>
    <x v="126"/>
    <n v="22"/>
    <x v="3"/>
    <x v="1"/>
    <x v="3"/>
    <x v="12"/>
    <x v="6"/>
    <s v="Laptop"/>
    <n v="9"/>
    <n v="51210.29"/>
    <x v="26"/>
    <n v="431521.81"/>
    <n v="47793.41"/>
    <n v="80.02"/>
    <x v="1"/>
    <n v="3"/>
    <x v="0"/>
    <x v="0"/>
    <n v="7"/>
  </r>
  <r>
    <s v="ORD-03831"/>
    <d v="2024-07-23T00:00:00"/>
    <s v="CUST20981"/>
    <x v="154"/>
    <n v="37"/>
    <x v="1"/>
    <x v="0"/>
    <x v="0"/>
    <x v="2"/>
    <x v="4"/>
    <s v="Cricket Bat"/>
    <n v="1"/>
    <n v="9065.16"/>
    <x v="7"/>
    <n v="13700.29"/>
    <n v="2690"/>
    <n v="73.709999999999994"/>
    <x v="5"/>
    <n v="4"/>
    <x v="0"/>
    <x v="0"/>
    <n v="4"/>
  </r>
  <r>
    <s v="ORD-00761"/>
    <d v="2020-12-11T00:00:00"/>
    <s v="CUST55772"/>
    <x v="2"/>
    <n v="27"/>
    <x v="0"/>
    <x v="1"/>
    <x v="4"/>
    <x v="8"/>
    <x v="5"/>
    <s v="Flour"/>
    <n v="10"/>
    <n v="315.3"/>
    <x v="10"/>
    <n v="1585.06"/>
    <n v="111.69"/>
    <n v="63.67"/>
    <x v="0"/>
    <n v="2"/>
    <x v="0"/>
    <x v="2"/>
    <n v="3"/>
  </r>
  <r>
    <s v="ORD-01622"/>
    <d v="2021-12-26T00:00:00"/>
    <s v="CUST32470"/>
    <x v="59"/>
    <n v="44"/>
    <x v="1"/>
    <x v="0"/>
    <x v="1"/>
    <x v="6"/>
    <x v="3"/>
    <s v="Kurta"/>
    <n v="7"/>
    <n v="2270"/>
    <x v="32"/>
    <n v="11066.01"/>
    <n v="3221.05"/>
    <n v="55.24"/>
    <x v="2"/>
    <n v="5"/>
    <x v="0"/>
    <x v="0"/>
    <n v="8"/>
  </r>
  <r>
    <s v="ORD-00611"/>
    <d v="2020-09-29T00:00:00"/>
    <s v="CUST98921"/>
    <x v="186"/>
    <n v="54"/>
    <x v="2"/>
    <x v="0"/>
    <x v="4"/>
    <x v="8"/>
    <x v="1"/>
    <s v="Sofa"/>
    <n v="10"/>
    <n v="2744.45"/>
    <x v="22"/>
    <n v="17674.13"/>
    <n v="7107.97"/>
    <n v="63.51"/>
    <x v="2"/>
    <n v="4"/>
    <x v="0"/>
    <x v="0"/>
    <n v="1"/>
  </r>
  <r>
    <s v="ORD-02788"/>
    <d v="2023-04-21T00:00:00"/>
    <s v="CUST95526"/>
    <x v="153"/>
    <n v="43"/>
    <x v="1"/>
    <x v="0"/>
    <x v="2"/>
    <x v="14"/>
    <x v="4"/>
    <s v="Yoga Mat"/>
    <n v="1"/>
    <n v="3242.71"/>
    <x v="14"/>
    <n v="3023"/>
    <n v="605.12"/>
    <n v="37.04"/>
    <x v="2"/>
    <n v="3"/>
    <x v="0"/>
    <x v="0"/>
    <n v="2"/>
  </r>
  <r>
    <s v="ORD-02159"/>
    <d v="2022-08-04T00:00:00"/>
    <s v="CUST82127"/>
    <x v="103"/>
    <n v="20"/>
    <x v="3"/>
    <x v="2"/>
    <x v="0"/>
    <x v="1"/>
    <x v="0"/>
    <s v="Shampoo"/>
    <n v="6"/>
    <n v="2223.4"/>
    <x v="40"/>
    <n v="10336.77"/>
    <n v="4822.67"/>
    <n v="54.1"/>
    <x v="4"/>
    <n v="1"/>
    <x v="0"/>
    <x v="0"/>
    <n v="1"/>
  </r>
  <r>
    <s v="ORD-02125"/>
    <d v="2022-07-24T00:00:00"/>
    <s v="CUST56134"/>
    <x v="304"/>
    <n v="33"/>
    <x v="0"/>
    <x v="1"/>
    <x v="1"/>
    <x v="3"/>
    <x v="5"/>
    <s v="Dal (1kg)"/>
    <n v="4"/>
    <n v="63.82"/>
    <x v="6"/>
    <n v="257.56"/>
    <n v="22.21"/>
    <n v="49.45"/>
    <x v="4"/>
    <n v="4"/>
    <x v="1"/>
    <x v="1"/>
    <n v="10"/>
  </r>
  <r>
    <s v="ORD-03360"/>
    <d v="2023-12-25T00:00:00"/>
    <s v="CUST69375"/>
    <x v="11"/>
    <n v="37"/>
    <x v="1"/>
    <x v="0"/>
    <x v="3"/>
    <x v="16"/>
    <x v="6"/>
    <s v="Headphones"/>
    <n v="3"/>
    <n v="24262.65"/>
    <x v="4"/>
    <n v="65587.56"/>
    <n v="9960.8700000000008"/>
    <n v="61.25"/>
    <x v="5"/>
    <n v="2"/>
    <x v="0"/>
    <x v="0"/>
    <n v="10"/>
  </r>
  <r>
    <s v="ORD-02119"/>
    <d v="2022-07-22T00:00:00"/>
    <s v="CUST07014"/>
    <x v="331"/>
    <n v="21"/>
    <x v="3"/>
    <x v="1"/>
    <x v="1"/>
    <x v="6"/>
    <x v="4"/>
    <s v="Cycle"/>
    <n v="5"/>
    <n v="11099.1"/>
    <x v="28"/>
    <n v="82679.97"/>
    <n v="21389.61"/>
    <n v="42.92"/>
    <x v="1"/>
    <n v="2"/>
    <x v="0"/>
    <x v="0"/>
    <n v="7"/>
  </r>
  <r>
    <s v="ORD-02350"/>
    <d v="2022-10-13T00:00:00"/>
    <s v="CUST49485"/>
    <x v="0"/>
    <n v="47"/>
    <x v="1"/>
    <x v="1"/>
    <x v="0"/>
    <x v="1"/>
    <x v="5"/>
    <s v="Flour"/>
    <n v="2"/>
    <n v="463.54"/>
    <x v="1"/>
    <n v="751.49"/>
    <n v="62.99"/>
    <n v="75.64"/>
    <x v="5"/>
    <n v="5"/>
    <x v="0"/>
    <x v="0"/>
    <n v="2"/>
  </r>
  <r>
    <s v="ORD-01153"/>
    <d v="2021-06-01T00:00:00"/>
    <s v="CUST24181"/>
    <x v="96"/>
    <n v="57"/>
    <x v="2"/>
    <x v="1"/>
    <x v="2"/>
    <x v="13"/>
    <x v="1"/>
    <s v="Desk"/>
    <n v="7"/>
    <n v="16753.46"/>
    <x v="18"/>
    <n v="120954.22"/>
    <n v="36178.46"/>
    <n v="49.72"/>
    <x v="4"/>
    <n v="1"/>
    <x v="0"/>
    <x v="0"/>
    <n v="4"/>
  </r>
  <r>
    <s v="ORD-01716"/>
    <d v="2022-02-02T00:00:00"/>
    <s v="CUST37025"/>
    <x v="80"/>
    <n v="36"/>
    <x v="1"/>
    <x v="1"/>
    <x v="2"/>
    <x v="14"/>
    <x v="4"/>
    <s v="Cricket Bat"/>
    <n v="3"/>
    <n v="1355.28"/>
    <x v="39"/>
    <n v="3611.47"/>
    <n v="631.16"/>
    <n v="55.05"/>
    <x v="0"/>
    <n v="3"/>
    <x v="0"/>
    <x v="0"/>
    <n v="3"/>
  </r>
  <r>
    <s v="ORD-00243"/>
    <d v="2020-04-16T00:00:00"/>
    <s v="CUST09436"/>
    <x v="39"/>
    <n v="30"/>
    <x v="0"/>
    <x v="0"/>
    <x v="4"/>
    <x v="17"/>
    <x v="3"/>
    <s v="Dress"/>
    <n v="3"/>
    <n v="995.86"/>
    <x v="19"/>
    <n v="2883.96"/>
    <n v="919.54"/>
    <n v="83.09"/>
    <x v="0"/>
    <n v="2"/>
    <x v="1"/>
    <x v="1"/>
    <n v="3"/>
  </r>
  <r>
    <s v="ORD-00215"/>
    <d v="2020-04-04T00:00:00"/>
    <s v="CUST24370"/>
    <x v="357"/>
    <n v="32"/>
    <x v="0"/>
    <x v="0"/>
    <x v="2"/>
    <x v="4"/>
    <x v="5"/>
    <s v="Cooking Oil"/>
    <n v="4"/>
    <n v="274.86"/>
    <x v="14"/>
    <n v="738.23"/>
    <n v="64.05"/>
    <n v="67.36"/>
    <x v="4"/>
    <n v="2"/>
    <x v="0"/>
    <x v="0"/>
    <n v="2"/>
  </r>
  <r>
    <s v="ORD-02213"/>
    <d v="2022-08-24T00:00:00"/>
    <s v="CUST26490"/>
    <x v="277"/>
    <n v="28"/>
    <x v="0"/>
    <x v="2"/>
    <x v="3"/>
    <x v="12"/>
    <x v="6"/>
    <s v="Headphones"/>
    <n v="1"/>
    <n v="51058.89"/>
    <x v="22"/>
    <n v="41545.589999999997"/>
    <n v="5436.55"/>
    <n v="71.72"/>
    <x v="5"/>
    <n v="2"/>
    <x v="1"/>
    <x v="1"/>
    <n v="5"/>
  </r>
  <r>
    <s v="ORD-01380"/>
    <d v="2021-09-15T00:00:00"/>
    <s v="CUST11106"/>
    <x v="390"/>
    <n v="37"/>
    <x v="1"/>
    <x v="2"/>
    <x v="0"/>
    <x v="1"/>
    <x v="0"/>
    <s v="Sunscreen"/>
    <n v="6"/>
    <n v="386.4"/>
    <x v="28"/>
    <n v="2325.2199999999998"/>
    <n v="1189.6099999999999"/>
    <n v="40.659999999999997"/>
    <x v="3"/>
    <n v="1"/>
    <x v="0"/>
    <x v="0"/>
    <n v="10"/>
  </r>
  <r>
    <s v="ORD-02865"/>
    <d v="2023-05-30T00:00:00"/>
    <s v="CUST23967"/>
    <x v="133"/>
    <n v="19"/>
    <x v="3"/>
    <x v="0"/>
    <x v="3"/>
    <x v="5"/>
    <x v="6"/>
    <s v="Smartphone"/>
    <n v="1"/>
    <n v="11340.22"/>
    <x v="30"/>
    <n v="11399.21"/>
    <n v="1893.42"/>
    <n v="112.08"/>
    <x v="3"/>
    <n v="3"/>
    <x v="0"/>
    <x v="3"/>
    <n v="5"/>
  </r>
  <r>
    <s v="ORD-00424"/>
    <d v="2020-07-06T00:00:00"/>
    <s v="CUST80538"/>
    <x v="108"/>
    <n v="50"/>
    <x v="1"/>
    <x v="1"/>
    <x v="0"/>
    <x v="1"/>
    <x v="0"/>
    <s v="Face Cream"/>
    <n v="8"/>
    <n v="122.16"/>
    <x v="8"/>
    <n v="1352.85"/>
    <n v="624.96"/>
    <n v="78.739999999999995"/>
    <x v="3"/>
    <n v="1"/>
    <x v="0"/>
    <x v="0"/>
    <n v="8"/>
  </r>
  <r>
    <s v="ORD-01333"/>
    <d v="2021-08-20T00:00:00"/>
    <s v="CUST98551"/>
    <x v="131"/>
    <n v="43"/>
    <x v="1"/>
    <x v="2"/>
    <x v="3"/>
    <x v="5"/>
    <x v="0"/>
    <s v="Face Cream"/>
    <n v="7"/>
    <n v="2072.71"/>
    <x v="21"/>
    <n v="11905.56"/>
    <n v="4495.7299999999996"/>
    <n v="76.63"/>
    <x v="4"/>
    <n v="5"/>
    <x v="0"/>
    <x v="0"/>
    <n v="9"/>
  </r>
  <r>
    <s v="ORD-02981"/>
    <d v="2023-07-15T00:00:00"/>
    <s v="CUST16972"/>
    <x v="85"/>
    <n v="59"/>
    <x v="2"/>
    <x v="1"/>
    <x v="3"/>
    <x v="16"/>
    <x v="5"/>
    <s v="Dal (1kg)"/>
    <n v="1"/>
    <n v="420.19"/>
    <x v="8"/>
    <n v="592.96"/>
    <n v="70.709999999999994"/>
    <n v="40.340000000000003"/>
    <x v="2"/>
    <n v="3"/>
    <x v="0"/>
    <x v="0"/>
    <n v="4"/>
  </r>
  <r>
    <s v="ORD-02677"/>
    <d v="2023-03-04T00:00:00"/>
    <s v="CUST29585"/>
    <x v="82"/>
    <n v="28"/>
    <x v="0"/>
    <x v="2"/>
    <x v="1"/>
    <x v="11"/>
    <x v="5"/>
    <s v="Tea"/>
    <n v="7"/>
    <n v="493.14"/>
    <x v="16"/>
    <n v="4089.53"/>
    <n v="366.06"/>
    <n v="60.87"/>
    <x v="5"/>
    <n v="3"/>
    <x v="0"/>
    <x v="3"/>
    <n v="2"/>
  </r>
  <r>
    <s v="ORD-01720"/>
    <d v="2022-02-05T00:00:00"/>
    <s v="CUST86385"/>
    <x v="119"/>
    <n v="25"/>
    <x v="3"/>
    <x v="1"/>
    <x v="1"/>
    <x v="6"/>
    <x v="4"/>
    <s v="Dumbbells"/>
    <n v="5"/>
    <n v="5502.6"/>
    <x v="5"/>
    <n v="28294.84"/>
    <n v="8865.25"/>
    <n v="65.010000000000005"/>
    <x v="2"/>
    <n v="4"/>
    <x v="0"/>
    <x v="0"/>
    <n v="4"/>
  </r>
  <r>
    <s v="ORD-01918"/>
    <d v="2022-04-28T00:00:00"/>
    <s v="CUST04256"/>
    <x v="210"/>
    <n v="35"/>
    <x v="0"/>
    <x v="0"/>
    <x v="4"/>
    <x v="7"/>
    <x v="6"/>
    <s v="Smartphone"/>
    <n v="6"/>
    <n v="39743.58"/>
    <x v="29"/>
    <n v="290848.39"/>
    <n v="32188.69"/>
    <n v="78.099999999999994"/>
    <x v="4"/>
    <n v="5"/>
    <x v="0"/>
    <x v="0"/>
    <n v="45"/>
  </r>
  <r>
    <s v="ORD-01679"/>
    <d v="2022-01-19T00:00:00"/>
    <s v="CUST27192"/>
    <x v="346"/>
    <n v="36"/>
    <x v="1"/>
    <x v="2"/>
    <x v="4"/>
    <x v="17"/>
    <x v="2"/>
    <s v="Textbook"/>
    <n v="7"/>
    <n v="903.3"/>
    <x v="3"/>
    <n v="4147.54"/>
    <n v="1984.59"/>
    <n v="55.08"/>
    <x v="4"/>
    <n v="2"/>
    <x v="0"/>
    <x v="0"/>
    <n v="3"/>
  </r>
  <r>
    <s v="ORD-00684"/>
    <d v="2020-11-06T00:00:00"/>
    <s v="CUST61978"/>
    <x v="322"/>
    <n v="39"/>
    <x v="1"/>
    <x v="1"/>
    <x v="1"/>
    <x v="11"/>
    <x v="0"/>
    <s v="Face Cream"/>
    <n v="3"/>
    <n v="1239.17"/>
    <x v="6"/>
    <n v="1595.55"/>
    <n v="768.1"/>
    <n v="50.76"/>
    <x v="4"/>
    <n v="3"/>
    <x v="0"/>
    <x v="0"/>
    <n v="5"/>
  </r>
  <r>
    <s v="ORD-01786"/>
    <d v="2022-03-03T00:00:00"/>
    <s v="CUST84190"/>
    <x v="329"/>
    <n v="26"/>
    <x v="0"/>
    <x v="0"/>
    <x v="3"/>
    <x v="15"/>
    <x v="0"/>
    <s v="Shampoo"/>
    <n v="5"/>
    <n v="2389.7800000000002"/>
    <x v="23"/>
    <n v="9862.27"/>
    <n v="4445.3"/>
    <n v="88.28"/>
    <x v="3"/>
    <n v="1"/>
    <x v="0"/>
    <x v="0"/>
    <n v="6"/>
  </r>
  <r>
    <s v="ORD-03011"/>
    <d v="2023-07-27T00:00:00"/>
    <s v="CUST93010"/>
    <x v="376"/>
    <n v="35"/>
    <x v="0"/>
    <x v="2"/>
    <x v="4"/>
    <x v="17"/>
    <x v="4"/>
    <s v="Dumbbells"/>
    <n v="10"/>
    <n v="14369.58"/>
    <x v="36"/>
    <n v="155449.26999999999"/>
    <n v="43778.31"/>
    <n v="70.010000000000005"/>
    <x v="4"/>
    <n v="2"/>
    <x v="0"/>
    <x v="0"/>
    <n v="3"/>
  </r>
  <r>
    <s v="ORD-01092"/>
    <d v="2021-05-08T00:00:00"/>
    <s v="CUST67703"/>
    <x v="315"/>
    <n v="41"/>
    <x v="1"/>
    <x v="0"/>
    <x v="4"/>
    <x v="18"/>
    <x v="5"/>
    <s v="Sugar"/>
    <n v="7"/>
    <n v="299.11"/>
    <x v="12"/>
    <n v="2191.0300000000002"/>
    <n v="148.75"/>
    <n v="87.79"/>
    <x v="2"/>
    <n v="5"/>
    <x v="0"/>
    <x v="0"/>
    <n v="6"/>
  </r>
  <r>
    <s v="ORD-03226"/>
    <d v="2023-10-27T00:00:00"/>
    <s v="CUST57729"/>
    <x v="120"/>
    <n v="47"/>
    <x v="1"/>
    <x v="0"/>
    <x v="1"/>
    <x v="3"/>
    <x v="4"/>
    <s v="Dumbbells"/>
    <n v="10"/>
    <n v="4956.92"/>
    <x v="26"/>
    <n v="37464.050000000003"/>
    <n v="10028.06"/>
    <n v="55.21"/>
    <x v="1"/>
    <n v="2"/>
    <x v="0"/>
    <x v="0"/>
    <n v="6"/>
  </r>
  <r>
    <s v="ORD-00935"/>
    <d v="2021-02-26T00:00:00"/>
    <s v="CUST09173"/>
    <x v="36"/>
    <n v="32"/>
    <x v="0"/>
    <x v="2"/>
    <x v="2"/>
    <x v="4"/>
    <x v="1"/>
    <s v="Bed Frame"/>
    <n v="3"/>
    <n v="26021.42"/>
    <x v="29"/>
    <n v="58084.97"/>
    <n v="15110.03"/>
    <n v="29.22"/>
    <x v="3"/>
    <n v="3"/>
    <x v="0"/>
    <x v="0"/>
    <n v="1"/>
  </r>
  <r>
    <s v="ORD-01506"/>
    <d v="2021-06-11T00:00:00"/>
    <s v="CUST86212"/>
    <x v="223"/>
    <n v="27"/>
    <x v="0"/>
    <x v="0"/>
    <x v="3"/>
    <x v="5"/>
    <x v="2"/>
    <s v="Comic Book"/>
    <n v="9"/>
    <n v="1191.6199999999999"/>
    <x v="30"/>
    <n v="5257.68"/>
    <n v="2138.66"/>
    <n v="54.25"/>
    <x v="5"/>
    <n v="2"/>
    <x v="0"/>
    <x v="2"/>
    <n v="7"/>
  </r>
  <r>
    <s v="ORD-01833"/>
    <d v="2022-03-24T00:00:00"/>
    <s v="CUST97409"/>
    <x v="258"/>
    <n v="27"/>
    <x v="0"/>
    <x v="2"/>
    <x v="4"/>
    <x v="17"/>
    <x v="2"/>
    <s v="Biography"/>
    <n v="5"/>
    <n v="845.02"/>
    <x v="22"/>
    <n v="3063.76"/>
    <n v="1423.14"/>
    <n v="65.17"/>
    <x v="1"/>
    <n v="3"/>
    <x v="0"/>
    <x v="0"/>
    <n v="7"/>
  </r>
  <r>
    <s v="ORD-02086"/>
    <d v="2022-07-08T00:00:00"/>
    <s v="CUST76981"/>
    <x v="111"/>
    <n v="32"/>
    <x v="0"/>
    <x v="0"/>
    <x v="0"/>
    <x v="2"/>
    <x v="1"/>
    <s v="Wardrobe"/>
    <n v="4"/>
    <n v="34455.300000000003"/>
    <x v="7"/>
    <n v="170405.41"/>
    <n v="53474.69"/>
    <n v="73.849999999999994"/>
    <x v="2"/>
    <n v="1"/>
    <x v="0"/>
    <x v="0"/>
    <n v="8"/>
  </r>
  <r>
    <s v="ORD-00666"/>
    <d v="2020-10-28T00:00:00"/>
    <s v="CUST11287"/>
    <x v="227"/>
    <n v="26"/>
    <x v="0"/>
    <x v="2"/>
    <x v="2"/>
    <x v="9"/>
    <x v="4"/>
    <s v="Cycle"/>
    <n v="5"/>
    <n v="1900.51"/>
    <x v="27"/>
    <n v="5891.51"/>
    <n v="1237.06"/>
    <n v="31.46"/>
    <x v="3"/>
    <n v="1"/>
    <x v="0"/>
    <x v="0"/>
    <n v="10"/>
  </r>
  <r>
    <s v="ORD-01573"/>
    <d v="2021-12-04T00:00:00"/>
    <s v="CUST89799"/>
    <x v="337"/>
    <n v="43"/>
    <x v="1"/>
    <x v="0"/>
    <x v="3"/>
    <x v="12"/>
    <x v="5"/>
    <s v="Tea"/>
    <n v="6"/>
    <n v="479.7"/>
    <x v="11"/>
    <n v="1769.61"/>
    <n v="138.58000000000001"/>
    <n v="81.02"/>
    <x v="0"/>
    <n v="1"/>
    <x v="0"/>
    <x v="0"/>
    <n v="4"/>
  </r>
  <r>
    <s v="ORD-02177"/>
    <d v="2022-08-12T00:00:00"/>
    <s v="CUST13161"/>
    <x v="385"/>
    <n v="26"/>
    <x v="0"/>
    <x v="0"/>
    <x v="1"/>
    <x v="10"/>
    <x v="4"/>
    <s v="Tennis Racket"/>
    <n v="3"/>
    <n v="13900.23"/>
    <x v="29"/>
    <n v="55053.72"/>
    <n v="12908.85"/>
    <n v="55.5"/>
    <x v="3"/>
    <n v="5"/>
    <x v="0"/>
    <x v="0"/>
    <n v="3"/>
  </r>
  <r>
    <s v="ORD-01231"/>
    <d v="2021-07-10T00:00:00"/>
    <s v="CUST41296"/>
    <x v="277"/>
    <n v="48"/>
    <x v="1"/>
    <x v="2"/>
    <x v="4"/>
    <x v="7"/>
    <x v="3"/>
    <s v="Saree"/>
    <n v="2"/>
    <n v="796.71"/>
    <x v="15"/>
    <n v="1565.52"/>
    <n v="494.29"/>
    <n v="79.430000000000007"/>
    <x v="1"/>
    <n v="1"/>
    <x v="0"/>
    <x v="3"/>
    <n v="7"/>
  </r>
  <r>
    <s v="ORD-02969"/>
    <d v="2023-07-08T00:00:00"/>
    <s v="CUST90919"/>
    <x v="70"/>
    <n v="39"/>
    <x v="1"/>
    <x v="0"/>
    <x v="4"/>
    <x v="18"/>
    <x v="6"/>
    <s v="Tablet"/>
    <n v="10"/>
    <n v="75218.460000000006"/>
    <x v="38"/>
    <n v="1071676.26"/>
    <n v="126516.22"/>
    <n v="87.54"/>
    <x v="3"/>
    <n v="5"/>
    <x v="0"/>
    <x v="0"/>
    <n v="6"/>
  </r>
  <r>
    <s v="ORD-02219"/>
    <d v="2022-08-26T00:00:00"/>
    <s v="CUST79612"/>
    <x v="389"/>
    <n v="55"/>
    <x v="2"/>
    <x v="1"/>
    <x v="4"/>
    <x v="8"/>
    <x v="3"/>
    <s v="Dress"/>
    <n v="3"/>
    <n v="2275.89"/>
    <x v="6"/>
    <n v="5784.15"/>
    <n v="2003.88"/>
    <n v="91.14"/>
    <x v="3"/>
    <n v="2"/>
    <x v="0"/>
    <x v="4"/>
    <n v="8"/>
  </r>
  <r>
    <s v="ORD-00356"/>
    <d v="2020-06-02T00:00:00"/>
    <s v="CUST08599"/>
    <x v="116"/>
    <n v="35"/>
    <x v="0"/>
    <x v="0"/>
    <x v="1"/>
    <x v="11"/>
    <x v="0"/>
    <s v="Sunscreen"/>
    <n v="9"/>
    <n v="1088.49"/>
    <x v="20"/>
    <n v="9801.8700000000008"/>
    <n v="3831.73"/>
    <n v="58.48"/>
    <x v="3"/>
    <n v="1"/>
    <x v="0"/>
    <x v="0"/>
    <n v="6"/>
  </r>
  <r>
    <s v="ORD-01691"/>
    <d v="2022-01-24T00:00:00"/>
    <s v="CUST25926"/>
    <x v="65"/>
    <n v="47"/>
    <x v="1"/>
    <x v="1"/>
    <x v="1"/>
    <x v="11"/>
    <x v="3"/>
    <s v="Jeans"/>
    <n v="9"/>
    <n v="2676.81"/>
    <x v="29"/>
    <n v="20021.18"/>
    <n v="6907.31"/>
    <n v="80.489999999999995"/>
    <x v="0"/>
    <n v="1"/>
    <x v="0"/>
    <x v="0"/>
    <n v="7"/>
  </r>
  <r>
    <s v="ORD-01320"/>
    <d v="2021-08-16T00:00:00"/>
    <s v="CUST49427"/>
    <x v="106"/>
    <n v="27"/>
    <x v="0"/>
    <x v="1"/>
    <x v="3"/>
    <x v="15"/>
    <x v="3"/>
    <s v="Saree"/>
    <n v="5"/>
    <n v="1016.27"/>
    <x v="35"/>
    <n v="3776.28"/>
    <n v="996.28"/>
    <n v="80.84"/>
    <x v="4"/>
    <n v="3"/>
    <x v="0"/>
    <x v="0"/>
    <n v="8"/>
  </r>
  <r>
    <s v="ORD-03846"/>
    <d v="2024-07-29T00:00:00"/>
    <s v="CUST69930"/>
    <x v="152"/>
    <n v="58"/>
    <x v="2"/>
    <x v="0"/>
    <x v="4"/>
    <x v="7"/>
    <x v="4"/>
    <s v="Football"/>
    <n v="3"/>
    <n v="14603.58"/>
    <x v="26"/>
    <n v="55450.77"/>
    <n v="10463.09"/>
    <n v="56.67"/>
    <x v="3"/>
    <n v="2"/>
    <x v="0"/>
    <x v="0"/>
    <n v="7"/>
  </r>
  <r>
    <s v="ORD-02738"/>
    <d v="2023-03-31T00:00:00"/>
    <s v="CUST25037"/>
    <x v="347"/>
    <n v="40"/>
    <x v="1"/>
    <x v="1"/>
    <x v="2"/>
    <x v="13"/>
    <x v="6"/>
    <s v="Tablet"/>
    <n v="6"/>
    <n v="51056.11"/>
    <x v="9"/>
    <n v="301146.21999999997"/>
    <n v="46670.71"/>
    <n v="55.16"/>
    <x v="4"/>
    <n v="3"/>
    <x v="1"/>
    <x v="1"/>
    <n v="6"/>
  </r>
  <r>
    <s v="ORD-00448"/>
    <d v="2020-07-16T00:00:00"/>
    <s v="CUST82556"/>
    <x v="27"/>
    <n v="45"/>
    <x v="1"/>
    <x v="1"/>
    <x v="1"/>
    <x v="6"/>
    <x v="5"/>
    <s v="Tea"/>
    <n v="3"/>
    <n v="338.27"/>
    <x v="11"/>
    <n v="1105.54"/>
    <n v="91.98"/>
    <n v="65.89"/>
    <x v="0"/>
    <n v="3"/>
    <x v="0"/>
    <x v="4"/>
    <n v="1"/>
  </r>
  <r>
    <s v="ORD-02008"/>
    <d v="2022-06-04T00:00:00"/>
    <s v="CUST38535"/>
    <x v="256"/>
    <n v="24"/>
    <x v="3"/>
    <x v="2"/>
    <x v="2"/>
    <x v="14"/>
    <x v="2"/>
    <s v="Comic Book"/>
    <n v="5"/>
    <n v="1362.67"/>
    <x v="34"/>
    <n v="6858.54"/>
    <n v="3271.94"/>
    <n v="53.41"/>
    <x v="5"/>
    <n v="2"/>
    <x v="0"/>
    <x v="0"/>
    <n v="7"/>
  </r>
  <r>
    <s v="ORD-03723"/>
    <d v="2024-06-12T00:00:00"/>
    <s v="CUST40746"/>
    <x v="62"/>
    <n v="33"/>
    <x v="0"/>
    <x v="1"/>
    <x v="2"/>
    <x v="14"/>
    <x v="1"/>
    <s v="Desk"/>
    <n v="8"/>
    <n v="24394.07"/>
    <x v="34"/>
    <n v="188753.55"/>
    <n v="52364.3"/>
    <n v="37.42"/>
    <x v="2"/>
    <n v="1"/>
    <x v="0"/>
    <x v="0"/>
    <n v="2"/>
  </r>
  <r>
    <s v="ORD-02685"/>
    <d v="2023-03-10T00:00:00"/>
    <s v="CUST44671"/>
    <x v="34"/>
    <n v="22"/>
    <x v="3"/>
    <x v="2"/>
    <x v="2"/>
    <x v="9"/>
    <x v="3"/>
    <s v="Kurta"/>
    <n v="9"/>
    <n v="2747.04"/>
    <x v="10"/>
    <n v="21056.46"/>
    <n v="7428.62"/>
    <n v="39.99"/>
    <x v="5"/>
    <n v="3"/>
    <x v="0"/>
    <x v="2"/>
    <n v="7"/>
  </r>
  <r>
    <s v="ORD-00856"/>
    <d v="2021-01-25T00:00:00"/>
    <s v="CUST85777"/>
    <x v="271"/>
    <n v="28"/>
    <x v="0"/>
    <x v="1"/>
    <x v="1"/>
    <x v="10"/>
    <x v="4"/>
    <s v="Cycle"/>
    <n v="4"/>
    <n v="11854.96"/>
    <x v="24"/>
    <n v="42761.49"/>
    <n v="9643.25"/>
    <n v="65.47"/>
    <x v="5"/>
    <n v="2"/>
    <x v="0"/>
    <x v="0"/>
    <n v="3"/>
  </r>
  <r>
    <s v="ORD-03730"/>
    <d v="2024-06-15T00:00:00"/>
    <s v="CUST49008"/>
    <x v="237"/>
    <n v="24"/>
    <x v="3"/>
    <x v="0"/>
    <x v="3"/>
    <x v="15"/>
    <x v="6"/>
    <s v="Tablet"/>
    <n v="4"/>
    <n v="56393.82"/>
    <x v="6"/>
    <n v="238585.21"/>
    <n v="36073.620000000003"/>
    <n v="49.73"/>
    <x v="4"/>
    <n v="2"/>
    <x v="0"/>
    <x v="0"/>
    <n v="10"/>
  </r>
  <r>
    <s v="ORD-03393"/>
    <d v="2024-01-08T00:00:00"/>
    <s v="CUST78516"/>
    <x v="247"/>
    <n v="53"/>
    <x v="2"/>
    <x v="0"/>
    <x v="3"/>
    <x v="16"/>
    <x v="5"/>
    <s v="Flour"/>
    <n v="8"/>
    <n v="300.87"/>
    <x v="34"/>
    <n v="1616.03"/>
    <n v="134.52000000000001"/>
    <n v="86.63"/>
    <x v="0"/>
    <n v="2"/>
    <x v="0"/>
    <x v="2"/>
    <n v="10"/>
  </r>
  <r>
    <s v="ORD-04140"/>
    <d v="2024-12-04T00:00:00"/>
    <s v="CUST10076"/>
    <x v="52"/>
    <n v="47"/>
    <x v="1"/>
    <x v="0"/>
    <x v="1"/>
    <x v="6"/>
    <x v="0"/>
    <s v="Shampoo"/>
    <n v="9"/>
    <n v="173.38"/>
    <x v="34"/>
    <n v="967.63"/>
    <n v="355.07"/>
    <n v="33.17"/>
    <x v="2"/>
    <n v="5"/>
    <x v="0"/>
    <x v="2"/>
    <n v="10"/>
  </r>
  <r>
    <s v="ORD-03991"/>
    <d v="2024-09-19T00:00:00"/>
    <s v="CUST26095"/>
    <x v="399"/>
    <n v="31"/>
    <x v="0"/>
    <x v="2"/>
    <x v="4"/>
    <x v="18"/>
    <x v="0"/>
    <s v="Face Cream"/>
    <n v="10"/>
    <n v="1064.73"/>
    <x v="37"/>
    <n v="9344.7099999999991"/>
    <n v="3730.48"/>
    <n v="58.78"/>
    <x v="3"/>
    <n v="2"/>
    <x v="0"/>
    <x v="2"/>
    <n v="2"/>
  </r>
  <r>
    <s v="ORD-02080"/>
    <d v="2022-07-06T00:00:00"/>
    <s v="CUST66538"/>
    <x v="336"/>
    <n v="50"/>
    <x v="1"/>
    <x v="1"/>
    <x v="4"/>
    <x v="7"/>
    <x v="1"/>
    <s v="Desk"/>
    <n v="5"/>
    <n v="33788.21"/>
    <x v="1"/>
    <n v="211505.45"/>
    <n v="61443.22"/>
    <n v="95.75"/>
    <x v="2"/>
    <n v="3"/>
    <x v="1"/>
    <x v="1"/>
    <n v="7"/>
  </r>
  <r>
    <s v="ORD-01603"/>
    <d v="2021-12-15T00:00:00"/>
    <s v="CUST45758"/>
    <x v="195"/>
    <n v="25"/>
    <x v="3"/>
    <x v="1"/>
    <x v="0"/>
    <x v="19"/>
    <x v="0"/>
    <s v="Shampoo"/>
    <n v="4"/>
    <n v="2108.75"/>
    <x v="18"/>
    <n v="4272.12"/>
    <n v="1577.65"/>
    <n v="74.62"/>
    <x v="1"/>
    <n v="2"/>
    <x v="0"/>
    <x v="0"/>
    <n v="6"/>
  </r>
  <r>
    <s v="ORD-02170"/>
    <d v="2022-08-09T00:00:00"/>
    <s v="CUST83068"/>
    <x v="133"/>
    <n v="42"/>
    <x v="1"/>
    <x v="1"/>
    <x v="1"/>
    <x v="10"/>
    <x v="2"/>
    <s v="Self-Help Book"/>
    <n v="3"/>
    <n v="969.7"/>
    <x v="39"/>
    <n v="3355.24"/>
    <n v="1386.74"/>
    <n v="44.19"/>
    <x v="3"/>
    <n v="1"/>
    <x v="0"/>
    <x v="0"/>
    <n v="4"/>
  </r>
  <r>
    <s v="ORD-03095"/>
    <d v="2023-08-30T00:00:00"/>
    <s v="CUST91267"/>
    <x v="353"/>
    <n v="27"/>
    <x v="0"/>
    <x v="2"/>
    <x v="1"/>
    <x v="10"/>
    <x v="0"/>
    <s v="Perfume"/>
    <n v="10"/>
    <n v="427.76"/>
    <x v="8"/>
    <n v="4968.59"/>
    <n v="1801.67"/>
    <n v="67.38"/>
    <x v="4"/>
    <n v="5"/>
    <x v="0"/>
    <x v="0"/>
    <n v="1"/>
  </r>
  <r>
    <s v="ORD-02886"/>
    <d v="2023-06-04T00:00:00"/>
    <s v="CUST25210"/>
    <x v="322"/>
    <n v="38"/>
    <x v="1"/>
    <x v="2"/>
    <x v="1"/>
    <x v="6"/>
    <x v="5"/>
    <s v="Dal (1kg)"/>
    <n v="9"/>
    <n v="458.95"/>
    <x v="27"/>
    <n v="5524.99"/>
    <n v="539.29999999999995"/>
    <n v="58.47"/>
    <x v="4"/>
    <n v="2"/>
    <x v="1"/>
    <x v="1"/>
    <n v="9"/>
  </r>
  <r>
    <s v="ORD-01510"/>
    <d v="2021-11-10T00:00:00"/>
    <s v="CUST71235"/>
    <x v="312"/>
    <n v="62"/>
    <x v="2"/>
    <x v="2"/>
    <x v="4"/>
    <x v="8"/>
    <x v="5"/>
    <s v="Flour"/>
    <n v="2"/>
    <n v="331.43"/>
    <x v="7"/>
    <n v="388.61"/>
    <n v="21.42"/>
    <n v="54.3"/>
    <x v="4"/>
    <n v="2"/>
    <x v="0"/>
    <x v="0"/>
    <n v="4"/>
  </r>
  <r>
    <s v="ORD-00878"/>
    <d v="2021-02-02T00:00:00"/>
    <s v="CUST74864"/>
    <x v="111"/>
    <n v="41"/>
    <x v="1"/>
    <x v="2"/>
    <x v="2"/>
    <x v="14"/>
    <x v="5"/>
    <s v="Tea"/>
    <n v="1"/>
    <n v="409.48"/>
    <x v="18"/>
    <n v="275.92"/>
    <n v="21.85"/>
    <n v="52.01"/>
    <x v="4"/>
    <n v="5"/>
    <x v="0"/>
    <x v="2"/>
    <n v="5"/>
  </r>
  <r>
    <s v="ORD-00381"/>
    <d v="2020-06-11T00:00:00"/>
    <s v="CUST02130"/>
    <x v="55"/>
    <n v="29"/>
    <x v="0"/>
    <x v="0"/>
    <x v="0"/>
    <x v="1"/>
    <x v="4"/>
    <s v="Tennis Racket"/>
    <n v="7"/>
    <n v="9615.9"/>
    <x v="14"/>
    <n v="53730.92"/>
    <n v="13253.84"/>
    <n v="48.62"/>
    <x v="1"/>
    <n v="3"/>
    <x v="1"/>
    <x v="1"/>
    <n v="8"/>
  </r>
  <r>
    <s v="ORD-02628"/>
    <d v="2023-02-14T00:00:00"/>
    <s v="CUST48700"/>
    <x v="389"/>
    <n v="30"/>
    <x v="0"/>
    <x v="0"/>
    <x v="1"/>
    <x v="10"/>
    <x v="6"/>
    <s v="Smartwatch"/>
    <n v="9"/>
    <n v="65519.43"/>
    <x v="37"/>
    <n v="483891.6"/>
    <n v="51648.1"/>
    <n v="68.64"/>
    <x v="3"/>
    <n v="1"/>
    <x v="1"/>
    <x v="1"/>
    <n v="9"/>
  </r>
  <r>
    <s v="ORD-03708"/>
    <d v="2024-06-02T00:00:00"/>
    <s v="CUST22717"/>
    <x v="306"/>
    <n v="44"/>
    <x v="1"/>
    <x v="2"/>
    <x v="3"/>
    <x v="16"/>
    <x v="3"/>
    <s v="Kurta"/>
    <n v="2"/>
    <n v="843.73"/>
    <x v="18"/>
    <n v="1839.05"/>
    <n v="660.61"/>
    <n v="92.53"/>
    <x v="4"/>
    <n v="5"/>
    <x v="0"/>
    <x v="0"/>
    <n v="10"/>
  </r>
  <r>
    <s v="ORD-02585"/>
    <d v="2023-01-29T00:00:00"/>
    <s v="CUST32210"/>
    <x v="158"/>
    <n v="33"/>
    <x v="0"/>
    <x v="0"/>
    <x v="4"/>
    <x v="7"/>
    <x v="5"/>
    <s v="Cooking Oil"/>
    <n v="3"/>
    <n v="443.89"/>
    <x v="5"/>
    <n v="1152.72"/>
    <n v="75.7"/>
    <n v="66.88"/>
    <x v="2"/>
    <n v="4"/>
    <x v="0"/>
    <x v="0"/>
    <n v="9"/>
  </r>
  <r>
    <s v="ORD-01884"/>
    <d v="2022-04-11T00:00:00"/>
    <s v="CUST42306"/>
    <x v="312"/>
    <n v="62"/>
    <x v="2"/>
    <x v="2"/>
    <x v="0"/>
    <x v="19"/>
    <x v="0"/>
    <s v="Perfume"/>
    <n v="7"/>
    <n v="519.13"/>
    <x v="34"/>
    <n v="3102.68"/>
    <n v="1514.19"/>
    <n v="82.54"/>
    <x v="2"/>
    <n v="1"/>
    <x v="1"/>
    <x v="1"/>
    <n v="9"/>
  </r>
  <r>
    <s v="ORD-02534"/>
    <d v="2023-01-04T00:00:00"/>
    <s v="CUST25928"/>
    <x v="153"/>
    <n v="36"/>
    <x v="1"/>
    <x v="0"/>
    <x v="1"/>
    <x v="10"/>
    <x v="4"/>
    <s v="Dumbbells"/>
    <n v="8"/>
    <n v="6382.18"/>
    <x v="6"/>
    <n v="26872.75"/>
    <n v="3931.39"/>
    <n v="52.42"/>
    <x v="4"/>
    <n v="1"/>
    <x v="1"/>
    <x v="1"/>
    <n v="8"/>
  </r>
  <r>
    <s v="ORD-00829"/>
    <d v="2021-01-15T00:00:00"/>
    <s v="CUST78751"/>
    <x v="67"/>
    <n v="42"/>
    <x v="1"/>
    <x v="1"/>
    <x v="4"/>
    <x v="18"/>
    <x v="1"/>
    <s v="Desk"/>
    <n v="10"/>
    <n v="25214.06"/>
    <x v="21"/>
    <n v="131999.09"/>
    <n v="39084.78"/>
    <n v="68.52"/>
    <x v="3"/>
    <n v="5"/>
    <x v="1"/>
    <x v="1"/>
    <n v="3"/>
  </r>
  <r>
    <s v="ORD-01220"/>
    <d v="2021-07-04T00:00:00"/>
    <s v="CUST25349"/>
    <x v="151"/>
    <n v="27"/>
    <x v="0"/>
    <x v="0"/>
    <x v="2"/>
    <x v="14"/>
    <x v="6"/>
    <s v="Laptop"/>
    <n v="5"/>
    <n v="42777.53"/>
    <x v="11"/>
    <n v="192877.7"/>
    <n v="27062.25"/>
    <n v="46.76"/>
    <x v="0"/>
    <n v="2"/>
    <x v="0"/>
    <x v="2"/>
    <n v="6"/>
  </r>
  <r>
    <s v="ORD-03491"/>
    <d v="2024-02-26T00:00:00"/>
    <s v="CUST43868"/>
    <x v="384"/>
    <n v="37"/>
    <x v="1"/>
    <x v="0"/>
    <x v="4"/>
    <x v="18"/>
    <x v="5"/>
    <s v="Cooking Oil"/>
    <n v="10"/>
    <n v="150.97"/>
    <x v="34"/>
    <n v="1192.31"/>
    <n v="113.82"/>
    <n v="61.55"/>
    <x v="4"/>
    <n v="2"/>
    <x v="0"/>
    <x v="0"/>
    <n v="7"/>
  </r>
  <r>
    <s v="ORD-00307"/>
    <d v="2020-05-13T00:00:00"/>
    <s v="CUST09307"/>
    <x v="283"/>
    <n v="27"/>
    <x v="0"/>
    <x v="2"/>
    <x v="4"/>
    <x v="17"/>
    <x v="6"/>
    <s v="Camera"/>
    <n v="10"/>
    <n v="75021.17"/>
    <x v="19"/>
    <n v="834952.68"/>
    <n v="112520.6"/>
    <n v="68.069999999999993"/>
    <x v="1"/>
    <n v="1"/>
    <x v="1"/>
    <x v="1"/>
    <n v="5"/>
  </r>
  <r>
    <s v="ORD-03600"/>
    <d v="2024-04-15T00:00:00"/>
    <s v="CUST20450"/>
    <x v="227"/>
    <n v="31"/>
    <x v="0"/>
    <x v="2"/>
    <x v="1"/>
    <x v="10"/>
    <x v="4"/>
    <s v="Cricket Bat"/>
    <n v="4"/>
    <n v="713.59"/>
    <x v="0"/>
    <n v="3859.57"/>
    <n v="957"/>
    <n v="84.62"/>
    <x v="2"/>
    <n v="5"/>
    <x v="0"/>
    <x v="0"/>
    <n v="8"/>
  </r>
  <r>
    <s v="ORD-03857"/>
    <d v="2024-08-03T00:00:00"/>
    <s v="CUST13391"/>
    <x v="312"/>
    <n v="53"/>
    <x v="2"/>
    <x v="2"/>
    <x v="0"/>
    <x v="0"/>
    <x v="1"/>
    <s v="Chair"/>
    <n v="8"/>
    <n v="26914.41"/>
    <x v="38"/>
    <n v="255026.97"/>
    <n v="79719.78"/>
    <n v="50.27"/>
    <x v="3"/>
    <n v="5"/>
    <x v="0"/>
    <x v="0"/>
    <n v="4"/>
  </r>
  <r>
    <s v="ORD-00507"/>
    <d v="2020-08-13T00:00:00"/>
    <s v="CUST46786"/>
    <x v="123"/>
    <n v="31"/>
    <x v="0"/>
    <x v="1"/>
    <x v="4"/>
    <x v="18"/>
    <x v="4"/>
    <s v="Yoga Mat"/>
    <n v="6"/>
    <n v="1678.96"/>
    <x v="9"/>
    <n v="10018.4"/>
    <n v="2148.34"/>
    <n v="65.84"/>
    <x v="2"/>
    <n v="5"/>
    <x v="0"/>
    <x v="0"/>
    <n v="2"/>
  </r>
  <r>
    <s v="ORD-03454"/>
    <d v="2024-02-06T00:00:00"/>
    <s v="CUST89953"/>
    <x v="249"/>
    <n v="46"/>
    <x v="1"/>
    <x v="2"/>
    <x v="0"/>
    <x v="2"/>
    <x v="1"/>
    <s v="Bookshelf"/>
    <n v="10"/>
    <n v="16254.1"/>
    <x v="26"/>
    <n v="125959.07"/>
    <n v="37227.54"/>
    <n v="70.22"/>
    <x v="4"/>
    <n v="3"/>
    <x v="0"/>
    <x v="0"/>
    <n v="1"/>
  </r>
  <r>
    <s v="ORD-00481"/>
    <d v="2020-08-01T00:00:00"/>
    <s v="CUST68644"/>
    <x v="84"/>
    <n v="19"/>
    <x v="3"/>
    <x v="0"/>
    <x v="2"/>
    <x v="4"/>
    <x v="3"/>
    <s v="Dress"/>
    <n v="9"/>
    <n v="2544.25"/>
    <x v="38"/>
    <n v="21015.96"/>
    <n v="7378.5"/>
    <n v="50.92"/>
    <x v="5"/>
    <n v="2"/>
    <x v="1"/>
    <x v="1"/>
    <n v="2"/>
  </r>
  <r>
    <s v="ORD-00609"/>
    <d v="2020-09-29T00:00:00"/>
    <s v="CUST16346"/>
    <x v="278"/>
    <n v="55"/>
    <x v="2"/>
    <x v="2"/>
    <x v="0"/>
    <x v="1"/>
    <x v="6"/>
    <s v="Camera"/>
    <n v="1"/>
    <n v="22610.21"/>
    <x v="0"/>
    <n v="20431.16"/>
    <n v="2517.0700000000002"/>
    <n v="48.04"/>
    <x v="5"/>
    <n v="4"/>
    <x v="0"/>
    <x v="0"/>
    <n v="5"/>
  </r>
  <r>
    <s v="ORD-01411"/>
    <d v="2021-09-28T00:00:00"/>
    <s v="CUST46708"/>
    <x v="63"/>
    <n v="41"/>
    <x v="1"/>
    <x v="0"/>
    <x v="1"/>
    <x v="3"/>
    <x v="2"/>
    <s v="Comic Book"/>
    <n v="5"/>
    <n v="293.56"/>
    <x v="17"/>
    <n v="988.84"/>
    <n v="397.44"/>
    <n v="61.09"/>
    <x v="3"/>
    <n v="4"/>
    <x v="0"/>
    <x v="2"/>
    <n v="5"/>
  </r>
  <r>
    <s v="ORD-01282"/>
    <d v="2021-08-01T00:00:00"/>
    <s v="CUST23140"/>
    <x v="55"/>
    <n v="22"/>
    <x v="3"/>
    <x v="0"/>
    <x v="1"/>
    <x v="10"/>
    <x v="4"/>
    <s v="Cycle"/>
    <n v="7"/>
    <n v="5887.32"/>
    <x v="23"/>
    <n v="40536.35"/>
    <n v="9596.19"/>
    <n v="68.83"/>
    <x v="3"/>
    <n v="5"/>
    <x v="0"/>
    <x v="0"/>
    <n v="8"/>
  </r>
  <r>
    <s v="ORD-01240"/>
    <d v="2021-07-14T00:00:00"/>
    <s v="CUST02075"/>
    <x v="323"/>
    <n v="47"/>
    <x v="1"/>
    <x v="2"/>
    <x v="3"/>
    <x v="15"/>
    <x v="3"/>
    <s v="Jeans"/>
    <n v="5"/>
    <n v="569.89"/>
    <x v="3"/>
    <n v="3040.97"/>
    <n v="986.27"/>
    <n v="87.82"/>
    <x v="2"/>
    <n v="5"/>
    <x v="0"/>
    <x v="0"/>
    <n v="4"/>
  </r>
  <r>
    <s v="ORD-03971"/>
    <d v="2024-09-08T00:00:00"/>
    <s v="CUST63045"/>
    <x v="258"/>
    <n v="35"/>
    <x v="0"/>
    <x v="1"/>
    <x v="3"/>
    <x v="16"/>
    <x v="0"/>
    <s v="Face Cream"/>
    <n v="2"/>
    <n v="1573.95"/>
    <x v="10"/>
    <n v="3007.27"/>
    <n v="1137.44"/>
    <n v="97.85"/>
    <x v="2"/>
    <n v="5"/>
    <x v="0"/>
    <x v="0"/>
    <n v="3"/>
  </r>
  <r>
    <s v="ORD-04179"/>
    <d v="2024-12-22T00:00:00"/>
    <s v="CUST52695"/>
    <x v="110"/>
    <n v="47"/>
    <x v="1"/>
    <x v="0"/>
    <x v="2"/>
    <x v="13"/>
    <x v="6"/>
    <s v="Laptop"/>
    <n v="10"/>
    <n v="56887.12"/>
    <x v="30"/>
    <n v="320072.27"/>
    <n v="41433.480000000003"/>
    <n v="58.41"/>
    <x v="5"/>
    <n v="1"/>
    <x v="0"/>
    <x v="0"/>
    <n v="6"/>
  </r>
  <r>
    <s v="ORD-04081"/>
    <d v="2024-11-05T00:00:00"/>
    <s v="CUST07666"/>
    <x v="146"/>
    <n v="27"/>
    <x v="0"/>
    <x v="1"/>
    <x v="3"/>
    <x v="12"/>
    <x v="6"/>
    <s v="Camera"/>
    <n v="3"/>
    <n v="44959.14"/>
    <x v="32"/>
    <n v="118547.82"/>
    <n v="8051.31"/>
    <n v="75.400000000000006"/>
    <x v="3"/>
    <n v="1"/>
    <x v="0"/>
    <x v="0"/>
    <n v="6"/>
  </r>
  <r>
    <s v="ORD-03733"/>
    <d v="2024-06-16T00:00:00"/>
    <s v="CUST26791"/>
    <x v="20"/>
    <n v="34"/>
    <x v="0"/>
    <x v="2"/>
    <x v="3"/>
    <x v="15"/>
    <x v="5"/>
    <s v="Dal (1kg)"/>
    <n v="8"/>
    <n v="164.21"/>
    <x v="15"/>
    <n v="1864.61"/>
    <n v="136.75"/>
    <n v="81.599999999999994"/>
    <x v="0"/>
    <n v="4"/>
    <x v="0"/>
    <x v="3"/>
    <n v="10"/>
  </r>
  <r>
    <s v="ORD-03421"/>
    <d v="2024-01-22T00:00:00"/>
    <s v="CUST55778"/>
    <x v="222"/>
    <n v="44"/>
    <x v="1"/>
    <x v="0"/>
    <x v="0"/>
    <x v="1"/>
    <x v="4"/>
    <s v="Cricket Bat"/>
    <n v="9"/>
    <n v="2259.11"/>
    <x v="35"/>
    <n v="14997.8"/>
    <n v="3849.42"/>
    <n v="64.989999999999995"/>
    <x v="0"/>
    <n v="1"/>
    <x v="0"/>
    <x v="0"/>
    <n v="5"/>
  </r>
  <r>
    <s v="ORD-03292"/>
    <d v="2023-11-24T00:00:00"/>
    <s v="CUST35522"/>
    <x v="154"/>
    <n v="19"/>
    <x v="3"/>
    <x v="1"/>
    <x v="2"/>
    <x v="4"/>
    <x v="0"/>
    <s v="Lipstick"/>
    <n v="7"/>
    <n v="1961.36"/>
    <x v="23"/>
    <n v="8020.15"/>
    <n v="4122.3"/>
    <n v="73.28"/>
    <x v="1"/>
    <n v="5"/>
    <x v="0"/>
    <x v="0"/>
    <n v="3"/>
  </r>
  <r>
    <s v="ORD-00037"/>
    <d v="2020-01-14T00:00:00"/>
    <s v="CUST89513"/>
    <x v="298"/>
    <n v="48"/>
    <x v="1"/>
    <x v="2"/>
    <x v="3"/>
    <x v="5"/>
    <x v="1"/>
    <s v="Wardrobe"/>
    <n v="7"/>
    <n v="6792.29"/>
    <x v="18"/>
    <n v="21828"/>
    <n v="4870.2"/>
    <n v="107.06"/>
    <x v="2"/>
    <n v="1"/>
    <x v="0"/>
    <x v="3"/>
    <n v="5"/>
  </r>
  <r>
    <s v="ORD-00454"/>
    <d v="2020-07-19T00:00:00"/>
    <s v="CUST32184"/>
    <x v="307"/>
    <n v="27"/>
    <x v="0"/>
    <x v="0"/>
    <x v="3"/>
    <x v="5"/>
    <x v="5"/>
    <s v="Cooking Oil"/>
    <n v="1"/>
    <n v="456.21"/>
    <x v="28"/>
    <n v="516.4"/>
    <n v="43.61"/>
    <n v="72.680000000000007"/>
    <x v="4"/>
    <n v="4"/>
    <x v="0"/>
    <x v="0"/>
    <n v="2"/>
  </r>
  <r>
    <s v="ORD-01617"/>
    <d v="2021-12-25T00:00:00"/>
    <s v="CUST68176"/>
    <x v="141"/>
    <n v="19"/>
    <x v="3"/>
    <x v="0"/>
    <x v="1"/>
    <x v="10"/>
    <x v="1"/>
    <s v="Sofa"/>
    <n v="1"/>
    <n v="10289.790000000001"/>
    <x v="15"/>
    <n v="5945.61"/>
    <n v="1688.17"/>
    <n v="44.08"/>
    <x v="0"/>
    <n v="2"/>
    <x v="0"/>
    <x v="4"/>
    <n v="7"/>
  </r>
  <r>
    <s v="ORD-03567"/>
    <d v="2024-03-29T00:00:00"/>
    <s v="CUST78044"/>
    <x v="76"/>
    <n v="44"/>
    <x v="1"/>
    <x v="1"/>
    <x v="4"/>
    <x v="18"/>
    <x v="6"/>
    <s v="Smartwatch"/>
    <n v="3"/>
    <n v="66697.679999999993"/>
    <x v="1"/>
    <n v="252177.93"/>
    <n v="18032.169999999998"/>
    <n v="80.02"/>
    <x v="2"/>
    <n v="4"/>
    <x v="0"/>
    <x v="0"/>
    <n v="7"/>
  </r>
  <r>
    <s v="ORD-02129"/>
    <d v="2022-07-24T00:00:00"/>
    <s v="CUST19983"/>
    <x v="276"/>
    <n v="35"/>
    <x v="0"/>
    <x v="1"/>
    <x v="4"/>
    <x v="17"/>
    <x v="2"/>
    <s v="Biography"/>
    <n v="4"/>
    <n v="278.07"/>
    <x v="22"/>
    <n v="1035.4000000000001"/>
    <n v="495.92"/>
    <n v="99.54"/>
    <x v="2"/>
    <n v="2"/>
    <x v="0"/>
    <x v="0"/>
    <n v="2"/>
  </r>
  <r>
    <s v="ORD-03128"/>
    <d v="2023-09-12T00:00:00"/>
    <s v="CUST69119"/>
    <x v="8"/>
    <n v="39"/>
    <x v="1"/>
    <x v="0"/>
    <x v="3"/>
    <x v="16"/>
    <x v="4"/>
    <s v="Cycle"/>
    <n v="5"/>
    <n v="1183.8699999999999"/>
    <x v="8"/>
    <n v="7684.63"/>
    <n v="1285.8599999999999"/>
    <n v="76.95"/>
    <x v="0"/>
    <n v="1"/>
    <x v="0"/>
    <x v="0"/>
    <n v="5"/>
  </r>
  <r>
    <s v="ORD-01707"/>
    <d v="2022-01-31T00:00:00"/>
    <s v="CUST39127"/>
    <x v="271"/>
    <n v="38"/>
    <x v="1"/>
    <x v="0"/>
    <x v="4"/>
    <x v="7"/>
    <x v="0"/>
    <s v="Sunscreen"/>
    <n v="3"/>
    <n v="2463.48"/>
    <x v="32"/>
    <n v="5478.55"/>
    <n v="2170.17"/>
    <n v="88.35"/>
    <x v="2"/>
    <n v="1"/>
    <x v="1"/>
    <x v="1"/>
    <n v="3"/>
  </r>
  <r>
    <s v="ORD-03511"/>
    <d v="2024-03-06T00:00:00"/>
    <s v="CUST39314"/>
    <x v="176"/>
    <n v="31"/>
    <x v="0"/>
    <x v="2"/>
    <x v="0"/>
    <x v="19"/>
    <x v="1"/>
    <s v="Wardrobe"/>
    <n v="4"/>
    <n v="27844.67"/>
    <x v="18"/>
    <n v="87292.37"/>
    <n v="18841.849999999999"/>
    <n v="74.400000000000006"/>
    <x v="3"/>
    <n v="1"/>
    <x v="0"/>
    <x v="0"/>
    <n v="7"/>
  </r>
  <r>
    <s v="ORD-02492"/>
    <d v="2022-12-17T00:00:00"/>
    <s v="CUST41637"/>
    <x v="159"/>
    <n v="20"/>
    <x v="3"/>
    <x v="1"/>
    <x v="3"/>
    <x v="15"/>
    <x v="1"/>
    <s v="Chair"/>
    <n v="10"/>
    <n v="22462.93"/>
    <x v="11"/>
    <n v="157408.35"/>
    <n v="23243.23"/>
    <n v="133.35"/>
    <x v="4"/>
    <n v="5"/>
    <x v="0"/>
    <x v="0"/>
    <n v="4"/>
  </r>
  <r>
    <s v="ORD-03742"/>
    <d v="2024-06-19T00:00:00"/>
    <s v="CUST49165"/>
    <x v="81"/>
    <n v="39"/>
    <x v="1"/>
    <x v="0"/>
    <x v="3"/>
    <x v="16"/>
    <x v="4"/>
    <s v="Tennis Racket"/>
    <n v="5"/>
    <n v="5213.22"/>
    <x v="28"/>
    <n v="34214.43"/>
    <n v="5897.04"/>
    <n v="85.1"/>
    <x v="2"/>
    <n v="3"/>
    <x v="0"/>
    <x v="0"/>
    <n v="2"/>
  </r>
  <r>
    <s v="ORD-01044"/>
    <d v="2021-04-18T00:00:00"/>
    <s v="CUST46334"/>
    <x v="225"/>
    <n v="34"/>
    <x v="0"/>
    <x v="1"/>
    <x v="4"/>
    <x v="7"/>
    <x v="0"/>
    <s v="Hair Oil"/>
    <n v="3"/>
    <n v="2006.91"/>
    <x v="39"/>
    <n v="6558.87"/>
    <n v="3118.91"/>
    <n v="65.760000000000005"/>
    <x v="2"/>
    <n v="5"/>
    <x v="0"/>
    <x v="4"/>
    <n v="8"/>
  </r>
  <r>
    <s v="ORD-02107"/>
    <d v="2022-07-17T00:00:00"/>
    <s v="CUST39752"/>
    <x v="119"/>
    <n v="41"/>
    <x v="1"/>
    <x v="0"/>
    <x v="0"/>
    <x v="19"/>
    <x v="1"/>
    <s v="Wardrobe"/>
    <n v="7"/>
    <n v="7570.52"/>
    <x v="30"/>
    <n v="50975.7"/>
    <n v="14523.56"/>
    <n v="71.959999999999994"/>
    <x v="0"/>
    <n v="3"/>
    <x v="0"/>
    <x v="0"/>
    <n v="1"/>
  </r>
  <r>
    <s v="ORD-02043"/>
    <d v="2022-06-18T00:00:00"/>
    <s v="CUST44040"/>
    <x v="135"/>
    <n v="31"/>
    <x v="0"/>
    <x v="2"/>
    <x v="3"/>
    <x v="15"/>
    <x v="0"/>
    <s v="Hair Oil"/>
    <n v="4"/>
    <n v="1974.29"/>
    <x v="6"/>
    <n v="8398"/>
    <n v="3117.66"/>
    <n v="87.34"/>
    <x v="3"/>
    <n v="1"/>
    <x v="1"/>
    <x v="1"/>
    <n v="9"/>
  </r>
  <r>
    <s v="ORD-03875"/>
    <d v="2024-08-08T00:00:00"/>
    <s v="CUST84781"/>
    <x v="49"/>
    <n v="27"/>
    <x v="0"/>
    <x v="2"/>
    <x v="4"/>
    <x v="17"/>
    <x v="6"/>
    <s v="Camera"/>
    <n v="2"/>
    <n v="22369.95"/>
    <x v="34"/>
    <n v="42121.15"/>
    <n v="3831.16"/>
    <n v="69.95"/>
    <x v="3"/>
    <n v="5"/>
    <x v="0"/>
    <x v="0"/>
    <n v="7"/>
  </r>
  <r>
    <s v="ORD-00451"/>
    <d v="2020-07-17T00:00:00"/>
    <s v="CUST68161"/>
    <x v="386"/>
    <n v="21"/>
    <x v="3"/>
    <x v="2"/>
    <x v="2"/>
    <x v="9"/>
    <x v="6"/>
    <s v="Camera"/>
    <n v="6"/>
    <n v="71791.710000000006"/>
    <x v="3"/>
    <n v="410825.53"/>
    <n v="46770.76"/>
    <n v="45.98"/>
    <x v="1"/>
    <n v="4"/>
    <x v="0"/>
    <x v="0"/>
    <n v="1"/>
  </r>
  <r>
    <s v="ORD-02614"/>
    <d v="2023-02-09T00:00:00"/>
    <s v="CUST00081"/>
    <x v="316"/>
    <n v="49"/>
    <x v="1"/>
    <x v="2"/>
    <x v="0"/>
    <x v="19"/>
    <x v="0"/>
    <s v="Hair Oil"/>
    <n v="1"/>
    <n v="1738.61"/>
    <x v="30"/>
    <n v="1259.18"/>
    <n v="545.39"/>
    <n v="66.25"/>
    <x v="2"/>
    <n v="5"/>
    <x v="0"/>
    <x v="0"/>
    <n v="10"/>
  </r>
  <r>
    <s v="ORD-03520"/>
    <d v="2024-03-09T00:00:00"/>
    <s v="CUST13260"/>
    <x v="292"/>
    <n v="26"/>
    <x v="0"/>
    <x v="0"/>
    <x v="2"/>
    <x v="4"/>
    <x v="6"/>
    <s v="Smartwatch"/>
    <n v="7"/>
    <n v="27748.1"/>
    <x v="2"/>
    <n v="209289.38"/>
    <n v="28699.09"/>
    <n v="42.72"/>
    <x v="0"/>
    <n v="1"/>
    <x v="1"/>
    <x v="1"/>
    <n v="8"/>
  </r>
  <r>
    <s v="ORD-00869"/>
    <d v="2021-01-31T00:00:00"/>
    <s v="CUST63354"/>
    <x v="233"/>
    <n v="54"/>
    <x v="2"/>
    <x v="2"/>
    <x v="3"/>
    <x v="15"/>
    <x v="6"/>
    <s v="Headphones"/>
    <n v="2"/>
    <n v="15121.18"/>
    <x v="38"/>
    <n v="22753.66"/>
    <n v="2384.2199999999998"/>
    <n v="94.45"/>
    <x v="3"/>
    <n v="1"/>
    <x v="0"/>
    <x v="0"/>
    <n v="8"/>
  </r>
  <r>
    <s v="ORD-00255"/>
    <d v="2020-04-22T00:00:00"/>
    <s v="CUST21352"/>
    <x v="362"/>
    <n v="47"/>
    <x v="1"/>
    <x v="1"/>
    <x v="2"/>
    <x v="13"/>
    <x v="5"/>
    <s v="Rice (5kg)"/>
    <n v="2"/>
    <n v="194.68"/>
    <x v="13"/>
    <n v="459.04"/>
    <n v="32.11"/>
    <n v="16.100000000000001"/>
    <x v="4"/>
    <n v="3"/>
    <x v="0"/>
    <x v="2"/>
    <n v="4"/>
  </r>
  <r>
    <s v="ORD-03989"/>
    <d v="2024-09-17T00:00:00"/>
    <s v="CUST67629"/>
    <x v="165"/>
    <n v="45"/>
    <x v="1"/>
    <x v="0"/>
    <x v="1"/>
    <x v="11"/>
    <x v="5"/>
    <s v="Rice (5kg)"/>
    <n v="2"/>
    <n v="233.21"/>
    <x v="30"/>
    <n v="470.15"/>
    <n v="27.24"/>
    <n v="48.63"/>
    <x v="1"/>
    <n v="2"/>
    <x v="0"/>
    <x v="0"/>
    <n v="7"/>
  </r>
  <r>
    <s v="ORD-02053"/>
    <d v="2022-06-23T00:00:00"/>
    <s v="CUST33570"/>
    <x v="127"/>
    <n v="41"/>
    <x v="1"/>
    <x v="0"/>
    <x v="4"/>
    <x v="18"/>
    <x v="1"/>
    <s v="Sofa"/>
    <n v="10"/>
    <n v="21783.3"/>
    <x v="32"/>
    <n v="276349.78999999998"/>
    <n v="53595.22"/>
    <n v="73.39"/>
    <x v="2"/>
    <n v="4"/>
    <x v="1"/>
    <x v="1"/>
    <n v="2"/>
  </r>
  <r>
    <s v="ORD-03430"/>
    <d v="2024-01-26T00:00:00"/>
    <s v="CUST08360"/>
    <x v="160"/>
    <n v="24"/>
    <x v="3"/>
    <x v="1"/>
    <x v="4"/>
    <x v="7"/>
    <x v="2"/>
    <s v="Cook Book"/>
    <n v="2"/>
    <n v="1002.73"/>
    <x v="24"/>
    <n v="2026.66"/>
    <n v="998.39"/>
    <n v="69.02"/>
    <x v="2"/>
    <n v="5"/>
    <x v="0"/>
    <x v="2"/>
    <n v="8"/>
  </r>
  <r>
    <s v="ORD-02027"/>
    <d v="2022-06-13T00:00:00"/>
    <s v="CUST24879"/>
    <x v="359"/>
    <n v="50"/>
    <x v="1"/>
    <x v="2"/>
    <x v="4"/>
    <x v="18"/>
    <x v="1"/>
    <s v="Chair"/>
    <n v="3"/>
    <n v="16614.080000000002"/>
    <x v="30"/>
    <n v="50453.16"/>
    <n v="12964.62"/>
    <n v="63.05"/>
    <x v="3"/>
    <n v="2"/>
    <x v="1"/>
    <x v="1"/>
    <n v="5"/>
  </r>
  <r>
    <s v="ORD-00100"/>
    <d v="2020-02-08T00:00:00"/>
    <s v="CUST38913"/>
    <x v="37"/>
    <n v="20"/>
    <x v="3"/>
    <x v="0"/>
    <x v="4"/>
    <x v="8"/>
    <x v="5"/>
    <s v="Tea"/>
    <n v="9"/>
    <n v="125.81"/>
    <x v="27"/>
    <n v="845.95"/>
    <n v="45.94"/>
    <n v="75.38"/>
    <x v="0"/>
    <n v="1"/>
    <x v="0"/>
    <x v="3"/>
    <n v="3"/>
  </r>
  <r>
    <s v="ORD-02054"/>
    <d v="2022-06-24T00:00:00"/>
    <s v="CUST61332"/>
    <x v="24"/>
    <n v="51"/>
    <x v="2"/>
    <x v="1"/>
    <x v="4"/>
    <x v="7"/>
    <x v="5"/>
    <s v="Sugar"/>
    <n v="10"/>
    <n v="53.46"/>
    <x v="28"/>
    <n v="815.23"/>
    <n v="88.15"/>
    <n v="67.319999999999993"/>
    <x v="0"/>
    <n v="1"/>
    <x v="0"/>
    <x v="2"/>
    <n v="9"/>
  </r>
  <r>
    <s v="ORD-03065"/>
    <d v="2023-08-18T00:00:00"/>
    <s v="CUST41118"/>
    <x v="225"/>
    <n v="47"/>
    <x v="1"/>
    <x v="2"/>
    <x v="4"/>
    <x v="8"/>
    <x v="4"/>
    <s v="Tennis Racket"/>
    <n v="8"/>
    <n v="11184.95"/>
    <x v="40"/>
    <n v="84179.79"/>
    <n v="26658.84"/>
    <n v="58.07"/>
    <x v="5"/>
    <n v="4"/>
    <x v="0"/>
    <x v="3"/>
    <n v="8"/>
  </r>
  <r>
    <s v="ORD-02085"/>
    <d v="2022-07-07T00:00:00"/>
    <s v="CUST42353"/>
    <x v="33"/>
    <n v="53"/>
    <x v="2"/>
    <x v="0"/>
    <x v="3"/>
    <x v="12"/>
    <x v="6"/>
    <s v="Laptop"/>
    <n v="6"/>
    <n v="10929.88"/>
    <x v="31"/>
    <n v="85653.85"/>
    <n v="12561.33"/>
    <n v="76.61"/>
    <x v="1"/>
    <n v="1"/>
    <x v="0"/>
    <x v="0"/>
    <n v="1"/>
  </r>
  <r>
    <s v="ORD-02145"/>
    <d v="2022-07-31T00:00:00"/>
    <s v="CUST18861"/>
    <x v="320"/>
    <n v="28"/>
    <x v="0"/>
    <x v="2"/>
    <x v="0"/>
    <x v="1"/>
    <x v="2"/>
    <s v="Textbook"/>
    <n v="5"/>
    <n v="539.41"/>
    <x v="38"/>
    <n v="3571.01"/>
    <n v="1290.67"/>
    <n v="66.22"/>
    <x v="5"/>
    <n v="3"/>
    <x v="0"/>
    <x v="0"/>
    <n v="10"/>
  </r>
  <r>
    <s v="ORD-02402"/>
    <d v="2022-11-05T00:00:00"/>
    <s v="CUST72572"/>
    <x v="181"/>
    <n v="19"/>
    <x v="3"/>
    <x v="0"/>
    <x v="4"/>
    <x v="8"/>
    <x v="2"/>
    <s v="Self-Help Book"/>
    <n v="2"/>
    <n v="483.7"/>
    <x v="2"/>
    <n v="699.82"/>
    <n v="225.52"/>
    <n v="101.82"/>
    <x v="5"/>
    <n v="2"/>
    <x v="0"/>
    <x v="0"/>
    <n v="1"/>
  </r>
  <r>
    <s v="ORD-03562"/>
    <d v="2024-03-27T00:00:00"/>
    <s v="CUST05923"/>
    <x v="105"/>
    <n v="51"/>
    <x v="2"/>
    <x v="0"/>
    <x v="1"/>
    <x v="3"/>
    <x v="6"/>
    <s v="Laptop"/>
    <n v="5"/>
    <n v="11709.91"/>
    <x v="35"/>
    <n v="50072.11"/>
    <n v="6899.28"/>
    <n v="59.01"/>
    <x v="0"/>
    <n v="4"/>
    <x v="0"/>
    <x v="2"/>
    <n v="3"/>
  </r>
  <r>
    <s v="ORD-02598"/>
    <d v="2023-02-03T00:00:00"/>
    <s v="CUST07029"/>
    <x v="322"/>
    <n v="45"/>
    <x v="1"/>
    <x v="1"/>
    <x v="2"/>
    <x v="13"/>
    <x v="3"/>
    <s v="Kurta"/>
    <n v="8"/>
    <n v="772.69"/>
    <x v="7"/>
    <n v="5307.05"/>
    <n v="1907.75"/>
    <n v="77.11"/>
    <x v="2"/>
    <n v="4"/>
    <x v="0"/>
    <x v="3"/>
    <n v="1"/>
  </r>
  <r>
    <s v="ORD-01932"/>
    <d v="2022-05-03T00:00:00"/>
    <s v="CUST81283"/>
    <x v="269"/>
    <n v="54"/>
    <x v="2"/>
    <x v="2"/>
    <x v="1"/>
    <x v="10"/>
    <x v="1"/>
    <s v="Desk"/>
    <n v="8"/>
    <n v="31153.02"/>
    <x v="33"/>
    <n v="268467.06"/>
    <n v="50396.19"/>
    <n v="31.05"/>
    <x v="1"/>
    <n v="1"/>
    <x v="0"/>
    <x v="0"/>
    <n v="7"/>
  </r>
  <r>
    <s v="ORD-00241"/>
    <d v="2020-04-15T00:00:00"/>
    <s v="CUST62809"/>
    <x v="8"/>
    <n v="49"/>
    <x v="1"/>
    <x v="0"/>
    <x v="3"/>
    <x v="5"/>
    <x v="6"/>
    <s v="Camera"/>
    <n v="2"/>
    <n v="46584.639999999999"/>
    <x v="18"/>
    <n v="74700.63"/>
    <n v="5374.6"/>
    <n v="75.260000000000005"/>
    <x v="4"/>
    <n v="1"/>
    <x v="0"/>
    <x v="0"/>
    <n v="4"/>
  </r>
  <r>
    <s v="ORD-01976"/>
    <d v="2022-05-23T00:00:00"/>
    <s v="CUST97057"/>
    <x v="168"/>
    <n v="19"/>
    <x v="3"/>
    <x v="0"/>
    <x v="4"/>
    <x v="17"/>
    <x v="2"/>
    <s v="Biography"/>
    <n v="2"/>
    <n v="925.2"/>
    <x v="32"/>
    <n v="2492.19"/>
    <n v="582.47"/>
    <n v="86.46"/>
    <x v="0"/>
    <n v="5"/>
    <x v="0"/>
    <x v="2"/>
    <n v="10"/>
  </r>
  <r>
    <s v="ORD-03470"/>
    <d v="2024-02-14T00:00:00"/>
    <s v="CUST49992"/>
    <x v="148"/>
    <n v="47"/>
    <x v="1"/>
    <x v="2"/>
    <x v="3"/>
    <x v="12"/>
    <x v="6"/>
    <s v="Laptop"/>
    <n v="7"/>
    <n v="27099.439999999999"/>
    <x v="18"/>
    <n v="138104.32999999999"/>
    <n v="17338.53"/>
    <n v="53.54"/>
    <x v="4"/>
    <n v="4"/>
    <x v="1"/>
    <x v="1"/>
    <n v="4"/>
  </r>
  <r>
    <s v="ORD-01923"/>
    <d v="2022-04-30T00:00:00"/>
    <s v="CUST85826"/>
    <x v="307"/>
    <n v="51"/>
    <x v="2"/>
    <x v="0"/>
    <x v="0"/>
    <x v="1"/>
    <x v="5"/>
    <s v="Cooking Oil"/>
    <n v="1"/>
    <n v="478.65"/>
    <x v="5"/>
    <n v="646.28"/>
    <n v="61.75"/>
    <n v="46.06"/>
    <x v="1"/>
    <n v="3"/>
    <x v="0"/>
    <x v="2"/>
    <n v="1"/>
  </r>
  <r>
    <s v="ORD-02896"/>
    <d v="2023-06-06T00:00:00"/>
    <s v="CUST37393"/>
    <x v="105"/>
    <n v="24"/>
    <x v="3"/>
    <x v="1"/>
    <x v="2"/>
    <x v="4"/>
    <x v="0"/>
    <s v="Sunscreen"/>
    <n v="2"/>
    <n v="1742.14"/>
    <x v="30"/>
    <n v="4112.8900000000003"/>
    <n v="1802.05"/>
    <n v="68.900000000000006"/>
    <x v="5"/>
    <n v="1"/>
    <x v="0"/>
    <x v="0"/>
    <n v="3"/>
  </r>
  <r>
    <s v="ORD-03536"/>
    <d v="2024-03-16T00:00:00"/>
    <s v="CUST42326"/>
    <x v="72"/>
    <n v="24"/>
    <x v="3"/>
    <x v="1"/>
    <x v="2"/>
    <x v="4"/>
    <x v="3"/>
    <s v="Saree"/>
    <n v="3"/>
    <n v="2335.6"/>
    <x v="27"/>
    <n v="6639.76"/>
    <n v="2659.96"/>
    <n v="53.79"/>
    <x v="1"/>
    <n v="5"/>
    <x v="0"/>
    <x v="0"/>
    <n v="8"/>
  </r>
  <r>
    <s v="ORD-03975"/>
    <d v="2024-09-10T00:00:00"/>
    <s v="CUST61274"/>
    <x v="267"/>
    <n v="36"/>
    <x v="1"/>
    <x v="1"/>
    <x v="3"/>
    <x v="5"/>
    <x v="2"/>
    <s v="Biography"/>
    <n v="2"/>
    <n v="1250.6500000000001"/>
    <x v="36"/>
    <n v="2194.66"/>
    <n v="1031.95"/>
    <n v="96.46"/>
    <x v="1"/>
    <n v="5"/>
    <x v="0"/>
    <x v="0"/>
    <n v="3"/>
  </r>
  <r>
    <s v="ORD-00908"/>
    <d v="2021-02-10T00:00:00"/>
    <s v="CUST33667"/>
    <x v="121"/>
    <n v="40"/>
    <x v="1"/>
    <x v="0"/>
    <x v="2"/>
    <x v="13"/>
    <x v="4"/>
    <s v="Football"/>
    <n v="2"/>
    <n v="660.31"/>
    <x v="38"/>
    <n v="1039.58"/>
    <n v="273.10000000000002"/>
    <n v="41.05"/>
    <x v="5"/>
    <n v="2"/>
    <x v="0"/>
    <x v="0"/>
    <n v="3"/>
  </r>
  <r>
    <s v="ORD-03755"/>
    <d v="2024-06-23T00:00:00"/>
    <s v="CUST69679"/>
    <x v="348"/>
    <n v="18"/>
    <x v="3"/>
    <x v="0"/>
    <x v="0"/>
    <x v="1"/>
    <x v="1"/>
    <s v="Sofa"/>
    <n v="3"/>
    <n v="34248.61"/>
    <x v="4"/>
    <n v="172473.24"/>
    <n v="48852.27"/>
    <n v="59.95"/>
    <x v="0"/>
    <n v="3"/>
    <x v="0"/>
    <x v="0"/>
    <n v="4"/>
  </r>
  <r>
    <s v="ORD-02343"/>
    <d v="2022-11-10T00:00:00"/>
    <s v="CUST93661"/>
    <x v="345"/>
    <n v="19"/>
    <x v="3"/>
    <x v="2"/>
    <x v="2"/>
    <x v="9"/>
    <x v="1"/>
    <s v="Desk"/>
    <n v="10"/>
    <n v="12399.19"/>
    <x v="37"/>
    <n v="113748.97"/>
    <n v="36698.33"/>
    <n v="41.96"/>
    <x v="1"/>
    <n v="1"/>
    <x v="1"/>
    <x v="1"/>
    <n v="5"/>
  </r>
  <r>
    <s v="ORD-00394"/>
    <d v="2020-06-18T00:00:00"/>
    <s v="CUST71699"/>
    <x v="24"/>
    <n v="39"/>
    <x v="1"/>
    <x v="0"/>
    <x v="2"/>
    <x v="9"/>
    <x v="5"/>
    <s v="Dal (1kg)"/>
    <n v="2"/>
    <n v="99.94"/>
    <x v="40"/>
    <n v="144.81"/>
    <n v="11.4"/>
    <n v="47.24"/>
    <x v="1"/>
    <n v="1"/>
    <x v="0"/>
    <x v="0"/>
    <n v="3"/>
  </r>
  <r>
    <s v="ORD-03062"/>
    <d v="2023-08-17T00:00:00"/>
    <s v="CUST25706"/>
    <x v="218"/>
    <n v="32"/>
    <x v="0"/>
    <x v="2"/>
    <x v="1"/>
    <x v="11"/>
    <x v="0"/>
    <s v="Hair Oil"/>
    <n v="7"/>
    <n v="2030.6"/>
    <x v="18"/>
    <n v="15087.35"/>
    <n v="5363.62"/>
    <n v="45.14"/>
    <x v="5"/>
    <n v="4"/>
    <x v="0"/>
    <x v="2"/>
    <n v="4"/>
  </r>
  <r>
    <s v="ORD-00401"/>
    <d v="2020-06-21T00:00:00"/>
    <s v="CUST43114"/>
    <x v="157"/>
    <n v="35"/>
    <x v="0"/>
    <x v="1"/>
    <x v="3"/>
    <x v="5"/>
    <x v="1"/>
    <s v="Bed Frame"/>
    <n v="3"/>
    <n v="31841.24"/>
    <x v="18"/>
    <n v="78919.02"/>
    <n v="21204.15"/>
    <n v="78.260000000000005"/>
    <x v="2"/>
    <n v="4"/>
    <x v="1"/>
    <x v="1"/>
    <n v="6"/>
  </r>
  <r>
    <s v="ORD-03644"/>
    <d v="2024-05-03T00:00:00"/>
    <s v="CUST85909"/>
    <x v="31"/>
    <n v="26"/>
    <x v="0"/>
    <x v="2"/>
    <x v="3"/>
    <x v="5"/>
    <x v="0"/>
    <s v="Face Cream"/>
    <n v="10"/>
    <n v="2273.9"/>
    <x v="11"/>
    <n v="30023.01"/>
    <n v="13458.53"/>
    <n v="83.41"/>
    <x v="1"/>
    <n v="1"/>
    <x v="0"/>
    <x v="0"/>
    <n v="10"/>
  </r>
  <r>
    <s v="ORD-00600"/>
    <d v="2020-09-25T00:00:00"/>
    <s v="CUST85593"/>
    <x v="211"/>
    <n v="33"/>
    <x v="0"/>
    <x v="0"/>
    <x v="0"/>
    <x v="19"/>
    <x v="2"/>
    <s v="Self-Help Book"/>
    <n v="2"/>
    <n v="1462.19"/>
    <x v="34"/>
    <n v="2078.34"/>
    <n v="1202.05"/>
    <n v="78.540000000000006"/>
    <x v="2"/>
    <n v="5"/>
    <x v="0"/>
    <x v="0"/>
    <n v="2"/>
  </r>
  <r>
    <s v="ORD-01537"/>
    <d v="2021-11-20T00:00:00"/>
    <s v="CUST39925"/>
    <x v="308"/>
    <n v="49"/>
    <x v="1"/>
    <x v="2"/>
    <x v="4"/>
    <x v="8"/>
    <x v="6"/>
    <s v="Headphones"/>
    <n v="5"/>
    <n v="40279.85"/>
    <x v="27"/>
    <n v="124328.85"/>
    <n v="18217.89"/>
    <n v="89.76"/>
    <x v="5"/>
    <n v="3"/>
    <x v="0"/>
    <x v="0"/>
    <n v="9"/>
  </r>
  <r>
    <s v="ORD-00616"/>
    <d v="2020-10-03T00:00:00"/>
    <s v="CUST54063"/>
    <x v="204"/>
    <n v="37"/>
    <x v="1"/>
    <x v="2"/>
    <x v="0"/>
    <x v="2"/>
    <x v="5"/>
    <s v="Sugar"/>
    <n v="1"/>
    <n v="128.76"/>
    <x v="10"/>
    <n v="74.650000000000006"/>
    <n v="6.89"/>
    <n v="68.06"/>
    <x v="1"/>
    <n v="2"/>
    <x v="0"/>
    <x v="0"/>
    <n v="1"/>
  </r>
  <r>
    <s v="ORD-00370"/>
    <d v="2020-06-07T00:00:00"/>
    <s v="CUST93153"/>
    <x v="89"/>
    <n v="42"/>
    <x v="1"/>
    <x v="0"/>
    <x v="4"/>
    <x v="7"/>
    <x v="0"/>
    <s v="Face Cream"/>
    <n v="1"/>
    <n v="304.89"/>
    <x v="26"/>
    <n v="259.14"/>
    <n v="106.14"/>
    <n v="52.86"/>
    <x v="1"/>
    <n v="4"/>
    <x v="0"/>
    <x v="0"/>
    <n v="6"/>
  </r>
  <r>
    <s v="ORD-00680"/>
    <d v="2020-11-03T00:00:00"/>
    <s v="CUST60413"/>
    <x v="22"/>
    <n v="36"/>
    <x v="1"/>
    <x v="0"/>
    <x v="3"/>
    <x v="16"/>
    <x v="0"/>
    <s v="Face Cream"/>
    <n v="10"/>
    <n v="1113.9100000000001"/>
    <x v="15"/>
    <n v="5465.25"/>
    <n v="2411.46"/>
    <n v="46.33"/>
    <x v="5"/>
    <n v="2"/>
    <x v="0"/>
    <x v="0"/>
    <n v="9"/>
  </r>
  <r>
    <s v="ORD-02248"/>
    <d v="2022-09-07T00:00:00"/>
    <s v="CUST63445"/>
    <x v="175"/>
    <n v="47"/>
    <x v="1"/>
    <x v="0"/>
    <x v="0"/>
    <x v="1"/>
    <x v="4"/>
    <s v="Dumbbells"/>
    <n v="2"/>
    <n v="14129.5"/>
    <x v="5"/>
    <n v="34498.58"/>
    <n v="6979.34"/>
    <n v="74.75"/>
    <x v="0"/>
    <n v="3"/>
    <x v="0"/>
    <x v="0"/>
    <n v="2"/>
  </r>
  <r>
    <s v="ORD-03093"/>
    <d v="2023-08-29T00:00:00"/>
    <s v="CUST63058"/>
    <x v="19"/>
    <n v="36"/>
    <x v="1"/>
    <x v="0"/>
    <x v="4"/>
    <x v="17"/>
    <x v="0"/>
    <s v="Shampoo"/>
    <n v="6"/>
    <n v="379.51"/>
    <x v="4"/>
    <n v="3520.77"/>
    <n v="1945.96"/>
    <n v="53.34"/>
    <x v="0"/>
    <n v="3"/>
    <x v="0"/>
    <x v="0"/>
    <n v="8"/>
  </r>
  <r>
    <s v="ORD-01117"/>
    <d v="2021-05-18T00:00:00"/>
    <s v="CUST87893"/>
    <x v="307"/>
    <n v="35"/>
    <x v="0"/>
    <x v="1"/>
    <x v="0"/>
    <x v="2"/>
    <x v="5"/>
    <s v="Rice (5kg)"/>
    <n v="6"/>
    <n v="190.35"/>
    <x v="22"/>
    <n v="951.07"/>
    <n v="79.430000000000007"/>
    <n v="70.42"/>
    <x v="5"/>
    <n v="3"/>
    <x v="0"/>
    <x v="0"/>
    <n v="10"/>
  </r>
  <r>
    <s v="ORD-03890"/>
    <d v="2024-08-10T00:00:00"/>
    <s v="CUST03009"/>
    <x v="398"/>
    <n v="34"/>
    <x v="0"/>
    <x v="1"/>
    <x v="0"/>
    <x v="1"/>
    <x v="1"/>
    <s v="Chair"/>
    <n v="10"/>
    <n v="2485.94"/>
    <x v="11"/>
    <n v="31724.99"/>
    <n v="8743.0499999999993"/>
    <n v="48.62"/>
    <x v="4"/>
    <n v="4"/>
    <x v="0"/>
    <x v="0"/>
    <n v="10"/>
  </r>
  <r>
    <s v="ORD-02704"/>
    <d v="2023-03-17T00:00:00"/>
    <s v="CUST96458"/>
    <x v="235"/>
    <n v="29"/>
    <x v="0"/>
    <x v="1"/>
    <x v="3"/>
    <x v="16"/>
    <x v="6"/>
    <s v="Smartwatch"/>
    <n v="1"/>
    <n v="11877.16"/>
    <x v="6"/>
    <n v="9956.83"/>
    <n v="1549.61"/>
    <n v="72.81"/>
    <x v="3"/>
    <n v="4"/>
    <x v="0"/>
    <x v="0"/>
    <n v="8"/>
  </r>
  <r>
    <s v="ORD-02952"/>
    <d v="2023-07-02T00:00:00"/>
    <s v="CUST41320"/>
    <x v="348"/>
    <n v="35"/>
    <x v="0"/>
    <x v="2"/>
    <x v="1"/>
    <x v="10"/>
    <x v="5"/>
    <s v="Dal (1kg)"/>
    <n v="3"/>
    <n v="130.57"/>
    <x v="37"/>
    <n v="529.29999999999995"/>
    <n v="61.59"/>
    <n v="41.29"/>
    <x v="5"/>
    <n v="1"/>
    <x v="0"/>
    <x v="2"/>
    <n v="8"/>
  </r>
  <r>
    <s v="ORD-02003"/>
    <d v="2022-06-02T00:00:00"/>
    <s v="CUST91911"/>
    <x v="267"/>
    <n v="24"/>
    <x v="3"/>
    <x v="1"/>
    <x v="1"/>
    <x v="6"/>
    <x v="6"/>
    <s v="Smartwatch"/>
    <n v="7"/>
    <n v="72204.479999999996"/>
    <x v="29"/>
    <n v="746567.96"/>
    <n v="96807.83"/>
    <n v="51.76"/>
    <x v="5"/>
    <n v="4"/>
    <x v="0"/>
    <x v="0"/>
    <n v="3"/>
  </r>
  <r>
    <s v="ORD-01402"/>
    <d v="2021-09-24T00:00:00"/>
    <s v="CUST90375"/>
    <x v="151"/>
    <n v="42"/>
    <x v="1"/>
    <x v="2"/>
    <x v="3"/>
    <x v="15"/>
    <x v="5"/>
    <s v="Sugar"/>
    <n v="10"/>
    <n v="245.92"/>
    <x v="8"/>
    <n v="2502.84"/>
    <n v="183.09"/>
    <n v="76.22"/>
    <x v="5"/>
    <n v="5"/>
    <x v="0"/>
    <x v="4"/>
    <n v="5"/>
  </r>
  <r>
    <s v="ORD-01882"/>
    <d v="2022-04-10T00:00:00"/>
    <s v="CUST32524"/>
    <x v="38"/>
    <n v="56"/>
    <x v="2"/>
    <x v="0"/>
    <x v="1"/>
    <x v="3"/>
    <x v="1"/>
    <s v="Sofa"/>
    <n v="10"/>
    <n v="34008.99"/>
    <x v="38"/>
    <n v="426011.42"/>
    <n v="100494.87"/>
    <n v="51.53"/>
    <x v="2"/>
    <n v="1"/>
    <x v="0"/>
    <x v="2"/>
    <n v="3"/>
  </r>
  <r>
    <s v="ORD-03246"/>
    <d v="2023-11-03T00:00:00"/>
    <s v="CUST96426"/>
    <x v="175"/>
    <n v="46"/>
    <x v="1"/>
    <x v="0"/>
    <x v="4"/>
    <x v="18"/>
    <x v="3"/>
    <s v="T-Shirt"/>
    <n v="3"/>
    <n v="2706.45"/>
    <x v="40"/>
    <n v="4498.2299999999996"/>
    <n v="1415.33"/>
    <n v="73.84"/>
    <x v="1"/>
    <n v="4"/>
    <x v="1"/>
    <x v="1"/>
    <n v="8"/>
  </r>
  <r>
    <s v="ORD-00323"/>
    <d v="2020-05-21T00:00:00"/>
    <s v="CUST57259"/>
    <x v="9"/>
    <n v="31"/>
    <x v="0"/>
    <x v="0"/>
    <x v="0"/>
    <x v="19"/>
    <x v="2"/>
    <s v="Textbook"/>
    <n v="1"/>
    <n v="680.85"/>
    <x v="9"/>
    <n v="794.6"/>
    <n v="338.98"/>
    <n v="44.99"/>
    <x v="0"/>
    <n v="3"/>
    <x v="0"/>
    <x v="0"/>
    <n v="2"/>
  </r>
  <r>
    <s v="ORD-01878"/>
    <d v="2022-04-07T00:00:00"/>
    <s v="CUST99942"/>
    <x v="240"/>
    <n v="30"/>
    <x v="0"/>
    <x v="1"/>
    <x v="1"/>
    <x v="11"/>
    <x v="3"/>
    <s v="Saree"/>
    <n v="10"/>
    <n v="456.07"/>
    <x v="6"/>
    <n v="3899.94"/>
    <n v="1169.33"/>
    <n v="45"/>
    <x v="2"/>
    <n v="5"/>
    <x v="0"/>
    <x v="0"/>
    <n v="9"/>
  </r>
  <r>
    <s v="ORD-00226"/>
    <d v="2020-04-08T00:00:00"/>
    <s v="CUST29979"/>
    <x v="153"/>
    <n v="35"/>
    <x v="0"/>
    <x v="0"/>
    <x v="1"/>
    <x v="10"/>
    <x v="6"/>
    <s v="Smartphone"/>
    <n v="10"/>
    <n v="19136.16"/>
    <x v="24"/>
    <n v="220448.39"/>
    <n v="31074.73"/>
    <n v="24.88"/>
    <x v="0"/>
    <n v="3"/>
    <x v="0"/>
    <x v="0"/>
    <n v="4"/>
  </r>
  <r>
    <s v="ORD-00535"/>
    <d v="2020-08-24T00:00:00"/>
    <s v="CUST13641"/>
    <x v="291"/>
    <n v="48"/>
    <x v="1"/>
    <x v="0"/>
    <x v="0"/>
    <x v="0"/>
    <x v="1"/>
    <s v="Bed Frame"/>
    <n v="9"/>
    <n v="17744.349999999999"/>
    <x v="10"/>
    <n v="136831.28"/>
    <n v="36127.08"/>
    <n v="59.78"/>
    <x v="3"/>
    <n v="4"/>
    <x v="0"/>
    <x v="0"/>
    <n v="9"/>
  </r>
  <r>
    <s v="ORD-02832"/>
    <d v="2023-05-17T00:00:00"/>
    <s v="CUST08322"/>
    <x v="392"/>
    <n v="33"/>
    <x v="0"/>
    <x v="2"/>
    <x v="2"/>
    <x v="4"/>
    <x v="2"/>
    <s v="Fiction Novel"/>
    <n v="10"/>
    <n v="424.8"/>
    <x v="38"/>
    <n v="4940.07"/>
    <n v="2103.38"/>
    <n v="31.8"/>
    <x v="4"/>
    <n v="3"/>
    <x v="0"/>
    <x v="0"/>
    <n v="6"/>
  </r>
  <r>
    <s v="ORD-01642"/>
    <d v="2022-01-01T00:00:00"/>
    <s v="CUST25067"/>
    <x v="87"/>
    <n v="41"/>
    <x v="1"/>
    <x v="0"/>
    <x v="0"/>
    <x v="2"/>
    <x v="1"/>
    <s v="Sofa"/>
    <n v="8"/>
    <n v="9398.82"/>
    <x v="35"/>
    <n v="49236.11"/>
    <n v="15030.83"/>
    <n v="77.650000000000006"/>
    <x v="3"/>
    <n v="4"/>
    <x v="0"/>
    <x v="0"/>
    <n v="9"/>
  </r>
  <r>
    <s v="ORD-02842"/>
    <d v="2023-05-23T00:00:00"/>
    <s v="CUST23282"/>
    <x v="111"/>
    <n v="26"/>
    <x v="0"/>
    <x v="1"/>
    <x v="0"/>
    <x v="0"/>
    <x v="2"/>
    <s v="Self-Help Book"/>
    <n v="5"/>
    <n v="1444.85"/>
    <x v="28"/>
    <n v="10528.1"/>
    <n v="3958.13"/>
    <n v="62.54"/>
    <x v="4"/>
    <n v="3"/>
    <x v="0"/>
    <x v="0"/>
    <n v="7"/>
  </r>
  <r>
    <s v="ORD-02133"/>
    <d v="2022-07-25T00:00:00"/>
    <s v="CUST89826"/>
    <x v="395"/>
    <n v="22"/>
    <x v="3"/>
    <x v="1"/>
    <x v="3"/>
    <x v="16"/>
    <x v="3"/>
    <s v="T-Shirt"/>
    <n v="7"/>
    <n v="1729.47"/>
    <x v="28"/>
    <n v="17045.099999999999"/>
    <n v="6459.75"/>
    <n v="79.27"/>
    <x v="2"/>
    <n v="1"/>
    <x v="1"/>
    <x v="1"/>
    <n v="8"/>
  </r>
  <r>
    <s v="ORD-02809"/>
    <d v="2023-05-03T00:00:00"/>
    <s v="CUST04249"/>
    <x v="349"/>
    <n v="31"/>
    <x v="0"/>
    <x v="1"/>
    <x v="4"/>
    <x v="8"/>
    <x v="1"/>
    <s v="Chair"/>
    <n v="10"/>
    <n v="17371.93"/>
    <x v="6"/>
    <n v="172582.04"/>
    <n v="55972.36"/>
    <n v="71.63"/>
    <x v="5"/>
    <n v="3"/>
    <x v="0"/>
    <x v="0"/>
    <n v="9"/>
  </r>
  <r>
    <s v="ORD-01074"/>
    <d v="2021-04-30T00:00:00"/>
    <s v="CUST36338"/>
    <x v="96"/>
    <n v="25"/>
    <x v="3"/>
    <x v="2"/>
    <x v="4"/>
    <x v="17"/>
    <x v="4"/>
    <s v="Cycle"/>
    <n v="1"/>
    <n v="8254.73"/>
    <x v="16"/>
    <n v="9628.89"/>
    <n v="1995.91"/>
    <n v="61.28"/>
    <x v="0"/>
    <n v="3"/>
    <x v="0"/>
    <x v="0"/>
    <n v="1"/>
  </r>
  <r>
    <s v="ORD-01413"/>
    <d v="2021-09-28T00:00:00"/>
    <s v="CUST43662"/>
    <x v="153"/>
    <n v="34"/>
    <x v="0"/>
    <x v="1"/>
    <x v="2"/>
    <x v="14"/>
    <x v="3"/>
    <s v="Jeans"/>
    <n v="3"/>
    <n v="1238.9000000000001"/>
    <x v="30"/>
    <n v="2660.56"/>
    <n v="1083.58"/>
    <n v="73.53"/>
    <x v="5"/>
    <n v="5"/>
    <x v="1"/>
    <x v="1"/>
    <n v="3"/>
  </r>
  <r>
    <s v="ORD-01628"/>
    <d v="2021-12-27T00:00:00"/>
    <s v="CUST55053"/>
    <x v="114"/>
    <n v="28"/>
    <x v="0"/>
    <x v="1"/>
    <x v="2"/>
    <x v="4"/>
    <x v="2"/>
    <s v="Textbook"/>
    <n v="5"/>
    <n v="441.77"/>
    <x v="9"/>
    <n v="1538.75"/>
    <n v="611.16"/>
    <n v="71.69"/>
    <x v="3"/>
    <n v="4"/>
    <x v="0"/>
    <x v="2"/>
    <n v="7"/>
  </r>
  <r>
    <s v="ORD-02866"/>
    <d v="2023-05-31T00:00:00"/>
    <s v="CUST40473"/>
    <x v="388"/>
    <n v="31"/>
    <x v="0"/>
    <x v="1"/>
    <x v="0"/>
    <x v="19"/>
    <x v="6"/>
    <s v="Laptop"/>
    <n v="2"/>
    <n v="44818.69"/>
    <x v="36"/>
    <n v="105441.04"/>
    <n v="12774.35"/>
    <n v="73.430000000000007"/>
    <x v="4"/>
    <n v="1"/>
    <x v="1"/>
    <x v="1"/>
    <n v="7"/>
  </r>
  <r>
    <s v="ORD-01478"/>
    <d v="2021-10-25T00:00:00"/>
    <s v="CUST16528"/>
    <x v="130"/>
    <n v="36"/>
    <x v="1"/>
    <x v="1"/>
    <x v="4"/>
    <x v="7"/>
    <x v="1"/>
    <s v="Bed Frame"/>
    <n v="3"/>
    <n v="13116.13"/>
    <x v="4"/>
    <n v="39642.97"/>
    <n v="7916.06"/>
    <n v="67.37"/>
    <x v="3"/>
    <n v="3"/>
    <x v="0"/>
    <x v="0"/>
    <n v="4"/>
  </r>
  <r>
    <s v="ORD-04166"/>
    <d v="2024-12-15T00:00:00"/>
    <s v="CUST73620"/>
    <x v="390"/>
    <n v="18"/>
    <x v="3"/>
    <x v="2"/>
    <x v="4"/>
    <x v="7"/>
    <x v="3"/>
    <s v="T-Shirt"/>
    <n v="6"/>
    <n v="841.47"/>
    <x v="9"/>
    <n v="4321.42"/>
    <n v="1728.55"/>
    <n v="70.62"/>
    <x v="4"/>
    <n v="1"/>
    <x v="0"/>
    <x v="0"/>
    <n v="2"/>
  </r>
  <r>
    <s v="ORD-00978"/>
    <d v="2021-03-21T00:00:00"/>
    <s v="CUST97561"/>
    <x v="49"/>
    <n v="54"/>
    <x v="2"/>
    <x v="0"/>
    <x v="4"/>
    <x v="18"/>
    <x v="3"/>
    <s v="Jeans"/>
    <n v="2"/>
    <n v="3618.11"/>
    <x v="16"/>
    <n v="6573.5"/>
    <n v="2164.13"/>
    <n v="96.19"/>
    <x v="3"/>
    <n v="2"/>
    <x v="0"/>
    <x v="0"/>
    <n v="8"/>
  </r>
  <r>
    <s v="ORD-02389"/>
    <d v="2022-10-30T00:00:00"/>
    <s v="CUST27494"/>
    <x v="274"/>
    <n v="53"/>
    <x v="2"/>
    <x v="2"/>
    <x v="3"/>
    <x v="5"/>
    <x v="3"/>
    <s v="Kurta"/>
    <n v="8"/>
    <n v="1016.23"/>
    <x v="25"/>
    <n v="5817.06"/>
    <n v="2314.7600000000002"/>
    <n v="66.7"/>
    <x v="1"/>
    <n v="2"/>
    <x v="0"/>
    <x v="0"/>
    <n v="8"/>
  </r>
  <r>
    <s v="ORD-01504"/>
    <d v="2021-11-06T00:00:00"/>
    <s v="CUST34606"/>
    <x v="208"/>
    <n v="32"/>
    <x v="0"/>
    <x v="1"/>
    <x v="0"/>
    <x v="1"/>
    <x v="1"/>
    <s v="Bookshelf"/>
    <n v="3"/>
    <n v="7356.31"/>
    <x v="39"/>
    <n v="16395.88"/>
    <n v="5855.42"/>
    <n v="78.599999999999994"/>
    <x v="1"/>
    <n v="1"/>
    <x v="0"/>
    <x v="0"/>
    <n v="10"/>
  </r>
  <r>
    <s v="ORD-03576"/>
    <d v="2024-04-03T00:00:00"/>
    <s v="CUST88667"/>
    <x v="32"/>
    <n v="26"/>
    <x v="0"/>
    <x v="2"/>
    <x v="3"/>
    <x v="5"/>
    <x v="6"/>
    <s v="Camera"/>
    <n v="4"/>
    <n v="14036.02"/>
    <x v="19"/>
    <n v="75324.350000000006"/>
    <n v="9113.01"/>
    <n v="97.91"/>
    <x v="0"/>
    <n v="4"/>
    <x v="0"/>
    <x v="0"/>
    <n v="3"/>
  </r>
  <r>
    <s v="ORD-03821"/>
    <d v="2024-07-19T00:00:00"/>
    <s v="CUST35476"/>
    <x v="181"/>
    <n v="54"/>
    <x v="2"/>
    <x v="2"/>
    <x v="1"/>
    <x v="11"/>
    <x v="2"/>
    <s v="Fiction Novel"/>
    <n v="2"/>
    <n v="588.66999999999996"/>
    <x v="27"/>
    <n v="1452.74"/>
    <n v="631.41"/>
    <n v="78.55"/>
    <x v="3"/>
    <n v="2"/>
    <x v="0"/>
    <x v="0"/>
    <n v="4"/>
  </r>
  <r>
    <s v="ORD-00214"/>
    <d v="2020-04-03T00:00:00"/>
    <s v="CUST08244"/>
    <x v="264"/>
    <n v="46"/>
    <x v="1"/>
    <x v="2"/>
    <x v="1"/>
    <x v="6"/>
    <x v="1"/>
    <s v="Sofa"/>
    <n v="10"/>
    <n v="7854.56"/>
    <x v="25"/>
    <n v="69661.009999999995"/>
    <n v="15316.65"/>
    <n v="56.25"/>
    <x v="1"/>
    <n v="1"/>
    <x v="0"/>
    <x v="0"/>
    <n v="3"/>
  </r>
  <r>
    <s v="ORD-01032"/>
    <d v="2021-04-12T00:00:00"/>
    <s v="CUST73196"/>
    <x v="300"/>
    <n v="26"/>
    <x v="0"/>
    <x v="2"/>
    <x v="1"/>
    <x v="10"/>
    <x v="5"/>
    <s v="Sugar"/>
    <n v="9"/>
    <n v="461.35"/>
    <x v="28"/>
    <n v="5570.95"/>
    <n v="481.54"/>
    <n v="41.05"/>
    <x v="2"/>
    <n v="4"/>
    <x v="0"/>
    <x v="3"/>
    <n v="8"/>
  </r>
  <r>
    <s v="ORD-00803"/>
    <d v="2020-12-31T00:00:00"/>
    <s v="CUST99060"/>
    <x v="275"/>
    <n v="46"/>
    <x v="1"/>
    <x v="0"/>
    <x v="4"/>
    <x v="18"/>
    <x v="1"/>
    <s v="Bed Frame"/>
    <n v="6"/>
    <n v="25745.87"/>
    <x v="22"/>
    <n v="68168.41"/>
    <n v="19997.5"/>
    <n v="90.91"/>
    <x v="5"/>
    <n v="2"/>
    <x v="0"/>
    <x v="0"/>
    <n v="3"/>
  </r>
  <r>
    <s v="ORD-02146"/>
    <d v="2022-07-31T00:00:00"/>
    <s v="CUST25921"/>
    <x v="162"/>
    <n v="37"/>
    <x v="1"/>
    <x v="0"/>
    <x v="3"/>
    <x v="12"/>
    <x v="5"/>
    <s v="Rice (5kg)"/>
    <n v="5"/>
    <n v="421.63"/>
    <x v="21"/>
    <n v="1981.36"/>
    <n v="174.59"/>
    <n v="64.86"/>
    <x v="4"/>
    <n v="5"/>
    <x v="0"/>
    <x v="0"/>
    <n v="1"/>
  </r>
  <r>
    <s v="ORD-01517"/>
    <d v="2021-11-14T00:00:00"/>
    <s v="CUST63383"/>
    <x v="100"/>
    <n v="22"/>
    <x v="3"/>
    <x v="2"/>
    <x v="4"/>
    <x v="7"/>
    <x v="5"/>
    <s v="Dal (1kg)"/>
    <n v="10"/>
    <n v="90.13"/>
    <x v="15"/>
    <n v="507.06"/>
    <n v="51.46"/>
    <n v="80.91"/>
    <x v="3"/>
    <n v="5"/>
    <x v="0"/>
    <x v="0"/>
    <n v="10"/>
  </r>
  <r>
    <s v="ORD-00560"/>
    <d v="2020-09-06T00:00:00"/>
    <s v="CUST38172"/>
    <x v="367"/>
    <n v="19"/>
    <x v="3"/>
    <x v="1"/>
    <x v="3"/>
    <x v="16"/>
    <x v="1"/>
    <s v="Bookshelf"/>
    <n v="5"/>
    <n v="26946.78"/>
    <x v="39"/>
    <n v="111598.98"/>
    <n v="37815.29"/>
    <n v="80.010000000000005"/>
    <x v="4"/>
    <n v="3"/>
    <x v="0"/>
    <x v="2"/>
    <n v="6"/>
  </r>
  <r>
    <s v="ORD-01638"/>
    <d v="2021-12-30T00:00:00"/>
    <s v="CUST98630"/>
    <x v="312"/>
    <n v="41"/>
    <x v="1"/>
    <x v="0"/>
    <x v="4"/>
    <x v="18"/>
    <x v="6"/>
    <s v="Camera"/>
    <n v="9"/>
    <n v="41722.410000000003"/>
    <x v="33"/>
    <n v="220158.56"/>
    <n v="25206.080000000002"/>
    <n v="62.46"/>
    <x v="4"/>
    <n v="2"/>
    <x v="0"/>
    <x v="0"/>
    <n v="7"/>
  </r>
  <r>
    <s v="ORD-02045"/>
    <d v="2022-06-18T00:00:00"/>
    <s v="CUST85893"/>
    <x v="70"/>
    <n v="25"/>
    <x v="3"/>
    <x v="2"/>
    <x v="4"/>
    <x v="7"/>
    <x v="5"/>
    <s v="Flour"/>
    <n v="7"/>
    <n v="70.02"/>
    <x v="10"/>
    <n v="494.91"/>
    <n v="44.9"/>
    <n v="75.319999999999993"/>
    <x v="4"/>
    <n v="2"/>
    <x v="0"/>
    <x v="4"/>
    <n v="5"/>
  </r>
  <r>
    <s v="ORD-00697"/>
    <d v="2020-11-13T00:00:00"/>
    <s v="CUST94502"/>
    <x v="13"/>
    <n v="36"/>
    <x v="1"/>
    <x v="1"/>
    <x v="2"/>
    <x v="9"/>
    <x v="4"/>
    <s v="Cycle"/>
    <n v="8"/>
    <n v="11002.8"/>
    <x v="7"/>
    <n v="60370.7"/>
    <n v="8455.94"/>
    <n v="27.96"/>
    <x v="3"/>
    <n v="5"/>
    <x v="0"/>
    <x v="0"/>
    <n v="9"/>
  </r>
  <r>
    <s v="ORD-03249"/>
    <d v="2023-11-04T00:00:00"/>
    <s v="CUST78428"/>
    <x v="270"/>
    <n v="71"/>
    <x v="2"/>
    <x v="2"/>
    <x v="2"/>
    <x v="14"/>
    <x v="3"/>
    <s v="Jacket"/>
    <n v="5"/>
    <n v="1581.85"/>
    <x v="35"/>
    <n v="5298.79"/>
    <n v="1912.12"/>
    <n v="37.369999999999997"/>
    <x v="2"/>
    <n v="3"/>
    <x v="0"/>
    <x v="0"/>
    <n v="3"/>
  </r>
  <r>
    <s v="ORD-01970"/>
    <d v="2022-05-21T00:00:00"/>
    <s v="CUST49802"/>
    <x v="339"/>
    <n v="28"/>
    <x v="0"/>
    <x v="0"/>
    <x v="2"/>
    <x v="9"/>
    <x v="1"/>
    <s v="Desk"/>
    <n v="9"/>
    <n v="25541.61"/>
    <x v="33"/>
    <n v="282283.64"/>
    <n v="106013.67"/>
    <n v="68.959999999999994"/>
    <x v="2"/>
    <n v="3"/>
    <x v="0"/>
    <x v="0"/>
    <n v="4"/>
  </r>
  <r>
    <s v="ORD-03866"/>
    <d v="2024-08-05T00:00:00"/>
    <s v="CUST04103"/>
    <x v="394"/>
    <n v="24"/>
    <x v="3"/>
    <x v="2"/>
    <x v="1"/>
    <x v="6"/>
    <x v="4"/>
    <s v="Tennis Racket"/>
    <n v="1"/>
    <n v="3037.55"/>
    <x v="36"/>
    <n v="3582.58"/>
    <n v="700.96"/>
    <n v="40.82"/>
    <x v="3"/>
    <n v="4"/>
    <x v="0"/>
    <x v="0"/>
    <n v="3"/>
  </r>
  <r>
    <s v="ORD-01528"/>
    <d v="2021-11-17T00:00:00"/>
    <s v="CUST17627"/>
    <x v="241"/>
    <n v="23"/>
    <x v="3"/>
    <x v="1"/>
    <x v="2"/>
    <x v="13"/>
    <x v="1"/>
    <s v="Bookshelf"/>
    <n v="3"/>
    <n v="6001.72"/>
    <x v="37"/>
    <n v="11226.94"/>
    <n v="2265.7399999999998"/>
    <n v="13.26"/>
    <x v="0"/>
    <n v="3"/>
    <x v="1"/>
    <x v="1"/>
    <n v="3"/>
  </r>
  <r>
    <s v="ORD-01715"/>
    <d v="2022-02-02T00:00:00"/>
    <s v="CUST08565"/>
    <x v="94"/>
    <n v="48"/>
    <x v="1"/>
    <x v="0"/>
    <x v="1"/>
    <x v="6"/>
    <x v="2"/>
    <s v="Fiction Novel"/>
    <n v="2"/>
    <n v="1014.61"/>
    <x v="13"/>
    <n v="1625.5"/>
    <n v="685.16"/>
    <n v="49.94"/>
    <x v="4"/>
    <n v="5"/>
    <x v="0"/>
    <x v="0"/>
    <n v="7"/>
  </r>
  <r>
    <s v="ORD-03775"/>
    <d v="2024-07-01T00:00:00"/>
    <s v="CUST11643"/>
    <x v="394"/>
    <n v="20"/>
    <x v="3"/>
    <x v="0"/>
    <x v="2"/>
    <x v="13"/>
    <x v="2"/>
    <s v="Textbook"/>
    <n v="2"/>
    <n v="646.61"/>
    <x v="3"/>
    <n v="1668.69"/>
    <n v="631.70000000000005"/>
    <n v="49.01"/>
    <x v="3"/>
    <n v="2"/>
    <x v="0"/>
    <x v="0"/>
    <n v="3"/>
  </r>
  <r>
    <s v="ORD-03518"/>
    <d v="2024-09-03T00:00:00"/>
    <s v="CUST03875"/>
    <x v="181"/>
    <n v="44"/>
    <x v="1"/>
    <x v="0"/>
    <x v="4"/>
    <x v="18"/>
    <x v="6"/>
    <s v="Camera"/>
    <n v="5"/>
    <n v="20577.009999999998"/>
    <x v="37"/>
    <n v="93594.28"/>
    <n v="9112.0499999999993"/>
    <n v="88.2"/>
    <x v="4"/>
    <n v="2"/>
    <x v="0"/>
    <x v="0"/>
    <n v="6"/>
  </r>
  <r>
    <s v="ORD-01708"/>
    <d v="2022-02-01T00:00:00"/>
    <s v="CUST87498"/>
    <x v="275"/>
    <n v="39"/>
    <x v="1"/>
    <x v="0"/>
    <x v="1"/>
    <x v="10"/>
    <x v="2"/>
    <s v="Self-Help Book"/>
    <n v="1"/>
    <n v="1394.93"/>
    <x v="33"/>
    <n v="1128.26"/>
    <n v="431.19"/>
    <n v="99.26"/>
    <x v="3"/>
    <n v="4"/>
    <x v="0"/>
    <x v="0"/>
    <n v="6"/>
  </r>
  <r>
    <s v="ORD-03320"/>
    <d v="2023-12-08T00:00:00"/>
    <s v="CUST53965"/>
    <x v="76"/>
    <n v="32"/>
    <x v="0"/>
    <x v="2"/>
    <x v="2"/>
    <x v="4"/>
    <x v="6"/>
    <s v="Camera"/>
    <n v="1"/>
    <n v="74269.77"/>
    <x v="7"/>
    <n v="58489.45"/>
    <n v="8517.07"/>
    <n v="41.46"/>
    <x v="5"/>
    <n v="5"/>
    <x v="0"/>
    <x v="4"/>
    <n v="1"/>
  </r>
  <r>
    <s v="ORD-00407"/>
    <d v="2020-06-25T00:00:00"/>
    <s v="CUST62236"/>
    <x v="126"/>
    <n v="66"/>
    <x v="2"/>
    <x v="0"/>
    <x v="0"/>
    <x v="1"/>
    <x v="6"/>
    <s v="Tablet"/>
    <n v="5"/>
    <n v="46345.56"/>
    <x v="18"/>
    <n v="181476.52"/>
    <n v="25644.37"/>
    <n v="77.91"/>
    <x v="2"/>
    <n v="3"/>
    <x v="0"/>
    <x v="4"/>
    <n v="10"/>
  </r>
  <r>
    <s v="ORD-00180"/>
    <d v="2020-03-19T00:00:00"/>
    <s v="CUST29334"/>
    <x v="269"/>
    <n v="35"/>
    <x v="0"/>
    <x v="1"/>
    <x v="1"/>
    <x v="11"/>
    <x v="4"/>
    <s v="Tennis Racket"/>
    <n v="7"/>
    <n v="2367.09"/>
    <x v="8"/>
    <n v="16292.28"/>
    <n v="2663.65"/>
    <n v="42.41"/>
    <x v="3"/>
    <n v="1"/>
    <x v="0"/>
    <x v="3"/>
    <n v="8"/>
  </r>
  <r>
    <s v="ORD-00579"/>
    <d v="2020-09-16T00:00:00"/>
    <s v="CUST24871"/>
    <x v="237"/>
    <n v="24"/>
    <x v="3"/>
    <x v="1"/>
    <x v="2"/>
    <x v="9"/>
    <x v="6"/>
    <s v="Laptop"/>
    <n v="9"/>
    <n v="34058.9"/>
    <x v="19"/>
    <n v="239614.28"/>
    <n v="26529.360000000001"/>
    <n v="35.69"/>
    <x v="0"/>
    <n v="5"/>
    <x v="0"/>
    <x v="4"/>
    <n v="5"/>
  </r>
  <r>
    <s v="ORD-01133"/>
    <d v="2021-05-26T00:00:00"/>
    <s v="CUST54577"/>
    <x v="315"/>
    <n v="21"/>
    <x v="3"/>
    <x v="1"/>
    <x v="4"/>
    <x v="8"/>
    <x v="0"/>
    <s v="Shampoo"/>
    <n v="7"/>
    <n v="1281.8599999999999"/>
    <x v="40"/>
    <n v="8031.28"/>
    <n v="2955.5"/>
    <n v="39.19"/>
    <x v="3"/>
    <n v="2"/>
    <x v="0"/>
    <x v="0"/>
    <n v="7"/>
  </r>
  <r>
    <s v="ORD-01758"/>
    <d v="2022-02-18T00:00:00"/>
    <s v="CUST87654"/>
    <x v="11"/>
    <n v="24"/>
    <x v="3"/>
    <x v="2"/>
    <x v="0"/>
    <x v="1"/>
    <x v="2"/>
    <s v="Fiction Novel"/>
    <n v="5"/>
    <n v="433.78"/>
    <x v="31"/>
    <n v="1626.67"/>
    <n v="566.47"/>
    <n v="70.39"/>
    <x v="2"/>
    <n v="5"/>
    <x v="0"/>
    <x v="0"/>
    <n v="9"/>
  </r>
  <r>
    <s v="ORD-00819"/>
    <d v="2021-01-10T00:00:00"/>
    <s v="CUST63893"/>
    <x v="261"/>
    <n v="21"/>
    <x v="3"/>
    <x v="0"/>
    <x v="4"/>
    <x v="18"/>
    <x v="0"/>
    <s v="Perfume"/>
    <n v="9"/>
    <n v="1170.24"/>
    <x v="35"/>
    <n v="5927.64"/>
    <n v="3035.58"/>
    <n v="41.85"/>
    <x v="2"/>
    <n v="2"/>
    <x v="0"/>
    <x v="0"/>
    <n v="1"/>
  </r>
  <r>
    <s v="ORD-02878"/>
    <d v="2023-06-02T00:00:00"/>
    <s v="CUST98432"/>
    <x v="315"/>
    <n v="68"/>
    <x v="2"/>
    <x v="2"/>
    <x v="1"/>
    <x v="11"/>
    <x v="3"/>
    <s v="Jeans"/>
    <n v="4"/>
    <n v="824.79"/>
    <x v="32"/>
    <n v="4781.3500000000004"/>
    <n v="1402.58"/>
    <n v="62.47"/>
    <x v="3"/>
    <n v="1"/>
    <x v="0"/>
    <x v="2"/>
    <n v="4"/>
  </r>
  <r>
    <s v="ORD-03595"/>
    <d v="2024-04-11T00:00:00"/>
    <s v="CUST20736"/>
    <x v="94"/>
    <n v="41"/>
    <x v="1"/>
    <x v="2"/>
    <x v="0"/>
    <x v="0"/>
    <x v="4"/>
    <s v="Cricket Bat"/>
    <n v="8"/>
    <n v="13545.22"/>
    <x v="3"/>
    <n v="148811.09"/>
    <n v="34910.449999999997"/>
    <n v="49.35"/>
    <x v="3"/>
    <n v="5"/>
    <x v="0"/>
    <x v="0"/>
    <n v="1"/>
  </r>
  <r>
    <s v="ORD-00368"/>
    <d v="2020-06-07T00:00:00"/>
    <s v="CUST91300"/>
    <x v="366"/>
    <n v="42"/>
    <x v="1"/>
    <x v="2"/>
    <x v="0"/>
    <x v="0"/>
    <x v="0"/>
    <s v="Sunscreen"/>
    <n v="2"/>
    <n v="1372.94"/>
    <x v="27"/>
    <n v="2491.3200000000002"/>
    <n v="765.46"/>
    <n v="51.67"/>
    <x v="5"/>
    <n v="2"/>
    <x v="0"/>
    <x v="0"/>
    <n v="8"/>
  </r>
  <r>
    <s v="ORD-02348"/>
    <d v="2022-10-12T00:00:00"/>
    <s v="CUST12889"/>
    <x v="235"/>
    <n v="27"/>
    <x v="0"/>
    <x v="2"/>
    <x v="2"/>
    <x v="14"/>
    <x v="4"/>
    <s v="Yoga Mat"/>
    <n v="9"/>
    <n v="13142.88"/>
    <x v="6"/>
    <n v="69394.080000000002"/>
    <n v="16164.46"/>
    <n v="32.880000000000003"/>
    <x v="4"/>
    <n v="5"/>
    <x v="1"/>
    <x v="1"/>
    <n v="1"/>
  </r>
  <r>
    <s v="ORD-00647"/>
    <d v="2020-10-15T00:00:00"/>
    <s v="CUST97230"/>
    <x v="319"/>
    <n v="55"/>
    <x v="2"/>
    <x v="1"/>
    <x v="2"/>
    <x v="13"/>
    <x v="0"/>
    <s v="Shampoo"/>
    <n v="4"/>
    <n v="2079.0700000000002"/>
    <x v="35"/>
    <n v="4372.2"/>
    <n v="2080.88"/>
    <n v="20.39"/>
    <x v="4"/>
    <n v="4"/>
    <x v="1"/>
    <x v="1"/>
    <n v="3"/>
  </r>
  <r>
    <s v="ORD-02001"/>
    <d v="2022-06-02T00:00:00"/>
    <s v="CUST78982"/>
    <x v="379"/>
    <n v="27"/>
    <x v="0"/>
    <x v="1"/>
    <x v="1"/>
    <x v="10"/>
    <x v="4"/>
    <s v="Cricket Bat"/>
    <n v="2"/>
    <n v="1793.14"/>
    <x v="3"/>
    <n v="4474.84"/>
    <n v="1103.43"/>
    <n v="40.65"/>
    <x v="2"/>
    <n v="2"/>
    <x v="1"/>
    <x v="1"/>
    <n v="9"/>
  </r>
  <r>
    <s v="ORD-02427"/>
    <d v="2022-11-15T00:00:00"/>
    <s v="CUST68738"/>
    <x v="345"/>
    <n v="20"/>
    <x v="3"/>
    <x v="1"/>
    <x v="4"/>
    <x v="18"/>
    <x v="2"/>
    <s v="Biography"/>
    <n v="6"/>
    <n v="363.03"/>
    <x v="24"/>
    <n v="1819.63"/>
    <n v="726.19"/>
    <n v="64.27"/>
    <x v="4"/>
    <n v="5"/>
    <x v="0"/>
    <x v="0"/>
    <n v="7"/>
  </r>
  <r>
    <s v="ORD-04117"/>
    <d v="2024-11-26T00:00:00"/>
    <s v="CUST68421"/>
    <x v="86"/>
    <n v="43"/>
    <x v="1"/>
    <x v="2"/>
    <x v="2"/>
    <x v="13"/>
    <x v="0"/>
    <s v="Shampoo"/>
    <n v="9"/>
    <n v="328.65"/>
    <x v="25"/>
    <n v="1975.97"/>
    <n v="543.25"/>
    <n v="41.68"/>
    <x v="3"/>
    <n v="4"/>
    <x v="0"/>
    <x v="0"/>
    <n v="9"/>
  </r>
  <r>
    <s v="ORD-00194"/>
    <d v="2020-03-27T00:00:00"/>
    <s v="CUST96692"/>
    <x v="181"/>
    <n v="35"/>
    <x v="0"/>
    <x v="2"/>
    <x v="2"/>
    <x v="9"/>
    <x v="4"/>
    <s v="Dumbbells"/>
    <n v="9"/>
    <n v="6747.04"/>
    <x v="16"/>
    <n v="53191.17"/>
    <n v="13938.07"/>
    <n v="74.53"/>
    <x v="3"/>
    <n v="3"/>
    <x v="0"/>
    <x v="0"/>
    <n v="1"/>
  </r>
  <r>
    <s v="ORD-01944"/>
    <d v="2022-05-08T00:00:00"/>
    <s v="CUST18548"/>
    <x v="135"/>
    <n v="31"/>
    <x v="0"/>
    <x v="0"/>
    <x v="3"/>
    <x v="12"/>
    <x v="0"/>
    <s v="Sunscreen"/>
    <n v="4"/>
    <n v="1176.04"/>
    <x v="20"/>
    <n v="6347.47"/>
    <n v="2342.58"/>
    <n v="88.08"/>
    <x v="5"/>
    <n v="4"/>
    <x v="0"/>
    <x v="0"/>
    <n v="6"/>
  </r>
  <r>
    <s v="ORD-00939"/>
    <d v="2021-02-28T00:00:00"/>
    <s v="CUST44415"/>
    <x v="182"/>
    <n v="27"/>
    <x v="0"/>
    <x v="2"/>
    <x v="4"/>
    <x v="18"/>
    <x v="2"/>
    <s v="Textbook"/>
    <n v="7"/>
    <n v="884.25"/>
    <x v="34"/>
    <n v="3604.7"/>
    <n v="1268.2"/>
    <n v="55.07"/>
    <x v="1"/>
    <n v="5"/>
    <x v="0"/>
    <x v="0"/>
    <n v="7"/>
  </r>
  <r>
    <s v="ORD-00167"/>
    <d v="2020-03-13T00:00:00"/>
    <s v="CUST51864"/>
    <x v="333"/>
    <n v="27"/>
    <x v="0"/>
    <x v="2"/>
    <x v="0"/>
    <x v="1"/>
    <x v="3"/>
    <s v="Dress"/>
    <n v="4"/>
    <n v="2696.21"/>
    <x v="3"/>
    <n v="8113.08"/>
    <n v="2313.16"/>
    <n v="51.64"/>
    <x v="4"/>
    <n v="1"/>
    <x v="0"/>
    <x v="0"/>
    <n v="3"/>
  </r>
  <r>
    <s v="ORD-00649"/>
    <d v="2020-10-17T00:00:00"/>
    <s v="CUST22604"/>
    <x v="235"/>
    <n v="26"/>
    <x v="0"/>
    <x v="0"/>
    <x v="3"/>
    <x v="5"/>
    <x v="6"/>
    <s v="Smartwatch"/>
    <n v="7"/>
    <n v="45799.76"/>
    <x v="30"/>
    <n v="189931.59"/>
    <n v="22577.35"/>
    <n v="42.79"/>
    <x v="0"/>
    <n v="2"/>
    <x v="0"/>
    <x v="0"/>
    <n v="4"/>
  </r>
  <r>
    <s v="ORD-00905"/>
    <d v="2021-02-09T00:00:00"/>
    <s v="CUST96177"/>
    <x v="398"/>
    <n v="41"/>
    <x v="1"/>
    <x v="1"/>
    <x v="4"/>
    <x v="17"/>
    <x v="0"/>
    <s v="Sunscreen"/>
    <n v="10"/>
    <n v="1423.41"/>
    <x v="28"/>
    <n v="11797.89"/>
    <n v="5781.35"/>
    <n v="78.680000000000007"/>
    <x v="3"/>
    <n v="5"/>
    <x v="0"/>
    <x v="0"/>
    <n v="6"/>
  </r>
  <r>
    <s v="ORD-01967"/>
    <d v="2022-05-20T00:00:00"/>
    <s v="CUST03799"/>
    <x v="371"/>
    <n v="38"/>
    <x v="1"/>
    <x v="2"/>
    <x v="2"/>
    <x v="13"/>
    <x v="2"/>
    <s v="Comic Book"/>
    <n v="5"/>
    <n v="951.75"/>
    <x v="4"/>
    <n v="5936.18"/>
    <n v="2402.75"/>
    <n v="54.03"/>
    <x v="1"/>
    <n v="3"/>
    <x v="0"/>
    <x v="0"/>
    <n v="6"/>
  </r>
  <r>
    <s v="ORD-03510"/>
    <d v="2024-03-05T00:00:00"/>
    <s v="CUST79584"/>
    <x v="302"/>
    <n v="52"/>
    <x v="2"/>
    <x v="2"/>
    <x v="2"/>
    <x v="4"/>
    <x v="5"/>
    <s v="Flour"/>
    <n v="10"/>
    <n v="414.16"/>
    <x v="13"/>
    <n v="4932.93"/>
    <n v="345.9"/>
    <n v="47.29"/>
    <x v="2"/>
    <n v="5"/>
    <x v="1"/>
    <x v="1"/>
    <n v="8"/>
  </r>
  <r>
    <s v="ORD-04189"/>
    <d v="2024-12-26T00:00:00"/>
    <s v="CUST28178"/>
    <x v="176"/>
    <n v="32"/>
    <x v="0"/>
    <x v="1"/>
    <x v="0"/>
    <x v="0"/>
    <x v="6"/>
    <s v="Smartwatch"/>
    <n v="4"/>
    <n v="64608.94"/>
    <x v="2"/>
    <n v="191352.59"/>
    <n v="27372.68"/>
    <n v="79.41"/>
    <x v="3"/>
    <n v="4"/>
    <x v="1"/>
    <x v="1"/>
    <n v="5"/>
  </r>
  <r>
    <s v="ORD-01102"/>
    <d v="2021-05-12T00:00:00"/>
    <s v="CUST55287"/>
    <x v="193"/>
    <n v="46"/>
    <x v="1"/>
    <x v="1"/>
    <x v="1"/>
    <x v="6"/>
    <x v="4"/>
    <s v="Yoga Mat"/>
    <n v="5"/>
    <n v="1589.12"/>
    <x v="33"/>
    <n v="8606.2099999999991"/>
    <n v="1388.16"/>
    <n v="54.57"/>
    <x v="1"/>
    <n v="3"/>
    <x v="0"/>
    <x v="0"/>
    <n v="4"/>
  </r>
  <r>
    <s v="ORD-02678"/>
    <d v="2023-03-05T00:00:00"/>
    <s v="CUST87936"/>
    <x v="294"/>
    <n v="46"/>
    <x v="1"/>
    <x v="2"/>
    <x v="0"/>
    <x v="19"/>
    <x v="4"/>
    <s v="Yoga Mat"/>
    <n v="8"/>
    <n v="7037.46"/>
    <x v="11"/>
    <n v="66204.63"/>
    <n v="8522.6299999999992"/>
    <n v="63.69"/>
    <x v="4"/>
    <n v="4"/>
    <x v="0"/>
    <x v="0"/>
    <n v="2"/>
  </r>
  <r>
    <s v="ORD-00586"/>
    <d v="2020-09-19T00:00:00"/>
    <s v="CUST86530"/>
    <x v="388"/>
    <n v="40"/>
    <x v="1"/>
    <x v="0"/>
    <x v="3"/>
    <x v="5"/>
    <x v="4"/>
    <s v="Yoga Mat"/>
    <n v="9"/>
    <n v="3643.69"/>
    <x v="16"/>
    <n v="28799.52"/>
    <n v="3724.9"/>
    <n v="81.760000000000005"/>
    <x v="3"/>
    <n v="4"/>
    <x v="0"/>
    <x v="0"/>
    <n v="8"/>
  </r>
  <r>
    <s v="ORD-02766"/>
    <d v="2023-04-12T00:00:00"/>
    <s v="CUST55726"/>
    <x v="207"/>
    <n v="36"/>
    <x v="1"/>
    <x v="0"/>
    <x v="4"/>
    <x v="17"/>
    <x v="0"/>
    <s v="Perfume"/>
    <n v="1"/>
    <n v="1927.8"/>
    <x v="15"/>
    <n v="2039.37"/>
    <n v="829.68"/>
    <n v="81.77"/>
    <x v="0"/>
    <n v="2"/>
    <x v="0"/>
    <x v="0"/>
    <n v="8"/>
  </r>
  <r>
    <s v="ORD-03588"/>
    <d v="2024-04-09T00:00:00"/>
    <s v="CUST83899"/>
    <x v="120"/>
    <n v="37"/>
    <x v="1"/>
    <x v="2"/>
    <x v="4"/>
    <x v="18"/>
    <x v="0"/>
    <s v="Shampoo"/>
    <n v="7"/>
    <n v="410.6"/>
    <x v="28"/>
    <n v="4158.82"/>
    <n v="1647.62"/>
    <n v="74.28"/>
    <x v="3"/>
    <n v="3"/>
    <x v="0"/>
    <x v="0"/>
    <n v="7"/>
  </r>
  <r>
    <s v="ORD-01281"/>
    <d v="2021-07-31T00:00:00"/>
    <s v="CUST14797"/>
    <x v="176"/>
    <n v="26"/>
    <x v="0"/>
    <x v="0"/>
    <x v="2"/>
    <x v="9"/>
    <x v="6"/>
    <s v="Headphones"/>
    <n v="8"/>
    <n v="63773.73"/>
    <x v="22"/>
    <n v="408398.64"/>
    <n v="36997.480000000003"/>
    <n v="37.03"/>
    <x v="3"/>
    <n v="4"/>
    <x v="0"/>
    <x v="0"/>
    <n v="3"/>
  </r>
  <r>
    <s v="ORD-00372"/>
    <d v="2020-06-08T00:00:00"/>
    <s v="CUST53114"/>
    <x v="235"/>
    <n v="26"/>
    <x v="0"/>
    <x v="1"/>
    <x v="4"/>
    <x v="8"/>
    <x v="6"/>
    <s v="Tablet"/>
    <n v="3"/>
    <n v="74867.199999999997"/>
    <x v="3"/>
    <n v="239862.52"/>
    <n v="27646.01"/>
    <n v="39.1"/>
    <x v="2"/>
    <n v="4"/>
    <x v="0"/>
    <x v="0"/>
    <n v="8"/>
  </r>
  <r>
    <s v="ORD-01561"/>
    <d v="2021-11-30T00:00:00"/>
    <s v="CUST70340"/>
    <x v="134"/>
    <n v="25"/>
    <x v="3"/>
    <x v="0"/>
    <x v="2"/>
    <x v="4"/>
    <x v="6"/>
    <s v="Tablet"/>
    <n v="2"/>
    <n v="62340.2"/>
    <x v="38"/>
    <n v="85395.8"/>
    <n v="8409.34"/>
    <n v="66.81"/>
    <x v="4"/>
    <n v="4"/>
    <x v="0"/>
    <x v="0"/>
    <n v="6"/>
  </r>
  <r>
    <s v="ORD-04154"/>
    <d v="2024-12-09T00:00:00"/>
    <s v="CUST34894"/>
    <x v="14"/>
    <n v="18"/>
    <x v="3"/>
    <x v="1"/>
    <x v="3"/>
    <x v="15"/>
    <x v="2"/>
    <s v="Cook Book"/>
    <n v="2"/>
    <n v="1034.18"/>
    <x v="30"/>
    <n v="1184.8"/>
    <n v="369.59"/>
    <n v="65.48"/>
    <x v="3"/>
    <n v="5"/>
    <x v="0"/>
    <x v="0"/>
    <n v="3"/>
  </r>
  <r>
    <s v="ORD-01553"/>
    <d v="2021-11-28T00:00:00"/>
    <s v="CUST29230"/>
    <x v="136"/>
    <n v="23"/>
    <x v="3"/>
    <x v="2"/>
    <x v="2"/>
    <x v="9"/>
    <x v="1"/>
    <s v="Desk"/>
    <n v="10"/>
    <n v="20890.04"/>
    <x v="8"/>
    <n v="147207.49"/>
    <n v="44130.71"/>
    <n v="34.32"/>
    <x v="1"/>
    <n v="2"/>
    <x v="1"/>
    <x v="1"/>
    <n v="5"/>
  </r>
  <r>
    <s v="ORD-03982"/>
    <d v="2024-09-12T00:00:00"/>
    <s v="CUST97439"/>
    <x v="325"/>
    <n v="27"/>
    <x v="0"/>
    <x v="2"/>
    <x v="2"/>
    <x v="13"/>
    <x v="1"/>
    <s v="Wardrobe"/>
    <n v="8"/>
    <n v="12647.54"/>
    <x v="36"/>
    <n v="102341.78"/>
    <n v="35160.81"/>
    <n v="69.62"/>
    <x v="0"/>
    <n v="5"/>
    <x v="0"/>
    <x v="0"/>
    <n v="6"/>
  </r>
  <r>
    <s v="ORD-01754"/>
    <d v="2022-02-17T00:00:00"/>
    <s v="CUST11385"/>
    <x v="240"/>
    <n v="46"/>
    <x v="1"/>
    <x v="2"/>
    <x v="3"/>
    <x v="12"/>
    <x v="1"/>
    <s v="Desk"/>
    <n v="6"/>
    <n v="33082.65"/>
    <x v="35"/>
    <n v="130650.07"/>
    <n v="42902.13"/>
    <n v="79.09"/>
    <x v="5"/>
    <n v="4"/>
    <x v="0"/>
    <x v="0"/>
    <n v="8"/>
  </r>
  <r>
    <s v="ORD-01272"/>
    <d v="2021-07-28T00:00:00"/>
    <s v="CUST56172"/>
    <x v="330"/>
    <n v="20"/>
    <x v="3"/>
    <x v="0"/>
    <x v="3"/>
    <x v="12"/>
    <x v="0"/>
    <s v="Lipstick"/>
    <n v="2"/>
    <n v="1205.6199999999999"/>
    <x v="13"/>
    <n v="3688.61"/>
    <n v="769.98"/>
    <n v="93.43"/>
    <x v="3"/>
    <n v="3"/>
    <x v="0"/>
    <x v="0"/>
    <n v="1"/>
  </r>
  <r>
    <s v="ORD-01165"/>
    <d v="2021-06-06T00:00:00"/>
    <s v="CUST76012"/>
    <x v="292"/>
    <n v="40"/>
    <x v="1"/>
    <x v="1"/>
    <x v="1"/>
    <x v="6"/>
    <x v="4"/>
    <s v="Yoga Mat"/>
    <n v="4"/>
    <n v="3455.68"/>
    <x v="11"/>
    <n v="15734.44"/>
    <n v="3511.52"/>
    <n v="64.63"/>
    <x v="3"/>
    <n v="2"/>
    <x v="1"/>
    <x v="1"/>
    <n v="3"/>
  </r>
  <r>
    <s v="ORD-04000"/>
    <d v="2024-09-23T00:00:00"/>
    <s v="CUST53861"/>
    <x v="219"/>
    <n v="32"/>
    <x v="0"/>
    <x v="0"/>
    <x v="0"/>
    <x v="1"/>
    <x v="0"/>
    <s v="Shampoo"/>
    <n v="7"/>
    <n v="1954.05"/>
    <x v="33"/>
    <n v="15069.06"/>
    <n v="8691.86"/>
    <n v="65.77"/>
    <x v="2"/>
    <n v="4"/>
    <x v="1"/>
    <x v="1"/>
    <n v="6"/>
  </r>
  <r>
    <s v="ORD-00290"/>
    <d v="2020-05-08T00:00:00"/>
    <s v="CUST46482"/>
    <x v="25"/>
    <n v="18"/>
    <x v="3"/>
    <x v="0"/>
    <x v="3"/>
    <x v="15"/>
    <x v="2"/>
    <s v="Self-Help Book"/>
    <n v="9"/>
    <n v="290.75"/>
    <x v="12"/>
    <n v="2143.4"/>
    <n v="1071.82"/>
    <n v="60.62"/>
    <x v="1"/>
    <n v="3"/>
    <x v="1"/>
    <x v="1"/>
    <n v="7"/>
  </r>
  <r>
    <s v="ORD-02514"/>
    <d v="2022-12-28T00:00:00"/>
    <s v="CUST29286"/>
    <x v="121"/>
    <n v="29"/>
    <x v="0"/>
    <x v="0"/>
    <x v="1"/>
    <x v="10"/>
    <x v="0"/>
    <s v="Hair Oil"/>
    <n v="3"/>
    <n v="923.8"/>
    <x v="11"/>
    <n v="1516.74"/>
    <n v="651.79"/>
    <n v="46.67"/>
    <x v="0"/>
    <n v="5"/>
    <x v="0"/>
    <x v="0"/>
    <n v="2"/>
  </r>
  <r>
    <s v="ORD-02211"/>
    <d v="2022-08-23T00:00:00"/>
    <s v="CUST05906"/>
    <x v="227"/>
    <n v="24"/>
    <x v="3"/>
    <x v="0"/>
    <x v="1"/>
    <x v="11"/>
    <x v="2"/>
    <s v="Self-Help Book"/>
    <n v="6"/>
    <n v="1482.8"/>
    <x v="6"/>
    <n v="7222.87"/>
    <n v="1783.07"/>
    <n v="73.5"/>
    <x v="3"/>
    <n v="2"/>
    <x v="0"/>
    <x v="0"/>
    <n v="7"/>
  </r>
  <r>
    <s v="ORD-02526"/>
    <d v="2023-01-01T00:00:00"/>
    <s v="CUST11998"/>
    <x v="216"/>
    <n v="27"/>
    <x v="0"/>
    <x v="0"/>
    <x v="4"/>
    <x v="17"/>
    <x v="0"/>
    <s v="Shampoo"/>
    <n v="3"/>
    <n v="2229.56"/>
    <x v="8"/>
    <n v="6482.2"/>
    <n v="3230.67"/>
    <n v="58.93"/>
    <x v="3"/>
    <n v="4"/>
    <x v="0"/>
    <x v="3"/>
    <n v="3"/>
  </r>
  <r>
    <s v="ORD-02768"/>
    <d v="2023-04-13T00:00:00"/>
    <s v="CUST12098"/>
    <x v="392"/>
    <n v="18"/>
    <x v="3"/>
    <x v="2"/>
    <x v="1"/>
    <x v="3"/>
    <x v="0"/>
    <s v="Sunscreen"/>
    <n v="9"/>
    <n v="933.94"/>
    <x v="4"/>
    <n v="12188.95"/>
    <n v="5789.44"/>
    <n v="38.04"/>
    <x v="1"/>
    <n v="5"/>
    <x v="0"/>
    <x v="3"/>
    <n v="5"/>
  </r>
  <r>
    <s v="ORD-00904"/>
    <d v="2021-02-09T00:00:00"/>
    <s v="CUST76121"/>
    <x v="93"/>
    <n v="40"/>
    <x v="1"/>
    <x v="1"/>
    <x v="2"/>
    <x v="14"/>
    <x v="6"/>
    <s v="Smartwatch"/>
    <n v="4"/>
    <n v="27046.33"/>
    <x v="2"/>
    <n v="79234.600000000006"/>
    <n v="9558.56"/>
    <n v="39.92"/>
    <x v="3"/>
    <n v="3"/>
    <x v="0"/>
    <x v="0"/>
    <n v="6"/>
  </r>
  <r>
    <s v="ORD-00326"/>
    <d v="2020-05-22T00:00:00"/>
    <s v="CUST34992"/>
    <x v="217"/>
    <n v="42"/>
    <x v="1"/>
    <x v="0"/>
    <x v="3"/>
    <x v="15"/>
    <x v="6"/>
    <s v="Headphones"/>
    <n v="10"/>
    <n v="62652.160000000003"/>
    <x v="32"/>
    <n v="746724.9"/>
    <n v="76429.84"/>
    <n v="92.64"/>
    <x v="5"/>
    <n v="3"/>
    <x v="0"/>
    <x v="0"/>
    <n v="5"/>
  </r>
  <r>
    <s v="ORD-03852"/>
    <d v="2024-07-31T00:00:00"/>
    <s v="CUST08935"/>
    <x v="301"/>
    <n v="45"/>
    <x v="1"/>
    <x v="0"/>
    <x v="1"/>
    <x v="6"/>
    <x v="3"/>
    <s v="Jacket"/>
    <n v="6"/>
    <n v="1428.03"/>
    <x v="40"/>
    <n v="8541.8700000000008"/>
    <n v="3565.98"/>
    <n v="50.49"/>
    <x v="2"/>
    <n v="2"/>
    <x v="0"/>
    <x v="2"/>
    <n v="9"/>
  </r>
  <r>
    <s v="ORD-02852"/>
    <d v="2023-05-28T00:00:00"/>
    <s v="CUST37103"/>
    <x v="165"/>
    <n v="20"/>
    <x v="3"/>
    <x v="0"/>
    <x v="2"/>
    <x v="4"/>
    <x v="3"/>
    <s v="Jacket"/>
    <n v="3"/>
    <n v="484.17"/>
    <x v="37"/>
    <n v="1691.99"/>
    <n v="426.78"/>
    <n v="63.91"/>
    <x v="4"/>
    <n v="4"/>
    <x v="0"/>
    <x v="0"/>
    <n v="9"/>
  </r>
  <r>
    <s v="ORD-01854"/>
    <d v="2022-03-31T00:00:00"/>
    <s v="CUST02552"/>
    <x v="241"/>
    <n v="61"/>
    <x v="2"/>
    <x v="1"/>
    <x v="1"/>
    <x v="3"/>
    <x v="3"/>
    <s v="Kurta"/>
    <n v="6"/>
    <n v="2927.23"/>
    <x v="2"/>
    <n v="15014.03"/>
    <n v="6682.89"/>
    <n v="76.05"/>
    <x v="3"/>
    <n v="1"/>
    <x v="1"/>
    <x v="1"/>
    <n v="2"/>
  </r>
  <r>
    <s v="ORD-03556"/>
    <d v="2024-03-25T00:00:00"/>
    <s v="CUST47056"/>
    <x v="222"/>
    <n v="49"/>
    <x v="1"/>
    <x v="2"/>
    <x v="0"/>
    <x v="2"/>
    <x v="2"/>
    <s v="Cook Book"/>
    <n v="1"/>
    <n v="1034.06"/>
    <x v="39"/>
    <n v="1187.77"/>
    <n v="456.36"/>
    <n v="69.430000000000007"/>
    <x v="5"/>
    <n v="1"/>
    <x v="0"/>
    <x v="0"/>
    <n v="6"/>
  </r>
  <r>
    <s v="ORD-01650"/>
    <d v="2022-01-05T00:00:00"/>
    <s v="CUST51192"/>
    <x v="352"/>
    <n v="28"/>
    <x v="0"/>
    <x v="2"/>
    <x v="0"/>
    <x v="1"/>
    <x v="0"/>
    <s v="Face Cream"/>
    <n v="5"/>
    <n v="305.51"/>
    <x v="8"/>
    <n v="1323.32"/>
    <n v="396.56"/>
    <n v="77.17"/>
    <x v="4"/>
    <n v="1"/>
    <x v="0"/>
    <x v="0"/>
    <n v="4"/>
  </r>
  <r>
    <s v="ORD-00284"/>
    <d v="2020-05-06T00:00:00"/>
    <s v="CUST68796"/>
    <x v="174"/>
    <n v="37"/>
    <x v="1"/>
    <x v="2"/>
    <x v="1"/>
    <x v="3"/>
    <x v="5"/>
    <s v="Flour"/>
    <n v="2"/>
    <n v="54.6"/>
    <x v="14"/>
    <n v="80.84"/>
    <n v="6.89"/>
    <n v="42.28"/>
    <x v="2"/>
    <n v="4"/>
    <x v="0"/>
    <x v="0"/>
    <n v="3"/>
  </r>
  <r>
    <s v="ORD-00006"/>
    <d v="2020-01-02T00:00:00"/>
    <s v="CUST13639"/>
    <x v="79"/>
    <n v="50"/>
    <x v="1"/>
    <x v="2"/>
    <x v="2"/>
    <x v="13"/>
    <x v="5"/>
    <s v="Dal (1kg)"/>
    <n v="7"/>
    <n v="238.66"/>
    <x v="28"/>
    <n v="1361.86"/>
    <n v="110.98"/>
    <n v="46.42"/>
    <x v="0"/>
    <n v="4"/>
    <x v="0"/>
    <x v="0"/>
    <n v="2"/>
  </r>
  <r>
    <s v="ORD-02374"/>
    <d v="2022-10-23T00:00:00"/>
    <s v="CUST40049"/>
    <x v="303"/>
    <n v="50"/>
    <x v="1"/>
    <x v="2"/>
    <x v="2"/>
    <x v="4"/>
    <x v="1"/>
    <s v="Bed Frame"/>
    <n v="8"/>
    <n v="22347.78"/>
    <x v="10"/>
    <n v="121514.57"/>
    <n v="47789.83"/>
    <n v="10.59"/>
    <x v="0"/>
    <n v="1"/>
    <x v="0"/>
    <x v="0"/>
    <n v="4"/>
  </r>
  <r>
    <s v="ORD-01445"/>
    <d v="2021-10-15T00:00:00"/>
    <s v="CUST58478"/>
    <x v="78"/>
    <n v="38"/>
    <x v="1"/>
    <x v="1"/>
    <x v="0"/>
    <x v="1"/>
    <x v="0"/>
    <s v="Lipstick"/>
    <n v="8"/>
    <n v="1489.85"/>
    <x v="32"/>
    <n v="10449.86"/>
    <n v="3809.88"/>
    <n v="86.42"/>
    <x v="3"/>
    <n v="2"/>
    <x v="0"/>
    <x v="2"/>
    <n v="6"/>
  </r>
  <r>
    <s v="ORD-02660"/>
    <d v="2023-02-26T00:00:00"/>
    <s v="CUST97483"/>
    <x v="180"/>
    <n v="38"/>
    <x v="1"/>
    <x v="2"/>
    <x v="2"/>
    <x v="9"/>
    <x v="1"/>
    <s v="Chair"/>
    <n v="1"/>
    <n v="23555.64"/>
    <x v="32"/>
    <n v="22617.77"/>
    <n v="5562.38"/>
    <n v="65.5"/>
    <x v="4"/>
    <n v="1"/>
    <x v="0"/>
    <x v="0"/>
    <n v="10"/>
  </r>
  <r>
    <s v="ORD-04100"/>
    <d v="2024-11-15T00:00:00"/>
    <s v="CUST32922"/>
    <x v="221"/>
    <n v="38"/>
    <x v="1"/>
    <x v="1"/>
    <x v="2"/>
    <x v="14"/>
    <x v="5"/>
    <s v="Tea"/>
    <n v="4"/>
    <n v="328.95"/>
    <x v="0"/>
    <n v="1116.81"/>
    <n v="67.2"/>
    <n v="60.46"/>
    <x v="4"/>
    <n v="5"/>
    <x v="0"/>
    <x v="4"/>
    <n v="3"/>
  </r>
  <r>
    <s v="ORD-02017"/>
    <d v="2022-06-09T00:00:00"/>
    <s v="CUST95440"/>
    <x v="331"/>
    <n v="32"/>
    <x v="0"/>
    <x v="1"/>
    <x v="2"/>
    <x v="13"/>
    <x v="0"/>
    <s v="Shampoo"/>
    <n v="8"/>
    <n v="1772.53"/>
    <x v="12"/>
    <n v="15579.91"/>
    <n v="4615.51"/>
    <n v="68.180000000000007"/>
    <x v="1"/>
    <n v="1"/>
    <x v="1"/>
    <x v="1"/>
    <n v="3"/>
  </r>
  <r>
    <s v="ORD-01394"/>
    <d v="2021-09-20T00:00:00"/>
    <s v="CUST91444"/>
    <x v="366"/>
    <n v="46"/>
    <x v="1"/>
    <x v="0"/>
    <x v="1"/>
    <x v="11"/>
    <x v="6"/>
    <s v="Smartphone"/>
    <n v="7"/>
    <n v="38846.9"/>
    <x v="11"/>
    <n v="255205.65"/>
    <n v="39365.879999999997"/>
    <n v="50.81"/>
    <x v="5"/>
    <n v="4"/>
    <x v="0"/>
    <x v="0"/>
    <n v="10"/>
  </r>
  <r>
    <s v="ORD-00676"/>
    <d v="2020-11-02T00:00:00"/>
    <s v="CUST84441"/>
    <x v="24"/>
    <n v="35"/>
    <x v="0"/>
    <x v="1"/>
    <x v="3"/>
    <x v="16"/>
    <x v="6"/>
    <s v="Camera"/>
    <n v="2"/>
    <n v="41850.01"/>
    <x v="16"/>
    <n v="64764.78"/>
    <n v="8565.9"/>
    <n v="59.88"/>
    <x v="4"/>
    <n v="1"/>
    <x v="0"/>
    <x v="2"/>
    <n v="8"/>
  </r>
  <r>
    <s v="ORD-03500"/>
    <d v="2024-03-01T00:00:00"/>
    <s v="CUST22955"/>
    <x v="168"/>
    <n v="24"/>
    <x v="3"/>
    <x v="0"/>
    <x v="1"/>
    <x v="6"/>
    <x v="1"/>
    <s v="Bookshelf"/>
    <n v="5"/>
    <n v="25732.89"/>
    <x v="6"/>
    <n v="110264.78"/>
    <n v="26314.49"/>
    <n v="67.41"/>
    <x v="2"/>
    <n v="2"/>
    <x v="0"/>
    <x v="0"/>
    <n v="2"/>
  </r>
  <r>
    <s v="ORD-01294"/>
    <d v="2021-08-06T00:00:00"/>
    <s v="CUST87248"/>
    <x v="136"/>
    <n v="30"/>
    <x v="0"/>
    <x v="1"/>
    <x v="4"/>
    <x v="7"/>
    <x v="5"/>
    <s v="Rice (5kg)"/>
    <n v="8"/>
    <n v="278.20999999999998"/>
    <x v="3"/>
    <n v="2079.67"/>
    <n v="188.15"/>
    <n v="61.34"/>
    <x v="3"/>
    <n v="2"/>
    <x v="0"/>
    <x v="0"/>
    <n v="5"/>
  </r>
  <r>
    <s v="ORD-03319"/>
    <d v="2023-12-08T00:00:00"/>
    <s v="CUST70804"/>
    <x v="334"/>
    <n v="44"/>
    <x v="1"/>
    <x v="1"/>
    <x v="3"/>
    <x v="12"/>
    <x v="5"/>
    <s v="Flour"/>
    <n v="7"/>
    <n v="327.26"/>
    <x v="32"/>
    <n v="1655.16"/>
    <n v="157.97"/>
    <n v="83.19"/>
    <x v="5"/>
    <n v="1"/>
    <x v="0"/>
    <x v="0"/>
    <n v="2"/>
  </r>
  <r>
    <s v="ORD-01378"/>
    <d v="2021-09-15T00:00:00"/>
    <s v="CUST96105"/>
    <x v="97"/>
    <n v="25"/>
    <x v="3"/>
    <x v="0"/>
    <x v="2"/>
    <x v="9"/>
    <x v="1"/>
    <s v="Bookshelf"/>
    <n v="4"/>
    <n v="23015.5"/>
    <x v="19"/>
    <n v="103290.99"/>
    <n v="34267.22"/>
    <n v="28.42"/>
    <x v="4"/>
    <n v="1"/>
    <x v="1"/>
    <x v="1"/>
    <n v="10"/>
  </r>
  <r>
    <s v="ORD-01948"/>
    <d v="2022-05-10T00:00:00"/>
    <s v="CUST73300"/>
    <x v="297"/>
    <n v="22"/>
    <x v="3"/>
    <x v="2"/>
    <x v="0"/>
    <x v="1"/>
    <x v="1"/>
    <s v="Wardrobe"/>
    <n v="4"/>
    <n v="18771.18"/>
    <x v="9"/>
    <n v="90435.12"/>
    <n v="21095.21"/>
    <n v="68.930000000000007"/>
    <x v="5"/>
    <n v="5"/>
    <x v="0"/>
    <x v="0"/>
    <n v="1"/>
  </r>
  <r>
    <s v="ORD-01350"/>
    <d v="2021-08-31T00:00:00"/>
    <s v="CUST96166"/>
    <x v="121"/>
    <n v="41"/>
    <x v="1"/>
    <x v="2"/>
    <x v="2"/>
    <x v="4"/>
    <x v="2"/>
    <s v="Fiction Novel"/>
    <n v="2"/>
    <n v="1075.45"/>
    <x v="19"/>
    <n v="2282.66"/>
    <n v="949.67"/>
    <n v="47.1"/>
    <x v="4"/>
    <n v="2"/>
    <x v="0"/>
    <x v="0"/>
    <n v="6"/>
  </r>
  <r>
    <s v="ORD-03753"/>
    <d v="2024-06-23T00:00:00"/>
    <s v="CUST16098"/>
    <x v="83"/>
    <n v="41"/>
    <x v="1"/>
    <x v="2"/>
    <x v="4"/>
    <x v="17"/>
    <x v="2"/>
    <s v="Textbook"/>
    <n v="10"/>
    <n v="1271.1099999999999"/>
    <x v="27"/>
    <n v="14356.97"/>
    <n v="5996.1"/>
    <n v="47.57"/>
    <x v="5"/>
    <n v="5"/>
    <x v="0"/>
    <x v="0"/>
    <n v="1"/>
  </r>
  <r>
    <s v="ORD-00843"/>
    <d v="2021-01-20T00:00:00"/>
    <s v="CUST07824"/>
    <x v="223"/>
    <n v="20"/>
    <x v="3"/>
    <x v="2"/>
    <x v="0"/>
    <x v="1"/>
    <x v="1"/>
    <s v="Bookshelf"/>
    <n v="10"/>
    <n v="7217.24"/>
    <x v="14"/>
    <n v="38701.839999999997"/>
    <n v="9777.4500000000007"/>
    <n v="78.16"/>
    <x v="5"/>
    <n v="1"/>
    <x v="1"/>
    <x v="1"/>
    <n v="2"/>
  </r>
  <r>
    <s v="ORD-00071"/>
    <d v="2020-01-27T00:00:00"/>
    <s v="CUST06330"/>
    <x v="189"/>
    <n v="24"/>
    <x v="3"/>
    <x v="2"/>
    <x v="0"/>
    <x v="19"/>
    <x v="2"/>
    <s v="Biography"/>
    <n v="8"/>
    <n v="493.36"/>
    <x v="14"/>
    <n v="1942.7"/>
    <n v="742.64"/>
    <n v="52.85"/>
    <x v="3"/>
    <n v="4"/>
    <x v="0"/>
    <x v="0"/>
    <n v="6"/>
  </r>
  <r>
    <s v="ORD-00467"/>
    <d v="2020-07-25T00:00:00"/>
    <s v="CUST24562"/>
    <x v="208"/>
    <n v="23"/>
    <x v="3"/>
    <x v="0"/>
    <x v="2"/>
    <x v="13"/>
    <x v="5"/>
    <s v="Sugar"/>
    <n v="8"/>
    <n v="445.99"/>
    <x v="27"/>
    <n v="3881.14"/>
    <n v="281.89999999999998"/>
    <n v="72.48"/>
    <x v="0"/>
    <n v="2"/>
    <x v="0"/>
    <x v="0"/>
    <n v="9"/>
  </r>
  <r>
    <s v="ORD-00047"/>
    <d v="2020-01-19T00:00:00"/>
    <s v="CUST03104"/>
    <x v="53"/>
    <n v="33"/>
    <x v="0"/>
    <x v="2"/>
    <x v="4"/>
    <x v="17"/>
    <x v="4"/>
    <s v="Dumbbells"/>
    <n v="3"/>
    <n v="2208.38"/>
    <x v="4"/>
    <n v="5472.63"/>
    <n v="1191.19"/>
    <n v="87.33"/>
    <x v="5"/>
    <n v="2"/>
    <x v="0"/>
    <x v="0"/>
    <n v="5"/>
  </r>
  <r>
    <s v="ORD-01164"/>
    <d v="2021-06-05T00:00:00"/>
    <s v="CUST06311"/>
    <x v="13"/>
    <n v="26"/>
    <x v="0"/>
    <x v="1"/>
    <x v="3"/>
    <x v="12"/>
    <x v="0"/>
    <s v="Face Cream"/>
    <n v="5"/>
    <n v="1895.73"/>
    <x v="31"/>
    <n v="9954.8700000000008"/>
    <n v="5748.45"/>
    <n v="53.1"/>
    <x v="3"/>
    <n v="1"/>
    <x v="0"/>
    <x v="0"/>
    <n v="10"/>
  </r>
  <r>
    <s v="ORD-00398"/>
    <d v="2020-06-21T00:00:00"/>
    <s v="CUST35407"/>
    <x v="230"/>
    <n v="26"/>
    <x v="0"/>
    <x v="2"/>
    <x v="2"/>
    <x v="13"/>
    <x v="0"/>
    <s v="Perfume"/>
    <n v="9"/>
    <n v="137.31"/>
    <x v="27"/>
    <n v="1114.76"/>
    <n v="516.91999999999996"/>
    <n v="64.95"/>
    <x v="1"/>
    <n v="1"/>
    <x v="0"/>
    <x v="0"/>
    <n v="1"/>
  </r>
  <r>
    <s v="ORD-00785"/>
    <d v="2020-12-23T00:00:00"/>
    <s v="CUST18574"/>
    <x v="212"/>
    <n v="35"/>
    <x v="0"/>
    <x v="1"/>
    <x v="4"/>
    <x v="18"/>
    <x v="5"/>
    <s v="Tea"/>
    <n v="9"/>
    <n v="203.63"/>
    <x v="10"/>
    <n v="829.37"/>
    <n v="75.45"/>
    <n v="84.23"/>
    <x v="5"/>
    <n v="4"/>
    <x v="0"/>
    <x v="0"/>
    <n v="1"/>
  </r>
  <r>
    <s v="ORD-01564"/>
    <d v="2021-11-30T00:00:00"/>
    <s v="CUST24016"/>
    <x v="17"/>
    <n v="64"/>
    <x v="2"/>
    <x v="0"/>
    <x v="2"/>
    <x v="13"/>
    <x v="2"/>
    <s v="Textbook"/>
    <n v="5"/>
    <n v="625.59"/>
    <x v="4"/>
    <n v="2682.13"/>
    <n v="910.71"/>
    <n v="43.73"/>
    <x v="4"/>
    <n v="5"/>
    <x v="0"/>
    <x v="0"/>
    <n v="7"/>
  </r>
  <r>
    <s v="ORD-00702"/>
    <d v="2020-11-13T00:00:00"/>
    <s v="CUST28491"/>
    <x v="371"/>
    <n v="33"/>
    <x v="0"/>
    <x v="0"/>
    <x v="0"/>
    <x v="0"/>
    <x v="5"/>
    <s v="Rice (5kg)"/>
    <n v="7"/>
    <n v="359.06"/>
    <x v="4"/>
    <n v="1926.06"/>
    <n v="153.38"/>
    <n v="77.28"/>
    <x v="2"/>
    <n v="2"/>
    <x v="0"/>
    <x v="0"/>
    <n v="8"/>
  </r>
  <r>
    <s v="ORD-00423"/>
    <d v="2020-07-06T00:00:00"/>
    <s v="CUST04728"/>
    <x v="328"/>
    <n v="43"/>
    <x v="1"/>
    <x v="0"/>
    <x v="1"/>
    <x v="6"/>
    <x v="4"/>
    <s v="Football"/>
    <n v="3"/>
    <n v="11793.71"/>
    <x v="18"/>
    <n v="29262.31"/>
    <n v="6296.56"/>
    <n v="63.2"/>
    <x v="3"/>
    <n v="4"/>
    <x v="0"/>
    <x v="0"/>
    <n v="9"/>
  </r>
  <r>
    <s v="ORD-01176"/>
    <d v="2021-06-10T00:00:00"/>
    <s v="CUST37244"/>
    <x v="391"/>
    <n v="32"/>
    <x v="0"/>
    <x v="1"/>
    <x v="1"/>
    <x v="6"/>
    <x v="3"/>
    <s v="Saree"/>
    <n v="7"/>
    <n v="2184.88"/>
    <x v="31"/>
    <n v="20358.669999999998"/>
    <n v="4252.26"/>
    <n v="49.09"/>
    <x v="1"/>
    <n v="4"/>
    <x v="0"/>
    <x v="0"/>
    <n v="5"/>
  </r>
  <r>
    <s v="ORD-03897"/>
    <d v="2024-08-14T00:00:00"/>
    <s v="CUST40736"/>
    <x v="318"/>
    <n v="34"/>
    <x v="0"/>
    <x v="1"/>
    <x v="1"/>
    <x v="11"/>
    <x v="0"/>
    <s v="Sunscreen"/>
    <n v="3"/>
    <n v="720.8"/>
    <x v="27"/>
    <n v="2212.27"/>
    <n v="892.22"/>
    <n v="47.4"/>
    <x v="2"/>
    <n v="1"/>
    <x v="0"/>
    <x v="0"/>
    <n v="2"/>
  </r>
  <r>
    <s v="ORD-01695"/>
    <d v="2022-01-27T00:00:00"/>
    <s v="CUST18018"/>
    <x v="60"/>
    <n v="19"/>
    <x v="3"/>
    <x v="2"/>
    <x v="4"/>
    <x v="8"/>
    <x v="6"/>
    <s v="Smartwatch"/>
    <n v="6"/>
    <n v="20306.849999999999"/>
    <x v="21"/>
    <n v="67574.41"/>
    <n v="6252.6"/>
    <n v="80.91"/>
    <x v="2"/>
    <n v="5"/>
    <x v="0"/>
    <x v="0"/>
    <n v="6"/>
  </r>
  <r>
    <s v="ORD-00817"/>
    <d v="2021-01-09T00:00:00"/>
    <s v="CUST03410"/>
    <x v="81"/>
    <n v="42"/>
    <x v="1"/>
    <x v="2"/>
    <x v="2"/>
    <x v="9"/>
    <x v="6"/>
    <s v="Smartphone"/>
    <n v="10"/>
    <n v="55337.120000000003"/>
    <x v="27"/>
    <n v="299036.46000000002"/>
    <n v="36301.089999999997"/>
    <n v="63.2"/>
    <x v="4"/>
    <n v="2"/>
    <x v="1"/>
    <x v="1"/>
    <n v="10"/>
  </r>
  <r>
    <s v="ORD-00518"/>
    <d v="2020-08-18T00:00:00"/>
    <s v="CUST53973"/>
    <x v="97"/>
    <n v="22"/>
    <x v="3"/>
    <x v="0"/>
    <x v="3"/>
    <x v="5"/>
    <x v="2"/>
    <s v="Self-Help Book"/>
    <n v="10"/>
    <n v="1445"/>
    <x v="35"/>
    <n v="12763.71"/>
    <n v="3313.53"/>
    <n v="74.73"/>
    <x v="5"/>
    <n v="4"/>
    <x v="0"/>
    <x v="0"/>
    <n v="3"/>
  </r>
  <r>
    <s v="ORD-03809"/>
    <d v="2024-07-14T00:00:00"/>
    <s v="CUST76945"/>
    <x v="382"/>
    <n v="40"/>
    <x v="1"/>
    <x v="0"/>
    <x v="0"/>
    <x v="0"/>
    <x v="2"/>
    <s v="Comic Book"/>
    <n v="8"/>
    <n v="526.69000000000005"/>
    <x v="15"/>
    <n v="5310.11"/>
    <n v="1871.66"/>
    <n v="54.87"/>
    <x v="1"/>
    <n v="3"/>
    <x v="1"/>
    <x v="1"/>
    <n v="7"/>
  </r>
  <r>
    <s v="ORD-02109"/>
    <d v="2022-07-17T00:00:00"/>
    <s v="CUST39644"/>
    <x v="371"/>
    <n v="42"/>
    <x v="1"/>
    <x v="0"/>
    <x v="3"/>
    <x v="12"/>
    <x v="3"/>
    <s v="T-Shirt"/>
    <n v="7"/>
    <n v="2784.47"/>
    <x v="32"/>
    <n v="25867.22"/>
    <n v="7897.77"/>
    <n v="98.75"/>
    <x v="3"/>
    <n v="3"/>
    <x v="1"/>
    <x v="1"/>
    <n v="8"/>
  </r>
  <r>
    <s v="ORD-03291"/>
    <d v="2023-11-24T00:00:00"/>
    <s v="CUST41602"/>
    <x v="218"/>
    <n v="35"/>
    <x v="0"/>
    <x v="1"/>
    <x v="2"/>
    <x v="14"/>
    <x v="6"/>
    <s v="Laptop"/>
    <n v="4"/>
    <n v="61816.92"/>
    <x v="24"/>
    <n v="227231.35"/>
    <n v="30169.32"/>
    <n v="42.89"/>
    <x v="1"/>
    <n v="1"/>
    <x v="0"/>
    <x v="0"/>
    <n v="10"/>
  </r>
  <r>
    <s v="ORD-03608"/>
    <d v="2024-04-20T00:00:00"/>
    <s v="CUST01140"/>
    <x v="382"/>
    <n v="39"/>
    <x v="1"/>
    <x v="0"/>
    <x v="1"/>
    <x v="6"/>
    <x v="0"/>
    <s v="Perfume"/>
    <n v="8"/>
    <n v="722.26"/>
    <x v="30"/>
    <n v="6687.01"/>
    <n v="4477.03"/>
    <n v="42.31"/>
    <x v="5"/>
    <n v="3"/>
    <x v="1"/>
    <x v="1"/>
    <n v="1"/>
  </r>
  <r>
    <s v="ORD-02743"/>
    <d v="2023-04-01T00:00:00"/>
    <s v="CUST97838"/>
    <x v="340"/>
    <n v="28"/>
    <x v="0"/>
    <x v="1"/>
    <x v="3"/>
    <x v="15"/>
    <x v="3"/>
    <s v="Jacket"/>
    <n v="1"/>
    <n v="3896.79"/>
    <x v="21"/>
    <n v="3471.12"/>
    <n v="1531.25"/>
    <n v="72.56"/>
    <x v="2"/>
    <n v="5"/>
    <x v="0"/>
    <x v="0"/>
    <n v="5"/>
  </r>
  <r>
    <s v="ORD-02523"/>
    <d v="2022-12-31T00:00:00"/>
    <s v="CUST28943"/>
    <x v="298"/>
    <n v="26"/>
    <x v="0"/>
    <x v="2"/>
    <x v="0"/>
    <x v="19"/>
    <x v="2"/>
    <s v="Fiction Novel"/>
    <n v="6"/>
    <n v="1055.08"/>
    <x v="21"/>
    <n v="2966.43"/>
    <n v="1190.94"/>
    <n v="62.47"/>
    <x v="0"/>
    <n v="3"/>
    <x v="0"/>
    <x v="0"/>
    <n v="4"/>
  </r>
  <r>
    <s v="ORD-01598"/>
    <d v="2021-12-14T00:00:00"/>
    <s v="CUST10754"/>
    <x v="57"/>
    <n v="48"/>
    <x v="1"/>
    <x v="1"/>
    <x v="2"/>
    <x v="9"/>
    <x v="6"/>
    <s v="Camera"/>
    <n v="7"/>
    <n v="52086.42"/>
    <x v="24"/>
    <n v="273692"/>
    <n v="39729.58"/>
    <n v="59.26"/>
    <x v="0"/>
    <n v="5"/>
    <x v="1"/>
    <x v="1"/>
    <n v="3"/>
  </r>
  <r>
    <s v="ORD-01100"/>
    <d v="2021-05-11T00:00:00"/>
    <s v="CUST70498"/>
    <x v="339"/>
    <n v="23"/>
    <x v="3"/>
    <x v="2"/>
    <x v="3"/>
    <x v="15"/>
    <x v="5"/>
    <s v="Dal (1kg)"/>
    <n v="5"/>
    <n v="176.3"/>
    <x v="18"/>
    <n v="725.63"/>
    <n v="60.81"/>
    <n v="108.31"/>
    <x v="1"/>
    <n v="2"/>
    <x v="0"/>
    <x v="3"/>
    <n v="3"/>
  </r>
  <r>
    <s v="ORD-02084"/>
    <d v="2022-07-07T00:00:00"/>
    <s v="CUST67930"/>
    <x v="182"/>
    <n v="42"/>
    <x v="1"/>
    <x v="0"/>
    <x v="0"/>
    <x v="1"/>
    <x v="1"/>
    <s v="Bed Frame"/>
    <n v="6"/>
    <n v="4221.96"/>
    <x v="15"/>
    <n v="27887.17"/>
    <n v="11561.41"/>
    <n v="56.54"/>
    <x v="5"/>
    <n v="2"/>
    <x v="0"/>
    <x v="0"/>
    <n v="5"/>
  </r>
  <r>
    <s v="ORD-02407"/>
    <d v="2022-11-06T00:00:00"/>
    <s v="CUST82035"/>
    <x v="286"/>
    <n v="66"/>
    <x v="2"/>
    <x v="0"/>
    <x v="0"/>
    <x v="1"/>
    <x v="6"/>
    <s v="Tablet"/>
    <n v="4"/>
    <n v="23321.4"/>
    <x v="21"/>
    <n v="50337.85"/>
    <n v="8865.89"/>
    <n v="72.319999999999993"/>
    <x v="0"/>
    <n v="1"/>
    <x v="1"/>
    <x v="1"/>
    <n v="7"/>
  </r>
  <r>
    <s v="ORD-01459"/>
    <d v="2021-10-22T00:00:00"/>
    <s v="CUST85012"/>
    <x v="80"/>
    <n v="30"/>
    <x v="0"/>
    <x v="1"/>
    <x v="0"/>
    <x v="2"/>
    <x v="2"/>
    <s v="Self-Help Book"/>
    <n v="9"/>
    <n v="601.66"/>
    <x v="8"/>
    <n v="5277.72"/>
    <n v="1862.14"/>
    <n v="59.96"/>
    <x v="0"/>
    <n v="2"/>
    <x v="1"/>
    <x v="1"/>
    <n v="1"/>
  </r>
  <r>
    <s v="ORD-01379"/>
    <d v="2021-09-15T00:00:00"/>
    <s v="CUST23044"/>
    <x v="166"/>
    <n v="48"/>
    <x v="1"/>
    <x v="2"/>
    <x v="4"/>
    <x v="7"/>
    <x v="5"/>
    <s v="Cooking Oil"/>
    <n v="8"/>
    <n v="378.17"/>
    <x v="33"/>
    <n v="2714.36"/>
    <n v="171.58"/>
    <n v="53.04"/>
    <x v="0"/>
    <n v="2"/>
    <x v="0"/>
    <x v="0"/>
    <n v="7"/>
  </r>
  <r>
    <s v="ORD-03272"/>
    <d v="2023-11-15T00:00:00"/>
    <s v="CUST57589"/>
    <x v="32"/>
    <n v="35"/>
    <x v="0"/>
    <x v="1"/>
    <x v="0"/>
    <x v="0"/>
    <x v="4"/>
    <s v="Cricket Bat"/>
    <n v="10"/>
    <n v="4317.8100000000004"/>
    <x v="33"/>
    <n v="32059.7"/>
    <n v="7938.01"/>
    <n v="65.95"/>
    <x v="2"/>
    <n v="3"/>
    <x v="0"/>
    <x v="3"/>
    <n v="3"/>
  </r>
  <r>
    <s v="ORD-00989"/>
    <d v="2021-03-27T00:00:00"/>
    <s v="CUST63010"/>
    <x v="229"/>
    <n v="34"/>
    <x v="0"/>
    <x v="0"/>
    <x v="0"/>
    <x v="2"/>
    <x v="4"/>
    <s v="Yoga Mat"/>
    <n v="6"/>
    <n v="4757.97"/>
    <x v="40"/>
    <n v="16398.86"/>
    <n v="4630.17"/>
    <n v="69.73"/>
    <x v="2"/>
    <n v="1"/>
    <x v="0"/>
    <x v="0"/>
    <n v="6"/>
  </r>
  <r>
    <s v="ORD-01118"/>
    <d v="2021-05-18T00:00:00"/>
    <s v="CUST77399"/>
    <x v="227"/>
    <n v="59"/>
    <x v="2"/>
    <x v="1"/>
    <x v="4"/>
    <x v="17"/>
    <x v="5"/>
    <s v="Rice (5kg)"/>
    <n v="4"/>
    <n v="346.05"/>
    <x v="5"/>
    <n v="1943.15"/>
    <n v="156.61000000000001"/>
    <n v="48.59"/>
    <x v="4"/>
    <n v="4"/>
    <x v="0"/>
    <x v="0"/>
    <n v="10"/>
  </r>
  <r>
    <s v="ORD-02078"/>
    <d v="2022-07-05T00:00:00"/>
    <s v="CUST50258"/>
    <x v="186"/>
    <n v="32"/>
    <x v="0"/>
    <x v="1"/>
    <x v="2"/>
    <x v="4"/>
    <x v="2"/>
    <s v="Comic Book"/>
    <n v="4"/>
    <n v="407.5"/>
    <x v="11"/>
    <n v="1683.33"/>
    <n v="655.53"/>
    <n v="64"/>
    <x v="5"/>
    <n v="2"/>
    <x v="0"/>
    <x v="0"/>
    <n v="8"/>
  </r>
  <r>
    <s v="ORD-01484"/>
    <d v="2021-10-28T00:00:00"/>
    <s v="CUST77114"/>
    <x v="218"/>
    <n v="49"/>
    <x v="1"/>
    <x v="1"/>
    <x v="2"/>
    <x v="4"/>
    <x v="0"/>
    <s v="Face Cream"/>
    <n v="1"/>
    <n v="2097.9"/>
    <x v="39"/>
    <n v="1753.48"/>
    <n v="591.99"/>
    <n v="41.06"/>
    <x v="1"/>
    <n v="5"/>
    <x v="0"/>
    <x v="0"/>
    <n v="4"/>
  </r>
  <r>
    <s v="ORD-03615"/>
    <d v="2024-04-22T00:00:00"/>
    <s v="CUST74717"/>
    <x v="351"/>
    <n v="34"/>
    <x v="0"/>
    <x v="1"/>
    <x v="1"/>
    <x v="6"/>
    <x v="2"/>
    <s v="Fiction Novel"/>
    <n v="2"/>
    <n v="1290.19"/>
    <x v="38"/>
    <n v="3480.18"/>
    <n v="1141.8800000000001"/>
    <n v="63.68"/>
    <x v="0"/>
    <n v="1"/>
    <x v="0"/>
    <x v="0"/>
    <n v="6"/>
  </r>
  <r>
    <s v="ORD-03763"/>
    <d v="2024-06-26T00:00:00"/>
    <s v="CUST66505"/>
    <x v="155"/>
    <n v="49"/>
    <x v="1"/>
    <x v="0"/>
    <x v="1"/>
    <x v="10"/>
    <x v="4"/>
    <s v="Cricket Bat"/>
    <n v="3"/>
    <n v="10144.06"/>
    <x v="4"/>
    <n v="54236.12"/>
    <n v="10158.299999999999"/>
    <n v="72.680000000000007"/>
    <x v="0"/>
    <n v="1"/>
    <x v="1"/>
    <x v="1"/>
    <n v="1"/>
  </r>
  <r>
    <s v="ORD-00344"/>
    <d v="2020-05-28T00:00:00"/>
    <s v="CUST09269"/>
    <x v="36"/>
    <n v="40"/>
    <x v="1"/>
    <x v="2"/>
    <x v="0"/>
    <x v="19"/>
    <x v="5"/>
    <s v="Sugar"/>
    <n v="5"/>
    <n v="447.63"/>
    <x v="25"/>
    <n v="1817.68"/>
    <n v="140.38"/>
    <n v="65.87"/>
    <x v="2"/>
    <n v="1"/>
    <x v="0"/>
    <x v="2"/>
    <n v="10"/>
  </r>
  <r>
    <s v="ORD-00008"/>
    <d v="2020-01-02T00:00:00"/>
    <s v="CUST27101"/>
    <x v="36"/>
    <n v="45"/>
    <x v="1"/>
    <x v="0"/>
    <x v="3"/>
    <x v="5"/>
    <x v="2"/>
    <s v="Cook Book"/>
    <n v="2"/>
    <n v="435.28"/>
    <x v="18"/>
    <n v="400.93"/>
    <n v="152.9"/>
    <n v="54.81"/>
    <x v="2"/>
    <n v="2"/>
    <x v="0"/>
    <x v="2"/>
    <n v="9"/>
  </r>
  <r>
    <s v="ORD-00760"/>
    <d v="2020-12-11T00:00:00"/>
    <s v="CUST23262"/>
    <x v="139"/>
    <n v="32"/>
    <x v="0"/>
    <x v="2"/>
    <x v="2"/>
    <x v="9"/>
    <x v="1"/>
    <s v="Bookshelf"/>
    <n v="6"/>
    <n v="18877.52"/>
    <x v="10"/>
    <n v="62077.82"/>
    <n v="21779.26"/>
    <n v="27.92"/>
    <x v="0"/>
    <n v="5"/>
    <x v="0"/>
    <x v="0"/>
    <n v="6"/>
  </r>
  <r>
    <s v="ORD-02062"/>
    <d v="2022-06-28T00:00:00"/>
    <s v="CUST44853"/>
    <x v="4"/>
    <n v="27"/>
    <x v="0"/>
    <x v="2"/>
    <x v="1"/>
    <x v="6"/>
    <x v="5"/>
    <s v="Rice (5kg)"/>
    <n v="1"/>
    <n v="197.09"/>
    <x v="18"/>
    <n v="204.25"/>
    <n v="20.87"/>
    <n v="46.31"/>
    <x v="0"/>
    <n v="1"/>
    <x v="0"/>
    <x v="3"/>
    <n v="5"/>
  </r>
  <r>
    <s v="ORD-03834"/>
    <d v="2024-07-24T00:00:00"/>
    <s v="CUST62488"/>
    <x v="10"/>
    <n v="31"/>
    <x v="0"/>
    <x v="1"/>
    <x v="3"/>
    <x v="16"/>
    <x v="5"/>
    <s v="Sugar"/>
    <n v="5"/>
    <n v="335.32"/>
    <x v="30"/>
    <n v="1937.67"/>
    <n v="171.12"/>
    <n v="88.98"/>
    <x v="2"/>
    <n v="1"/>
    <x v="1"/>
    <x v="1"/>
    <n v="2"/>
  </r>
  <r>
    <s v="ORD-02158"/>
    <d v="2022-08-04T00:00:00"/>
    <s v="CUST11487"/>
    <x v="261"/>
    <n v="39"/>
    <x v="1"/>
    <x v="0"/>
    <x v="4"/>
    <x v="17"/>
    <x v="5"/>
    <s v="Tea"/>
    <n v="2"/>
    <n v="287.45999999999998"/>
    <x v="9"/>
    <n v="696.47"/>
    <n v="45.33"/>
    <n v="63.51"/>
    <x v="4"/>
    <n v="2"/>
    <x v="0"/>
    <x v="2"/>
    <n v="4"/>
  </r>
  <r>
    <s v="ORD-01449"/>
    <d v="2021-10-17T00:00:00"/>
    <s v="CUST79698"/>
    <x v="48"/>
    <n v="49"/>
    <x v="1"/>
    <x v="1"/>
    <x v="1"/>
    <x v="6"/>
    <x v="4"/>
    <s v="Tennis Racket"/>
    <n v="4"/>
    <n v="11988.33"/>
    <x v="6"/>
    <n v="30419.46"/>
    <n v="3508.41"/>
    <n v="63.72"/>
    <x v="4"/>
    <n v="2"/>
    <x v="0"/>
    <x v="0"/>
    <n v="5"/>
  </r>
  <r>
    <s v="ORD-01097"/>
    <d v="2021-05-11T00:00:00"/>
    <s v="CUST63448"/>
    <x v="170"/>
    <n v="48"/>
    <x v="1"/>
    <x v="2"/>
    <x v="0"/>
    <x v="1"/>
    <x v="1"/>
    <s v="Chair"/>
    <n v="7"/>
    <n v="30335.68"/>
    <x v="37"/>
    <n v="202427.42"/>
    <n v="47519.09"/>
    <n v="63.26"/>
    <x v="2"/>
    <n v="5"/>
    <x v="0"/>
    <x v="4"/>
    <n v="6"/>
  </r>
  <r>
    <s v="ORD-00055"/>
    <d v="2020-01-21T00:00:00"/>
    <s v="CUST98423"/>
    <x v="289"/>
    <n v="37"/>
    <x v="1"/>
    <x v="1"/>
    <x v="3"/>
    <x v="12"/>
    <x v="5"/>
    <s v="Flour"/>
    <n v="2"/>
    <n v="61.44"/>
    <x v="9"/>
    <n v="83.9"/>
    <n v="6.89"/>
    <n v="72.83"/>
    <x v="4"/>
    <n v="2"/>
    <x v="0"/>
    <x v="0"/>
    <n v="1"/>
  </r>
  <r>
    <s v="ORD-04044"/>
    <d v="2024-10-21T00:00:00"/>
    <s v="CUST43452"/>
    <x v="87"/>
    <n v="46"/>
    <x v="1"/>
    <x v="2"/>
    <x v="4"/>
    <x v="8"/>
    <x v="0"/>
    <s v="Sunscreen"/>
    <n v="1"/>
    <n v="882.32"/>
    <x v="15"/>
    <n v="860.81"/>
    <n v="531.17999999999995"/>
    <n v="92.13"/>
    <x v="5"/>
    <n v="5"/>
    <x v="0"/>
    <x v="2"/>
    <n v="4"/>
  </r>
  <r>
    <s v="ORD-03362"/>
    <d v="2023-12-26T00:00:00"/>
    <s v="CUST63701"/>
    <x v="271"/>
    <n v="31"/>
    <x v="0"/>
    <x v="2"/>
    <x v="2"/>
    <x v="4"/>
    <x v="3"/>
    <s v="Jeans"/>
    <n v="8"/>
    <n v="3109.43"/>
    <x v="14"/>
    <n v="13768.79"/>
    <n v="4682.29"/>
    <n v="78.430000000000007"/>
    <x v="4"/>
    <n v="2"/>
    <x v="0"/>
    <x v="0"/>
    <n v="1"/>
  </r>
  <r>
    <s v="ORD-02764"/>
    <d v="2023-04-11T00:00:00"/>
    <s v="CUST82237"/>
    <x v="218"/>
    <n v="36"/>
    <x v="1"/>
    <x v="1"/>
    <x v="1"/>
    <x v="10"/>
    <x v="0"/>
    <s v="Sunscreen"/>
    <n v="9"/>
    <n v="1168.75"/>
    <x v="3"/>
    <n v="10719.06"/>
    <n v="3312.86"/>
    <n v="24.91"/>
    <x v="3"/>
    <n v="1"/>
    <x v="0"/>
    <x v="0"/>
    <n v="6"/>
  </r>
  <r>
    <s v="ORD-01946"/>
    <d v="2022-05-09T00:00:00"/>
    <s v="CUST58038"/>
    <x v="395"/>
    <n v="43"/>
    <x v="1"/>
    <x v="1"/>
    <x v="0"/>
    <x v="19"/>
    <x v="5"/>
    <s v="Rice (5kg)"/>
    <n v="10"/>
    <n v="378.93"/>
    <x v="21"/>
    <n v="3399.01"/>
    <n v="209.1"/>
    <n v="60.05"/>
    <x v="3"/>
    <n v="1"/>
    <x v="0"/>
    <x v="0"/>
    <n v="1"/>
  </r>
  <r>
    <s v="ORD-03870"/>
    <d v="2024-06-08T00:00:00"/>
    <s v="CUST69875"/>
    <x v="76"/>
    <n v="43"/>
    <x v="1"/>
    <x v="0"/>
    <x v="1"/>
    <x v="6"/>
    <x v="3"/>
    <s v="Dress"/>
    <n v="3"/>
    <n v="1773.46"/>
    <x v="34"/>
    <n v="5117.18"/>
    <n v="1728.27"/>
    <n v="68.900000000000006"/>
    <x v="4"/>
    <n v="4"/>
    <x v="0"/>
    <x v="2"/>
    <n v="3"/>
  </r>
  <r>
    <s v="ORD-01052"/>
    <d v="2021-04-20T00:00:00"/>
    <s v="CUST46428"/>
    <x v="274"/>
    <n v="20"/>
    <x v="3"/>
    <x v="0"/>
    <x v="2"/>
    <x v="9"/>
    <x v="6"/>
    <s v="Camera"/>
    <n v="8"/>
    <n v="37212.54"/>
    <x v="0"/>
    <n v="289349.90999999997"/>
    <n v="22436.74"/>
    <n v="59.69"/>
    <x v="1"/>
    <n v="1"/>
    <x v="0"/>
    <x v="0"/>
    <n v="9"/>
  </r>
  <r>
    <s v="ORD-03411"/>
    <d v="2024-01-18T00:00:00"/>
    <s v="CUST62485"/>
    <x v="117"/>
    <n v="29"/>
    <x v="0"/>
    <x v="1"/>
    <x v="3"/>
    <x v="5"/>
    <x v="5"/>
    <s v="Flour"/>
    <n v="3"/>
    <n v="472.46"/>
    <x v="22"/>
    <n v="844.99"/>
    <n v="75.78"/>
    <n v="90.06"/>
    <x v="3"/>
    <n v="2"/>
    <x v="0"/>
    <x v="2"/>
    <n v="9"/>
  </r>
  <r>
    <s v="ORD-02279"/>
    <d v="2022-09-16T00:00:00"/>
    <s v="CUST11155"/>
    <x v="55"/>
    <n v="52"/>
    <x v="2"/>
    <x v="2"/>
    <x v="0"/>
    <x v="0"/>
    <x v="6"/>
    <s v="Laptop"/>
    <n v="6"/>
    <n v="13712.65"/>
    <x v="11"/>
    <n v="88050.54"/>
    <n v="10911.94"/>
    <n v="44.8"/>
    <x v="0"/>
    <n v="2"/>
    <x v="0"/>
    <x v="0"/>
    <n v="5"/>
  </r>
  <r>
    <s v="ORD-02655"/>
    <d v="2023-02-24T00:00:00"/>
    <s v="CUST25325"/>
    <x v="351"/>
    <n v="34"/>
    <x v="0"/>
    <x v="0"/>
    <x v="1"/>
    <x v="10"/>
    <x v="2"/>
    <s v="Fiction Novel"/>
    <n v="10"/>
    <n v="890.58"/>
    <x v="28"/>
    <n v="9308.3700000000008"/>
    <n v="3442.31"/>
    <n v="77.84"/>
    <x v="4"/>
    <n v="1"/>
    <x v="0"/>
    <x v="0"/>
    <n v="4"/>
  </r>
  <r>
    <s v="ORD-02464"/>
    <d v="2022-12-05T00:00:00"/>
    <s v="CUST86293"/>
    <x v="15"/>
    <n v="28"/>
    <x v="0"/>
    <x v="0"/>
    <x v="4"/>
    <x v="8"/>
    <x v="1"/>
    <s v="Bed Frame"/>
    <n v="1"/>
    <n v="21880.63"/>
    <x v="19"/>
    <n v="15482.78"/>
    <n v="4167.88"/>
    <n v="65.81"/>
    <x v="0"/>
    <n v="5"/>
    <x v="0"/>
    <x v="0"/>
    <n v="7"/>
  </r>
  <r>
    <s v="ORD-03125"/>
    <d v="2023-09-11T00:00:00"/>
    <s v="CUST63392"/>
    <x v="304"/>
    <n v="49"/>
    <x v="1"/>
    <x v="1"/>
    <x v="1"/>
    <x v="6"/>
    <x v="4"/>
    <s v="Yoga Mat"/>
    <n v="8"/>
    <n v="7594.18"/>
    <x v="29"/>
    <n v="73152.899999999994"/>
    <n v="14737.07"/>
    <n v="75.23"/>
    <x v="5"/>
    <n v="3"/>
    <x v="0"/>
    <x v="0"/>
    <n v="10"/>
  </r>
  <r>
    <s v="ORD-02541"/>
    <d v="2023-01-09T00:00:00"/>
    <s v="CUST26316"/>
    <x v="146"/>
    <n v="24"/>
    <x v="3"/>
    <x v="1"/>
    <x v="4"/>
    <x v="18"/>
    <x v="2"/>
    <s v="Textbook"/>
    <n v="2"/>
    <n v="1431.03"/>
    <x v="27"/>
    <n v="1789.46"/>
    <n v="945.9"/>
    <n v="64.39"/>
    <x v="0"/>
    <n v="2"/>
    <x v="0"/>
    <x v="4"/>
    <n v="1"/>
  </r>
  <r>
    <s v="ORD-02857"/>
    <d v="2023-05-28T00:00:00"/>
    <s v="CUST81300"/>
    <x v="206"/>
    <n v="27"/>
    <x v="0"/>
    <x v="1"/>
    <x v="1"/>
    <x v="3"/>
    <x v="6"/>
    <s v="Smartphone"/>
    <n v="2"/>
    <n v="16666.39"/>
    <x v="8"/>
    <n v="45521.34"/>
    <n v="6476.79"/>
    <n v="54.21"/>
    <x v="4"/>
    <n v="1"/>
    <x v="0"/>
    <x v="0"/>
    <n v="8"/>
  </r>
  <r>
    <s v="ORD-01648"/>
    <d v="2022-01-05T00:00:00"/>
    <s v="CUST42883"/>
    <x v="103"/>
    <n v="32"/>
    <x v="0"/>
    <x v="0"/>
    <x v="2"/>
    <x v="4"/>
    <x v="3"/>
    <s v="Saree"/>
    <n v="7"/>
    <n v="3381.19"/>
    <x v="40"/>
    <n v="11933.01"/>
    <n v="3903.15"/>
    <n v="52.43"/>
    <x v="1"/>
    <n v="3"/>
    <x v="1"/>
    <x v="1"/>
    <n v="4"/>
  </r>
  <r>
    <s v="ORD-00882"/>
    <d v="2021-02-02T00:00:00"/>
    <s v="CUST46121"/>
    <x v="4"/>
    <n v="41"/>
    <x v="1"/>
    <x v="2"/>
    <x v="2"/>
    <x v="4"/>
    <x v="1"/>
    <s v="Bed Frame"/>
    <n v="10"/>
    <n v="21056.57"/>
    <x v="27"/>
    <n v="131205.97"/>
    <n v="31712.53"/>
    <n v="53.62"/>
    <x v="3"/>
    <n v="2"/>
    <x v="1"/>
    <x v="1"/>
    <n v="10"/>
  </r>
  <r>
    <s v="ORD-01611"/>
    <d v="2021-12-21T00:00:00"/>
    <s v="CUST14221"/>
    <x v="207"/>
    <n v="51"/>
    <x v="2"/>
    <x v="1"/>
    <x v="0"/>
    <x v="2"/>
    <x v="2"/>
    <s v="Textbook"/>
    <n v="10"/>
    <n v="1181.99"/>
    <x v="5"/>
    <n v="8278.99"/>
    <n v="3933.86"/>
    <n v="52.54"/>
    <x v="0"/>
    <n v="5"/>
    <x v="1"/>
    <x v="1"/>
    <n v="10"/>
  </r>
  <r>
    <s v="ORD-03545"/>
    <d v="2024-03-20T00:00:00"/>
    <s v="CUST48258"/>
    <x v="374"/>
    <n v="41"/>
    <x v="1"/>
    <x v="2"/>
    <x v="4"/>
    <x v="17"/>
    <x v="5"/>
    <s v="Cooking Oil"/>
    <n v="7"/>
    <n v="439.78"/>
    <x v="38"/>
    <n v="3962.93"/>
    <n v="320.83"/>
    <n v="64"/>
    <x v="4"/>
    <n v="1"/>
    <x v="0"/>
    <x v="4"/>
    <n v="9"/>
  </r>
  <r>
    <s v="ORD-02012"/>
    <d v="2022-06-06T00:00:00"/>
    <s v="CUST50838"/>
    <x v="95"/>
    <n v="35"/>
    <x v="0"/>
    <x v="0"/>
    <x v="2"/>
    <x v="4"/>
    <x v="0"/>
    <s v="Hair Oil"/>
    <n v="3"/>
    <n v="151.66"/>
    <x v="12"/>
    <n v="490.46"/>
    <n v="194.08"/>
    <n v="50.29"/>
    <x v="4"/>
    <n v="3"/>
    <x v="0"/>
    <x v="0"/>
    <n v="1"/>
  </r>
  <r>
    <s v="ORD-00376"/>
    <d v="2020-06-09T00:00:00"/>
    <s v="CUST08639"/>
    <x v="15"/>
    <n v="43"/>
    <x v="1"/>
    <x v="2"/>
    <x v="0"/>
    <x v="0"/>
    <x v="4"/>
    <s v="Dumbbells"/>
    <n v="10"/>
    <n v="7388.77"/>
    <x v="34"/>
    <n v="67368.649999999994"/>
    <n v="7907.83"/>
    <n v="79.13"/>
    <x v="3"/>
    <n v="2"/>
    <x v="1"/>
    <x v="1"/>
    <n v="2"/>
  </r>
  <r>
    <s v="ORD-01802"/>
    <d v="2022-03-08T00:00:00"/>
    <s v="CUST29312"/>
    <x v="161"/>
    <n v="35"/>
    <x v="0"/>
    <x v="1"/>
    <x v="3"/>
    <x v="16"/>
    <x v="0"/>
    <s v="Hair Oil"/>
    <n v="1"/>
    <n v="2317.4899999999998"/>
    <x v="9"/>
    <n v="2469.09"/>
    <n v="1307.3699999999999"/>
    <n v="92.14"/>
    <x v="3"/>
    <n v="4"/>
    <x v="0"/>
    <x v="0"/>
    <n v="4"/>
  </r>
  <r>
    <s v="ORD-04040"/>
    <d v="2024-10-19T00:00:00"/>
    <s v="CUST65904"/>
    <x v="399"/>
    <n v="24"/>
    <x v="3"/>
    <x v="2"/>
    <x v="1"/>
    <x v="6"/>
    <x v="0"/>
    <s v="Face Cream"/>
    <n v="1"/>
    <n v="1189.68"/>
    <x v="22"/>
    <n v="883.05"/>
    <n v="476.12"/>
    <n v="61.72"/>
    <x v="4"/>
    <n v="3"/>
    <x v="0"/>
    <x v="0"/>
    <n v="7"/>
  </r>
  <r>
    <s v="ORD-01337"/>
    <d v="2021-08-24T00:00:00"/>
    <s v="CUST96224"/>
    <x v="120"/>
    <n v="42"/>
    <x v="1"/>
    <x v="0"/>
    <x v="3"/>
    <x v="12"/>
    <x v="0"/>
    <s v="Shampoo"/>
    <n v="6"/>
    <n v="1830.42"/>
    <x v="22"/>
    <n v="8090.67"/>
    <n v="3889.27"/>
    <n v="89.06"/>
    <x v="1"/>
    <n v="5"/>
    <x v="0"/>
    <x v="4"/>
    <n v="7"/>
  </r>
  <r>
    <s v="ORD-02032"/>
    <d v="2022-06-14T00:00:00"/>
    <s v="CUST87100"/>
    <x v="287"/>
    <n v="31"/>
    <x v="0"/>
    <x v="2"/>
    <x v="2"/>
    <x v="13"/>
    <x v="4"/>
    <s v="Dumbbells"/>
    <n v="1"/>
    <n v="9438.7900000000009"/>
    <x v="29"/>
    <n v="12679.99"/>
    <n v="2911.92"/>
    <n v="48.64"/>
    <x v="5"/>
    <n v="3"/>
    <x v="0"/>
    <x v="0"/>
    <n v="8"/>
  </r>
  <r>
    <s v="ORD-01663"/>
    <d v="2022-01-12T00:00:00"/>
    <s v="CUST47721"/>
    <x v="204"/>
    <n v="47"/>
    <x v="1"/>
    <x v="0"/>
    <x v="2"/>
    <x v="9"/>
    <x v="0"/>
    <s v="Face Cream"/>
    <n v="7"/>
    <n v="183.5"/>
    <x v="29"/>
    <n v="941.96"/>
    <n v="329.15"/>
    <n v="81.3"/>
    <x v="2"/>
    <n v="5"/>
    <x v="0"/>
    <x v="0"/>
    <n v="7"/>
  </r>
  <r>
    <s v="ORD-04032"/>
    <d v="2024-10-16T00:00:00"/>
    <s v="CUST20384"/>
    <x v="136"/>
    <n v="34"/>
    <x v="0"/>
    <x v="0"/>
    <x v="0"/>
    <x v="0"/>
    <x v="0"/>
    <s v="Hair Oil"/>
    <n v="8"/>
    <n v="1325.92"/>
    <x v="21"/>
    <n v="7101.14"/>
    <n v="3668.15"/>
    <n v="75.44"/>
    <x v="3"/>
    <n v="2"/>
    <x v="0"/>
    <x v="0"/>
    <n v="10"/>
  </r>
  <r>
    <s v="ORD-00065"/>
    <d v="2020-01-24T00:00:00"/>
    <s v="CUST46511"/>
    <x v="31"/>
    <n v="38"/>
    <x v="1"/>
    <x v="0"/>
    <x v="1"/>
    <x v="3"/>
    <x v="4"/>
    <s v="Tennis Racket"/>
    <n v="7"/>
    <n v="11809.1"/>
    <x v="6"/>
    <n v="39451.25"/>
    <n v="8489.59"/>
    <n v="52.58"/>
    <x v="4"/>
    <n v="1"/>
    <x v="1"/>
    <x v="1"/>
    <n v="5"/>
  </r>
  <r>
    <s v="ORD-01211"/>
    <d v="2021-06-30T00:00:00"/>
    <s v="CUST89209"/>
    <x v="299"/>
    <n v="55"/>
    <x v="2"/>
    <x v="2"/>
    <x v="0"/>
    <x v="0"/>
    <x v="5"/>
    <s v="Dal (1kg)"/>
    <n v="1"/>
    <n v="92.07"/>
    <x v="27"/>
    <n v="92.74"/>
    <n v="5.66"/>
    <n v="66.61"/>
    <x v="4"/>
    <n v="4"/>
    <x v="1"/>
    <x v="1"/>
    <n v="4"/>
  </r>
  <r>
    <s v="ORD-04028"/>
    <d v="2024-10-14T00:00:00"/>
    <s v="CUST55623"/>
    <x v="328"/>
    <n v="72"/>
    <x v="2"/>
    <x v="0"/>
    <x v="1"/>
    <x v="11"/>
    <x v="2"/>
    <s v="Biography"/>
    <n v="8"/>
    <n v="953.45"/>
    <x v="9"/>
    <n v="6937.28"/>
    <n v="3146.46"/>
    <n v="74.989999999999995"/>
    <x v="1"/>
    <n v="1"/>
    <x v="0"/>
    <x v="0"/>
    <n v="9"/>
  </r>
  <r>
    <s v="ORD-03168"/>
    <d v="2023-10-03T00:00:00"/>
    <s v="CUST99426"/>
    <x v="344"/>
    <n v="39"/>
    <x v="1"/>
    <x v="2"/>
    <x v="3"/>
    <x v="5"/>
    <x v="1"/>
    <s v="Chair"/>
    <n v="3"/>
    <n v="22116.52"/>
    <x v="1"/>
    <n v="56634.239999999998"/>
    <n v="15322.58"/>
    <n v="80.03"/>
    <x v="1"/>
    <n v="2"/>
    <x v="1"/>
    <x v="1"/>
    <n v="6"/>
  </r>
  <r>
    <s v="ORD-02377"/>
    <d v="2022-10-25T00:00:00"/>
    <s v="CUST98234"/>
    <x v="287"/>
    <n v="37"/>
    <x v="1"/>
    <x v="2"/>
    <x v="3"/>
    <x v="16"/>
    <x v="2"/>
    <s v="Biography"/>
    <n v="3"/>
    <n v="641.95000000000005"/>
    <x v="10"/>
    <n v="1563.94"/>
    <n v="516.36"/>
    <n v="78.510000000000005"/>
    <x v="4"/>
    <n v="1"/>
    <x v="0"/>
    <x v="0"/>
    <n v="8"/>
  </r>
  <r>
    <s v="ORD-03977"/>
    <d v="2024-09-11T00:00:00"/>
    <s v="CUST09103"/>
    <x v="87"/>
    <n v="30"/>
    <x v="0"/>
    <x v="1"/>
    <x v="0"/>
    <x v="2"/>
    <x v="3"/>
    <s v="Saree"/>
    <n v="5"/>
    <n v="1833.43"/>
    <x v="15"/>
    <n v="9194.56"/>
    <n v="2732.97"/>
    <n v="67.540000000000006"/>
    <x v="1"/>
    <n v="2"/>
    <x v="1"/>
    <x v="1"/>
    <n v="2"/>
  </r>
  <r>
    <s v="ORD-03020"/>
    <d v="2023-07-31T00:00:00"/>
    <s v="CUST84225"/>
    <x v="146"/>
    <n v="49"/>
    <x v="1"/>
    <x v="0"/>
    <x v="2"/>
    <x v="14"/>
    <x v="1"/>
    <s v="Wardrobe"/>
    <n v="4"/>
    <n v="33460.25"/>
    <x v="19"/>
    <n v="195087.5"/>
    <n v="63064.44"/>
    <n v="40.01"/>
    <x v="4"/>
    <n v="5"/>
    <x v="0"/>
    <x v="0"/>
    <n v="5"/>
  </r>
  <r>
    <s v="ORD-01487"/>
    <d v="2021-10-30T00:00:00"/>
    <s v="CUST74622"/>
    <x v="83"/>
    <n v="30"/>
    <x v="0"/>
    <x v="1"/>
    <x v="1"/>
    <x v="3"/>
    <x v="4"/>
    <s v="Dumbbells"/>
    <n v="1"/>
    <n v="9205.69"/>
    <x v="19"/>
    <n v="7849.73"/>
    <n v="1902.62"/>
    <n v="71.069999999999993"/>
    <x v="0"/>
    <n v="1"/>
    <x v="0"/>
    <x v="0"/>
    <n v="5"/>
  </r>
  <r>
    <s v="ORD-00683"/>
    <d v="2020-11-06T00:00:00"/>
    <s v="CUST71427"/>
    <x v="182"/>
    <n v="21"/>
    <x v="3"/>
    <x v="0"/>
    <x v="1"/>
    <x v="10"/>
    <x v="5"/>
    <s v="Rice (5kg)"/>
    <n v="8"/>
    <n v="483.25"/>
    <x v="29"/>
    <n v="2795.81"/>
    <n v="207.65"/>
    <n v="28.67"/>
    <x v="4"/>
    <n v="3"/>
    <x v="0"/>
    <x v="0"/>
    <n v="2"/>
  </r>
  <r>
    <s v="ORD-01462"/>
    <d v="2021-10-22T00:00:00"/>
    <s v="CUST48119"/>
    <x v="289"/>
    <n v="25"/>
    <x v="3"/>
    <x v="1"/>
    <x v="0"/>
    <x v="0"/>
    <x v="4"/>
    <s v="Yoga Mat"/>
    <n v="4"/>
    <n v="9927.75"/>
    <x v="5"/>
    <n v="30133.8"/>
    <n v="8083.5"/>
    <n v="86.33"/>
    <x v="2"/>
    <n v="1"/>
    <x v="0"/>
    <x v="0"/>
    <n v="5"/>
  </r>
  <r>
    <s v="ORD-00484"/>
    <d v="2020-08-01T00:00:00"/>
    <s v="CUST47442"/>
    <x v="344"/>
    <n v="47"/>
    <x v="1"/>
    <x v="2"/>
    <x v="4"/>
    <x v="17"/>
    <x v="2"/>
    <s v="Fiction Novel"/>
    <n v="1"/>
    <n v="658.73"/>
    <x v="18"/>
    <n v="486.04"/>
    <n v="224.09"/>
    <n v="56.27"/>
    <x v="5"/>
    <n v="1"/>
    <x v="0"/>
    <x v="2"/>
    <n v="10"/>
  </r>
  <r>
    <s v="ORD-03279"/>
    <d v="2023-11-17T00:00:00"/>
    <s v="CUST55124"/>
    <x v="335"/>
    <n v="35"/>
    <x v="0"/>
    <x v="2"/>
    <x v="4"/>
    <x v="17"/>
    <x v="0"/>
    <s v="Hair Oil"/>
    <n v="5"/>
    <n v="2164.5"/>
    <x v="21"/>
    <n v="6849.69"/>
    <n v="3108.13"/>
    <n v="89.26"/>
    <x v="1"/>
    <n v="1"/>
    <x v="0"/>
    <x v="0"/>
    <n v="5"/>
  </r>
  <r>
    <s v="ORD-00236"/>
    <d v="2020-04-13T00:00:00"/>
    <s v="CUST00024"/>
    <x v="225"/>
    <n v="35"/>
    <x v="0"/>
    <x v="1"/>
    <x v="2"/>
    <x v="4"/>
    <x v="2"/>
    <s v="Self-Help Book"/>
    <n v="5"/>
    <n v="966.73"/>
    <x v="18"/>
    <n v="4041.53"/>
    <n v="1436.4"/>
    <n v="27.61"/>
    <x v="1"/>
    <n v="5"/>
    <x v="0"/>
    <x v="3"/>
    <n v="4"/>
  </r>
  <r>
    <s v="ORD-02214"/>
    <d v="2022-08-25T00:00:00"/>
    <s v="CUST69266"/>
    <x v="93"/>
    <n v="42"/>
    <x v="1"/>
    <x v="2"/>
    <x v="4"/>
    <x v="8"/>
    <x v="4"/>
    <s v="Yoga Mat"/>
    <n v="3"/>
    <n v="11700.18"/>
    <x v="14"/>
    <n v="31335.42"/>
    <n v="7211.28"/>
    <n v="61.57"/>
    <x v="2"/>
    <n v="2"/>
    <x v="0"/>
    <x v="0"/>
    <n v="4"/>
  </r>
  <r>
    <s v="ORD-01812"/>
    <d v="2022-03-12T00:00:00"/>
    <s v="CUST87331"/>
    <x v="337"/>
    <n v="37"/>
    <x v="1"/>
    <x v="1"/>
    <x v="4"/>
    <x v="17"/>
    <x v="3"/>
    <s v="Saree"/>
    <n v="2"/>
    <n v="3062.06"/>
    <x v="24"/>
    <n v="6405.51"/>
    <n v="1929.46"/>
    <n v="60.97"/>
    <x v="3"/>
    <n v="4"/>
    <x v="0"/>
    <x v="0"/>
    <n v="6"/>
  </r>
  <r>
    <s v="ORD-02835"/>
    <d v="2023-05-18T00:00:00"/>
    <s v="CUST93185"/>
    <x v="84"/>
    <n v="46"/>
    <x v="1"/>
    <x v="0"/>
    <x v="2"/>
    <x v="14"/>
    <x v="2"/>
    <s v="Biography"/>
    <n v="2"/>
    <n v="922.52"/>
    <x v="4"/>
    <n v="2948.11"/>
    <n v="1106.75"/>
    <n v="61.06"/>
    <x v="0"/>
    <n v="3"/>
    <x v="0"/>
    <x v="0"/>
    <n v="9"/>
  </r>
  <r>
    <s v="ORD-02005"/>
    <d v="2022-06-03T00:00:00"/>
    <s v="CUST62519"/>
    <x v="38"/>
    <n v="46"/>
    <x v="1"/>
    <x v="2"/>
    <x v="4"/>
    <x v="7"/>
    <x v="0"/>
    <s v="Sunscreen"/>
    <n v="10"/>
    <n v="1635.87"/>
    <x v="11"/>
    <n v="18889.25"/>
    <n v="9364.27"/>
    <n v="65.41"/>
    <x v="2"/>
    <n v="4"/>
    <x v="0"/>
    <x v="0"/>
    <n v="4"/>
  </r>
  <r>
    <s v="ORD-03293"/>
    <d v="2023-11-24T00:00:00"/>
    <s v="CUST17652"/>
    <x v="236"/>
    <n v="40"/>
    <x v="1"/>
    <x v="0"/>
    <x v="3"/>
    <x v="12"/>
    <x v="0"/>
    <s v="Face Cream"/>
    <n v="7"/>
    <n v="586.63"/>
    <x v="8"/>
    <n v="3416.93"/>
    <n v="1208.1300000000001"/>
    <n v="90.59"/>
    <x v="5"/>
    <n v="2"/>
    <x v="0"/>
    <x v="4"/>
    <n v="8"/>
  </r>
  <r>
    <s v="ORD-03717"/>
    <d v="2024-06-09T00:00:00"/>
    <s v="CUST54594"/>
    <x v="35"/>
    <n v="37"/>
    <x v="1"/>
    <x v="0"/>
    <x v="4"/>
    <x v="17"/>
    <x v="4"/>
    <s v="Football"/>
    <n v="4"/>
    <n v="969.54"/>
    <x v="39"/>
    <n v="6002.74"/>
    <n v="476.57"/>
    <n v="59.53"/>
    <x v="5"/>
    <n v="4"/>
    <x v="0"/>
    <x v="0"/>
    <n v="5"/>
  </r>
  <r>
    <s v="ORD-02395"/>
    <d v="2022-11-01T00:00:00"/>
    <s v="CUST38435"/>
    <x v="109"/>
    <n v="34"/>
    <x v="0"/>
    <x v="1"/>
    <x v="0"/>
    <x v="0"/>
    <x v="6"/>
    <s v="Smartphone"/>
    <n v="5"/>
    <n v="17051.009999999998"/>
    <x v="4"/>
    <n v="72489.63"/>
    <n v="12014.35"/>
    <n v="60.41"/>
    <x v="0"/>
    <n v="4"/>
    <x v="0"/>
    <x v="0"/>
    <n v="3"/>
  </r>
  <r>
    <s v="ORD-03610"/>
    <d v="2024-04-20T00:00:00"/>
    <s v="CUST71966"/>
    <x v="143"/>
    <n v="31"/>
    <x v="0"/>
    <x v="2"/>
    <x v="0"/>
    <x v="19"/>
    <x v="0"/>
    <s v="Perfume"/>
    <n v="8"/>
    <n v="1737.06"/>
    <x v="28"/>
    <n v="21586.69"/>
    <n v="9320.24"/>
    <n v="48.1"/>
    <x v="1"/>
    <n v="4"/>
    <x v="0"/>
    <x v="0"/>
    <n v="9"/>
  </r>
  <r>
    <s v="ORD-02433"/>
    <d v="2022-11-19T00:00:00"/>
    <s v="CUST52680"/>
    <x v="247"/>
    <n v="40"/>
    <x v="1"/>
    <x v="2"/>
    <x v="2"/>
    <x v="9"/>
    <x v="4"/>
    <s v="Cycle"/>
    <n v="9"/>
    <n v="10073.67"/>
    <x v="33"/>
    <n v="59652.6"/>
    <n v="18108.91"/>
    <n v="53.9"/>
    <x v="1"/>
    <n v="4"/>
    <x v="0"/>
    <x v="2"/>
    <n v="2"/>
  </r>
  <r>
    <s v="ORD-02752"/>
    <d v="2023-04-06T00:00:00"/>
    <s v="CUST77977"/>
    <x v="101"/>
    <n v="39"/>
    <x v="1"/>
    <x v="1"/>
    <x v="2"/>
    <x v="13"/>
    <x v="1"/>
    <s v="Desk"/>
    <n v="4"/>
    <n v="20972.36"/>
    <x v="37"/>
    <n v="101498.2"/>
    <n v="40455.26"/>
    <n v="43.34"/>
    <x v="4"/>
    <n v="1"/>
    <x v="0"/>
    <x v="0"/>
    <n v="4"/>
  </r>
  <r>
    <s v="ORD-01125"/>
    <d v="2021-05-23T00:00:00"/>
    <s v="CUST04001"/>
    <x v="203"/>
    <n v="41"/>
    <x v="1"/>
    <x v="0"/>
    <x v="1"/>
    <x v="3"/>
    <x v="4"/>
    <s v="Football"/>
    <n v="8"/>
    <n v="1689.13"/>
    <x v="9"/>
    <n v="17306.12"/>
    <n v="3872.78"/>
    <n v="78.959999999999994"/>
    <x v="5"/>
    <n v="3"/>
    <x v="0"/>
    <x v="3"/>
    <n v="2"/>
  </r>
  <r>
    <s v="ORD-02639"/>
    <d v="2023-02-16T00:00:00"/>
    <s v="CUST43114"/>
    <x v="318"/>
    <n v="37"/>
    <x v="1"/>
    <x v="0"/>
    <x v="4"/>
    <x v="8"/>
    <x v="1"/>
    <s v="Bookshelf"/>
    <n v="5"/>
    <n v="26873.8"/>
    <x v="25"/>
    <n v="107825.45"/>
    <n v="33382.410000000003"/>
    <n v="80.540000000000006"/>
    <x v="5"/>
    <n v="2"/>
    <x v="0"/>
    <x v="2"/>
    <n v="9"/>
  </r>
  <r>
    <s v="ORD-01357"/>
    <d v="2021-09-03T00:00:00"/>
    <s v="CUST15011"/>
    <x v="369"/>
    <n v="21"/>
    <x v="3"/>
    <x v="1"/>
    <x v="0"/>
    <x v="0"/>
    <x v="2"/>
    <s v="Fiction Novel"/>
    <n v="7"/>
    <n v="712.53"/>
    <x v="16"/>
    <n v="5107.75"/>
    <n v="1803.51"/>
    <n v="57.42"/>
    <x v="3"/>
    <n v="1"/>
    <x v="1"/>
    <x v="1"/>
    <n v="10"/>
  </r>
  <r>
    <s v="ORD-02224"/>
    <d v="2022-08-28T00:00:00"/>
    <s v="CUST30540"/>
    <x v="357"/>
    <n v="25"/>
    <x v="3"/>
    <x v="2"/>
    <x v="0"/>
    <x v="2"/>
    <x v="4"/>
    <s v="Cycle"/>
    <n v="7"/>
    <n v="8703.41"/>
    <x v="32"/>
    <n v="68163.649999999994"/>
    <n v="14340.35"/>
    <n v="62"/>
    <x v="0"/>
    <n v="2"/>
    <x v="0"/>
    <x v="0"/>
    <n v="1"/>
  </r>
  <r>
    <s v="ORD-01631"/>
    <d v="2021-12-27T00:00:00"/>
    <s v="CUST37296"/>
    <x v="32"/>
    <n v="49"/>
    <x v="1"/>
    <x v="0"/>
    <x v="2"/>
    <x v="13"/>
    <x v="1"/>
    <s v="Bookshelf"/>
    <n v="4"/>
    <n v="7533.42"/>
    <x v="19"/>
    <n v="23033.05"/>
    <n v="7287.96"/>
    <n v="68.3"/>
    <x v="3"/>
    <n v="5"/>
    <x v="0"/>
    <x v="0"/>
    <n v="6"/>
  </r>
  <r>
    <s v="ORD-02484"/>
    <d v="2022-12-13T00:00:00"/>
    <s v="CUST16309"/>
    <x v="228"/>
    <n v="20"/>
    <x v="3"/>
    <x v="1"/>
    <x v="1"/>
    <x v="6"/>
    <x v="3"/>
    <s v="Saree"/>
    <n v="4"/>
    <n v="630.74"/>
    <x v="8"/>
    <n v="1712.76"/>
    <n v="616.52"/>
    <n v="29.52"/>
    <x v="0"/>
    <n v="2"/>
    <x v="0"/>
    <x v="0"/>
    <n v="9"/>
  </r>
  <r>
    <s v="ORD-00823"/>
    <d v="2021-01-12T00:00:00"/>
    <s v="CUST48473"/>
    <x v="65"/>
    <n v="48"/>
    <x v="1"/>
    <x v="0"/>
    <x v="0"/>
    <x v="19"/>
    <x v="0"/>
    <s v="Sunscreen"/>
    <n v="1"/>
    <n v="1901.42"/>
    <x v="25"/>
    <n v="1024"/>
    <n v="482.79"/>
    <n v="37.700000000000003"/>
    <x v="1"/>
    <n v="5"/>
    <x v="0"/>
    <x v="0"/>
    <n v="7"/>
  </r>
  <r>
    <s v="ORD-00375"/>
    <d v="2020-06-09T00:00:00"/>
    <s v="CUST69130"/>
    <x v="297"/>
    <n v="40"/>
    <x v="1"/>
    <x v="1"/>
    <x v="4"/>
    <x v="8"/>
    <x v="1"/>
    <s v="Bed Frame"/>
    <n v="3"/>
    <n v="32005.1"/>
    <x v="1"/>
    <n v="111222.15"/>
    <n v="40250.51"/>
    <n v="26.04"/>
    <x v="5"/>
    <n v="5"/>
    <x v="0"/>
    <x v="0"/>
    <n v="1"/>
  </r>
  <r>
    <s v="ORD-04142"/>
    <d v="2024-12-04T00:00:00"/>
    <s v="CUST18673"/>
    <x v="40"/>
    <n v="19"/>
    <x v="3"/>
    <x v="1"/>
    <x v="2"/>
    <x v="14"/>
    <x v="0"/>
    <s v="Face Cream"/>
    <n v="9"/>
    <n v="1593.35"/>
    <x v="29"/>
    <n v="10203.459999999999"/>
    <n v="4094.58"/>
    <n v="42.17"/>
    <x v="3"/>
    <n v="3"/>
    <x v="0"/>
    <x v="0"/>
    <n v="2"/>
  </r>
  <r>
    <s v="ORD-02851"/>
    <d v="2023-05-26T00:00:00"/>
    <s v="CUST69918"/>
    <x v="394"/>
    <n v="39"/>
    <x v="1"/>
    <x v="2"/>
    <x v="1"/>
    <x v="3"/>
    <x v="0"/>
    <s v="Sunscreen"/>
    <n v="1"/>
    <n v="2345.65"/>
    <x v="16"/>
    <n v="3844.13"/>
    <n v="2141.87"/>
    <n v="54.42"/>
    <x v="5"/>
    <n v="2"/>
    <x v="1"/>
    <x v="1"/>
    <n v="3"/>
  </r>
  <r>
    <s v="ORD-03449"/>
    <d v="2024-02-04T00:00:00"/>
    <s v="CUST23951"/>
    <x v="315"/>
    <n v="40"/>
    <x v="1"/>
    <x v="2"/>
    <x v="1"/>
    <x v="6"/>
    <x v="1"/>
    <s v="Desk"/>
    <n v="1"/>
    <n v="12690.08"/>
    <x v="31"/>
    <n v="13573.95"/>
    <n v="3348.35"/>
    <n v="78.84"/>
    <x v="5"/>
    <n v="4"/>
    <x v="0"/>
    <x v="0"/>
    <n v="2"/>
  </r>
  <r>
    <s v="ORD-00083"/>
    <d v="2020-02-01T00:00:00"/>
    <s v="CUST84754"/>
    <x v="283"/>
    <n v="45"/>
    <x v="1"/>
    <x v="1"/>
    <x v="1"/>
    <x v="10"/>
    <x v="3"/>
    <s v="Jeans"/>
    <n v="8"/>
    <n v="1746.58"/>
    <x v="1"/>
    <n v="9981.19"/>
    <n v="3692.11"/>
    <n v="25.32"/>
    <x v="0"/>
    <n v="3"/>
    <x v="0"/>
    <x v="3"/>
    <n v="3"/>
  </r>
  <r>
    <s v="ORD-03262"/>
    <d v="2023-11-09T00:00:00"/>
    <s v="CUST82303"/>
    <x v="193"/>
    <n v="18"/>
    <x v="3"/>
    <x v="0"/>
    <x v="1"/>
    <x v="3"/>
    <x v="4"/>
    <s v="Cycle"/>
    <n v="4"/>
    <n v="7196.49"/>
    <x v="33"/>
    <n v="23291.68"/>
    <n v="4701.83"/>
    <n v="62.08"/>
    <x v="5"/>
    <n v="1"/>
    <x v="1"/>
    <x v="1"/>
    <n v="10"/>
  </r>
  <r>
    <s v="ORD-00438"/>
    <d v="2020-07-12T00:00:00"/>
    <s v="CUST95274"/>
    <x v="215"/>
    <n v="26"/>
    <x v="0"/>
    <x v="2"/>
    <x v="1"/>
    <x v="10"/>
    <x v="5"/>
    <s v="Tea"/>
    <n v="9"/>
    <n v="367.82"/>
    <x v="6"/>
    <n v="2214.56"/>
    <n v="189.16"/>
    <n v="74.739999999999995"/>
    <x v="0"/>
    <n v="3"/>
    <x v="0"/>
    <x v="0"/>
    <n v="9"/>
  </r>
  <r>
    <s v="ORD-03145"/>
    <d v="2023-09-25T00:00:00"/>
    <s v="CUST35682"/>
    <x v="397"/>
    <n v="49"/>
    <x v="1"/>
    <x v="2"/>
    <x v="2"/>
    <x v="13"/>
    <x v="4"/>
    <s v="Football"/>
    <n v="1"/>
    <n v="6693.3"/>
    <x v="38"/>
    <n v="7001.71"/>
    <n v="1485.2"/>
    <n v="49.16"/>
    <x v="3"/>
    <n v="1"/>
    <x v="0"/>
    <x v="2"/>
    <n v="7"/>
  </r>
  <r>
    <s v="ORD-03488"/>
    <d v="2024-02-25T00:00:00"/>
    <s v="CUST31348"/>
    <x v="154"/>
    <n v="30"/>
    <x v="0"/>
    <x v="2"/>
    <x v="1"/>
    <x v="11"/>
    <x v="6"/>
    <s v="Smartphone"/>
    <n v="1"/>
    <n v="7202.38"/>
    <x v="11"/>
    <n v="6816.92"/>
    <n v="552.15"/>
    <n v="67.34"/>
    <x v="5"/>
    <n v="2"/>
    <x v="1"/>
    <x v="1"/>
    <n v="4"/>
  </r>
  <r>
    <s v="ORD-01109"/>
    <d v="2021-05-15T00:00:00"/>
    <s v="CUST81233"/>
    <x v="14"/>
    <n v="19"/>
    <x v="3"/>
    <x v="1"/>
    <x v="4"/>
    <x v="8"/>
    <x v="1"/>
    <s v="Sofa"/>
    <n v="1"/>
    <n v="12504.29"/>
    <x v="7"/>
    <n v="14133.18"/>
    <n v="5257.39"/>
    <n v="87.69"/>
    <x v="1"/>
    <n v="4"/>
    <x v="0"/>
    <x v="0"/>
    <n v="8"/>
  </r>
  <r>
    <s v="ORD-01845"/>
    <d v="2022-03-27T00:00:00"/>
    <s v="CUST10325"/>
    <x v="44"/>
    <n v="27"/>
    <x v="0"/>
    <x v="0"/>
    <x v="3"/>
    <x v="12"/>
    <x v="6"/>
    <s v="Smartphone"/>
    <n v="7"/>
    <n v="49930.01"/>
    <x v="20"/>
    <n v="305814.52"/>
    <n v="52733.26"/>
    <n v="87.99"/>
    <x v="3"/>
    <n v="2"/>
    <x v="1"/>
    <x v="1"/>
    <n v="1"/>
  </r>
  <r>
    <s v="ORD-01396"/>
    <d v="2021-09-21T00:00:00"/>
    <s v="CUST86234"/>
    <x v="2"/>
    <n v="56"/>
    <x v="2"/>
    <x v="0"/>
    <x v="4"/>
    <x v="8"/>
    <x v="6"/>
    <s v="Tablet"/>
    <n v="8"/>
    <n v="75033.34"/>
    <x v="12"/>
    <n v="506816.82"/>
    <n v="73937.62"/>
    <n v="61.37"/>
    <x v="3"/>
    <n v="4"/>
    <x v="0"/>
    <x v="0"/>
    <n v="7"/>
  </r>
  <r>
    <s v="ORD-01252"/>
    <d v="2021-07-18T00:00:00"/>
    <s v="CUST60840"/>
    <x v="175"/>
    <n v="28"/>
    <x v="0"/>
    <x v="1"/>
    <x v="3"/>
    <x v="15"/>
    <x v="1"/>
    <s v="Bookshelf"/>
    <n v="2"/>
    <n v="27494.42"/>
    <x v="32"/>
    <n v="66782.429999999993"/>
    <n v="17991.259999999998"/>
    <n v="56.35"/>
    <x v="3"/>
    <n v="3"/>
    <x v="0"/>
    <x v="0"/>
    <n v="6"/>
  </r>
  <r>
    <s v="ORD-01532"/>
    <d v="2021-11-18T00:00:00"/>
    <s v="CUST78938"/>
    <x v="205"/>
    <n v="30"/>
    <x v="0"/>
    <x v="0"/>
    <x v="1"/>
    <x v="11"/>
    <x v="3"/>
    <s v="Saree"/>
    <n v="7"/>
    <n v="1494.18"/>
    <x v="19"/>
    <n v="7729.55"/>
    <n v="3630.71"/>
    <n v="80.11"/>
    <x v="3"/>
    <n v="3"/>
    <x v="0"/>
    <x v="0"/>
    <n v="10"/>
  </r>
  <r>
    <s v="ORD-01616"/>
    <d v="2021-12-24T00:00:00"/>
    <s v="CUST87932"/>
    <x v="360"/>
    <n v="22"/>
    <x v="3"/>
    <x v="0"/>
    <x v="4"/>
    <x v="18"/>
    <x v="3"/>
    <s v="Kurta"/>
    <n v="4"/>
    <n v="1566.74"/>
    <x v="16"/>
    <n v="3925.14"/>
    <n v="1682.6"/>
    <n v="77.040000000000006"/>
    <x v="0"/>
    <n v="4"/>
    <x v="0"/>
    <x v="3"/>
    <n v="9"/>
  </r>
  <r>
    <s v="ORD-00156"/>
    <d v="2020-03-06T00:00:00"/>
    <s v="CUST57074"/>
    <x v="57"/>
    <n v="32"/>
    <x v="0"/>
    <x v="0"/>
    <x v="1"/>
    <x v="11"/>
    <x v="3"/>
    <s v="T-Shirt"/>
    <n v="7"/>
    <n v="634.01"/>
    <x v="34"/>
    <n v="2632.38"/>
    <n v="1034.24"/>
    <n v="76.53"/>
    <x v="4"/>
    <n v="4"/>
    <x v="0"/>
    <x v="0"/>
    <n v="9"/>
  </r>
  <r>
    <s v="ORD-00140"/>
    <d v="2020-02-24T00:00:00"/>
    <s v="CUST51057"/>
    <x v="228"/>
    <n v="49"/>
    <x v="1"/>
    <x v="2"/>
    <x v="1"/>
    <x v="3"/>
    <x v="0"/>
    <s v="Shampoo"/>
    <n v="3"/>
    <n v="2127.17"/>
    <x v="18"/>
    <n v="3803.64"/>
    <n v="1419.85"/>
    <n v="67.56"/>
    <x v="4"/>
    <n v="1"/>
    <x v="0"/>
    <x v="0"/>
    <n v="1"/>
  </r>
  <r>
    <s v="ORD-00187"/>
    <d v="2020-03-23T00:00:00"/>
    <s v="CUST95299"/>
    <x v="172"/>
    <n v="44"/>
    <x v="1"/>
    <x v="1"/>
    <x v="3"/>
    <x v="12"/>
    <x v="5"/>
    <s v="Sugar"/>
    <n v="3"/>
    <n v="315.98"/>
    <x v="33"/>
    <n v="801.2"/>
    <n v="62.11"/>
    <n v="104.89"/>
    <x v="3"/>
    <n v="4"/>
    <x v="0"/>
    <x v="0"/>
    <n v="3"/>
  </r>
  <r>
    <s v="ORD-02417"/>
    <d v="2022-11-09T00:00:00"/>
    <s v="CUST65187"/>
    <x v="67"/>
    <n v="41"/>
    <x v="1"/>
    <x v="2"/>
    <x v="0"/>
    <x v="0"/>
    <x v="4"/>
    <s v="Dumbbells"/>
    <n v="10"/>
    <n v="5187.53"/>
    <x v="19"/>
    <n v="41193.61"/>
    <n v="8791.81"/>
    <n v="49.73"/>
    <x v="4"/>
    <n v="3"/>
    <x v="0"/>
    <x v="0"/>
    <n v="2"/>
  </r>
  <r>
    <s v="ORD-02499"/>
    <d v="2022-12-21T00:00:00"/>
    <s v="CUST68941"/>
    <x v="20"/>
    <n v="38"/>
    <x v="1"/>
    <x v="2"/>
    <x v="4"/>
    <x v="17"/>
    <x v="6"/>
    <s v="Headphones"/>
    <n v="10"/>
    <n v="22540.09"/>
    <x v="0"/>
    <n v="196931.1"/>
    <n v="22056.79"/>
    <n v="77.63"/>
    <x v="2"/>
    <n v="4"/>
    <x v="0"/>
    <x v="0"/>
    <n v="6"/>
  </r>
  <r>
    <s v="ORD-02326"/>
    <d v="2022-10-06T00:00:00"/>
    <s v="CUST89114"/>
    <x v="6"/>
    <n v="27"/>
    <x v="0"/>
    <x v="2"/>
    <x v="4"/>
    <x v="17"/>
    <x v="1"/>
    <s v="Bookshelf"/>
    <n v="9"/>
    <n v="22455.86"/>
    <x v="37"/>
    <n v="158725.76000000001"/>
    <n v="35481.879999999997"/>
    <n v="64.83"/>
    <x v="3"/>
    <n v="4"/>
    <x v="0"/>
    <x v="0"/>
    <n v="4"/>
  </r>
  <r>
    <s v="ORD-03862"/>
    <d v="2024-08-04T00:00:00"/>
    <s v="CUST25303"/>
    <x v="218"/>
    <n v="37"/>
    <x v="1"/>
    <x v="2"/>
    <x v="0"/>
    <x v="0"/>
    <x v="5"/>
    <s v="Dal (1kg)"/>
    <n v="4"/>
    <n v="315.04000000000002"/>
    <x v="1"/>
    <n v="1725.71"/>
    <n v="108.93"/>
    <n v="49.89"/>
    <x v="3"/>
    <n v="3"/>
    <x v="0"/>
    <x v="0"/>
    <n v="10"/>
  </r>
  <r>
    <s v="ORD-03396"/>
    <d v="2024-01-10T00:00:00"/>
    <s v="CUST18308"/>
    <x v="209"/>
    <n v="31"/>
    <x v="0"/>
    <x v="0"/>
    <x v="1"/>
    <x v="6"/>
    <x v="0"/>
    <s v="Sunscreen"/>
    <n v="10"/>
    <n v="412.64"/>
    <x v="12"/>
    <n v="2849.95"/>
    <n v="1648.72"/>
    <n v="35.19"/>
    <x v="3"/>
    <n v="5"/>
    <x v="0"/>
    <x v="0"/>
    <n v="6"/>
  </r>
  <r>
    <s v="ORD-02620"/>
    <d v="2023-02-10T00:00:00"/>
    <s v="CUST23456"/>
    <x v="267"/>
    <n v="50"/>
    <x v="1"/>
    <x v="0"/>
    <x v="4"/>
    <x v="7"/>
    <x v="0"/>
    <s v="Perfume"/>
    <n v="6"/>
    <n v="1758.55"/>
    <x v="10"/>
    <n v="8300.7900000000009"/>
    <n v="4314.0200000000004"/>
    <n v="64.459999999999994"/>
    <x v="5"/>
    <n v="4"/>
    <x v="0"/>
    <x v="0"/>
    <n v="1"/>
  </r>
  <r>
    <s v="ORD-02725"/>
    <d v="2023-03-28T00:00:00"/>
    <s v="CUST39987"/>
    <x v="208"/>
    <n v="34"/>
    <x v="0"/>
    <x v="0"/>
    <x v="2"/>
    <x v="4"/>
    <x v="1"/>
    <s v="Sofa"/>
    <n v="2"/>
    <n v="25068.04"/>
    <x v="16"/>
    <n v="60153.24"/>
    <n v="15753.38"/>
    <n v="16.5"/>
    <x v="0"/>
    <n v="1"/>
    <x v="0"/>
    <x v="0"/>
    <n v="2"/>
  </r>
  <r>
    <s v="ORD-03534"/>
    <d v="2024-03-15T00:00:00"/>
    <s v="CUST18961"/>
    <x v="29"/>
    <n v="40"/>
    <x v="1"/>
    <x v="0"/>
    <x v="3"/>
    <x v="16"/>
    <x v="6"/>
    <s v="Laptop"/>
    <n v="4"/>
    <n v="12580.65"/>
    <x v="14"/>
    <n v="45132.09"/>
    <n v="5873.56"/>
    <n v="101.02"/>
    <x v="5"/>
    <n v="5"/>
    <x v="0"/>
    <x v="0"/>
    <n v="2"/>
  </r>
  <r>
    <s v="ORD-00872"/>
    <d v="2021-01-31T00:00:00"/>
    <s v="CUST37369"/>
    <x v="77"/>
    <n v="29"/>
    <x v="0"/>
    <x v="2"/>
    <x v="4"/>
    <x v="8"/>
    <x v="0"/>
    <s v="Lipstick"/>
    <n v="3"/>
    <n v="1476.85"/>
    <x v="40"/>
    <n v="1955"/>
    <n v="946.31"/>
    <n v="72.849999999999994"/>
    <x v="1"/>
    <n v="1"/>
    <x v="1"/>
    <x v="1"/>
    <n v="6"/>
  </r>
  <r>
    <s v="ORD-01739"/>
    <d v="2022-12-02T00:00:00"/>
    <s v="CUST00395"/>
    <x v="150"/>
    <n v="42"/>
    <x v="1"/>
    <x v="0"/>
    <x v="2"/>
    <x v="14"/>
    <x v="0"/>
    <s v="Face Cream"/>
    <n v="7"/>
    <n v="881.3"/>
    <x v="27"/>
    <n v="4536.6000000000004"/>
    <n v="2608.91"/>
    <n v="49.35"/>
    <x v="4"/>
    <n v="2"/>
    <x v="0"/>
    <x v="0"/>
    <n v="3"/>
  </r>
  <r>
    <s v="ORD-02015"/>
    <d v="2022-06-07T00:00:00"/>
    <s v="CUST43193"/>
    <x v="355"/>
    <n v="36"/>
    <x v="1"/>
    <x v="1"/>
    <x v="4"/>
    <x v="8"/>
    <x v="1"/>
    <s v="Chair"/>
    <n v="1"/>
    <n v="22337.23"/>
    <x v="0"/>
    <n v="24297.67"/>
    <n v="7115.37"/>
    <n v="44.4"/>
    <x v="4"/>
    <n v="3"/>
    <x v="0"/>
    <x v="0"/>
    <n v="10"/>
  </r>
  <r>
    <s v="ORD-00715"/>
    <d v="2020-11-23T00:00:00"/>
    <s v="CUST92335"/>
    <x v="188"/>
    <n v="35"/>
    <x v="0"/>
    <x v="1"/>
    <x v="2"/>
    <x v="13"/>
    <x v="2"/>
    <s v="Textbook"/>
    <n v="3"/>
    <n v="1024.92"/>
    <x v="17"/>
    <n v="1275.48"/>
    <n v="495.89"/>
    <n v="60.02"/>
    <x v="3"/>
    <n v="4"/>
    <x v="0"/>
    <x v="0"/>
    <n v="10"/>
  </r>
  <r>
    <s v="ORD-01157"/>
    <d v="2021-06-03T00:00:00"/>
    <s v="CUST28445"/>
    <x v="195"/>
    <n v="40"/>
    <x v="1"/>
    <x v="2"/>
    <x v="2"/>
    <x v="4"/>
    <x v="2"/>
    <s v="Textbook"/>
    <n v="7"/>
    <n v="775.88"/>
    <x v="22"/>
    <n v="4861.16"/>
    <n v="1295.29"/>
    <n v="19.48"/>
    <x v="3"/>
    <n v="4"/>
    <x v="1"/>
    <x v="1"/>
    <n v="9"/>
  </r>
  <r>
    <s v="ORD-01759"/>
    <d v="2022-02-18T00:00:00"/>
    <s v="CUST59330"/>
    <x v="374"/>
    <n v="34"/>
    <x v="0"/>
    <x v="0"/>
    <x v="0"/>
    <x v="1"/>
    <x v="5"/>
    <s v="Tea"/>
    <n v="4"/>
    <n v="421.19"/>
    <x v="40"/>
    <n v="993.67"/>
    <n v="79.81"/>
    <n v="83.46"/>
    <x v="4"/>
    <n v="3"/>
    <x v="0"/>
    <x v="0"/>
    <n v="6"/>
  </r>
  <r>
    <s v="ORD-03164"/>
    <d v="2023-10-01T00:00:00"/>
    <s v="CUST04219"/>
    <x v="290"/>
    <n v="21"/>
    <x v="3"/>
    <x v="0"/>
    <x v="3"/>
    <x v="15"/>
    <x v="3"/>
    <s v="Jeans"/>
    <n v="8"/>
    <n v="3309.44"/>
    <x v="0"/>
    <n v="24146.23"/>
    <n v="7317.58"/>
    <n v="108.32"/>
    <x v="5"/>
    <n v="2"/>
    <x v="0"/>
    <x v="3"/>
    <n v="8"/>
  </r>
  <r>
    <s v="ORD-02016"/>
    <d v="2022-06-09T00:00:00"/>
    <s v="CUST87101"/>
    <x v="14"/>
    <n v="20"/>
    <x v="3"/>
    <x v="0"/>
    <x v="3"/>
    <x v="12"/>
    <x v="5"/>
    <s v="Cooking Oil"/>
    <n v="4"/>
    <n v="342.63"/>
    <x v="8"/>
    <n v="1796.99"/>
    <n v="105.07"/>
    <n v="65.400000000000006"/>
    <x v="4"/>
    <n v="3"/>
    <x v="0"/>
    <x v="0"/>
    <n v="2"/>
  </r>
  <r>
    <s v="ORD-04078"/>
    <d v="2024-11-03T00:00:00"/>
    <s v="CUST54593"/>
    <x v="300"/>
    <n v="32"/>
    <x v="0"/>
    <x v="2"/>
    <x v="3"/>
    <x v="5"/>
    <x v="2"/>
    <s v="Textbook"/>
    <n v="4"/>
    <n v="253.68"/>
    <x v="31"/>
    <n v="778.21"/>
    <n v="386.42"/>
    <n v="76.22"/>
    <x v="4"/>
    <n v="4"/>
    <x v="0"/>
    <x v="3"/>
    <n v="9"/>
  </r>
  <r>
    <s v="ORD-00594"/>
    <d v="2020-09-22T00:00:00"/>
    <s v="CUST06050"/>
    <x v="206"/>
    <n v="37"/>
    <x v="1"/>
    <x v="0"/>
    <x v="2"/>
    <x v="4"/>
    <x v="3"/>
    <s v="T-Shirt"/>
    <n v="2"/>
    <n v="2579.5700000000002"/>
    <x v="4"/>
    <n v="5743.74"/>
    <n v="1991.02"/>
    <n v="37.72"/>
    <x v="1"/>
    <n v="4"/>
    <x v="0"/>
    <x v="0"/>
    <n v="1"/>
  </r>
  <r>
    <s v="ORD-02883"/>
    <d v="2023-06-03T00:00:00"/>
    <s v="CUST72686"/>
    <x v="389"/>
    <n v="66"/>
    <x v="2"/>
    <x v="0"/>
    <x v="3"/>
    <x v="16"/>
    <x v="6"/>
    <s v="Headphones"/>
    <n v="7"/>
    <n v="18211.07"/>
    <x v="8"/>
    <n v="212071.33"/>
    <n v="30254.35"/>
    <n v="85.57"/>
    <x v="3"/>
    <n v="1"/>
    <x v="0"/>
    <x v="0"/>
    <n v="10"/>
  </r>
  <r>
    <s v="ORD-02676"/>
    <d v="2023-03-03T00:00:00"/>
    <s v="CUST24131"/>
    <x v="69"/>
    <n v="27"/>
    <x v="0"/>
    <x v="0"/>
    <x v="4"/>
    <x v="7"/>
    <x v="2"/>
    <s v="Fiction Novel"/>
    <n v="1"/>
    <n v="948.68"/>
    <x v="28"/>
    <n v="1052.6300000000001"/>
    <n v="436.63"/>
    <n v="60.66"/>
    <x v="5"/>
    <n v="3"/>
    <x v="0"/>
    <x v="0"/>
    <n v="4"/>
  </r>
  <r>
    <s v="ORD-02477"/>
    <d v="2022-12-12T00:00:00"/>
    <s v="CUST10191"/>
    <x v="105"/>
    <n v="25"/>
    <x v="3"/>
    <x v="0"/>
    <x v="4"/>
    <x v="17"/>
    <x v="6"/>
    <s v="Camera"/>
    <n v="7"/>
    <n v="78827.09"/>
    <x v="2"/>
    <n v="329759.69"/>
    <n v="33092.480000000003"/>
    <n v="81.42"/>
    <x v="3"/>
    <n v="2"/>
    <x v="0"/>
    <x v="0"/>
    <n v="7"/>
  </r>
  <r>
    <s v="ORD-03383"/>
    <d v="2024-01-03T00:00:00"/>
    <s v="CUST88781"/>
    <x v="93"/>
    <n v="22"/>
    <x v="3"/>
    <x v="0"/>
    <x v="2"/>
    <x v="4"/>
    <x v="6"/>
    <s v="Smartphone"/>
    <n v="7"/>
    <n v="65406.74"/>
    <x v="37"/>
    <n v="311838.93"/>
    <n v="30172.94"/>
    <n v="56.16"/>
    <x v="2"/>
    <n v="4"/>
    <x v="0"/>
    <x v="0"/>
    <n v="9"/>
  </r>
  <r>
    <s v="ORD-01033"/>
    <d v="2021-04-12T00:00:00"/>
    <s v="CUST75013"/>
    <x v="34"/>
    <n v="30"/>
    <x v="0"/>
    <x v="0"/>
    <x v="4"/>
    <x v="18"/>
    <x v="4"/>
    <s v="Tennis Racket"/>
    <n v="2"/>
    <n v="3848.71"/>
    <x v="19"/>
    <n v="7629.53"/>
    <n v="1845.42"/>
    <n v="94.87"/>
    <x v="4"/>
    <n v="1"/>
    <x v="0"/>
    <x v="0"/>
    <n v="5"/>
  </r>
  <r>
    <s v="ORD-00345"/>
    <d v="2020-05-28T00:00:00"/>
    <s v="CUST34954"/>
    <x v="320"/>
    <n v="39"/>
    <x v="1"/>
    <x v="1"/>
    <x v="1"/>
    <x v="10"/>
    <x v="5"/>
    <s v="Flour"/>
    <n v="9"/>
    <n v="253.54"/>
    <x v="26"/>
    <n v="2172.54"/>
    <n v="173.86"/>
    <n v="63.2"/>
    <x v="5"/>
    <n v="5"/>
    <x v="0"/>
    <x v="0"/>
    <n v="7"/>
  </r>
  <r>
    <s v="ORD-03739"/>
    <d v="2024-06-18T00:00:00"/>
    <s v="CUST32885"/>
    <x v="243"/>
    <n v="36"/>
    <x v="1"/>
    <x v="1"/>
    <x v="3"/>
    <x v="12"/>
    <x v="3"/>
    <s v="Saree"/>
    <n v="2"/>
    <n v="419.29"/>
    <x v="17"/>
    <n v="977.42"/>
    <n v="372.17"/>
    <n v="91.04"/>
    <x v="0"/>
    <n v="4"/>
    <x v="0"/>
    <x v="0"/>
    <n v="6"/>
  </r>
  <r>
    <s v="ORD-04200"/>
    <d v="2024-12-30T00:00:00"/>
    <s v="CUST38440"/>
    <x v="246"/>
    <n v="22"/>
    <x v="3"/>
    <x v="1"/>
    <x v="4"/>
    <x v="7"/>
    <x v="1"/>
    <s v="Sofa"/>
    <n v="6"/>
    <n v="5868.58"/>
    <x v="10"/>
    <n v="27272.26"/>
    <n v="8506.9599999999991"/>
    <n v="61.17"/>
    <x v="2"/>
    <n v="3"/>
    <x v="1"/>
    <x v="1"/>
    <n v="5"/>
  </r>
  <r>
    <s v="ORD-03549"/>
    <d v="2024-03-22T00:00:00"/>
    <s v="CUST48871"/>
    <x v="193"/>
    <n v="42"/>
    <x v="1"/>
    <x v="1"/>
    <x v="0"/>
    <x v="19"/>
    <x v="1"/>
    <s v="Sofa"/>
    <n v="8"/>
    <n v="8470.42"/>
    <x v="10"/>
    <n v="55529.13"/>
    <n v="17657.48"/>
    <n v="72.33"/>
    <x v="4"/>
    <n v="4"/>
    <x v="0"/>
    <x v="0"/>
    <n v="2"/>
  </r>
  <r>
    <s v="ORD-01085"/>
    <d v="2021-05-05T00:00:00"/>
    <s v="CUST96129"/>
    <x v="68"/>
    <n v="36"/>
    <x v="1"/>
    <x v="0"/>
    <x v="0"/>
    <x v="2"/>
    <x v="6"/>
    <s v="Headphones"/>
    <n v="3"/>
    <n v="19106.04"/>
    <x v="10"/>
    <n v="55864.82"/>
    <n v="5910.7"/>
    <n v="48.94"/>
    <x v="4"/>
    <n v="5"/>
    <x v="0"/>
    <x v="0"/>
    <n v="10"/>
  </r>
  <r>
    <s v="ORD-00052"/>
    <d v="2020-01-21T00:00:00"/>
    <s v="CUST08694"/>
    <x v="313"/>
    <n v="30"/>
    <x v="0"/>
    <x v="1"/>
    <x v="3"/>
    <x v="5"/>
    <x v="5"/>
    <s v="Flour"/>
    <n v="8"/>
    <n v="93.43"/>
    <x v="13"/>
    <n v="527.34"/>
    <n v="58.06"/>
    <n v="67.75"/>
    <x v="3"/>
    <n v="5"/>
    <x v="0"/>
    <x v="3"/>
    <n v="3"/>
  </r>
  <r>
    <s v="ORD-03253"/>
    <d v="2023-11-05T00:00:00"/>
    <s v="CUST40202"/>
    <x v="287"/>
    <n v="24"/>
    <x v="3"/>
    <x v="2"/>
    <x v="1"/>
    <x v="10"/>
    <x v="0"/>
    <s v="Sunscreen"/>
    <n v="3"/>
    <n v="2286.34"/>
    <x v="14"/>
    <n v="4041.13"/>
    <n v="2413.02"/>
    <n v="61.28"/>
    <x v="4"/>
    <n v="2"/>
    <x v="1"/>
    <x v="1"/>
    <n v="1"/>
  </r>
  <r>
    <s v="ORD-01864"/>
    <d v="2022-04-02T00:00:00"/>
    <s v="CUST09459"/>
    <x v="208"/>
    <n v="44"/>
    <x v="1"/>
    <x v="0"/>
    <x v="3"/>
    <x v="12"/>
    <x v="3"/>
    <s v="Jacket"/>
    <n v="8"/>
    <n v="2007.46"/>
    <x v="16"/>
    <n v="22694.82"/>
    <n v="8877.57"/>
    <n v="29.19"/>
    <x v="5"/>
    <n v="5"/>
    <x v="0"/>
    <x v="0"/>
    <n v="8"/>
  </r>
  <r>
    <s v="ORD-03635"/>
    <d v="2024-04-29T00:00:00"/>
    <s v="CUST69253"/>
    <x v="107"/>
    <n v="31"/>
    <x v="0"/>
    <x v="0"/>
    <x v="2"/>
    <x v="13"/>
    <x v="3"/>
    <s v="Jacket"/>
    <n v="1"/>
    <n v="2333.8200000000002"/>
    <x v="25"/>
    <n v="2311.2600000000002"/>
    <n v="857.57"/>
    <n v="31.53"/>
    <x v="0"/>
    <n v="2"/>
    <x v="1"/>
    <x v="1"/>
    <n v="10"/>
  </r>
  <r>
    <s v="ORD-00974"/>
    <d v="2021-03-20T00:00:00"/>
    <s v="CUST42500"/>
    <x v="208"/>
    <n v="30"/>
    <x v="0"/>
    <x v="0"/>
    <x v="4"/>
    <x v="8"/>
    <x v="4"/>
    <s v="Cricket Bat"/>
    <n v="8"/>
    <n v="1086.23"/>
    <x v="37"/>
    <n v="7051.86"/>
    <n v="1305.99"/>
    <n v="55.27"/>
    <x v="0"/>
    <n v="4"/>
    <x v="1"/>
    <x v="1"/>
    <n v="8"/>
  </r>
  <r>
    <s v="ORD-02741"/>
    <d v="2023-04-01T00:00:00"/>
    <s v="CUST45274"/>
    <x v="321"/>
    <n v="23"/>
    <x v="3"/>
    <x v="0"/>
    <x v="3"/>
    <x v="12"/>
    <x v="4"/>
    <s v="Dumbbells"/>
    <n v="6"/>
    <n v="5555.87"/>
    <x v="35"/>
    <n v="34653.360000000001"/>
    <n v="9878.4"/>
    <n v="74.61"/>
    <x v="0"/>
    <n v="5"/>
    <x v="0"/>
    <x v="0"/>
    <n v="4"/>
  </r>
  <r>
    <s v="ORD-03179"/>
    <d v="2023-10-06T00:00:00"/>
    <s v="CUST04408"/>
    <x v="141"/>
    <n v="24"/>
    <x v="3"/>
    <x v="2"/>
    <x v="2"/>
    <x v="13"/>
    <x v="4"/>
    <s v="Tennis Racket"/>
    <n v="6"/>
    <n v="4814.34"/>
    <x v="38"/>
    <n v="27501.279999999999"/>
    <n v="3795.89"/>
    <n v="44.25"/>
    <x v="2"/>
    <n v="3"/>
    <x v="0"/>
    <x v="0"/>
    <n v="6"/>
  </r>
  <r>
    <s v="ORD-00519"/>
    <d v="2020-08-18T00:00:00"/>
    <s v="CUST46240"/>
    <x v="168"/>
    <n v="21"/>
    <x v="3"/>
    <x v="0"/>
    <x v="1"/>
    <x v="11"/>
    <x v="4"/>
    <s v="Tennis Racket"/>
    <n v="4"/>
    <n v="2245.2600000000002"/>
    <x v="28"/>
    <n v="10562.68"/>
    <n v="1551.12"/>
    <n v="67.36"/>
    <x v="5"/>
    <n v="1"/>
    <x v="0"/>
    <x v="0"/>
    <n v="8"/>
  </r>
  <r>
    <s v="ORD-03408"/>
    <d v="2024-01-16T00:00:00"/>
    <s v="CUST53254"/>
    <x v="250"/>
    <n v="35"/>
    <x v="0"/>
    <x v="1"/>
    <x v="4"/>
    <x v="8"/>
    <x v="3"/>
    <s v="Jeans"/>
    <n v="2"/>
    <n v="2942.34"/>
    <x v="26"/>
    <n v="4536.4799999999996"/>
    <n v="1703.86"/>
    <n v="54.7"/>
    <x v="0"/>
    <n v="5"/>
    <x v="1"/>
    <x v="1"/>
    <n v="7"/>
  </r>
  <r>
    <s v="ORD-03906"/>
    <d v="2024-08-15T00:00:00"/>
    <s v="CUST36432"/>
    <x v="229"/>
    <n v="33"/>
    <x v="0"/>
    <x v="0"/>
    <x v="4"/>
    <x v="8"/>
    <x v="2"/>
    <s v="Self-Help Book"/>
    <n v="8"/>
    <n v="1226.8399999999999"/>
    <x v="37"/>
    <n v="11994.58"/>
    <n v="3912.8"/>
    <n v="69.45"/>
    <x v="1"/>
    <n v="4"/>
    <x v="0"/>
    <x v="0"/>
    <n v="6"/>
  </r>
  <r>
    <s v="ORD-00880"/>
    <d v="2021-02-02T00:00:00"/>
    <s v="CUST93518"/>
    <x v="230"/>
    <n v="36"/>
    <x v="1"/>
    <x v="1"/>
    <x v="3"/>
    <x v="12"/>
    <x v="2"/>
    <s v="Comic Book"/>
    <n v="9"/>
    <n v="1355.32"/>
    <x v="38"/>
    <n v="9672.16"/>
    <n v="3948.56"/>
    <n v="95.05"/>
    <x v="0"/>
    <n v="4"/>
    <x v="0"/>
    <x v="0"/>
    <n v="4"/>
  </r>
  <r>
    <s v="ORD-01651"/>
    <d v="2022-01-07T00:00:00"/>
    <s v="CUST43881"/>
    <x v="296"/>
    <n v="28"/>
    <x v="0"/>
    <x v="1"/>
    <x v="2"/>
    <x v="14"/>
    <x v="1"/>
    <s v="Desk"/>
    <n v="2"/>
    <n v="15019.51"/>
    <x v="11"/>
    <n v="22257.16"/>
    <n v="6736.14"/>
    <n v="45.65"/>
    <x v="4"/>
    <n v="2"/>
    <x v="0"/>
    <x v="2"/>
    <n v="7"/>
  </r>
  <r>
    <s v="ORD-02265"/>
    <d v="2022-09-12T00:00:00"/>
    <s v="CUST40896"/>
    <x v="59"/>
    <n v="48"/>
    <x v="1"/>
    <x v="2"/>
    <x v="0"/>
    <x v="0"/>
    <x v="6"/>
    <s v="Headphones"/>
    <n v="7"/>
    <n v="17875.78"/>
    <x v="40"/>
    <n v="88594.37"/>
    <n v="10922.5"/>
    <n v="64.930000000000007"/>
    <x v="3"/>
    <n v="1"/>
    <x v="0"/>
    <x v="3"/>
    <n v="3"/>
  </r>
  <r>
    <s v="ORD-04143"/>
    <d v="2024-04-12T00:00:00"/>
    <s v="CUST39988"/>
    <x v="276"/>
    <n v="20"/>
    <x v="3"/>
    <x v="0"/>
    <x v="3"/>
    <x v="12"/>
    <x v="1"/>
    <s v="Bed Frame"/>
    <n v="9"/>
    <n v="31889.55"/>
    <x v="13"/>
    <n v="231659.35"/>
    <n v="73647.320000000007"/>
    <n v="82.21"/>
    <x v="3"/>
    <n v="4"/>
    <x v="0"/>
    <x v="0"/>
    <n v="3"/>
  </r>
  <r>
    <s v="ORD-00953"/>
    <d v="2021-03-07T00:00:00"/>
    <s v="CUST31395"/>
    <x v="298"/>
    <n v="51"/>
    <x v="2"/>
    <x v="0"/>
    <x v="0"/>
    <x v="0"/>
    <x v="5"/>
    <s v="Sugar"/>
    <n v="8"/>
    <n v="304.95999999999998"/>
    <x v="28"/>
    <n v="2345.4"/>
    <n v="225.25"/>
    <n v="36.35"/>
    <x v="2"/>
    <n v="2"/>
    <x v="0"/>
    <x v="0"/>
    <n v="3"/>
  </r>
  <r>
    <s v="ORD-03208"/>
    <d v="2023-10-19T00:00:00"/>
    <s v="CUST07878"/>
    <x v="299"/>
    <n v="39"/>
    <x v="1"/>
    <x v="0"/>
    <x v="1"/>
    <x v="6"/>
    <x v="0"/>
    <s v="Face Cream"/>
    <n v="6"/>
    <n v="1870.67"/>
    <x v="35"/>
    <n v="7697.7"/>
    <n v="4210.6099999999997"/>
    <n v="51.88"/>
    <x v="0"/>
    <n v="5"/>
    <x v="0"/>
    <x v="0"/>
    <n v="1"/>
  </r>
  <r>
    <s v="ORD-03099"/>
    <d v="2023-09-01T00:00:00"/>
    <s v="CUST54403"/>
    <x v="368"/>
    <n v="31"/>
    <x v="0"/>
    <x v="2"/>
    <x v="1"/>
    <x v="10"/>
    <x v="2"/>
    <s v="Cook Book"/>
    <n v="7"/>
    <n v="1057.54"/>
    <x v="33"/>
    <n v="6459.84"/>
    <n v="2620.0500000000002"/>
    <n v="60.64"/>
    <x v="0"/>
    <n v="2"/>
    <x v="1"/>
    <x v="1"/>
    <n v="2"/>
  </r>
  <r>
    <s v="ORD-02910"/>
    <d v="2023-10-06T00:00:00"/>
    <s v="CUST60967"/>
    <x v="314"/>
    <n v="19"/>
    <x v="3"/>
    <x v="0"/>
    <x v="0"/>
    <x v="1"/>
    <x v="4"/>
    <s v="Cycle"/>
    <n v="5"/>
    <n v="13947.97"/>
    <x v="10"/>
    <n v="76540.789999999994"/>
    <n v="25167.53"/>
    <n v="78.239999999999995"/>
    <x v="1"/>
    <n v="1"/>
    <x v="0"/>
    <x v="2"/>
    <n v="7"/>
  </r>
  <r>
    <s v="ORD-03547"/>
    <d v="2024-03-20T00:00:00"/>
    <s v="CUST38738"/>
    <x v="60"/>
    <n v="48"/>
    <x v="1"/>
    <x v="2"/>
    <x v="1"/>
    <x v="3"/>
    <x v="0"/>
    <s v="Face Cream"/>
    <n v="7"/>
    <n v="2483.1"/>
    <x v="37"/>
    <n v="19141.88"/>
    <n v="9979.84"/>
    <n v="55.38"/>
    <x v="5"/>
    <n v="3"/>
    <x v="0"/>
    <x v="0"/>
    <n v="10"/>
  </r>
  <r>
    <s v="ORD-01190"/>
    <d v="2021-06-19T00:00:00"/>
    <s v="CUST89428"/>
    <x v="104"/>
    <n v="24"/>
    <x v="3"/>
    <x v="0"/>
    <x v="2"/>
    <x v="13"/>
    <x v="5"/>
    <s v="Dal (1kg)"/>
    <n v="8"/>
    <n v="134.32"/>
    <x v="8"/>
    <n v="1451.63"/>
    <n v="139.04"/>
    <n v="56.65"/>
    <x v="0"/>
    <n v="2"/>
    <x v="0"/>
    <x v="0"/>
    <n v="5"/>
  </r>
  <r>
    <s v="ORD-03625"/>
    <d v="2024-04-26T00:00:00"/>
    <s v="CUST51053"/>
    <x v="128"/>
    <n v="37"/>
    <x v="1"/>
    <x v="0"/>
    <x v="3"/>
    <x v="12"/>
    <x v="3"/>
    <s v="T-Shirt"/>
    <n v="2"/>
    <n v="336.81"/>
    <x v="37"/>
    <n v="928.67"/>
    <n v="222.36"/>
    <n v="105.46"/>
    <x v="3"/>
    <n v="4"/>
    <x v="0"/>
    <x v="0"/>
    <n v="8"/>
  </r>
  <r>
    <s v="ORD-01054"/>
    <d v="2021-04-21T00:00:00"/>
    <s v="CUST25910"/>
    <x v="294"/>
    <n v="18"/>
    <x v="3"/>
    <x v="1"/>
    <x v="3"/>
    <x v="16"/>
    <x v="5"/>
    <s v="Rice (5kg)"/>
    <n v="2"/>
    <n v="94.76"/>
    <x v="40"/>
    <n v="140.80000000000001"/>
    <n v="10.16"/>
    <n v="69.7"/>
    <x v="3"/>
    <n v="3"/>
    <x v="0"/>
    <x v="0"/>
    <n v="5"/>
  </r>
  <r>
    <s v="ORD-04122"/>
    <d v="2024-11-27T00:00:00"/>
    <s v="CUST89767"/>
    <x v="200"/>
    <n v="21"/>
    <x v="3"/>
    <x v="1"/>
    <x v="4"/>
    <x v="8"/>
    <x v="6"/>
    <s v="Camera"/>
    <n v="10"/>
    <n v="78416.649999999994"/>
    <x v="36"/>
    <n v="598247.4"/>
    <n v="76981.5"/>
    <n v="47.97"/>
    <x v="4"/>
    <n v="3"/>
    <x v="0"/>
    <x v="2"/>
    <n v="8"/>
  </r>
  <r>
    <s v="ORD-02394"/>
    <d v="2022-11-01T00:00:00"/>
    <s v="CUST48987"/>
    <x v="218"/>
    <n v="19"/>
    <x v="3"/>
    <x v="2"/>
    <x v="4"/>
    <x v="17"/>
    <x v="0"/>
    <s v="Shampoo"/>
    <n v="4"/>
    <n v="901.35"/>
    <x v="11"/>
    <n v="2292.2800000000002"/>
    <n v="1103.3599999999999"/>
    <n v="70.489999999999995"/>
    <x v="4"/>
    <n v="3"/>
    <x v="0"/>
    <x v="0"/>
    <n v="9"/>
  </r>
  <r>
    <s v="ORD-00998"/>
    <d v="2021-03-30T00:00:00"/>
    <s v="CUST74848"/>
    <x v="76"/>
    <n v="29"/>
    <x v="0"/>
    <x v="1"/>
    <x v="3"/>
    <x v="12"/>
    <x v="4"/>
    <s v="Football"/>
    <n v="8"/>
    <n v="10920.29"/>
    <x v="29"/>
    <n v="83283.38"/>
    <n v="15878.93"/>
    <n v="109.6"/>
    <x v="1"/>
    <n v="2"/>
    <x v="0"/>
    <x v="0"/>
    <n v="7"/>
  </r>
  <r>
    <s v="ORD-01257"/>
    <d v="2021-07-20T00:00:00"/>
    <s v="CUST58111"/>
    <x v="141"/>
    <n v="32"/>
    <x v="0"/>
    <x v="2"/>
    <x v="0"/>
    <x v="1"/>
    <x v="5"/>
    <s v="Flour"/>
    <n v="10"/>
    <n v="311.3"/>
    <x v="3"/>
    <n v="2697.43"/>
    <n v="192.38"/>
    <n v="47.53"/>
    <x v="1"/>
    <n v="5"/>
    <x v="0"/>
    <x v="0"/>
    <n v="5"/>
  </r>
  <r>
    <s v="ORD-01359"/>
    <d v="2021-09-04T00:00:00"/>
    <s v="CUST02336"/>
    <x v="203"/>
    <n v="41"/>
    <x v="1"/>
    <x v="1"/>
    <x v="2"/>
    <x v="4"/>
    <x v="6"/>
    <s v="Laptop"/>
    <n v="4"/>
    <n v="58347.92"/>
    <x v="26"/>
    <n v="187775.6"/>
    <n v="29981.09"/>
    <n v="40.020000000000003"/>
    <x v="2"/>
    <n v="5"/>
    <x v="1"/>
    <x v="1"/>
    <n v="1"/>
  </r>
  <r>
    <s v="ORD-01490"/>
    <d v="2021-10-31T00:00:00"/>
    <s v="CUST68846"/>
    <x v="318"/>
    <n v="55"/>
    <x v="2"/>
    <x v="0"/>
    <x v="1"/>
    <x v="10"/>
    <x v="6"/>
    <s v="Laptop"/>
    <n v="8"/>
    <n v="55123.63"/>
    <x v="7"/>
    <n v="356673.17"/>
    <n v="10636.55"/>
    <n v="57.56"/>
    <x v="0"/>
    <n v="5"/>
    <x v="0"/>
    <x v="0"/>
    <n v="5"/>
  </r>
  <r>
    <s v="ORD-01565"/>
    <d v="2021-11-30T00:00:00"/>
    <s v="CUST50049"/>
    <x v="62"/>
    <n v="28"/>
    <x v="0"/>
    <x v="1"/>
    <x v="0"/>
    <x v="1"/>
    <x v="3"/>
    <s v="T-Shirt"/>
    <n v="6"/>
    <n v="3969.96"/>
    <x v="13"/>
    <n v="17673.419999999998"/>
    <n v="4862.5"/>
    <n v="49.67"/>
    <x v="1"/>
    <n v="2"/>
    <x v="0"/>
    <x v="3"/>
    <n v="2"/>
  </r>
  <r>
    <s v="ORD-02744"/>
    <d v="2023-04-01T00:00:00"/>
    <s v="CUST66758"/>
    <x v="200"/>
    <n v="31"/>
    <x v="0"/>
    <x v="2"/>
    <x v="2"/>
    <x v="9"/>
    <x v="0"/>
    <s v="Lipstick"/>
    <n v="8"/>
    <n v="2199.06"/>
    <x v="35"/>
    <n v="19643.63"/>
    <n v="6740.03"/>
    <n v="50.62"/>
    <x v="2"/>
    <n v="1"/>
    <x v="0"/>
    <x v="0"/>
    <n v="8"/>
  </r>
  <r>
    <s v="ORD-03693"/>
    <d v="2024-05-22T00:00:00"/>
    <s v="CUST04664"/>
    <x v="196"/>
    <n v="45"/>
    <x v="1"/>
    <x v="0"/>
    <x v="4"/>
    <x v="7"/>
    <x v="2"/>
    <s v="Fiction Novel"/>
    <n v="4"/>
    <n v="1444.05"/>
    <x v="35"/>
    <n v="6939.46"/>
    <n v="2386.88"/>
    <n v="95.97"/>
    <x v="4"/>
    <n v="3"/>
    <x v="0"/>
    <x v="0"/>
    <n v="3"/>
  </r>
  <r>
    <s v="ORD-00289"/>
    <d v="2020-05-07T00:00:00"/>
    <s v="CUST73246"/>
    <x v="248"/>
    <n v="46"/>
    <x v="1"/>
    <x v="0"/>
    <x v="4"/>
    <x v="7"/>
    <x v="2"/>
    <s v="Comic Book"/>
    <n v="6"/>
    <n v="366.68"/>
    <x v="3"/>
    <n v="2435.14"/>
    <n v="744.83"/>
    <n v="60.14"/>
    <x v="4"/>
    <n v="2"/>
    <x v="1"/>
    <x v="1"/>
    <n v="2"/>
  </r>
  <r>
    <s v="ORD-01021"/>
    <d v="2021-04-05T00:00:00"/>
    <s v="CUST46097"/>
    <x v="102"/>
    <n v="30"/>
    <x v="0"/>
    <x v="0"/>
    <x v="1"/>
    <x v="10"/>
    <x v="5"/>
    <s v="Tea"/>
    <n v="10"/>
    <n v="140.77000000000001"/>
    <x v="8"/>
    <n v="1620.6"/>
    <n v="92.58"/>
    <n v="48.86"/>
    <x v="1"/>
    <n v="5"/>
    <x v="0"/>
    <x v="0"/>
    <n v="5"/>
  </r>
  <r>
    <s v="ORD-02519"/>
    <d v="2022-12-29T00:00:00"/>
    <s v="CUST63560"/>
    <x v="399"/>
    <n v="61"/>
    <x v="2"/>
    <x v="2"/>
    <x v="4"/>
    <x v="8"/>
    <x v="5"/>
    <s v="Tea"/>
    <n v="10"/>
    <n v="477.67"/>
    <x v="22"/>
    <n v="2743.7"/>
    <n v="241.54"/>
    <n v="64.260000000000005"/>
    <x v="0"/>
    <n v="3"/>
    <x v="0"/>
    <x v="0"/>
    <n v="2"/>
  </r>
  <r>
    <s v="ORD-01103"/>
    <d v="2021-05-13T00:00:00"/>
    <s v="CUST68761"/>
    <x v="103"/>
    <n v="47"/>
    <x v="1"/>
    <x v="2"/>
    <x v="2"/>
    <x v="13"/>
    <x v="1"/>
    <s v="Wardrobe"/>
    <n v="2"/>
    <n v="11894.06"/>
    <x v="11"/>
    <n v="27604.98"/>
    <n v="6286.41"/>
    <n v="70.91"/>
    <x v="1"/>
    <n v="4"/>
    <x v="0"/>
    <x v="2"/>
    <n v="4"/>
  </r>
  <r>
    <s v="ORD-03896"/>
    <d v="2024-08-13T00:00:00"/>
    <s v="CUST78041"/>
    <x v="350"/>
    <n v="29"/>
    <x v="0"/>
    <x v="0"/>
    <x v="2"/>
    <x v="13"/>
    <x v="6"/>
    <s v="Laptop"/>
    <n v="10"/>
    <n v="53218.559999999998"/>
    <x v="23"/>
    <n v="560937.53"/>
    <n v="68296.39"/>
    <n v="20.81"/>
    <x v="2"/>
    <n v="3"/>
    <x v="0"/>
    <x v="0"/>
    <n v="6"/>
  </r>
  <r>
    <s v="ORD-01526"/>
    <d v="2021-11-17T00:00:00"/>
    <s v="CUST64362"/>
    <x v="61"/>
    <n v="60"/>
    <x v="2"/>
    <x v="0"/>
    <x v="4"/>
    <x v="8"/>
    <x v="2"/>
    <s v="Textbook"/>
    <n v="2"/>
    <n v="371.2"/>
    <x v="15"/>
    <n v="427.53"/>
    <n v="199.91"/>
    <n v="67.34"/>
    <x v="2"/>
    <n v="2"/>
    <x v="0"/>
    <x v="0"/>
    <n v="4"/>
  </r>
  <r>
    <s v="ORD-02352"/>
    <d v="2022-10-13T00:00:00"/>
    <s v="CUST89546"/>
    <x v="55"/>
    <n v="26"/>
    <x v="0"/>
    <x v="0"/>
    <x v="0"/>
    <x v="0"/>
    <x v="3"/>
    <s v="Kurta"/>
    <n v="5"/>
    <n v="3741.86"/>
    <x v="3"/>
    <n v="13643.24"/>
    <n v="4735.93"/>
    <n v="53.44"/>
    <x v="4"/>
    <n v="4"/>
    <x v="1"/>
    <x v="1"/>
    <n v="1"/>
  </r>
  <r>
    <s v="ORD-02347"/>
    <d v="2022-10-12T00:00:00"/>
    <s v="CUST24182"/>
    <x v="82"/>
    <n v="36"/>
    <x v="1"/>
    <x v="0"/>
    <x v="1"/>
    <x v="6"/>
    <x v="5"/>
    <s v="Cooking Oil"/>
    <n v="3"/>
    <n v="403.22"/>
    <x v="30"/>
    <n v="824.95"/>
    <n v="82.5"/>
    <n v="62.33"/>
    <x v="3"/>
    <n v="3"/>
    <x v="0"/>
    <x v="0"/>
    <n v="9"/>
  </r>
  <r>
    <s v="ORD-02576"/>
    <d v="2023-01-27T00:00:00"/>
    <s v="CUST12074"/>
    <x v="165"/>
    <n v="38"/>
    <x v="1"/>
    <x v="1"/>
    <x v="3"/>
    <x v="5"/>
    <x v="3"/>
    <s v="Jacket"/>
    <n v="1"/>
    <n v="3316.89"/>
    <x v="4"/>
    <n v="2808.53"/>
    <n v="1124.49"/>
    <n v="73.41"/>
    <x v="4"/>
    <n v="5"/>
    <x v="0"/>
    <x v="2"/>
    <n v="10"/>
  </r>
  <r>
    <s v="ORD-01246"/>
    <d v="2021-07-16T00:00:00"/>
    <s v="CUST93346"/>
    <x v="331"/>
    <n v="52"/>
    <x v="2"/>
    <x v="2"/>
    <x v="3"/>
    <x v="5"/>
    <x v="5"/>
    <s v="Dal (1kg)"/>
    <n v="10"/>
    <n v="422.95"/>
    <x v="5"/>
    <n v="5380.7"/>
    <n v="403.1"/>
    <n v="74.58"/>
    <x v="0"/>
    <n v="4"/>
    <x v="0"/>
    <x v="0"/>
    <n v="6"/>
  </r>
  <r>
    <s v="ORD-01060"/>
    <d v="2021-04-25T00:00:00"/>
    <s v="CUST46841"/>
    <x v="66"/>
    <n v="37"/>
    <x v="1"/>
    <x v="0"/>
    <x v="2"/>
    <x v="9"/>
    <x v="4"/>
    <s v="Cycle"/>
    <n v="5"/>
    <n v="8455.8700000000008"/>
    <x v="35"/>
    <n v="32604.639999999999"/>
    <n v="8841.2900000000009"/>
    <n v="51.91"/>
    <x v="0"/>
    <n v="5"/>
    <x v="0"/>
    <x v="0"/>
    <n v="5"/>
  </r>
  <r>
    <s v="ORD-04120"/>
    <d v="2024-11-27T00:00:00"/>
    <s v="CUST60757"/>
    <x v="376"/>
    <n v="20"/>
    <x v="3"/>
    <x v="2"/>
    <x v="4"/>
    <x v="7"/>
    <x v="3"/>
    <s v="Dress"/>
    <n v="1"/>
    <n v="335.42"/>
    <x v="37"/>
    <n v="247.75"/>
    <n v="88.1"/>
    <n v="73.88"/>
    <x v="0"/>
    <n v="3"/>
    <x v="0"/>
    <x v="0"/>
    <n v="3"/>
  </r>
  <r>
    <s v="ORD-00589"/>
    <d v="2020-09-20T00:00:00"/>
    <s v="CUST18414"/>
    <x v="13"/>
    <n v="24"/>
    <x v="3"/>
    <x v="1"/>
    <x v="2"/>
    <x v="9"/>
    <x v="3"/>
    <s v="Dress"/>
    <n v="4"/>
    <n v="3802.14"/>
    <x v="31"/>
    <n v="11713.77"/>
    <n v="4073.09"/>
    <n v="63.7"/>
    <x v="3"/>
    <n v="4"/>
    <x v="0"/>
    <x v="0"/>
    <n v="10"/>
  </r>
  <r>
    <s v="ORD-01686"/>
    <d v="2022-01-21T00:00:00"/>
    <s v="CUST44944"/>
    <x v="188"/>
    <n v="24"/>
    <x v="3"/>
    <x v="0"/>
    <x v="1"/>
    <x v="6"/>
    <x v="1"/>
    <s v="Chair"/>
    <n v="8"/>
    <n v="6492.13"/>
    <x v="32"/>
    <n v="42405.18"/>
    <n v="10060.56"/>
    <n v="52.57"/>
    <x v="3"/>
    <n v="3"/>
    <x v="0"/>
    <x v="0"/>
    <n v="10"/>
  </r>
  <r>
    <s v="ORD-02548"/>
    <d v="2023-01-12T00:00:00"/>
    <s v="CUST41169"/>
    <x v="262"/>
    <n v="46"/>
    <x v="1"/>
    <x v="0"/>
    <x v="3"/>
    <x v="12"/>
    <x v="1"/>
    <s v="Sofa"/>
    <n v="10"/>
    <n v="14207.99"/>
    <x v="29"/>
    <n v="135263.66"/>
    <n v="39842.93"/>
    <n v="65.88"/>
    <x v="2"/>
    <n v="4"/>
    <x v="0"/>
    <x v="0"/>
    <n v="3"/>
  </r>
  <r>
    <s v="ORD-01989"/>
    <d v="2022-05-28T00:00:00"/>
    <s v="CUST57444"/>
    <x v="232"/>
    <n v="30"/>
    <x v="0"/>
    <x v="2"/>
    <x v="2"/>
    <x v="14"/>
    <x v="3"/>
    <s v="Jeans"/>
    <n v="2"/>
    <n v="3929.54"/>
    <x v="31"/>
    <n v="9882.86"/>
    <n v="4050.34"/>
    <n v="67.09"/>
    <x v="2"/>
    <n v="3"/>
    <x v="0"/>
    <x v="0"/>
    <n v="5"/>
  </r>
  <r>
    <s v="ORD-01306"/>
    <d v="2021-08-10T00:00:00"/>
    <s v="CUST62979"/>
    <x v="64"/>
    <n v="36"/>
    <x v="1"/>
    <x v="1"/>
    <x v="1"/>
    <x v="6"/>
    <x v="6"/>
    <s v="Smartwatch"/>
    <n v="8"/>
    <n v="58571.61"/>
    <x v="12"/>
    <n v="475115.46"/>
    <n v="53027.1"/>
    <n v="56.37"/>
    <x v="1"/>
    <n v="4"/>
    <x v="1"/>
    <x v="1"/>
    <n v="4"/>
  </r>
  <r>
    <s v="ORD-01823"/>
    <d v="2022-03-16T00:00:00"/>
    <s v="CUST35405"/>
    <x v="64"/>
    <n v="35"/>
    <x v="0"/>
    <x v="2"/>
    <x v="1"/>
    <x v="6"/>
    <x v="4"/>
    <s v="Cycle"/>
    <n v="4"/>
    <n v="5236.2700000000004"/>
    <x v="32"/>
    <n v="24896.51"/>
    <n v="4435.7299999999996"/>
    <n v="74.78"/>
    <x v="2"/>
    <n v="1"/>
    <x v="0"/>
    <x v="3"/>
    <n v="8"/>
  </r>
  <r>
    <s v="ORD-03110"/>
    <d v="2023-09-05T00:00:00"/>
    <s v="CUST38634"/>
    <x v="13"/>
    <n v="50"/>
    <x v="1"/>
    <x v="0"/>
    <x v="4"/>
    <x v="17"/>
    <x v="3"/>
    <s v="Kurta"/>
    <n v="7"/>
    <n v="3365.93"/>
    <x v="38"/>
    <n v="25929.31"/>
    <n v="13312.04"/>
    <n v="74.84"/>
    <x v="0"/>
    <n v="3"/>
    <x v="0"/>
    <x v="2"/>
    <n v="4"/>
  </r>
  <r>
    <s v="ORD-02755"/>
    <d v="2023-04-06T00:00:00"/>
    <s v="CUST20559"/>
    <x v="204"/>
    <n v="46"/>
    <x v="1"/>
    <x v="0"/>
    <x v="2"/>
    <x v="13"/>
    <x v="2"/>
    <s v="Biography"/>
    <n v="9"/>
    <n v="421.91"/>
    <x v="31"/>
    <n v="4945.5200000000004"/>
    <n v="2326.52"/>
    <n v="51.34"/>
    <x v="1"/>
    <n v="5"/>
    <x v="0"/>
    <x v="0"/>
    <n v="1"/>
  </r>
  <r>
    <s v="ORD-04088"/>
    <d v="2024-11-08T00:00:00"/>
    <s v="CUST96195"/>
    <x v="333"/>
    <n v="34"/>
    <x v="0"/>
    <x v="1"/>
    <x v="3"/>
    <x v="16"/>
    <x v="3"/>
    <s v="Saree"/>
    <n v="9"/>
    <n v="1665.92"/>
    <x v="20"/>
    <n v="11063"/>
    <n v="2273.36"/>
    <n v="91.64"/>
    <x v="3"/>
    <n v="3"/>
    <x v="0"/>
    <x v="0"/>
    <n v="1"/>
  </r>
  <r>
    <s v="ORD-01513"/>
    <d v="2021-11-12T00:00:00"/>
    <s v="CUST81406"/>
    <x v="135"/>
    <n v="58"/>
    <x v="2"/>
    <x v="1"/>
    <x v="2"/>
    <x v="4"/>
    <x v="4"/>
    <s v="Cricket Bat"/>
    <n v="10"/>
    <n v="11652.14"/>
    <x v="2"/>
    <n v="75606.39"/>
    <n v="12791.68"/>
    <n v="49.96"/>
    <x v="1"/>
    <n v="1"/>
    <x v="0"/>
    <x v="0"/>
    <n v="10"/>
  </r>
  <r>
    <s v="ORD-03252"/>
    <d v="2023-11-05T00:00:00"/>
    <s v="CUST39721"/>
    <x v="364"/>
    <n v="32"/>
    <x v="0"/>
    <x v="2"/>
    <x v="0"/>
    <x v="1"/>
    <x v="4"/>
    <s v="Cricket Bat"/>
    <n v="3"/>
    <n v="10070.36"/>
    <x v="10"/>
    <n v="20450.62"/>
    <n v="4777.96"/>
    <n v="40.78"/>
    <x v="4"/>
    <n v="4"/>
    <x v="0"/>
    <x v="0"/>
    <n v="3"/>
  </r>
  <r>
    <s v="ORD-02695"/>
    <d v="2023-03-14T00:00:00"/>
    <s v="CUST36599"/>
    <x v="238"/>
    <n v="43"/>
    <x v="1"/>
    <x v="2"/>
    <x v="0"/>
    <x v="2"/>
    <x v="0"/>
    <s v="Shampoo"/>
    <n v="9"/>
    <n v="415.58"/>
    <x v="34"/>
    <n v="3291.09"/>
    <n v="1457.49"/>
    <n v="93.37"/>
    <x v="0"/>
    <n v="4"/>
    <x v="0"/>
    <x v="4"/>
    <n v="3"/>
  </r>
  <r>
    <s v="ORD-03336"/>
    <d v="2023-12-14T00:00:00"/>
    <s v="CUST95363"/>
    <x v="43"/>
    <n v="35"/>
    <x v="0"/>
    <x v="1"/>
    <x v="3"/>
    <x v="5"/>
    <x v="5"/>
    <s v="Sugar"/>
    <n v="3"/>
    <n v="362.51"/>
    <x v="28"/>
    <n v="803.64"/>
    <n v="58"/>
    <n v="84.62"/>
    <x v="0"/>
    <n v="3"/>
    <x v="0"/>
    <x v="2"/>
    <n v="10"/>
  </r>
  <r>
    <s v="ORD-02782"/>
    <d v="2023-04-20T00:00:00"/>
    <s v="CUST50156"/>
    <x v="108"/>
    <n v="23"/>
    <x v="3"/>
    <x v="1"/>
    <x v="0"/>
    <x v="2"/>
    <x v="4"/>
    <s v="Dumbbells"/>
    <n v="6"/>
    <n v="3259.56"/>
    <x v="12"/>
    <n v="20331.59"/>
    <n v="3788.35"/>
    <n v="62.56"/>
    <x v="2"/>
    <n v="2"/>
    <x v="0"/>
    <x v="0"/>
    <n v="9"/>
  </r>
  <r>
    <s v="ORD-04124"/>
    <d v="2024-11-29T00:00:00"/>
    <s v="CUST93821"/>
    <x v="355"/>
    <n v="57"/>
    <x v="2"/>
    <x v="1"/>
    <x v="4"/>
    <x v="17"/>
    <x v="3"/>
    <s v="Saree"/>
    <n v="7"/>
    <n v="2979.19"/>
    <x v="23"/>
    <n v="16150.97"/>
    <n v="6112.46"/>
    <n v="84.04"/>
    <x v="2"/>
    <n v="1"/>
    <x v="0"/>
    <x v="0"/>
    <n v="7"/>
  </r>
  <r>
    <s v="ORD-01578"/>
    <d v="2021-12-05T00:00:00"/>
    <s v="CUST75792"/>
    <x v="325"/>
    <n v="38"/>
    <x v="1"/>
    <x v="1"/>
    <x v="0"/>
    <x v="1"/>
    <x v="3"/>
    <s v="Jeans"/>
    <n v="3"/>
    <n v="3600.05"/>
    <x v="39"/>
    <n v="7315.14"/>
    <n v="3342.94"/>
    <n v="28.05"/>
    <x v="3"/>
    <n v="3"/>
    <x v="1"/>
    <x v="1"/>
    <n v="1"/>
  </r>
  <r>
    <s v="ORD-03133"/>
    <d v="2023-09-15T00:00:00"/>
    <s v="CUST10354"/>
    <x v="78"/>
    <n v="37"/>
    <x v="1"/>
    <x v="0"/>
    <x v="1"/>
    <x v="3"/>
    <x v="3"/>
    <s v="Jacket"/>
    <n v="9"/>
    <n v="1920.93"/>
    <x v="8"/>
    <n v="18611.05"/>
    <n v="7106.9"/>
    <n v="65.709999999999994"/>
    <x v="1"/>
    <n v="4"/>
    <x v="1"/>
    <x v="1"/>
    <n v="9"/>
  </r>
  <r>
    <s v="ORD-03659"/>
    <d v="2024-05-09T00:00:00"/>
    <s v="CUST21485"/>
    <x v="215"/>
    <n v="35"/>
    <x v="0"/>
    <x v="2"/>
    <x v="0"/>
    <x v="2"/>
    <x v="0"/>
    <s v="Sunscreen"/>
    <n v="8"/>
    <n v="1212.69"/>
    <x v="11"/>
    <n v="13771.38"/>
    <n v="6491.12"/>
    <n v="40.26"/>
    <x v="3"/>
    <n v="3"/>
    <x v="0"/>
    <x v="0"/>
    <n v="8"/>
  </r>
  <r>
    <s v="ORD-00162"/>
    <d v="2020-03-09T00:00:00"/>
    <s v="CUST45896"/>
    <x v="399"/>
    <n v="26"/>
    <x v="0"/>
    <x v="0"/>
    <x v="1"/>
    <x v="11"/>
    <x v="6"/>
    <s v="Tablet"/>
    <n v="6"/>
    <n v="79957.919999999998"/>
    <x v="11"/>
    <n v="431664.73"/>
    <n v="54036.34"/>
    <n v="51.2"/>
    <x v="2"/>
    <n v="3"/>
    <x v="0"/>
    <x v="0"/>
    <n v="10"/>
  </r>
  <r>
    <s v="ORD-02908"/>
    <d v="2023-06-10T00:00:00"/>
    <s v="CUST54563"/>
    <x v="8"/>
    <n v="23"/>
    <x v="3"/>
    <x v="1"/>
    <x v="3"/>
    <x v="15"/>
    <x v="6"/>
    <s v="Smartphone"/>
    <n v="2"/>
    <n v="65714.09"/>
    <x v="18"/>
    <n v="147617.57999999999"/>
    <n v="16129.94"/>
    <n v="76.709999999999994"/>
    <x v="5"/>
    <n v="5"/>
    <x v="0"/>
    <x v="0"/>
    <n v="7"/>
  </r>
  <r>
    <s v="ORD-04026"/>
    <d v="2024-10-14T00:00:00"/>
    <s v="CUST78408"/>
    <x v="217"/>
    <n v="20"/>
    <x v="3"/>
    <x v="0"/>
    <x v="2"/>
    <x v="13"/>
    <x v="5"/>
    <s v="Flour"/>
    <n v="10"/>
    <n v="171.99"/>
    <x v="20"/>
    <n v="1542.88"/>
    <n v="98.26"/>
    <n v="65.88"/>
    <x v="0"/>
    <n v="4"/>
    <x v="1"/>
    <x v="1"/>
    <n v="3"/>
  </r>
  <r>
    <s v="ORD-03059"/>
    <d v="2023-08-17T00:00:00"/>
    <s v="CUST05600"/>
    <x v="290"/>
    <n v="34"/>
    <x v="0"/>
    <x v="0"/>
    <x v="1"/>
    <x v="11"/>
    <x v="1"/>
    <s v="Sofa"/>
    <n v="9"/>
    <n v="19162.75"/>
    <x v="18"/>
    <n v="178414.75"/>
    <n v="35608.129999999997"/>
    <n v="38.92"/>
    <x v="2"/>
    <n v="4"/>
    <x v="0"/>
    <x v="0"/>
    <n v="5"/>
  </r>
  <r>
    <s v="ORD-01736"/>
    <d v="2022-10-02T00:00:00"/>
    <s v="CUST73835"/>
    <x v="399"/>
    <n v="27"/>
    <x v="0"/>
    <x v="2"/>
    <x v="0"/>
    <x v="0"/>
    <x v="3"/>
    <s v="Dress"/>
    <n v="2"/>
    <n v="3211.68"/>
    <x v="21"/>
    <n v="3765.49"/>
    <n v="1384.04"/>
    <n v="46.54"/>
    <x v="1"/>
    <n v="4"/>
    <x v="0"/>
    <x v="0"/>
    <n v="8"/>
  </r>
  <r>
    <s v="ORD-00478"/>
    <d v="2020-07-31T00:00:00"/>
    <s v="CUST17040"/>
    <x v="247"/>
    <n v="43"/>
    <x v="1"/>
    <x v="1"/>
    <x v="0"/>
    <x v="19"/>
    <x v="3"/>
    <s v="T-Shirt"/>
    <n v="10"/>
    <n v="2139.09"/>
    <x v="37"/>
    <n v="21182.67"/>
    <n v="8554.34"/>
    <n v="72.73"/>
    <x v="2"/>
    <n v="2"/>
    <x v="0"/>
    <x v="0"/>
    <n v="8"/>
  </r>
  <r>
    <s v="ORD-01798"/>
    <d v="2022-03-07T00:00:00"/>
    <s v="CUST89556"/>
    <x v="319"/>
    <n v="31"/>
    <x v="0"/>
    <x v="1"/>
    <x v="4"/>
    <x v="8"/>
    <x v="5"/>
    <s v="Rice (5kg)"/>
    <n v="3"/>
    <n v="323.91000000000003"/>
    <x v="24"/>
    <n v="1207.23"/>
    <n v="88.05"/>
    <n v="64.989999999999995"/>
    <x v="0"/>
    <n v="1"/>
    <x v="0"/>
    <x v="2"/>
    <n v="3"/>
  </r>
  <r>
    <s v="ORD-01006"/>
    <d v="2021-03-31T00:00:00"/>
    <s v="CUST48859"/>
    <x v="173"/>
    <n v="42"/>
    <x v="1"/>
    <x v="2"/>
    <x v="3"/>
    <x v="12"/>
    <x v="0"/>
    <s v="Lipstick"/>
    <n v="3"/>
    <n v="1034.33"/>
    <x v="9"/>
    <n v="3430.9"/>
    <n v="1457.51"/>
    <n v="77.03"/>
    <x v="4"/>
    <n v="1"/>
    <x v="0"/>
    <x v="4"/>
    <n v="9"/>
  </r>
  <r>
    <s v="ORD-01398"/>
    <d v="2021-09-23T00:00:00"/>
    <s v="CUST54951"/>
    <x v="256"/>
    <n v="25"/>
    <x v="3"/>
    <x v="1"/>
    <x v="3"/>
    <x v="12"/>
    <x v="1"/>
    <s v="Desk"/>
    <n v="8"/>
    <n v="19149.45"/>
    <x v="1"/>
    <n v="163824.93"/>
    <n v="43339.07"/>
    <n v="77.260000000000005"/>
    <x v="4"/>
    <n v="2"/>
    <x v="0"/>
    <x v="0"/>
    <n v="4"/>
  </r>
  <r>
    <s v="ORD-00632"/>
    <d v="2020-10-10T00:00:00"/>
    <s v="CUST42307"/>
    <x v="289"/>
    <n v="25"/>
    <x v="3"/>
    <x v="2"/>
    <x v="1"/>
    <x v="3"/>
    <x v="1"/>
    <s v="Wardrobe"/>
    <n v="1"/>
    <n v="23097.37"/>
    <x v="14"/>
    <n v="12857.46"/>
    <n v="4344.32"/>
    <n v="107.34"/>
    <x v="2"/>
    <n v="5"/>
    <x v="0"/>
    <x v="0"/>
    <n v="2"/>
  </r>
  <r>
    <s v="ORD-02026"/>
    <d v="2022-06-12T00:00:00"/>
    <s v="CUST80310"/>
    <x v="117"/>
    <n v="28"/>
    <x v="0"/>
    <x v="1"/>
    <x v="1"/>
    <x v="3"/>
    <x v="5"/>
    <s v="Tea"/>
    <n v="8"/>
    <n v="115.46"/>
    <x v="3"/>
    <n v="1183.48"/>
    <n v="105.86"/>
    <n v="42.35"/>
    <x v="1"/>
    <n v="4"/>
    <x v="0"/>
    <x v="2"/>
    <n v="8"/>
  </r>
  <r>
    <s v="ORD-03540"/>
    <d v="2024-03-18T00:00:00"/>
    <s v="CUST79303"/>
    <x v="71"/>
    <n v="46"/>
    <x v="1"/>
    <x v="2"/>
    <x v="2"/>
    <x v="9"/>
    <x v="4"/>
    <s v="Yoga Mat"/>
    <n v="2"/>
    <n v="7756.42"/>
    <x v="22"/>
    <n v="13122.27"/>
    <n v="2871.65"/>
    <n v="33.58"/>
    <x v="3"/>
    <n v="5"/>
    <x v="0"/>
    <x v="0"/>
    <n v="7"/>
  </r>
  <r>
    <s v="ORD-03972"/>
    <d v="2024-09-09T00:00:00"/>
    <s v="CUST81553"/>
    <x v="134"/>
    <n v="49"/>
    <x v="1"/>
    <x v="2"/>
    <x v="3"/>
    <x v="16"/>
    <x v="0"/>
    <s v="Sunscreen"/>
    <n v="8"/>
    <n v="1184.54"/>
    <x v="11"/>
    <n v="9116.76"/>
    <n v="2742.19"/>
    <n v="101.81"/>
    <x v="4"/>
    <n v="2"/>
    <x v="0"/>
    <x v="0"/>
    <n v="8"/>
  </r>
  <r>
    <s v="ORD-01521"/>
    <d v="2021-11-15T00:00:00"/>
    <s v="CUST18819"/>
    <x v="51"/>
    <n v="50"/>
    <x v="1"/>
    <x v="2"/>
    <x v="2"/>
    <x v="14"/>
    <x v="6"/>
    <s v="Headphones"/>
    <n v="2"/>
    <n v="5798.1"/>
    <x v="27"/>
    <n v="7334.77"/>
    <n v="884.69"/>
    <n v="32.840000000000003"/>
    <x v="2"/>
    <n v="3"/>
    <x v="0"/>
    <x v="0"/>
    <n v="3"/>
  </r>
  <r>
    <s v="ORD-02772"/>
    <d v="2023-04-16T00:00:00"/>
    <s v="CUST77009"/>
    <x v="165"/>
    <n v="25"/>
    <x v="3"/>
    <x v="2"/>
    <x v="0"/>
    <x v="1"/>
    <x v="0"/>
    <s v="Shampoo"/>
    <n v="3"/>
    <n v="188.54"/>
    <x v="34"/>
    <n v="430.94"/>
    <n v="225.45"/>
    <n v="38.36"/>
    <x v="1"/>
    <n v="1"/>
    <x v="0"/>
    <x v="0"/>
    <n v="10"/>
  </r>
  <r>
    <s v="ORD-01016"/>
    <d v="2021-04-04T00:00:00"/>
    <s v="CUST99742"/>
    <x v="346"/>
    <n v="29"/>
    <x v="0"/>
    <x v="2"/>
    <x v="3"/>
    <x v="16"/>
    <x v="5"/>
    <s v="Cooking Oil"/>
    <n v="3"/>
    <n v="458.29"/>
    <x v="5"/>
    <n v="1674.66"/>
    <n v="127.44"/>
    <n v="59.96"/>
    <x v="5"/>
    <n v="1"/>
    <x v="0"/>
    <x v="0"/>
    <n v="2"/>
  </r>
  <r>
    <s v="ORD-00494"/>
    <d v="2020-04-08T00:00:00"/>
    <s v="CUST45768"/>
    <x v="351"/>
    <n v="34"/>
    <x v="0"/>
    <x v="0"/>
    <x v="0"/>
    <x v="19"/>
    <x v="2"/>
    <s v="Self-Help Book"/>
    <n v="3"/>
    <n v="679.81"/>
    <x v="1"/>
    <n v="1958.24"/>
    <n v="663.49"/>
    <n v="49.8"/>
    <x v="5"/>
    <n v="4"/>
    <x v="0"/>
    <x v="0"/>
    <n v="3"/>
  </r>
  <r>
    <s v="ORD-03483"/>
    <d v="2024-02-23T00:00:00"/>
    <s v="CUST88764"/>
    <x v="350"/>
    <n v="42"/>
    <x v="1"/>
    <x v="1"/>
    <x v="3"/>
    <x v="12"/>
    <x v="3"/>
    <s v="Dress"/>
    <n v="1"/>
    <n v="619.66"/>
    <x v="29"/>
    <n v="677.46"/>
    <n v="198.49"/>
    <n v="90.84"/>
    <x v="1"/>
    <n v="2"/>
    <x v="0"/>
    <x v="0"/>
    <n v="1"/>
  </r>
  <r>
    <s v="ORD-03710"/>
    <d v="2024-06-05T00:00:00"/>
    <s v="CUST62728"/>
    <x v="172"/>
    <n v="39"/>
    <x v="1"/>
    <x v="0"/>
    <x v="4"/>
    <x v="17"/>
    <x v="0"/>
    <s v="Perfume"/>
    <n v="1"/>
    <n v="2092.15"/>
    <x v="6"/>
    <n v="1997.2"/>
    <n v="949.86"/>
    <n v="60.48"/>
    <x v="4"/>
    <n v="2"/>
    <x v="1"/>
    <x v="1"/>
    <n v="8"/>
  </r>
  <r>
    <s v="ORD-00119"/>
    <d v="2020-02-12T00:00:00"/>
    <s v="CUST18259"/>
    <x v="258"/>
    <n v="33"/>
    <x v="0"/>
    <x v="1"/>
    <x v="2"/>
    <x v="13"/>
    <x v="0"/>
    <s v="Hair Oil"/>
    <n v="4"/>
    <n v="2389.73"/>
    <x v="5"/>
    <n v="8141.15"/>
    <n v="3856.93"/>
    <n v="52.24"/>
    <x v="1"/>
    <n v="1"/>
    <x v="1"/>
    <x v="1"/>
    <n v="4"/>
  </r>
  <r>
    <s v="ORD-02329"/>
    <d v="2022-10-08T00:00:00"/>
    <s v="CUST96865"/>
    <x v="18"/>
    <n v="49"/>
    <x v="1"/>
    <x v="2"/>
    <x v="3"/>
    <x v="16"/>
    <x v="3"/>
    <s v="Kurta"/>
    <n v="9"/>
    <n v="3350.21"/>
    <x v="19"/>
    <n v="25300.71"/>
    <n v="10933.1"/>
    <n v="73.040000000000006"/>
    <x v="5"/>
    <n v="2"/>
    <x v="0"/>
    <x v="0"/>
    <n v="5"/>
  </r>
  <r>
    <s v="ORD-03529"/>
    <d v="2024-03-13T00:00:00"/>
    <s v="CUST50939"/>
    <x v="364"/>
    <n v="40"/>
    <x v="1"/>
    <x v="0"/>
    <x v="2"/>
    <x v="9"/>
    <x v="4"/>
    <s v="Cycle"/>
    <n v="5"/>
    <n v="11392.54"/>
    <x v="29"/>
    <n v="68387.61"/>
    <n v="13710.8"/>
    <n v="63.48"/>
    <x v="5"/>
    <n v="5"/>
    <x v="0"/>
    <x v="2"/>
    <n v="4"/>
  </r>
  <r>
    <s v="ORD-03532"/>
    <d v="2024-03-14T00:00:00"/>
    <s v="CUST84608"/>
    <x v="369"/>
    <n v="49"/>
    <x v="1"/>
    <x v="2"/>
    <x v="0"/>
    <x v="0"/>
    <x v="5"/>
    <s v="Flour"/>
    <n v="10"/>
    <n v="360.93"/>
    <x v="1"/>
    <n v="4159.76"/>
    <n v="343.41"/>
    <n v="73.41"/>
    <x v="3"/>
    <n v="1"/>
    <x v="0"/>
    <x v="0"/>
    <n v="5"/>
  </r>
  <r>
    <s v="ORD-00771"/>
    <d v="2020-12-15T00:00:00"/>
    <s v="CUST07234"/>
    <x v="64"/>
    <n v="31"/>
    <x v="0"/>
    <x v="2"/>
    <x v="0"/>
    <x v="19"/>
    <x v="1"/>
    <s v="Bed Frame"/>
    <n v="8"/>
    <n v="24311.3"/>
    <x v="31"/>
    <n v="113486.89"/>
    <n v="33354.080000000002"/>
    <n v="85.08"/>
    <x v="0"/>
    <n v="5"/>
    <x v="0"/>
    <x v="0"/>
    <n v="6"/>
  </r>
  <r>
    <s v="ORD-02853"/>
    <d v="2023-05-28T00:00:00"/>
    <s v="CUST40777"/>
    <x v="127"/>
    <n v="62"/>
    <x v="2"/>
    <x v="0"/>
    <x v="3"/>
    <x v="12"/>
    <x v="1"/>
    <s v="Wardrobe"/>
    <n v="5"/>
    <n v="19873.59"/>
    <x v="26"/>
    <n v="109991.48"/>
    <n v="39055.480000000003"/>
    <n v="94.68"/>
    <x v="5"/>
    <n v="1"/>
    <x v="0"/>
    <x v="0"/>
    <n v="5"/>
  </r>
  <r>
    <s v="ORD-02997"/>
    <d v="2023-07-21T00:00:00"/>
    <s v="CUST61924"/>
    <x v="190"/>
    <n v="23"/>
    <x v="3"/>
    <x v="0"/>
    <x v="1"/>
    <x v="6"/>
    <x v="6"/>
    <s v="Camera"/>
    <n v="4"/>
    <n v="45542.32"/>
    <x v="14"/>
    <n v="140619.38"/>
    <n v="17512.78"/>
    <n v="87.15"/>
    <x v="3"/>
    <n v="4"/>
    <x v="0"/>
    <x v="0"/>
    <n v="6"/>
  </r>
  <r>
    <s v="ORD-02918"/>
    <d v="2023-06-16T00:00:00"/>
    <s v="CUST30053"/>
    <x v="305"/>
    <n v="45"/>
    <x v="1"/>
    <x v="2"/>
    <x v="1"/>
    <x v="3"/>
    <x v="3"/>
    <s v="Kurta"/>
    <n v="6"/>
    <n v="1810.84"/>
    <x v="36"/>
    <n v="14264.78"/>
    <n v="6053.77"/>
    <n v="49.04"/>
    <x v="1"/>
    <n v="4"/>
    <x v="0"/>
    <x v="0"/>
    <n v="8"/>
  </r>
  <r>
    <s v="ORD-03324"/>
    <d v="2023-12-10T00:00:00"/>
    <s v="CUST12209"/>
    <x v="255"/>
    <n v="36"/>
    <x v="1"/>
    <x v="0"/>
    <x v="1"/>
    <x v="11"/>
    <x v="2"/>
    <s v="Comic Book"/>
    <n v="5"/>
    <n v="1477.84"/>
    <x v="1"/>
    <n v="6011.52"/>
    <n v="2592.23"/>
    <n v="63.2"/>
    <x v="5"/>
    <n v="3"/>
    <x v="0"/>
    <x v="0"/>
    <n v="1"/>
  </r>
  <r>
    <s v="ORD-02621"/>
    <d v="2023-02-10T00:00:00"/>
    <s v="CUST65834"/>
    <x v="202"/>
    <n v="39"/>
    <x v="1"/>
    <x v="2"/>
    <x v="0"/>
    <x v="19"/>
    <x v="0"/>
    <s v="Shampoo"/>
    <n v="5"/>
    <n v="1976.24"/>
    <x v="12"/>
    <n v="7356.77"/>
    <n v="2566.15"/>
    <n v="88.96"/>
    <x v="5"/>
    <n v="4"/>
    <x v="0"/>
    <x v="3"/>
    <n v="9"/>
  </r>
  <r>
    <s v="ORD-00206"/>
    <d v="2020-04-01T00:00:00"/>
    <s v="CUST71469"/>
    <x v="290"/>
    <n v="48"/>
    <x v="1"/>
    <x v="2"/>
    <x v="2"/>
    <x v="4"/>
    <x v="3"/>
    <s v="Jeans"/>
    <n v="7"/>
    <n v="3924.19"/>
    <x v="4"/>
    <n v="29835.57"/>
    <n v="10552.45"/>
    <n v="38.119999999999997"/>
    <x v="0"/>
    <n v="5"/>
    <x v="0"/>
    <x v="0"/>
    <n v="2"/>
  </r>
  <r>
    <s v="ORD-03978"/>
    <d v="2024-09-11T00:00:00"/>
    <s v="CUST67871"/>
    <x v="283"/>
    <n v="42"/>
    <x v="1"/>
    <x v="1"/>
    <x v="1"/>
    <x v="11"/>
    <x v="1"/>
    <s v="Wardrobe"/>
    <n v="10"/>
    <n v="28835.81"/>
    <x v="3"/>
    <n v="303195.21999999997"/>
    <n v="85826.18"/>
    <n v="55.16"/>
    <x v="4"/>
    <n v="2"/>
    <x v="1"/>
    <x v="1"/>
    <n v="3"/>
  </r>
  <r>
    <s v="ORD-02721"/>
    <d v="2023-03-26T00:00:00"/>
    <s v="CUST62341"/>
    <x v="100"/>
    <n v="41"/>
    <x v="1"/>
    <x v="0"/>
    <x v="3"/>
    <x v="16"/>
    <x v="6"/>
    <s v="Headphones"/>
    <n v="10"/>
    <n v="66216.179999999993"/>
    <x v="9"/>
    <n v="680923.78"/>
    <n v="34980.089999999997"/>
    <n v="97.06"/>
    <x v="2"/>
    <n v="4"/>
    <x v="0"/>
    <x v="0"/>
    <n v="5"/>
  </r>
  <r>
    <s v="ORD-01807"/>
    <d v="2022-03-11T00:00:00"/>
    <s v="CUST23271"/>
    <x v="25"/>
    <n v="44"/>
    <x v="1"/>
    <x v="1"/>
    <x v="1"/>
    <x v="11"/>
    <x v="6"/>
    <s v="Smartphone"/>
    <n v="7"/>
    <n v="73496.399999999994"/>
    <x v="10"/>
    <n v="393016.21"/>
    <n v="42248.31"/>
    <n v="47.62"/>
    <x v="1"/>
    <n v="2"/>
    <x v="0"/>
    <x v="0"/>
    <n v="9"/>
  </r>
  <r>
    <s v="ORD-01576"/>
    <d v="2021-12-04T00:00:00"/>
    <s v="CUST61202"/>
    <x v="338"/>
    <n v="26"/>
    <x v="0"/>
    <x v="1"/>
    <x v="4"/>
    <x v="7"/>
    <x v="4"/>
    <s v="Tennis Racket"/>
    <n v="7"/>
    <n v="8356.94"/>
    <x v="40"/>
    <n v="24580.36"/>
    <n v="5738.36"/>
    <n v="56.15"/>
    <x v="5"/>
    <n v="5"/>
    <x v="0"/>
    <x v="0"/>
    <n v="2"/>
  </r>
  <r>
    <s v="ORD-02600"/>
    <d v="2023-02-03T00:00:00"/>
    <s v="CUST31208"/>
    <x v="167"/>
    <n v="40"/>
    <x v="1"/>
    <x v="2"/>
    <x v="4"/>
    <x v="18"/>
    <x v="2"/>
    <s v="Self-Help Book"/>
    <n v="1"/>
    <n v="355.01"/>
    <x v="37"/>
    <n v="284.02"/>
    <n v="130.5"/>
    <n v="51.82"/>
    <x v="1"/>
    <n v="1"/>
    <x v="0"/>
    <x v="0"/>
    <n v="7"/>
  </r>
  <r>
    <s v="ORD-01199"/>
    <d v="2021-06-24T00:00:00"/>
    <s v="CUST74206"/>
    <x v="100"/>
    <n v="39"/>
    <x v="1"/>
    <x v="1"/>
    <x v="0"/>
    <x v="1"/>
    <x v="0"/>
    <s v="Shampoo"/>
    <n v="7"/>
    <n v="1377.5"/>
    <x v="20"/>
    <n v="9978.14"/>
    <n v="3493.6"/>
    <n v="34.58"/>
    <x v="1"/>
    <n v="4"/>
    <x v="0"/>
    <x v="0"/>
    <n v="6"/>
  </r>
  <r>
    <s v="ORD-00470"/>
    <d v="2020-07-26T00:00:00"/>
    <s v="CUST56203"/>
    <x v="235"/>
    <n v="47"/>
    <x v="1"/>
    <x v="1"/>
    <x v="3"/>
    <x v="5"/>
    <x v="2"/>
    <s v="Comic Book"/>
    <n v="8"/>
    <n v="744.9"/>
    <x v="12"/>
    <n v="6083.41"/>
    <n v="2337.37"/>
    <n v="84.44"/>
    <x v="0"/>
    <n v="2"/>
    <x v="0"/>
    <x v="0"/>
    <n v="100"/>
  </r>
  <r>
    <s v="ORD-04008"/>
    <d v="2024-09-27T00:00:00"/>
    <s v="CUST62705"/>
    <x v="184"/>
    <n v="30"/>
    <x v="0"/>
    <x v="0"/>
    <x v="1"/>
    <x v="3"/>
    <x v="6"/>
    <s v="Camera"/>
    <n v="8"/>
    <n v="62831.199999999997"/>
    <x v="9"/>
    <n v="537551.85"/>
    <n v="74470.320000000007"/>
    <n v="76.77"/>
    <x v="3"/>
    <n v="3"/>
    <x v="0"/>
    <x v="0"/>
    <n v="3"/>
  </r>
  <r>
    <s v="ORD-00861"/>
    <d v="2021-01-27T00:00:00"/>
    <s v="CUST71748"/>
    <x v="188"/>
    <n v="20"/>
    <x v="3"/>
    <x v="2"/>
    <x v="1"/>
    <x v="3"/>
    <x v="6"/>
    <s v="Laptop"/>
    <n v="9"/>
    <n v="25178.31"/>
    <x v="30"/>
    <n v="123701.67"/>
    <n v="15332.75"/>
    <n v="39.549999999999997"/>
    <x v="0"/>
    <n v="4"/>
    <x v="0"/>
    <x v="0"/>
    <n v="5"/>
  </r>
  <r>
    <s v="ORD-00080"/>
    <d v="2020-01-29T00:00:00"/>
    <s v="CUST06153"/>
    <x v="207"/>
    <n v="63"/>
    <x v="2"/>
    <x v="2"/>
    <x v="1"/>
    <x v="6"/>
    <x v="3"/>
    <s v="Kurta"/>
    <n v="8"/>
    <n v="2567.5300000000002"/>
    <x v="36"/>
    <n v="11109.98"/>
    <n v="3121.39"/>
    <n v="65.38"/>
    <x v="3"/>
    <n v="3"/>
    <x v="0"/>
    <x v="0"/>
    <n v="2"/>
  </r>
  <r>
    <s v="ORD-02506"/>
    <d v="2022-12-24T00:00:00"/>
    <s v="CUST74062"/>
    <x v="258"/>
    <n v="27"/>
    <x v="0"/>
    <x v="0"/>
    <x v="4"/>
    <x v="8"/>
    <x v="4"/>
    <s v="Football"/>
    <n v="4"/>
    <n v="10900.56"/>
    <x v="9"/>
    <n v="31965.58"/>
    <n v="6315.42"/>
    <n v="80.650000000000006"/>
    <x v="4"/>
    <n v="4"/>
    <x v="0"/>
    <x v="0"/>
    <n v="4"/>
  </r>
  <r>
    <s v="ORD-02339"/>
    <d v="2022-10-10T00:00:00"/>
    <s v="CUST12046"/>
    <x v="27"/>
    <n v="24"/>
    <x v="3"/>
    <x v="1"/>
    <x v="1"/>
    <x v="10"/>
    <x v="1"/>
    <s v="Wardrobe"/>
    <n v="3"/>
    <n v="33100.17"/>
    <x v="35"/>
    <n v="61633.54"/>
    <n v="15026.15"/>
    <n v="64.31"/>
    <x v="4"/>
    <n v="2"/>
    <x v="1"/>
    <x v="1"/>
    <n v="8"/>
  </r>
  <r>
    <s v="ORD-03898"/>
    <d v="2024-08-14T00:00:00"/>
    <s v="CUST55482"/>
    <x v="210"/>
    <n v="19"/>
    <x v="3"/>
    <x v="0"/>
    <x v="3"/>
    <x v="5"/>
    <x v="2"/>
    <s v="Fiction Novel"/>
    <n v="9"/>
    <n v="1454.46"/>
    <x v="30"/>
    <n v="12482.39"/>
    <n v="4160.5600000000004"/>
    <n v="105.23"/>
    <x v="0"/>
    <n v="3"/>
    <x v="0"/>
    <x v="3"/>
    <n v="1"/>
  </r>
  <r>
    <s v="ORD-00371"/>
    <d v="2020-06-08T00:00:00"/>
    <s v="CUST29938"/>
    <x v="388"/>
    <n v="19"/>
    <x v="3"/>
    <x v="0"/>
    <x v="4"/>
    <x v="18"/>
    <x v="6"/>
    <s v="Laptop"/>
    <n v="9"/>
    <n v="29863.15"/>
    <x v="40"/>
    <n v="224550.81"/>
    <n v="26498.37"/>
    <n v="80.91"/>
    <x v="1"/>
    <n v="2"/>
    <x v="0"/>
    <x v="0"/>
    <n v="8"/>
  </r>
  <r>
    <s v="ORD-01613"/>
    <d v="2021-12-22T00:00:00"/>
    <s v="CUST60005"/>
    <x v="25"/>
    <n v="27"/>
    <x v="0"/>
    <x v="2"/>
    <x v="2"/>
    <x v="4"/>
    <x v="1"/>
    <s v="Wardrobe"/>
    <n v="4"/>
    <n v="17068.97"/>
    <x v="27"/>
    <n v="42127.94"/>
    <n v="13207.2"/>
    <n v="37.21"/>
    <x v="0"/>
    <n v="4"/>
    <x v="0"/>
    <x v="0"/>
    <n v="1"/>
  </r>
  <r>
    <s v="ORD-01502"/>
    <d v="2021-11-05T00:00:00"/>
    <s v="CUST74727"/>
    <x v="395"/>
    <n v="39"/>
    <x v="1"/>
    <x v="0"/>
    <x v="4"/>
    <x v="17"/>
    <x v="2"/>
    <s v="Textbook"/>
    <n v="5"/>
    <n v="550.42999999999995"/>
    <x v="25"/>
    <n v="1613.4"/>
    <n v="832.54"/>
    <n v="75.819999999999993"/>
    <x v="4"/>
    <n v="2"/>
    <x v="0"/>
    <x v="0"/>
    <n v="9"/>
  </r>
  <r>
    <s v="ORD-00165"/>
    <d v="2020-03-13T00:00:00"/>
    <s v="CUST08515"/>
    <x v="333"/>
    <n v="25"/>
    <x v="3"/>
    <x v="0"/>
    <x v="3"/>
    <x v="15"/>
    <x v="6"/>
    <s v="Headphones"/>
    <n v="3"/>
    <n v="21835.15"/>
    <x v="25"/>
    <n v="48564.04"/>
    <n v="6796.88"/>
    <n v="108.99"/>
    <x v="5"/>
    <n v="1"/>
    <x v="1"/>
    <x v="1"/>
    <n v="3"/>
  </r>
  <r>
    <s v="ORD-03718"/>
    <d v="2024-06-09T00:00:00"/>
    <s v="CUST79815"/>
    <x v="219"/>
    <n v="44"/>
    <x v="1"/>
    <x v="2"/>
    <x v="0"/>
    <x v="19"/>
    <x v="3"/>
    <s v="T-Shirt"/>
    <n v="6"/>
    <n v="3390.52"/>
    <x v="14"/>
    <n v="23183.14"/>
    <n v="7689.47"/>
    <n v="53.24"/>
    <x v="1"/>
    <n v="1"/>
    <x v="0"/>
    <x v="0"/>
    <n v="6"/>
  </r>
  <r>
    <s v="ORD-03924"/>
    <d v="2024-08-20T00:00:00"/>
    <s v="CUST08990"/>
    <x v="323"/>
    <n v="47"/>
    <x v="1"/>
    <x v="0"/>
    <x v="2"/>
    <x v="4"/>
    <x v="3"/>
    <s v="Dress"/>
    <n v="10"/>
    <n v="3414.65"/>
    <x v="38"/>
    <n v="46633.37"/>
    <n v="16823.060000000001"/>
    <n v="54.44"/>
    <x v="0"/>
    <n v="1"/>
    <x v="0"/>
    <x v="0"/>
    <n v="4"/>
  </r>
  <r>
    <s v="ORD-00876"/>
    <d v="2021-02-01T00:00:00"/>
    <s v="CUST71642"/>
    <x v="175"/>
    <n v="36"/>
    <x v="1"/>
    <x v="0"/>
    <x v="4"/>
    <x v="17"/>
    <x v="0"/>
    <s v="Face Cream"/>
    <n v="7"/>
    <n v="260.04000000000002"/>
    <x v="31"/>
    <n v="1257.5999999999999"/>
    <n v="549.29"/>
    <n v="93.31"/>
    <x v="5"/>
    <n v="2"/>
    <x v="0"/>
    <x v="0"/>
    <n v="1"/>
  </r>
  <r>
    <s v="ORD-02246"/>
    <d v="2022-09-07T00:00:00"/>
    <s v="CUST14634"/>
    <x v="47"/>
    <n v="31"/>
    <x v="0"/>
    <x v="2"/>
    <x v="4"/>
    <x v="18"/>
    <x v="0"/>
    <s v="Hair Oil"/>
    <n v="3"/>
    <n v="1422.97"/>
    <x v="22"/>
    <n v="2383.6799999999998"/>
    <n v="815.73"/>
    <n v="65.75"/>
    <x v="4"/>
    <n v="2"/>
    <x v="0"/>
    <x v="0"/>
    <n v="2"/>
  </r>
  <r>
    <s v="ORD-00186"/>
    <d v="2020-03-23T00:00:00"/>
    <s v="CUST86352"/>
    <x v="50"/>
    <n v="21"/>
    <x v="3"/>
    <x v="2"/>
    <x v="1"/>
    <x v="11"/>
    <x v="4"/>
    <s v="Cricket Bat"/>
    <n v="7"/>
    <n v="7173.46"/>
    <x v="6"/>
    <n v="38067.279999999999"/>
    <n v="7608.14"/>
    <n v="52.84"/>
    <x v="2"/>
    <n v="1"/>
    <x v="0"/>
    <x v="3"/>
    <n v="4"/>
  </r>
  <r>
    <s v="ORD-02166"/>
    <d v="2022-08-08T00:00:00"/>
    <s v="CUST56943"/>
    <x v="35"/>
    <n v="42"/>
    <x v="1"/>
    <x v="0"/>
    <x v="0"/>
    <x v="0"/>
    <x v="0"/>
    <s v="Hair Oil"/>
    <n v="6"/>
    <n v="2467.58"/>
    <x v="6"/>
    <n v="12318.96"/>
    <n v="6222.84"/>
    <n v="67.89"/>
    <x v="0"/>
    <n v="2"/>
    <x v="0"/>
    <x v="0"/>
    <n v="10"/>
  </r>
  <r>
    <s v="ORD-02470"/>
    <d v="2022-12-06T00:00:00"/>
    <s v="CUST80242"/>
    <x v="359"/>
    <n v="42"/>
    <x v="1"/>
    <x v="2"/>
    <x v="4"/>
    <x v="8"/>
    <x v="0"/>
    <s v="Shampoo"/>
    <n v="10"/>
    <n v="412.53"/>
    <x v="31"/>
    <n v="2915.31"/>
    <n v="1264.21"/>
    <n v="48.52"/>
    <x v="4"/>
    <n v="3"/>
    <x v="0"/>
    <x v="0"/>
    <n v="10"/>
  </r>
  <r>
    <s v="ORD-01476"/>
    <d v="2021-10-25T00:00:00"/>
    <s v="CUST09863"/>
    <x v="212"/>
    <n v="38"/>
    <x v="1"/>
    <x v="0"/>
    <x v="3"/>
    <x v="16"/>
    <x v="0"/>
    <s v="Hair Oil"/>
    <n v="9"/>
    <n v="2217.37"/>
    <x v="17"/>
    <n v="12330.95"/>
    <n v="6416.88"/>
    <n v="96.41"/>
    <x v="2"/>
    <n v="4"/>
    <x v="0"/>
    <x v="0"/>
    <n v="6"/>
  </r>
  <r>
    <s v="ORD-02305"/>
    <d v="2022-09-27T00:00:00"/>
    <s v="CUST86884"/>
    <x v="308"/>
    <n v="28"/>
    <x v="0"/>
    <x v="1"/>
    <x v="0"/>
    <x v="0"/>
    <x v="6"/>
    <s v="Tablet"/>
    <n v="9"/>
    <n v="29921.759999999998"/>
    <x v="30"/>
    <n v="187176.31"/>
    <n v="25938.95"/>
    <n v="66.52"/>
    <x v="0"/>
    <n v="5"/>
    <x v="0"/>
    <x v="3"/>
    <n v="8"/>
  </r>
  <r>
    <s v="ORD-03611"/>
    <d v="2024-04-20T00:00:00"/>
    <s v="CUST86007"/>
    <x v="351"/>
    <n v="20"/>
    <x v="3"/>
    <x v="0"/>
    <x v="4"/>
    <x v="8"/>
    <x v="1"/>
    <s v="Chair"/>
    <n v="4"/>
    <n v="16418.71"/>
    <x v="13"/>
    <n v="100198.09"/>
    <n v="29085.63"/>
    <n v="81.66"/>
    <x v="5"/>
    <n v="2"/>
    <x v="0"/>
    <x v="0"/>
    <n v="5"/>
  </r>
  <r>
    <s v="ORD-03760"/>
    <d v="2024-06-24T00:00:00"/>
    <s v="CUST08262"/>
    <x v="195"/>
    <n v="33"/>
    <x v="0"/>
    <x v="1"/>
    <x v="1"/>
    <x v="3"/>
    <x v="0"/>
    <s v="Face Cream"/>
    <n v="4"/>
    <n v="1104.29"/>
    <x v="13"/>
    <n v="7265.19"/>
    <n v="2641.46"/>
    <n v="62.74"/>
    <x v="0"/>
    <n v="5"/>
    <x v="0"/>
    <x v="3"/>
    <n v="2"/>
  </r>
  <r>
    <s v="ORD-03124"/>
    <d v="2023-09-10T00:00:00"/>
    <s v="CUST75413"/>
    <x v="339"/>
    <n v="25"/>
    <x v="3"/>
    <x v="0"/>
    <x v="4"/>
    <x v="7"/>
    <x v="1"/>
    <s v="Chair"/>
    <n v="6"/>
    <n v="15400.65"/>
    <x v="32"/>
    <n v="99452.17"/>
    <n v="26834.22"/>
    <n v="79.25"/>
    <x v="0"/>
    <n v="1"/>
    <x v="0"/>
    <x v="2"/>
    <n v="7"/>
  </r>
  <r>
    <s v="ORD-01855"/>
    <d v="2022-03-31T00:00:00"/>
    <s v="CUST85967"/>
    <x v="361"/>
    <n v="35"/>
    <x v="0"/>
    <x v="1"/>
    <x v="4"/>
    <x v="18"/>
    <x v="1"/>
    <s v="Chair"/>
    <n v="9"/>
    <n v="10240.02"/>
    <x v="30"/>
    <n v="76243.39"/>
    <n v="10430.540000000001"/>
    <n v="83.76"/>
    <x v="5"/>
    <n v="3"/>
    <x v="0"/>
    <x v="0"/>
    <n v="4"/>
  </r>
  <r>
    <s v="ORD-00327"/>
    <d v="2020-05-22T00:00:00"/>
    <s v="CUST35881"/>
    <x v="116"/>
    <n v="21"/>
    <x v="3"/>
    <x v="2"/>
    <x v="1"/>
    <x v="11"/>
    <x v="6"/>
    <s v="Smartphone"/>
    <n v="4"/>
    <n v="62163.22"/>
    <x v="4"/>
    <n v="316644.27"/>
    <n v="39457.660000000003"/>
    <n v="74.47"/>
    <x v="3"/>
    <n v="2"/>
    <x v="1"/>
    <x v="1"/>
    <n v="9"/>
  </r>
  <r>
    <s v="ORD-02915"/>
    <d v="2023-06-14T00:00:00"/>
    <s v="CUST11665"/>
    <x v="60"/>
    <n v="53"/>
    <x v="2"/>
    <x v="1"/>
    <x v="1"/>
    <x v="6"/>
    <x v="0"/>
    <s v="Hair Oil"/>
    <n v="4"/>
    <n v="1782.42"/>
    <x v="27"/>
    <n v="8996.6"/>
    <n v="3871.86"/>
    <n v="64.180000000000007"/>
    <x v="3"/>
    <n v="1"/>
    <x v="1"/>
    <x v="1"/>
    <n v="7"/>
  </r>
  <r>
    <s v="ORD-00319"/>
    <d v="2020-05-20T00:00:00"/>
    <s v="CUST05463"/>
    <x v="207"/>
    <n v="45"/>
    <x v="1"/>
    <x v="0"/>
    <x v="1"/>
    <x v="3"/>
    <x v="3"/>
    <s v="Jeans"/>
    <n v="3"/>
    <n v="2323.36"/>
    <x v="15"/>
    <n v="7516.69"/>
    <n v="2847.01"/>
    <n v="61.23"/>
    <x v="2"/>
    <n v="5"/>
    <x v="1"/>
    <x v="1"/>
    <n v="4"/>
  </r>
  <r>
    <s v="ORD-02323"/>
    <d v="2022-10-05T00:00:00"/>
    <s v="CUST41015"/>
    <x v="180"/>
    <n v="42"/>
    <x v="1"/>
    <x v="1"/>
    <x v="1"/>
    <x v="3"/>
    <x v="4"/>
    <s v="Cricket Bat"/>
    <n v="5"/>
    <n v="5297.3"/>
    <x v="37"/>
    <n v="22206.97"/>
    <n v="5436.01"/>
    <n v="64.510000000000005"/>
    <x v="4"/>
    <n v="3"/>
    <x v="0"/>
    <x v="0"/>
    <n v="2"/>
  </r>
  <r>
    <s v="ORD-03086"/>
    <d v="2023-08-26T00:00:00"/>
    <s v="CUST94691"/>
    <x v="293"/>
    <n v="38"/>
    <x v="1"/>
    <x v="1"/>
    <x v="3"/>
    <x v="15"/>
    <x v="1"/>
    <s v="Sofa"/>
    <n v="4"/>
    <n v="11999.53"/>
    <x v="3"/>
    <n v="53880.45"/>
    <n v="15284.4"/>
    <n v="99.04"/>
    <x v="2"/>
    <n v="2"/>
    <x v="1"/>
    <x v="1"/>
    <n v="1"/>
  </r>
  <r>
    <s v="ORD-02892"/>
    <d v="2023-06-06T00:00:00"/>
    <s v="CUST72155"/>
    <x v="74"/>
    <n v="22"/>
    <x v="3"/>
    <x v="0"/>
    <x v="4"/>
    <x v="18"/>
    <x v="4"/>
    <s v="Tennis Racket"/>
    <n v="2"/>
    <n v="13875.51"/>
    <x v="18"/>
    <n v="30649.3"/>
    <n v="5955.69"/>
    <n v="81.72"/>
    <x v="4"/>
    <n v="3"/>
    <x v="0"/>
    <x v="0"/>
    <n v="4"/>
  </r>
  <r>
    <s v="ORD-02098"/>
    <d v="2022-07-12T00:00:00"/>
    <s v="CUST81045"/>
    <x v="206"/>
    <n v="53"/>
    <x v="2"/>
    <x v="2"/>
    <x v="3"/>
    <x v="16"/>
    <x v="2"/>
    <s v="Comic Book"/>
    <n v="4"/>
    <n v="1230.08"/>
    <x v="35"/>
    <n v="4786.22"/>
    <n v="2225.06"/>
    <n v="92.84"/>
    <x v="5"/>
    <n v="1"/>
    <x v="0"/>
    <x v="0"/>
    <n v="3"/>
  </r>
  <r>
    <s v="ORD-03647"/>
    <d v="2024-05-04T00:00:00"/>
    <s v="CUST04161"/>
    <x v="326"/>
    <n v="30"/>
    <x v="0"/>
    <x v="1"/>
    <x v="0"/>
    <x v="1"/>
    <x v="0"/>
    <s v="Sunscreen"/>
    <n v="4"/>
    <n v="1294.0999999999999"/>
    <x v="26"/>
    <n v="5791.59"/>
    <n v="2481.7399999999998"/>
    <n v="34.770000000000003"/>
    <x v="2"/>
    <n v="1"/>
    <x v="0"/>
    <x v="0"/>
    <n v="6"/>
  </r>
  <r>
    <s v="ORD-02575"/>
    <d v="2023-01-27T00:00:00"/>
    <s v="CUST52736"/>
    <x v="39"/>
    <n v="30"/>
    <x v="0"/>
    <x v="0"/>
    <x v="3"/>
    <x v="12"/>
    <x v="4"/>
    <s v="Yoga Mat"/>
    <n v="3"/>
    <n v="5115.87"/>
    <x v="13"/>
    <n v="15447.04"/>
    <n v="2902.6"/>
    <n v="93.03"/>
    <x v="5"/>
    <n v="1"/>
    <x v="0"/>
    <x v="0"/>
    <n v="6"/>
  </r>
  <r>
    <s v="ORD-02501"/>
    <d v="2022-12-22T00:00:00"/>
    <s v="CUST59835"/>
    <x v="294"/>
    <n v="44"/>
    <x v="1"/>
    <x v="1"/>
    <x v="4"/>
    <x v="18"/>
    <x v="4"/>
    <s v="Dumbbells"/>
    <n v="6"/>
    <n v="5749.74"/>
    <x v="27"/>
    <n v="22681.23"/>
    <n v="4291.6499999999996"/>
    <n v="91.35"/>
    <x v="3"/>
    <n v="1"/>
    <x v="1"/>
    <x v="1"/>
    <n v="10"/>
  </r>
  <r>
    <s v="ORD-02731"/>
    <d v="2023-03-30T00:00:00"/>
    <s v="CUST76690"/>
    <x v="23"/>
    <n v="38"/>
    <x v="1"/>
    <x v="2"/>
    <x v="1"/>
    <x v="6"/>
    <x v="3"/>
    <s v="Saree"/>
    <n v="2"/>
    <n v="2874"/>
    <x v="5"/>
    <n v="7504.43"/>
    <n v="2617.1799999999998"/>
    <n v="34.9"/>
    <x v="4"/>
    <n v="1"/>
    <x v="0"/>
    <x v="0"/>
    <n v="8"/>
  </r>
  <r>
    <s v="ORD-00463"/>
    <d v="2020-07-23T00:00:00"/>
    <s v="CUST44133"/>
    <x v="86"/>
    <n v="44"/>
    <x v="1"/>
    <x v="1"/>
    <x v="1"/>
    <x v="6"/>
    <x v="0"/>
    <s v="Perfume"/>
    <n v="2"/>
    <n v="988.43"/>
    <x v="34"/>
    <n v="1781.6"/>
    <n v="923.82"/>
    <n v="48.48"/>
    <x v="3"/>
    <n v="1"/>
    <x v="0"/>
    <x v="2"/>
    <n v="5"/>
  </r>
  <r>
    <s v="ORD-01229"/>
    <d v="2021-07-07T00:00:00"/>
    <s v="CUST65693"/>
    <x v="128"/>
    <n v="22"/>
    <x v="3"/>
    <x v="2"/>
    <x v="1"/>
    <x v="6"/>
    <x v="3"/>
    <s v="Jeans"/>
    <n v="8"/>
    <n v="789.72"/>
    <x v="40"/>
    <n v="5442.35"/>
    <n v="1627.79"/>
    <n v="54.89"/>
    <x v="1"/>
    <n v="3"/>
    <x v="0"/>
    <x v="0"/>
    <n v="8"/>
  </r>
  <r>
    <s v="ORD-01372"/>
    <d v="2021-09-11T00:00:00"/>
    <s v="CUST56280"/>
    <x v="142"/>
    <n v="37"/>
    <x v="1"/>
    <x v="2"/>
    <x v="3"/>
    <x v="5"/>
    <x v="2"/>
    <s v="Biography"/>
    <n v="7"/>
    <n v="1359.26"/>
    <x v="9"/>
    <n v="9165.32"/>
    <n v="3844.26"/>
    <n v="63.94"/>
    <x v="2"/>
    <n v="4"/>
    <x v="0"/>
    <x v="4"/>
    <n v="6"/>
  </r>
  <r>
    <s v="ORD-01493"/>
    <d v="2021-11-02T00:00:00"/>
    <s v="CUST68139"/>
    <x v="75"/>
    <n v="44"/>
    <x v="1"/>
    <x v="1"/>
    <x v="3"/>
    <x v="5"/>
    <x v="6"/>
    <s v="Headphones"/>
    <n v="5"/>
    <n v="44585.93"/>
    <x v="4"/>
    <n v="177603.4"/>
    <n v="13351.29"/>
    <n v="59.68"/>
    <x v="3"/>
    <n v="3"/>
    <x v="0"/>
    <x v="0"/>
    <n v="9"/>
  </r>
  <r>
    <s v="ORD-00648"/>
    <d v="2020-10-15T00:00:00"/>
    <s v="CUST23342"/>
    <x v="18"/>
    <n v="22"/>
    <x v="3"/>
    <x v="0"/>
    <x v="1"/>
    <x v="3"/>
    <x v="5"/>
    <s v="Rice (5kg)"/>
    <n v="10"/>
    <n v="420.55"/>
    <x v="40"/>
    <n v="2218.9899999999998"/>
    <n v="132.72"/>
    <n v="44.96"/>
    <x v="4"/>
    <n v="4"/>
    <x v="0"/>
    <x v="0"/>
    <n v="5"/>
  </r>
  <r>
    <s v="ORD-03922"/>
    <d v="2024-08-20T00:00:00"/>
    <s v="CUST63576"/>
    <x v="49"/>
    <n v="56"/>
    <x v="2"/>
    <x v="0"/>
    <x v="4"/>
    <x v="7"/>
    <x v="6"/>
    <s v="Smartphone"/>
    <n v="9"/>
    <n v="31920.16"/>
    <x v="5"/>
    <n v="440371.93"/>
    <n v="65871.22"/>
    <n v="59.99"/>
    <x v="5"/>
    <n v="3"/>
    <x v="0"/>
    <x v="0"/>
    <n v="9"/>
  </r>
  <r>
    <s v="ORD-03106"/>
    <d v="2023-09-04T00:00:00"/>
    <s v="CUST23467"/>
    <x v="258"/>
    <n v="31"/>
    <x v="0"/>
    <x v="1"/>
    <x v="0"/>
    <x v="1"/>
    <x v="0"/>
    <s v="Shampoo"/>
    <n v="6"/>
    <n v="1382.04"/>
    <x v="23"/>
    <n v="7652.12"/>
    <n v="2282.9699999999998"/>
    <n v="63.64"/>
    <x v="2"/>
    <n v="3"/>
    <x v="0"/>
    <x v="0"/>
    <n v="10"/>
  </r>
  <r>
    <s v="ORD-00860"/>
    <d v="2021-01-27T00:00:00"/>
    <s v="CUST94205"/>
    <x v="250"/>
    <n v="42"/>
    <x v="1"/>
    <x v="2"/>
    <x v="2"/>
    <x v="14"/>
    <x v="3"/>
    <s v="Saree"/>
    <n v="2"/>
    <n v="2935.36"/>
    <x v="30"/>
    <n v="3141.45"/>
    <n v="1157.67"/>
    <n v="60.42"/>
    <x v="1"/>
    <n v="1"/>
    <x v="0"/>
    <x v="0"/>
    <n v="6"/>
  </r>
  <r>
    <s v="ORD-02296"/>
    <d v="2022-09-23T00:00:00"/>
    <s v="CUST31681"/>
    <x v="81"/>
    <n v="20"/>
    <x v="3"/>
    <x v="1"/>
    <x v="4"/>
    <x v="8"/>
    <x v="4"/>
    <s v="Tennis Racket"/>
    <n v="3"/>
    <n v="8809.7199999999993"/>
    <x v="22"/>
    <n v="18286.54"/>
    <n v="4538.3999999999996"/>
    <n v="76.08"/>
    <x v="0"/>
    <n v="5"/>
    <x v="1"/>
    <x v="1"/>
    <n v="9"/>
  </r>
  <r>
    <s v="ORD-03039"/>
    <d v="2023-08-07T00:00:00"/>
    <s v="CUST18530"/>
    <x v="11"/>
    <n v="33"/>
    <x v="0"/>
    <x v="0"/>
    <x v="2"/>
    <x v="4"/>
    <x v="4"/>
    <s v="Yoga Mat"/>
    <n v="5"/>
    <n v="10440.969999999999"/>
    <x v="13"/>
    <n v="76880.87"/>
    <n v="13536.66"/>
    <n v="49.52"/>
    <x v="0"/>
    <n v="3"/>
    <x v="0"/>
    <x v="0"/>
    <n v="10"/>
  </r>
  <r>
    <s v="ORD-03228"/>
    <d v="2023-10-28T00:00:00"/>
    <s v="CUST27405"/>
    <x v="29"/>
    <n v="26"/>
    <x v="0"/>
    <x v="0"/>
    <x v="3"/>
    <x v="16"/>
    <x v="3"/>
    <s v="Kurta"/>
    <n v="9"/>
    <n v="1877.39"/>
    <x v="19"/>
    <n v="17278.52"/>
    <n v="3585.58"/>
    <n v="87.95"/>
    <x v="4"/>
    <n v="3"/>
    <x v="0"/>
    <x v="0"/>
    <n v="5"/>
  </r>
  <r>
    <s v="ORD-01464"/>
    <d v="2021-10-23T00:00:00"/>
    <s v="CUST32032"/>
    <x v="278"/>
    <n v="31"/>
    <x v="0"/>
    <x v="2"/>
    <x v="0"/>
    <x v="1"/>
    <x v="4"/>
    <s v="Cricket Bat"/>
    <n v="8"/>
    <n v="12621.58"/>
    <x v="37"/>
    <n v="64120.65"/>
    <n v="14256.86"/>
    <n v="73.599999999999994"/>
    <x v="0"/>
    <n v="4"/>
    <x v="0"/>
    <x v="0"/>
    <n v="2"/>
  </r>
  <r>
    <s v="ORD-04183"/>
    <d v="2024-12-24T00:00:00"/>
    <s v="CUST82683"/>
    <x v="17"/>
    <n v="60"/>
    <x v="2"/>
    <x v="2"/>
    <x v="1"/>
    <x v="11"/>
    <x v="2"/>
    <s v="Biography"/>
    <n v="1"/>
    <n v="1309.19"/>
    <x v="37"/>
    <n v="976.81"/>
    <n v="529.27"/>
    <n v="64.44"/>
    <x v="0"/>
    <n v="2"/>
    <x v="0"/>
    <x v="0"/>
    <n v="7"/>
  </r>
  <r>
    <s v="ORD-01582"/>
    <d v="2021-12-09T00:00:00"/>
    <s v="CUST72045"/>
    <x v="355"/>
    <n v="51"/>
    <x v="2"/>
    <x v="1"/>
    <x v="4"/>
    <x v="17"/>
    <x v="2"/>
    <s v="Biography"/>
    <n v="8"/>
    <n v="1131.49"/>
    <x v="20"/>
    <n v="4640.1000000000004"/>
    <n v="1566.98"/>
    <n v="88.17"/>
    <x v="0"/>
    <n v="5"/>
    <x v="0"/>
    <x v="0"/>
    <n v="4"/>
  </r>
  <r>
    <s v="ORD-02029"/>
    <d v="2022-06-13T00:00:00"/>
    <s v="CUST10164"/>
    <x v="179"/>
    <n v="49"/>
    <x v="1"/>
    <x v="1"/>
    <x v="3"/>
    <x v="15"/>
    <x v="6"/>
    <s v="Smartphone"/>
    <n v="2"/>
    <n v="67980.100000000006"/>
    <x v="3"/>
    <n v="166434.21"/>
    <n v="17621.96"/>
    <n v="84.59"/>
    <x v="5"/>
    <n v="3"/>
    <x v="0"/>
    <x v="0"/>
    <n v="9"/>
  </r>
  <r>
    <s v="ORD-00217"/>
    <d v="2020-04-04T00:00:00"/>
    <s v="CUST42012"/>
    <x v="40"/>
    <n v="34"/>
    <x v="0"/>
    <x v="0"/>
    <x v="2"/>
    <x v="13"/>
    <x v="3"/>
    <s v="Jacket"/>
    <n v="4"/>
    <n v="3945.85"/>
    <x v="14"/>
    <n v="11190.58"/>
    <n v="5301.46"/>
    <n v="63.9"/>
    <x v="2"/>
    <n v="4"/>
    <x v="0"/>
    <x v="2"/>
    <n v="7"/>
  </r>
  <r>
    <s v="ORD-02759"/>
    <d v="2023-04-09T00:00:00"/>
    <s v="CUST42106"/>
    <x v="289"/>
    <n v="48"/>
    <x v="1"/>
    <x v="2"/>
    <x v="3"/>
    <x v="16"/>
    <x v="3"/>
    <s v="Saree"/>
    <n v="4"/>
    <n v="2774.33"/>
    <x v="36"/>
    <n v="11734.39"/>
    <n v="5152.2"/>
    <n v="71.400000000000006"/>
    <x v="2"/>
    <n v="2"/>
    <x v="0"/>
    <x v="3"/>
    <n v="6"/>
  </r>
  <r>
    <s v="ORD-03566"/>
    <d v="2024-03-29T00:00:00"/>
    <s v="CUST08471"/>
    <x v="176"/>
    <n v="41"/>
    <x v="1"/>
    <x v="0"/>
    <x v="3"/>
    <x v="5"/>
    <x v="0"/>
    <s v="Hair Oil"/>
    <n v="9"/>
    <n v="1290.81"/>
    <x v="22"/>
    <n v="10137.870000000001"/>
    <n v="4065.85"/>
    <n v="94.19"/>
    <x v="1"/>
    <n v="2"/>
    <x v="1"/>
    <x v="1"/>
    <n v="8"/>
  </r>
  <r>
    <s v="ORD-02046"/>
    <d v="2022-06-19T00:00:00"/>
    <s v="CUST75262"/>
    <x v="296"/>
    <n v="22"/>
    <x v="3"/>
    <x v="2"/>
    <x v="1"/>
    <x v="6"/>
    <x v="6"/>
    <s v="Laptop"/>
    <n v="1"/>
    <n v="40586.06"/>
    <x v="13"/>
    <n v="56057.11"/>
    <n v="7068.43"/>
    <n v="52.63"/>
    <x v="0"/>
    <n v="4"/>
    <x v="0"/>
    <x v="0"/>
    <n v="10"/>
  </r>
  <r>
    <s v="ORD-01683"/>
    <d v="2022-01-20T00:00:00"/>
    <s v="CUST56977"/>
    <x v="328"/>
    <n v="31"/>
    <x v="0"/>
    <x v="2"/>
    <x v="2"/>
    <x v="14"/>
    <x v="4"/>
    <s v="Football"/>
    <n v="8"/>
    <n v="4915.8500000000004"/>
    <x v="17"/>
    <n v="20462.27"/>
    <n v="3522.42"/>
    <n v="71.09"/>
    <x v="0"/>
    <n v="2"/>
    <x v="0"/>
    <x v="0"/>
    <n v="10"/>
  </r>
  <r>
    <s v="ORD-02487"/>
    <d v="2022-12-15T00:00:00"/>
    <s v="CUST10552"/>
    <x v="340"/>
    <n v="58"/>
    <x v="2"/>
    <x v="2"/>
    <x v="2"/>
    <x v="13"/>
    <x v="0"/>
    <s v="Sunscreen"/>
    <n v="2"/>
    <n v="197.14"/>
    <x v="0"/>
    <n v="304.99"/>
    <n v="162.97"/>
    <n v="48.37"/>
    <x v="1"/>
    <n v="4"/>
    <x v="1"/>
    <x v="1"/>
    <n v="8"/>
  </r>
  <r>
    <s v="ORD-01986"/>
    <d v="2022-05-27T00:00:00"/>
    <s v="CUST51062"/>
    <x v="26"/>
    <n v="22"/>
    <x v="3"/>
    <x v="0"/>
    <x v="0"/>
    <x v="2"/>
    <x v="5"/>
    <s v="Tea"/>
    <n v="2"/>
    <n v="190.58"/>
    <x v="18"/>
    <n v="399.58"/>
    <n v="33.130000000000003"/>
    <n v="70.16"/>
    <x v="2"/>
    <n v="4"/>
    <x v="0"/>
    <x v="0"/>
    <n v="8"/>
  </r>
  <r>
    <s v="ORD-01269"/>
    <d v="2021-07-27T00:00:00"/>
    <s v="CUST63654"/>
    <x v="356"/>
    <n v="53"/>
    <x v="2"/>
    <x v="0"/>
    <x v="2"/>
    <x v="13"/>
    <x v="6"/>
    <s v="Smartwatch"/>
    <n v="10"/>
    <n v="16086.67"/>
    <x v="32"/>
    <n v="194593.37"/>
    <n v="28383.360000000001"/>
    <n v="48.31"/>
    <x v="3"/>
    <n v="2"/>
    <x v="0"/>
    <x v="0"/>
    <n v="3"/>
  </r>
  <r>
    <s v="ORD-02909"/>
    <d v="2023-06-10T00:00:00"/>
    <s v="CUST79344"/>
    <x v="371"/>
    <n v="37"/>
    <x v="1"/>
    <x v="2"/>
    <x v="4"/>
    <x v="18"/>
    <x v="3"/>
    <s v="T-Shirt"/>
    <n v="5"/>
    <n v="2719.24"/>
    <x v="6"/>
    <n v="14617.3"/>
    <n v="4858.0600000000004"/>
    <n v="78.069999999999993"/>
    <x v="4"/>
    <n v="5"/>
    <x v="0"/>
    <x v="0"/>
    <n v="6"/>
  </r>
  <r>
    <s v="ORD-02999"/>
    <d v="2023-07-22T00:00:00"/>
    <s v="CUST67583"/>
    <x v="37"/>
    <n v="47"/>
    <x v="1"/>
    <x v="1"/>
    <x v="4"/>
    <x v="18"/>
    <x v="1"/>
    <s v="Desk"/>
    <n v="4"/>
    <n v="17215.86"/>
    <x v="22"/>
    <n v="69333.08"/>
    <n v="21312.1"/>
    <n v="63.55"/>
    <x v="1"/>
    <n v="1"/>
    <x v="0"/>
    <x v="0"/>
    <n v="2"/>
  </r>
  <r>
    <s v="ORD-03538"/>
    <d v="2024-03-17T00:00:00"/>
    <s v="CUST92378"/>
    <x v="324"/>
    <n v="43"/>
    <x v="1"/>
    <x v="2"/>
    <x v="0"/>
    <x v="19"/>
    <x v="6"/>
    <s v="Camera"/>
    <n v="10"/>
    <n v="37177.589999999997"/>
    <x v="27"/>
    <n v="380113.28"/>
    <n v="54735.8"/>
    <n v="107.23"/>
    <x v="2"/>
    <n v="1"/>
    <x v="0"/>
    <x v="0"/>
    <n v="3"/>
  </r>
  <r>
    <s v="ORD-00554"/>
    <d v="2020-09-03T00:00:00"/>
    <s v="CUST69638"/>
    <x v="48"/>
    <n v="25"/>
    <x v="3"/>
    <x v="1"/>
    <x v="2"/>
    <x v="4"/>
    <x v="0"/>
    <s v="Lipstick"/>
    <n v="9"/>
    <n v="644.98"/>
    <x v="15"/>
    <n v="4487.87"/>
    <n v="1995.62"/>
    <n v="37.32"/>
    <x v="3"/>
    <n v="5"/>
    <x v="0"/>
    <x v="0"/>
    <n v="5"/>
  </r>
  <r>
    <s v="ORD-00062"/>
    <d v="2020-01-23T00:00:00"/>
    <s v="CUST64715"/>
    <x v="230"/>
    <n v="37"/>
    <x v="1"/>
    <x v="2"/>
    <x v="2"/>
    <x v="9"/>
    <x v="4"/>
    <s v="Football"/>
    <n v="1"/>
    <n v="2554.77"/>
    <x v="16"/>
    <n v="1705.43"/>
    <n v="376.62"/>
    <n v="65.44"/>
    <x v="3"/>
    <n v="2"/>
    <x v="0"/>
    <x v="0"/>
    <n v="2"/>
  </r>
  <r>
    <s v="ORD-02933"/>
    <d v="2023-06-27T00:00:00"/>
    <s v="CUST17587"/>
    <x v="154"/>
    <n v="46"/>
    <x v="1"/>
    <x v="2"/>
    <x v="1"/>
    <x v="3"/>
    <x v="2"/>
    <s v="Fiction Novel"/>
    <n v="10"/>
    <n v="1124.31"/>
    <x v="9"/>
    <n v="18133.14"/>
    <n v="7672.21"/>
    <n v="80.41"/>
    <x v="1"/>
    <n v="2"/>
    <x v="0"/>
    <x v="0"/>
    <n v="2"/>
  </r>
  <r>
    <s v="ORD-01443"/>
    <d v="2021-10-14T00:00:00"/>
    <s v="CUST23949"/>
    <x v="111"/>
    <n v="48"/>
    <x v="1"/>
    <x v="0"/>
    <x v="2"/>
    <x v="9"/>
    <x v="0"/>
    <s v="Perfume"/>
    <n v="5"/>
    <n v="314.26"/>
    <x v="12"/>
    <n v="1186.73"/>
    <n v="376.78"/>
    <n v="62.97"/>
    <x v="0"/>
    <n v="5"/>
    <x v="0"/>
    <x v="0"/>
    <n v="6"/>
  </r>
  <r>
    <s v="ORD-03901"/>
    <d v="2024-08-14T00:00:00"/>
    <s v="CUST08531"/>
    <x v="163"/>
    <n v="52"/>
    <x v="2"/>
    <x v="2"/>
    <x v="4"/>
    <x v="7"/>
    <x v="1"/>
    <s v="Sofa"/>
    <n v="10"/>
    <n v="5838.04"/>
    <x v="16"/>
    <n v="82953.5"/>
    <n v="23848.22"/>
    <n v="71.75"/>
    <x v="0"/>
    <n v="4"/>
    <x v="1"/>
    <x v="1"/>
    <n v="3"/>
  </r>
  <r>
    <s v="ORD-02060"/>
    <d v="2022-06-27T00:00:00"/>
    <s v="CUST37656"/>
    <x v="153"/>
    <n v="36"/>
    <x v="1"/>
    <x v="0"/>
    <x v="1"/>
    <x v="10"/>
    <x v="1"/>
    <s v="Wardrobe"/>
    <n v="10"/>
    <n v="30431.62"/>
    <x v="36"/>
    <n v="346543.18"/>
    <n v="123711.59"/>
    <n v="58.75"/>
    <x v="0"/>
    <n v="4"/>
    <x v="0"/>
    <x v="0"/>
    <n v="10"/>
  </r>
  <r>
    <s v="ORD-02204"/>
    <d v="2022-08-19T00:00:00"/>
    <s v="CUST80382"/>
    <x v="101"/>
    <n v="40"/>
    <x v="1"/>
    <x v="1"/>
    <x v="2"/>
    <x v="14"/>
    <x v="2"/>
    <s v="Biography"/>
    <n v="3"/>
    <n v="692.33"/>
    <x v="1"/>
    <n v="2204.16"/>
    <n v="747.75"/>
    <n v="48.08"/>
    <x v="0"/>
    <n v="4"/>
    <x v="0"/>
    <x v="0"/>
    <n v="4"/>
  </r>
  <r>
    <s v="ORD-04074"/>
    <d v="2024-10-31T00:00:00"/>
    <s v="CUST06369"/>
    <x v="150"/>
    <n v="31"/>
    <x v="0"/>
    <x v="1"/>
    <x v="3"/>
    <x v="12"/>
    <x v="4"/>
    <s v="Dumbbells"/>
    <n v="9"/>
    <n v="9910.8700000000008"/>
    <x v="21"/>
    <n v="65829.48"/>
    <n v="17622.75"/>
    <n v="89.02"/>
    <x v="0"/>
    <n v="4"/>
    <x v="0"/>
    <x v="0"/>
    <n v="9"/>
  </r>
  <r>
    <s v="ORD-03947"/>
    <d v="2024-08-29T00:00:00"/>
    <s v="CUST85906"/>
    <x v="393"/>
    <n v="35"/>
    <x v="0"/>
    <x v="1"/>
    <x v="1"/>
    <x v="6"/>
    <x v="5"/>
    <s v="Sugar"/>
    <n v="3"/>
    <n v="109.12"/>
    <x v="13"/>
    <n v="524.34"/>
    <n v="36.82"/>
    <n v="55.62"/>
    <x v="2"/>
    <n v="4"/>
    <x v="0"/>
    <x v="0"/>
    <n v="9"/>
  </r>
  <r>
    <s v="ORD-01840"/>
    <d v="2022-03-26T00:00:00"/>
    <s v="CUST17949"/>
    <x v="23"/>
    <n v="34"/>
    <x v="0"/>
    <x v="2"/>
    <x v="1"/>
    <x v="11"/>
    <x v="1"/>
    <s v="Chair"/>
    <n v="4"/>
    <n v="31307.38"/>
    <x v="26"/>
    <n v="105074.92"/>
    <n v="26306.21"/>
    <n v="72.12"/>
    <x v="2"/>
    <n v="4"/>
    <x v="0"/>
    <x v="0"/>
    <n v="4"/>
  </r>
  <r>
    <s v="ORD-04071"/>
    <d v="2024-10-30T00:00:00"/>
    <s v="CUST56219"/>
    <x v="345"/>
    <n v="68"/>
    <x v="2"/>
    <x v="2"/>
    <x v="4"/>
    <x v="8"/>
    <x v="3"/>
    <s v="T-Shirt"/>
    <n v="6"/>
    <n v="974.77"/>
    <x v="21"/>
    <n v="4398.5600000000004"/>
    <n v="1906.51"/>
    <n v="61.51"/>
    <x v="4"/>
    <n v="2"/>
    <x v="0"/>
    <x v="0"/>
    <n v="10"/>
  </r>
  <r>
    <s v="ORD-04107"/>
    <d v="2024-11-18T00:00:00"/>
    <s v="CUST81738"/>
    <x v="166"/>
    <n v="57"/>
    <x v="2"/>
    <x v="2"/>
    <x v="2"/>
    <x v="14"/>
    <x v="4"/>
    <s v="Cycle"/>
    <n v="6"/>
    <n v="8448.34"/>
    <x v="10"/>
    <n v="37263.519999999997"/>
    <n v="8591.2000000000007"/>
    <n v="72.430000000000007"/>
    <x v="2"/>
    <n v="5"/>
    <x v="0"/>
    <x v="0"/>
    <n v="10"/>
  </r>
  <r>
    <s v="ORD-03652"/>
    <d v="2024-05-06T00:00:00"/>
    <s v="CUST85147"/>
    <x v="177"/>
    <n v="35"/>
    <x v="0"/>
    <x v="2"/>
    <x v="4"/>
    <x v="17"/>
    <x v="3"/>
    <s v="Kurta"/>
    <n v="2"/>
    <n v="1717.4"/>
    <x v="2"/>
    <n v="4468.9799999999996"/>
    <n v="1161.98"/>
    <n v="84.39"/>
    <x v="3"/>
    <n v="5"/>
    <x v="1"/>
    <x v="1"/>
    <n v="5"/>
  </r>
  <r>
    <s v="ORD-03439"/>
    <d v="2024-01-30T00:00:00"/>
    <s v="CUST18731"/>
    <x v="98"/>
    <n v="23"/>
    <x v="3"/>
    <x v="1"/>
    <x v="4"/>
    <x v="17"/>
    <x v="6"/>
    <s v="Laptop"/>
    <n v="2"/>
    <n v="59225.94"/>
    <x v="0"/>
    <n v="111005.02"/>
    <n v="9990.2199999999993"/>
    <n v="76.36"/>
    <x v="3"/>
    <n v="3"/>
    <x v="0"/>
    <x v="0"/>
    <n v="10"/>
  </r>
  <r>
    <s v="ORD-01636"/>
    <d v="2021-12-30T00:00:00"/>
    <s v="CUST55664"/>
    <x v="383"/>
    <n v="41"/>
    <x v="1"/>
    <x v="2"/>
    <x v="4"/>
    <x v="18"/>
    <x v="3"/>
    <s v="Saree"/>
    <n v="7"/>
    <n v="691.98"/>
    <x v="26"/>
    <n v="2427.4699999999998"/>
    <n v="740.52"/>
    <n v="59.13"/>
    <x v="2"/>
    <n v="1"/>
    <x v="0"/>
    <x v="0"/>
    <n v="1"/>
  </r>
  <r>
    <s v="ORD-01575"/>
    <d v="2021-12-04T00:00:00"/>
    <s v="CUST95435"/>
    <x v="16"/>
    <n v="35"/>
    <x v="0"/>
    <x v="2"/>
    <x v="0"/>
    <x v="1"/>
    <x v="2"/>
    <s v="Textbook"/>
    <n v="4"/>
    <n v="505.02"/>
    <x v="33"/>
    <n v="1347.72"/>
    <n v="718.98"/>
    <n v="63.47"/>
    <x v="4"/>
    <n v="2"/>
    <x v="0"/>
    <x v="0"/>
    <n v="7"/>
  </r>
  <r>
    <s v="ORD-00298"/>
    <d v="2020-10-05T00:00:00"/>
    <s v="CUST02510"/>
    <x v="90"/>
    <n v="25"/>
    <x v="3"/>
    <x v="0"/>
    <x v="3"/>
    <x v="15"/>
    <x v="6"/>
    <s v="Headphones"/>
    <n v="1"/>
    <n v="66715.81"/>
    <x v="14"/>
    <n v="54095.7"/>
    <n v="5606.38"/>
    <n v="96.92"/>
    <x v="5"/>
    <n v="5"/>
    <x v="0"/>
    <x v="2"/>
    <n v="10"/>
  </r>
  <r>
    <s v="ORD-02215"/>
    <d v="2022-08-25T00:00:00"/>
    <s v="CUST27310"/>
    <x v="77"/>
    <n v="32"/>
    <x v="0"/>
    <x v="0"/>
    <x v="3"/>
    <x v="12"/>
    <x v="5"/>
    <s v="Rice (5kg)"/>
    <n v="5"/>
    <n v="285.26"/>
    <x v="20"/>
    <n v="1618.63"/>
    <n v="120.43"/>
    <n v="93.11"/>
    <x v="4"/>
    <n v="5"/>
    <x v="0"/>
    <x v="0"/>
    <n v="5"/>
  </r>
  <r>
    <s v="ORD-03970"/>
    <d v="2024-09-08T00:00:00"/>
    <s v="CUST76992"/>
    <x v="134"/>
    <n v="20"/>
    <x v="3"/>
    <x v="0"/>
    <x v="0"/>
    <x v="19"/>
    <x v="5"/>
    <s v="Tea"/>
    <n v="3"/>
    <n v="339.07"/>
    <x v="26"/>
    <n v="997.35"/>
    <n v="101.3"/>
    <n v="52.75"/>
    <x v="5"/>
    <n v="2"/>
    <x v="0"/>
    <x v="0"/>
    <n v="2"/>
  </r>
  <r>
    <s v="ORD-00205"/>
    <d v="2020-03-31T00:00:00"/>
    <s v="CUST44095"/>
    <x v="330"/>
    <n v="24"/>
    <x v="3"/>
    <x v="2"/>
    <x v="1"/>
    <x v="3"/>
    <x v="5"/>
    <s v="Flour"/>
    <n v="9"/>
    <n v="122.54"/>
    <x v="8"/>
    <n v="928.75"/>
    <n v="82.76"/>
    <n v="60.82"/>
    <x v="4"/>
    <n v="3"/>
    <x v="0"/>
    <x v="0"/>
    <n v="1"/>
  </r>
  <r>
    <s v="ORD-03618"/>
    <d v="2024-04-23T00:00:00"/>
    <s v="CUST86304"/>
    <x v="312"/>
    <n v="42"/>
    <x v="1"/>
    <x v="0"/>
    <x v="1"/>
    <x v="10"/>
    <x v="3"/>
    <s v="Jeans"/>
    <n v="8"/>
    <n v="1645.72"/>
    <x v="27"/>
    <n v="16304.49"/>
    <n v="5514.74"/>
    <n v="71.7"/>
    <x v="0"/>
    <n v="2"/>
    <x v="0"/>
    <x v="3"/>
    <n v="5"/>
  </r>
  <r>
    <s v="ORD-00907"/>
    <d v="2021-02-10T00:00:00"/>
    <s v="CUST43384"/>
    <x v="108"/>
    <n v="45"/>
    <x v="1"/>
    <x v="2"/>
    <x v="4"/>
    <x v="17"/>
    <x v="1"/>
    <s v="Desk"/>
    <n v="10"/>
    <n v="12241.28"/>
    <x v="4"/>
    <n v="97580.65"/>
    <n v="23149.32"/>
    <n v="45.07"/>
    <x v="3"/>
    <n v="5"/>
    <x v="1"/>
    <x v="1"/>
    <n v="8"/>
  </r>
  <r>
    <s v="ORD-00914"/>
    <d v="2021-02-16T00:00:00"/>
    <s v="CUST19648"/>
    <x v="139"/>
    <n v="41"/>
    <x v="1"/>
    <x v="2"/>
    <x v="0"/>
    <x v="1"/>
    <x v="4"/>
    <s v="Yoga Mat"/>
    <n v="6"/>
    <n v="4631.4399999999996"/>
    <x v="28"/>
    <n v="23451.19"/>
    <n v="4924.6899999999996"/>
    <n v="43.93"/>
    <x v="3"/>
    <n v="3"/>
    <x v="1"/>
    <x v="1"/>
    <n v="4"/>
  </r>
  <r>
    <s v="ORD-02403"/>
    <d v="2022-11-05T00:00:00"/>
    <s v="CUST08149"/>
    <x v="42"/>
    <n v="58"/>
    <x v="2"/>
    <x v="0"/>
    <x v="3"/>
    <x v="16"/>
    <x v="3"/>
    <s v="Jacket"/>
    <n v="9"/>
    <n v="1523.81"/>
    <x v="2"/>
    <n v="10204.549999999999"/>
    <n v="3848.37"/>
    <n v="99.28"/>
    <x v="5"/>
    <n v="2"/>
    <x v="0"/>
    <x v="3"/>
    <n v="8"/>
  </r>
  <r>
    <s v="ORD-02648"/>
    <d v="2023-02-18T00:00:00"/>
    <s v="CUST20141"/>
    <x v="30"/>
    <n v="31"/>
    <x v="0"/>
    <x v="2"/>
    <x v="3"/>
    <x v="5"/>
    <x v="2"/>
    <s v="Self-Help Book"/>
    <n v="10"/>
    <n v="431.41"/>
    <x v="14"/>
    <n v="2656.58"/>
    <n v="1442.99"/>
    <n v="89.87"/>
    <x v="3"/>
    <n v="4"/>
    <x v="0"/>
    <x v="0"/>
    <n v="10"/>
  </r>
  <r>
    <s v="ORD-01034"/>
    <d v="2021-04-13T00:00:00"/>
    <s v="CUST31839"/>
    <x v="154"/>
    <n v="41"/>
    <x v="1"/>
    <x v="0"/>
    <x v="0"/>
    <x v="1"/>
    <x v="1"/>
    <s v="Bed Frame"/>
    <n v="7"/>
    <n v="9355.68"/>
    <x v="39"/>
    <n v="71596.039999999994"/>
    <n v="22032.09"/>
    <n v="59.02"/>
    <x v="0"/>
    <n v="2"/>
    <x v="0"/>
    <x v="0"/>
    <n v="2"/>
  </r>
  <r>
    <s v="ORD-02059"/>
    <d v="2022-06-27T00:00:00"/>
    <s v="CUST09208"/>
    <x v="39"/>
    <n v="48"/>
    <x v="1"/>
    <x v="0"/>
    <x v="0"/>
    <x v="19"/>
    <x v="5"/>
    <s v="Sugar"/>
    <n v="3"/>
    <n v="357.08"/>
    <x v="30"/>
    <n v="1019.24"/>
    <n v="100.4"/>
    <n v="57.72"/>
    <x v="0"/>
    <n v="4"/>
    <x v="0"/>
    <x v="0"/>
    <n v="8"/>
  </r>
  <r>
    <s v="ORD-01305"/>
    <d v="2021-08-10T00:00:00"/>
    <s v="CUST05596"/>
    <x v="98"/>
    <n v="47"/>
    <x v="1"/>
    <x v="0"/>
    <x v="4"/>
    <x v="17"/>
    <x v="0"/>
    <s v="Sunscreen"/>
    <n v="2"/>
    <n v="1000.16"/>
    <x v="31"/>
    <n v="2110.52"/>
    <n v="712.46"/>
    <n v="67.430000000000007"/>
    <x v="2"/>
    <n v="1"/>
    <x v="0"/>
    <x v="0"/>
    <n v="5"/>
  </r>
  <r>
    <s v="ORD-01234"/>
    <d v="2021-07-11T00:00:00"/>
    <s v="CUST39513"/>
    <x v="144"/>
    <n v="26"/>
    <x v="0"/>
    <x v="0"/>
    <x v="0"/>
    <x v="1"/>
    <x v="0"/>
    <s v="Lipstick"/>
    <n v="9"/>
    <n v="2103.23"/>
    <x v="11"/>
    <n v="17656.62"/>
    <n v="8778.09"/>
    <n v="74.94"/>
    <x v="1"/>
    <n v="1"/>
    <x v="0"/>
    <x v="0"/>
    <n v="6"/>
  </r>
  <r>
    <s v="ORD-04077"/>
    <d v="2024-11-03T00:00:00"/>
    <s v="CUST21632"/>
    <x v="290"/>
    <n v="31"/>
    <x v="0"/>
    <x v="1"/>
    <x v="3"/>
    <x v="12"/>
    <x v="1"/>
    <s v="Desk"/>
    <n v="8"/>
    <n v="29867.23"/>
    <x v="33"/>
    <n v="199689.27"/>
    <n v="42863.03"/>
    <n v="81.97"/>
    <x v="3"/>
    <n v="2"/>
    <x v="1"/>
    <x v="1"/>
    <n v="6"/>
  </r>
  <r>
    <s v="ORD-02338"/>
    <d v="2022-10-10T00:00:00"/>
    <s v="CUST94097"/>
    <x v="181"/>
    <n v="60"/>
    <x v="2"/>
    <x v="1"/>
    <x v="3"/>
    <x v="12"/>
    <x v="6"/>
    <s v="Smartphone"/>
    <n v="8"/>
    <n v="29640.05"/>
    <x v="14"/>
    <n v="154607.71"/>
    <n v="15304.08"/>
    <n v="53.3"/>
    <x v="1"/>
    <n v="5"/>
    <x v="0"/>
    <x v="3"/>
    <n v="9"/>
  </r>
  <r>
    <s v="ORD-02476"/>
    <d v="2022-12-10T00:00:00"/>
    <s v="CUST15322"/>
    <x v="282"/>
    <n v="42"/>
    <x v="1"/>
    <x v="1"/>
    <x v="0"/>
    <x v="0"/>
    <x v="5"/>
    <s v="Cooking Oil"/>
    <n v="2"/>
    <n v="228.14"/>
    <x v="36"/>
    <n v="317.31"/>
    <n v="21.59"/>
    <n v="38.619999999999997"/>
    <x v="4"/>
    <n v="5"/>
    <x v="0"/>
    <x v="0"/>
    <n v="1"/>
  </r>
  <r>
    <s v="ORD-01586"/>
    <d v="2021-12-10T00:00:00"/>
    <s v="CUST03363"/>
    <x v="203"/>
    <n v="32"/>
    <x v="0"/>
    <x v="1"/>
    <x v="2"/>
    <x v="13"/>
    <x v="4"/>
    <s v="Tennis Racket"/>
    <n v="8"/>
    <n v="8526.34"/>
    <x v="33"/>
    <n v="43308.39"/>
    <n v="15373.18"/>
    <n v="43.24"/>
    <x v="4"/>
    <n v="1"/>
    <x v="0"/>
    <x v="2"/>
    <n v="4"/>
  </r>
  <r>
    <s v="ORD-01818"/>
    <d v="2022-03-15T00:00:00"/>
    <s v="CUST25648"/>
    <x v="398"/>
    <n v="40"/>
    <x v="1"/>
    <x v="1"/>
    <x v="0"/>
    <x v="0"/>
    <x v="6"/>
    <s v="Smartphone"/>
    <n v="7"/>
    <n v="62327.01"/>
    <x v="38"/>
    <n v="437292.1"/>
    <n v="49721.96"/>
    <n v="38.92"/>
    <x v="3"/>
    <n v="2"/>
    <x v="0"/>
    <x v="0"/>
    <n v="5"/>
  </r>
  <r>
    <s v="ORD-01947"/>
    <d v="2022-05-10T00:00:00"/>
    <s v="CUST34455"/>
    <x v="140"/>
    <n v="35"/>
    <x v="0"/>
    <x v="0"/>
    <x v="4"/>
    <x v="8"/>
    <x v="4"/>
    <s v="Tennis Racket"/>
    <n v="3"/>
    <n v="9576.43"/>
    <x v="37"/>
    <n v="35621.919999999998"/>
    <n v="9543.5"/>
    <n v="20.04"/>
    <x v="4"/>
    <n v="2"/>
    <x v="0"/>
    <x v="0"/>
    <n v="2"/>
  </r>
  <r>
    <s v="ORD-02138"/>
    <d v="2022-07-27T00:00:00"/>
    <s v="CUST43306"/>
    <x v="170"/>
    <n v="49"/>
    <x v="1"/>
    <x v="1"/>
    <x v="0"/>
    <x v="1"/>
    <x v="6"/>
    <s v="Laptop"/>
    <n v="5"/>
    <n v="69337.89"/>
    <x v="20"/>
    <n v="362912.13"/>
    <n v="39925.800000000003"/>
    <n v="31.5"/>
    <x v="0"/>
    <n v="4"/>
    <x v="0"/>
    <x v="0"/>
    <n v="4"/>
  </r>
  <r>
    <s v="ORD-03371"/>
    <d v="2023-12-30T00:00:00"/>
    <s v="CUST02058"/>
    <x v="371"/>
    <n v="36"/>
    <x v="1"/>
    <x v="1"/>
    <x v="1"/>
    <x v="3"/>
    <x v="5"/>
    <s v="Tea"/>
    <n v="8"/>
    <n v="60.17"/>
    <x v="19"/>
    <n v="389.42"/>
    <n v="26.13"/>
    <n v="33.6"/>
    <x v="0"/>
    <n v="2"/>
    <x v="0"/>
    <x v="0"/>
    <n v="6"/>
  </r>
  <r>
    <s v="ORD-01592"/>
    <d v="2021-12-11T00:00:00"/>
    <s v="CUST98096"/>
    <x v="139"/>
    <n v="25"/>
    <x v="3"/>
    <x v="2"/>
    <x v="1"/>
    <x v="6"/>
    <x v="3"/>
    <s v="Jeans"/>
    <n v="5"/>
    <n v="3611.23"/>
    <x v="6"/>
    <n v="8343.34"/>
    <n v="2810.97"/>
    <n v="31.7"/>
    <x v="0"/>
    <n v="3"/>
    <x v="1"/>
    <x v="1"/>
    <n v="5"/>
  </r>
  <r>
    <s v="ORD-03787"/>
    <d v="2024-07-04T00:00:00"/>
    <s v="CUST66442"/>
    <x v="97"/>
    <n v="26"/>
    <x v="0"/>
    <x v="1"/>
    <x v="3"/>
    <x v="12"/>
    <x v="6"/>
    <s v="Tablet"/>
    <n v="1"/>
    <n v="47324.800000000003"/>
    <x v="31"/>
    <n v="68357.31"/>
    <n v="9570.1200000000008"/>
    <n v="90.13"/>
    <x v="3"/>
    <n v="5"/>
    <x v="1"/>
    <x v="1"/>
    <n v="9"/>
  </r>
  <r>
    <s v="ORD-01792"/>
    <d v="2022-03-05T00:00:00"/>
    <s v="CUST77726"/>
    <x v="220"/>
    <n v="57"/>
    <x v="2"/>
    <x v="1"/>
    <x v="4"/>
    <x v="18"/>
    <x v="6"/>
    <s v="Tablet"/>
    <n v="1"/>
    <n v="19912.96"/>
    <x v="23"/>
    <n v="19091.830000000002"/>
    <n v="2309.9"/>
    <n v="49.5"/>
    <x v="2"/>
    <n v="3"/>
    <x v="0"/>
    <x v="0"/>
    <n v="5"/>
  </r>
  <r>
    <s v="ORD-02200"/>
    <d v="2022-08-17T00:00:00"/>
    <s v="CUST75677"/>
    <x v="263"/>
    <n v="33"/>
    <x v="0"/>
    <x v="1"/>
    <x v="1"/>
    <x v="10"/>
    <x v="3"/>
    <s v="Kurta"/>
    <n v="9"/>
    <n v="3159.45"/>
    <x v="38"/>
    <n v="29757.86"/>
    <n v="9057.31"/>
    <n v="53.6"/>
    <x v="2"/>
    <n v="3"/>
    <x v="0"/>
    <x v="0"/>
    <n v="3"/>
  </r>
  <r>
    <s v="ORD-04155"/>
    <d v="2024-12-09T00:00:00"/>
    <s v="CUST98534"/>
    <x v="225"/>
    <n v="49"/>
    <x v="1"/>
    <x v="1"/>
    <x v="1"/>
    <x v="11"/>
    <x v="0"/>
    <s v="Lipstick"/>
    <n v="7"/>
    <n v="2138.83"/>
    <x v="26"/>
    <n v="10637.74"/>
    <n v="4567.68"/>
    <n v="39.39"/>
    <x v="0"/>
    <n v="2"/>
    <x v="0"/>
    <x v="2"/>
    <n v="7"/>
  </r>
  <r>
    <s v="ORD-03185"/>
    <d v="2023-10-09T00:00:00"/>
    <s v="CUST29728"/>
    <x v="136"/>
    <n v="45"/>
    <x v="1"/>
    <x v="0"/>
    <x v="0"/>
    <x v="1"/>
    <x v="4"/>
    <s v="Football"/>
    <n v="2"/>
    <n v="14208.99"/>
    <x v="19"/>
    <n v="26208.02"/>
    <n v="7074.23"/>
    <n v="73.52"/>
    <x v="1"/>
    <n v="3"/>
    <x v="0"/>
    <x v="0"/>
    <n v="7"/>
  </r>
  <r>
    <s v="ORD-02108"/>
    <d v="2022-07-17T00:00:00"/>
    <s v="CUST78376"/>
    <x v="136"/>
    <n v="44"/>
    <x v="1"/>
    <x v="0"/>
    <x v="0"/>
    <x v="2"/>
    <x v="1"/>
    <s v="Bed Frame"/>
    <n v="5"/>
    <n v="7769.34"/>
    <x v="15"/>
    <n v="39143.379999999997"/>
    <n v="11912.85"/>
    <n v="60.21"/>
    <x v="4"/>
    <n v="2"/>
    <x v="0"/>
    <x v="0"/>
    <n v="8"/>
  </r>
  <r>
    <s v="ORD-01897"/>
    <d v="2022-04-17T00:00:00"/>
    <s v="CUST32469"/>
    <x v="195"/>
    <n v="35"/>
    <x v="0"/>
    <x v="1"/>
    <x v="0"/>
    <x v="2"/>
    <x v="0"/>
    <s v="Shampoo"/>
    <n v="2"/>
    <n v="1778.44"/>
    <x v="38"/>
    <n v="3512.3"/>
    <n v="1648.35"/>
    <n v="93.12"/>
    <x v="0"/>
    <n v="1"/>
    <x v="1"/>
    <x v="1"/>
    <n v="7"/>
  </r>
  <r>
    <s v="ORD-03559"/>
    <d v="2024-03-27T00:00:00"/>
    <s v="CUST69010"/>
    <x v="107"/>
    <n v="42"/>
    <x v="1"/>
    <x v="2"/>
    <x v="0"/>
    <x v="1"/>
    <x v="2"/>
    <s v="Self-Help Book"/>
    <n v="4"/>
    <n v="335.65"/>
    <x v="33"/>
    <n v="1393.82"/>
    <n v="425.54"/>
    <n v="35.659999999999997"/>
    <x v="3"/>
    <n v="3"/>
    <x v="0"/>
    <x v="0"/>
    <n v="6"/>
  </r>
  <r>
    <s v="ORD-00131"/>
    <d v="2020-02-20T00:00:00"/>
    <s v="CUST95462"/>
    <x v="88"/>
    <n v="24"/>
    <x v="3"/>
    <x v="2"/>
    <x v="2"/>
    <x v="9"/>
    <x v="5"/>
    <s v="Rice (5kg)"/>
    <n v="10"/>
    <n v="378.08"/>
    <x v="0"/>
    <n v="2872.67"/>
    <n v="204.71"/>
    <n v="40.81"/>
    <x v="0"/>
    <n v="1"/>
    <x v="0"/>
    <x v="2"/>
    <n v="2"/>
  </r>
  <r>
    <s v="ORD-01723"/>
    <d v="2022-02-05T00:00:00"/>
    <s v="CUST24447"/>
    <x v="27"/>
    <n v="51"/>
    <x v="2"/>
    <x v="1"/>
    <x v="4"/>
    <x v="18"/>
    <x v="2"/>
    <s v="Comic Book"/>
    <n v="2"/>
    <n v="429.2"/>
    <x v="36"/>
    <n v="650.28"/>
    <n v="159.72"/>
    <n v="70.44"/>
    <x v="4"/>
    <n v="1"/>
    <x v="0"/>
    <x v="0"/>
    <n v="1"/>
  </r>
  <r>
    <s v="ORD-02899"/>
    <d v="2023-06-07T00:00:00"/>
    <s v="CUST41852"/>
    <x v="368"/>
    <n v="43"/>
    <x v="1"/>
    <x v="0"/>
    <x v="1"/>
    <x v="11"/>
    <x v="5"/>
    <s v="Sugar"/>
    <n v="8"/>
    <n v="165.82"/>
    <x v="26"/>
    <n v="1805.69"/>
    <n v="135.43"/>
    <n v="36.72"/>
    <x v="0"/>
    <n v="5"/>
    <x v="0"/>
    <x v="0"/>
    <n v="2"/>
  </r>
  <r>
    <s v="ORD-00134"/>
    <d v="2020-02-22T00:00:00"/>
    <s v="CUST26802"/>
    <x v="350"/>
    <n v="45"/>
    <x v="1"/>
    <x v="2"/>
    <x v="2"/>
    <x v="13"/>
    <x v="3"/>
    <s v="Jacket"/>
    <n v="5"/>
    <n v="1949.23"/>
    <x v="25"/>
    <n v="6061.73"/>
    <n v="1667.61"/>
    <n v="64.709999999999994"/>
    <x v="0"/>
    <n v="5"/>
    <x v="0"/>
    <x v="0"/>
    <n v="9"/>
  </r>
  <r>
    <s v="ORD-00001"/>
    <d v="2020-01-01T00:00:00"/>
    <s v="CUST20767"/>
    <x v="333"/>
    <n v="67"/>
    <x v="2"/>
    <x v="2"/>
    <x v="1"/>
    <x v="11"/>
    <x v="4"/>
    <s v="Cricket Bat"/>
    <n v="4"/>
    <n v="2355.25"/>
    <x v="30"/>
    <n v="5079.04"/>
    <n v="1080.08"/>
    <n v="44.79"/>
    <x v="3"/>
    <n v="3"/>
    <x v="0"/>
    <x v="0"/>
    <n v="8"/>
  </r>
  <r>
    <s v="ORD-02520"/>
    <d v="2022-12-29T00:00:00"/>
    <s v="CUST01597"/>
    <x v="321"/>
    <n v="30"/>
    <x v="0"/>
    <x v="0"/>
    <x v="3"/>
    <x v="15"/>
    <x v="4"/>
    <s v="Cricket Bat"/>
    <n v="2"/>
    <n v="11228.63"/>
    <x v="14"/>
    <n v="11870.38"/>
    <n v="2694.57"/>
    <n v="54.4"/>
    <x v="3"/>
    <n v="5"/>
    <x v="0"/>
    <x v="0"/>
    <n v="2"/>
  </r>
  <r>
    <s v="ORD-00252"/>
    <d v="2020-04-21T00:00:00"/>
    <s v="CUST23212"/>
    <x v="336"/>
    <n v="29"/>
    <x v="0"/>
    <x v="1"/>
    <x v="2"/>
    <x v="9"/>
    <x v="0"/>
    <s v="Shampoo"/>
    <n v="6"/>
    <n v="802.39"/>
    <x v="21"/>
    <n v="3040.88"/>
    <n v="993.67"/>
    <n v="47.04"/>
    <x v="0"/>
    <n v="3"/>
    <x v="0"/>
    <x v="0"/>
    <n v="6"/>
  </r>
  <r>
    <s v="ORD-01888"/>
    <d v="2022-04-14T00:00:00"/>
    <s v="CUST48280"/>
    <x v="42"/>
    <n v="38"/>
    <x v="1"/>
    <x v="2"/>
    <x v="0"/>
    <x v="2"/>
    <x v="5"/>
    <s v="Sugar"/>
    <n v="7"/>
    <n v="366.53"/>
    <x v="5"/>
    <n v="3649.29"/>
    <n v="335.94"/>
    <n v="46.6"/>
    <x v="2"/>
    <n v="2"/>
    <x v="0"/>
    <x v="0"/>
    <n v="2"/>
  </r>
  <r>
    <s v="ORD-03792"/>
    <d v="2024-07-06T00:00:00"/>
    <s v="CUST55522"/>
    <x v="235"/>
    <n v="25"/>
    <x v="3"/>
    <x v="0"/>
    <x v="4"/>
    <x v="7"/>
    <x v="6"/>
    <s v="Headphones"/>
    <n v="10"/>
    <n v="63505.68"/>
    <x v="31"/>
    <n v="1033433.55"/>
    <n v="141319.32"/>
    <n v="64.819999999999993"/>
    <x v="0"/>
    <n v="3"/>
    <x v="0"/>
    <x v="0"/>
    <n v="5"/>
  </r>
  <r>
    <s v="ORD-03144"/>
    <d v="2023-09-22T00:00:00"/>
    <s v="CUST69784"/>
    <x v="178"/>
    <n v="23"/>
    <x v="3"/>
    <x v="0"/>
    <x v="0"/>
    <x v="19"/>
    <x v="3"/>
    <s v="Kurta"/>
    <n v="2"/>
    <n v="2227.31"/>
    <x v="8"/>
    <n v="5919.86"/>
    <n v="2748"/>
    <n v="71.3"/>
    <x v="4"/>
    <n v="1"/>
    <x v="0"/>
    <x v="0"/>
    <n v="10"/>
  </r>
  <r>
    <s v="ORD-00239"/>
    <d v="2020-04-14T00:00:00"/>
    <s v="CUST33340"/>
    <x v="397"/>
    <n v="18"/>
    <x v="3"/>
    <x v="0"/>
    <x v="0"/>
    <x v="2"/>
    <x v="1"/>
    <s v="Bookshelf"/>
    <n v="9"/>
    <n v="32644.01"/>
    <x v="12"/>
    <n v="229301.96"/>
    <n v="68294.460000000006"/>
    <n v="41.37"/>
    <x v="4"/>
    <n v="4"/>
    <x v="0"/>
    <x v="3"/>
    <n v="7"/>
  </r>
  <r>
    <s v="ORD-01436"/>
    <d v="2021-10-09T00:00:00"/>
    <s v="CUST45016"/>
    <x v="113"/>
    <n v="47"/>
    <x v="1"/>
    <x v="0"/>
    <x v="2"/>
    <x v="13"/>
    <x v="3"/>
    <s v="Dress"/>
    <n v="2"/>
    <n v="3097.01"/>
    <x v="19"/>
    <n v="5016.33"/>
    <n v="2443.96"/>
    <n v="50.68"/>
    <x v="5"/>
    <n v="3"/>
    <x v="0"/>
    <x v="0"/>
    <n v="6"/>
  </r>
  <r>
    <s v="ORD-02371"/>
    <d v="2022-10-21T00:00:00"/>
    <s v="CUST84615"/>
    <x v="113"/>
    <n v="25"/>
    <x v="3"/>
    <x v="2"/>
    <x v="4"/>
    <x v="17"/>
    <x v="0"/>
    <s v="Lipstick"/>
    <n v="6"/>
    <n v="253.65"/>
    <x v="20"/>
    <n v="1411.81"/>
    <n v="436.8"/>
    <n v="47.29"/>
    <x v="2"/>
    <n v="5"/>
    <x v="0"/>
    <x v="0"/>
    <n v="3"/>
  </r>
  <r>
    <s v="ORD-02050"/>
    <d v="2022-06-21T00:00:00"/>
    <s v="CUST02327"/>
    <x v="192"/>
    <n v="23"/>
    <x v="3"/>
    <x v="0"/>
    <x v="0"/>
    <x v="0"/>
    <x v="3"/>
    <s v="Dress"/>
    <n v="3"/>
    <n v="1462.24"/>
    <x v="28"/>
    <n v="6441.47"/>
    <n v="2494.41"/>
    <n v="69.709999999999994"/>
    <x v="3"/>
    <n v="3"/>
    <x v="0"/>
    <x v="3"/>
    <n v="7"/>
  </r>
  <r>
    <s v="ORD-03508"/>
    <d v="2024-03-04T00:00:00"/>
    <s v="CUST35702"/>
    <x v="196"/>
    <n v="31"/>
    <x v="0"/>
    <x v="2"/>
    <x v="0"/>
    <x v="1"/>
    <x v="3"/>
    <s v="Dress"/>
    <n v="4"/>
    <n v="1975.33"/>
    <x v="28"/>
    <n v="9791.75"/>
    <n v="3033.4"/>
    <n v="27.67"/>
    <x v="5"/>
    <n v="1"/>
    <x v="0"/>
    <x v="0"/>
    <n v="6"/>
  </r>
  <r>
    <s v="ORD-00957"/>
    <d v="2021-10-03T00:00:00"/>
    <s v="CUST38291"/>
    <x v="83"/>
    <n v="45"/>
    <x v="1"/>
    <x v="0"/>
    <x v="0"/>
    <x v="2"/>
    <x v="6"/>
    <s v="Headphones"/>
    <n v="8"/>
    <n v="35444.35"/>
    <x v="21"/>
    <n v="184024.19"/>
    <n v="25280.12"/>
    <n v="40.75"/>
    <x v="2"/>
    <n v="4"/>
    <x v="0"/>
    <x v="0"/>
    <n v="8"/>
  </r>
  <r>
    <s v="ORD-01477"/>
    <d v="2021-10-25T00:00:00"/>
    <s v="CUST96715"/>
    <x v="220"/>
    <n v="47"/>
    <x v="1"/>
    <x v="1"/>
    <x v="0"/>
    <x v="19"/>
    <x v="0"/>
    <s v="Shampoo"/>
    <n v="4"/>
    <n v="2037.17"/>
    <x v="28"/>
    <n v="6659.78"/>
    <n v="3811.89"/>
    <n v="53.93"/>
    <x v="4"/>
    <n v="3"/>
    <x v="0"/>
    <x v="3"/>
    <n v="4"/>
  </r>
  <r>
    <s v="ORD-01063"/>
    <d v="2021-04-26T00:00:00"/>
    <s v="CUST94026"/>
    <x v="196"/>
    <n v="45"/>
    <x v="1"/>
    <x v="1"/>
    <x v="3"/>
    <x v="15"/>
    <x v="6"/>
    <s v="Smartphone"/>
    <n v="4"/>
    <n v="9948.67"/>
    <x v="13"/>
    <n v="50592.2"/>
    <n v="5774.74"/>
    <n v="85.65"/>
    <x v="4"/>
    <n v="1"/>
    <x v="1"/>
    <x v="1"/>
    <n v="10"/>
  </r>
  <r>
    <s v="ORD-02232"/>
    <d v="2022-08-30T00:00:00"/>
    <s v="CUST33157"/>
    <x v="118"/>
    <n v="49"/>
    <x v="1"/>
    <x v="2"/>
    <x v="4"/>
    <x v="7"/>
    <x v="3"/>
    <s v="T-Shirt"/>
    <n v="10"/>
    <n v="3789.09"/>
    <x v="33"/>
    <n v="42644.14"/>
    <n v="11567.08"/>
    <n v="53.05"/>
    <x v="4"/>
    <n v="5"/>
    <x v="0"/>
    <x v="4"/>
    <n v="1"/>
  </r>
  <r>
    <s v="ORD-01954"/>
    <d v="2022-05-14T00:00:00"/>
    <s v="CUST34853"/>
    <x v="311"/>
    <n v="29"/>
    <x v="0"/>
    <x v="1"/>
    <x v="0"/>
    <x v="1"/>
    <x v="5"/>
    <s v="Tea"/>
    <n v="5"/>
    <n v="218.21"/>
    <x v="30"/>
    <n v="1300.18"/>
    <n v="113.46"/>
    <n v="55.11"/>
    <x v="3"/>
    <n v="5"/>
    <x v="0"/>
    <x v="3"/>
    <n v="9"/>
  </r>
  <r>
    <s v="ORD-01904"/>
    <d v="2022-04-21T00:00:00"/>
    <s v="CUST84621"/>
    <x v="129"/>
    <n v="31"/>
    <x v="0"/>
    <x v="1"/>
    <x v="3"/>
    <x v="12"/>
    <x v="6"/>
    <s v="Tablet"/>
    <n v="5"/>
    <n v="7801.31"/>
    <x v="17"/>
    <n v="32476.66"/>
    <n v="4169.84"/>
    <n v="72.94"/>
    <x v="3"/>
    <n v="5"/>
    <x v="0"/>
    <x v="0"/>
    <n v="7"/>
  </r>
  <r>
    <s v="ORD-03290"/>
    <d v="2023-11-23T00:00:00"/>
    <s v="CUST79601"/>
    <x v="211"/>
    <n v="47"/>
    <x v="1"/>
    <x v="1"/>
    <x v="0"/>
    <x v="0"/>
    <x v="5"/>
    <s v="Tea"/>
    <n v="6"/>
    <n v="481.93"/>
    <x v="40"/>
    <n v="1558.52"/>
    <n v="135.01"/>
    <n v="54.04"/>
    <x v="1"/>
    <n v="2"/>
    <x v="0"/>
    <x v="0"/>
    <n v="2"/>
  </r>
  <r>
    <s v="ORD-03722"/>
    <d v="2024-06-12T00:00:00"/>
    <s v="CUST72927"/>
    <x v="178"/>
    <n v="48"/>
    <x v="1"/>
    <x v="2"/>
    <x v="0"/>
    <x v="2"/>
    <x v="4"/>
    <s v="Tennis Racket"/>
    <n v="6"/>
    <n v="701.76"/>
    <x v="9"/>
    <n v="6443.54"/>
    <n v="1409.13"/>
    <n v="70.25"/>
    <x v="5"/>
    <n v="4"/>
    <x v="0"/>
    <x v="0"/>
    <n v="7"/>
  </r>
  <r>
    <s v="ORD-03949"/>
    <d v="2024-08-31T00:00:00"/>
    <s v="CUST95140"/>
    <x v="11"/>
    <n v="49"/>
    <x v="1"/>
    <x v="2"/>
    <x v="0"/>
    <x v="0"/>
    <x v="0"/>
    <s v="Face Cream"/>
    <n v="7"/>
    <n v="981.95"/>
    <x v="29"/>
    <n v="9774.56"/>
    <n v="4480.42"/>
    <n v="63.36"/>
    <x v="4"/>
    <n v="5"/>
    <x v="0"/>
    <x v="0"/>
    <n v="9"/>
  </r>
  <r>
    <s v="ORD-01879"/>
    <d v="2022-04-08T00:00:00"/>
    <s v="CUST41248"/>
    <x v="202"/>
    <n v="18"/>
    <x v="3"/>
    <x v="2"/>
    <x v="2"/>
    <x v="4"/>
    <x v="5"/>
    <s v="Rice (5kg)"/>
    <n v="6"/>
    <n v="160.93"/>
    <x v="22"/>
    <n v="746"/>
    <n v="49.52"/>
    <n v="43.23"/>
    <x v="4"/>
    <n v="4"/>
    <x v="0"/>
    <x v="0"/>
    <n v="5"/>
  </r>
  <r>
    <s v="ORD-02355"/>
    <d v="2022-10-16T00:00:00"/>
    <s v="CUST25582"/>
    <x v="398"/>
    <n v="31"/>
    <x v="0"/>
    <x v="1"/>
    <x v="1"/>
    <x v="11"/>
    <x v="4"/>
    <s v="Yoga Mat"/>
    <n v="2"/>
    <n v="963.86"/>
    <x v="17"/>
    <n v="1234.93"/>
    <n v="250.23"/>
    <n v="44.87"/>
    <x v="3"/>
    <n v="4"/>
    <x v="0"/>
    <x v="3"/>
    <n v="7"/>
  </r>
  <r>
    <s v="ORD-00730"/>
    <d v="2020-11-30T00:00:00"/>
    <s v="CUST84330"/>
    <x v="93"/>
    <n v="37"/>
    <x v="1"/>
    <x v="2"/>
    <x v="0"/>
    <x v="0"/>
    <x v="1"/>
    <s v="Chair"/>
    <n v="8"/>
    <n v="18836.47"/>
    <x v="40"/>
    <n v="61854.03"/>
    <n v="18480.41"/>
    <n v="25.75"/>
    <x v="5"/>
    <n v="4"/>
    <x v="0"/>
    <x v="0"/>
    <n v="7"/>
  </r>
  <r>
    <s v="ORD-01465"/>
    <d v="2021-10-23T00:00:00"/>
    <s v="CUST31162"/>
    <x v="341"/>
    <n v="42"/>
    <x v="1"/>
    <x v="1"/>
    <x v="2"/>
    <x v="13"/>
    <x v="1"/>
    <s v="Chair"/>
    <n v="2"/>
    <n v="31609.279999999999"/>
    <x v="25"/>
    <n v="37776.019999999997"/>
    <n v="8697.26"/>
    <n v="37.83"/>
    <x v="2"/>
    <n v="3"/>
    <x v="0"/>
    <x v="0"/>
    <n v="5"/>
  </r>
  <r>
    <s v="ORD-01010"/>
    <d v="2021-04-01T00:00:00"/>
    <s v="CUST49434"/>
    <x v="352"/>
    <n v="39"/>
    <x v="1"/>
    <x v="1"/>
    <x v="1"/>
    <x v="3"/>
    <x v="2"/>
    <s v="Cook Book"/>
    <n v="3"/>
    <n v="748.48"/>
    <x v="40"/>
    <n v="1567.84"/>
    <n v="545.32000000000005"/>
    <n v="53.58"/>
    <x v="2"/>
    <n v="4"/>
    <x v="0"/>
    <x v="0"/>
    <n v="4"/>
  </r>
  <r>
    <s v="ORD-00550"/>
    <d v="2020-08-31T00:00:00"/>
    <s v="CUST21538"/>
    <x v="398"/>
    <n v="55"/>
    <x v="2"/>
    <x v="0"/>
    <x v="4"/>
    <x v="17"/>
    <x v="4"/>
    <s v="Dumbbells"/>
    <n v="4"/>
    <n v="9806.3700000000008"/>
    <x v="16"/>
    <n v="42952.69"/>
    <n v="11804.27"/>
    <n v="84.11"/>
    <x v="3"/>
    <n v="2"/>
    <x v="0"/>
    <x v="0"/>
    <n v="3"/>
  </r>
  <r>
    <s v="ORD-01338"/>
    <d v="2021-08-24T00:00:00"/>
    <s v="CUST96831"/>
    <x v="287"/>
    <n v="43"/>
    <x v="1"/>
    <x v="0"/>
    <x v="4"/>
    <x v="8"/>
    <x v="1"/>
    <s v="Sofa"/>
    <n v="10"/>
    <n v="19934.48"/>
    <x v="8"/>
    <n v="222948.05"/>
    <n v="85875.92"/>
    <n v="55.37"/>
    <x v="0"/>
    <n v="2"/>
    <x v="0"/>
    <x v="0"/>
    <n v="3"/>
  </r>
  <r>
    <s v="ORD-00970"/>
    <d v="2021-03-18T00:00:00"/>
    <s v="CUST04940"/>
    <x v="391"/>
    <n v="44"/>
    <x v="1"/>
    <x v="1"/>
    <x v="3"/>
    <x v="16"/>
    <x v="6"/>
    <s v="Laptop"/>
    <n v="6"/>
    <n v="40340.61"/>
    <x v="21"/>
    <n v="166691.57999999999"/>
    <n v="15451.73"/>
    <n v="92.09"/>
    <x v="0"/>
    <n v="2"/>
    <x v="0"/>
    <x v="0"/>
    <n v="10"/>
  </r>
  <r>
    <s v="ORD-01360"/>
    <d v="2021-09-04T00:00:00"/>
    <s v="CUST90904"/>
    <x v="146"/>
    <n v="46"/>
    <x v="1"/>
    <x v="0"/>
    <x v="2"/>
    <x v="4"/>
    <x v="5"/>
    <s v="Tea"/>
    <n v="9"/>
    <n v="259.89999999999998"/>
    <x v="19"/>
    <n v="2235.73"/>
    <n v="151.85"/>
    <n v="60.98"/>
    <x v="2"/>
    <n v="1"/>
    <x v="0"/>
    <x v="0"/>
    <n v="7"/>
  </r>
  <r>
    <s v="ORD-03404"/>
    <d v="2024-01-13T00:00:00"/>
    <s v="CUST89207"/>
    <x v="304"/>
    <n v="30"/>
    <x v="0"/>
    <x v="1"/>
    <x v="2"/>
    <x v="13"/>
    <x v="5"/>
    <s v="Cooking Oil"/>
    <n v="4"/>
    <n v="252.07"/>
    <x v="7"/>
    <n v="798.95"/>
    <n v="72.2"/>
    <n v="40.96"/>
    <x v="0"/>
    <n v="2"/>
    <x v="0"/>
    <x v="0"/>
    <n v="1"/>
  </r>
  <r>
    <s v="ORD-03109"/>
    <d v="2023-09-05T00:00:00"/>
    <s v="CUST93512"/>
    <x v="83"/>
    <n v="35"/>
    <x v="0"/>
    <x v="1"/>
    <x v="0"/>
    <x v="0"/>
    <x v="2"/>
    <s v="Textbook"/>
    <n v="3"/>
    <n v="482.83"/>
    <x v="1"/>
    <n v="1565.69"/>
    <n v="752.92"/>
    <n v="50.18"/>
    <x v="2"/>
    <n v="4"/>
    <x v="0"/>
    <x v="4"/>
    <n v="4"/>
  </r>
  <r>
    <s v="ORD-00160"/>
    <d v="2020-03-08T00:00:00"/>
    <s v="CUST53976"/>
    <x v="164"/>
    <n v="35"/>
    <x v="0"/>
    <x v="2"/>
    <x v="4"/>
    <x v="8"/>
    <x v="5"/>
    <s v="Rice (5kg)"/>
    <n v="1"/>
    <n v="430.25"/>
    <x v="2"/>
    <n v="361.14"/>
    <n v="25.31"/>
    <n v="56.91"/>
    <x v="3"/>
    <n v="2"/>
    <x v="1"/>
    <x v="1"/>
    <n v="5"/>
  </r>
  <r>
    <s v="ORD-02937"/>
    <d v="2023-06-28T00:00:00"/>
    <s v="CUST46894"/>
    <x v="207"/>
    <n v="49"/>
    <x v="1"/>
    <x v="2"/>
    <x v="3"/>
    <x v="12"/>
    <x v="6"/>
    <s v="Smartwatch"/>
    <n v="10"/>
    <n v="13230.15"/>
    <x v="22"/>
    <n v="122855.89"/>
    <n v="16653.59"/>
    <n v="74.38"/>
    <x v="1"/>
    <n v="5"/>
    <x v="0"/>
    <x v="0"/>
    <n v="10"/>
  </r>
  <r>
    <s v="ORD-00610"/>
    <d v="2020-09-29T00:00:00"/>
    <s v="CUST16419"/>
    <x v="45"/>
    <n v="31"/>
    <x v="0"/>
    <x v="0"/>
    <x v="4"/>
    <x v="18"/>
    <x v="0"/>
    <s v="Sunscreen"/>
    <n v="6"/>
    <n v="1767.5"/>
    <x v="28"/>
    <n v="10129.66"/>
    <n v="6354.06"/>
    <n v="91.71"/>
    <x v="2"/>
    <n v="3"/>
    <x v="0"/>
    <x v="0"/>
    <n v="10"/>
  </r>
  <r>
    <s v="ORD-00916"/>
    <d v="2021-02-17T00:00:00"/>
    <s v="CUST66419"/>
    <x v="261"/>
    <n v="44"/>
    <x v="1"/>
    <x v="0"/>
    <x v="4"/>
    <x v="18"/>
    <x v="5"/>
    <s v="Sugar"/>
    <n v="7"/>
    <n v="245.03"/>
    <x v="32"/>
    <n v="1547.66"/>
    <n v="97.99"/>
    <n v="69.709999999999994"/>
    <x v="4"/>
    <n v="3"/>
    <x v="0"/>
    <x v="0"/>
    <n v="7"/>
  </r>
  <r>
    <s v="ORD-00292"/>
    <d v="2020-05-08T00:00:00"/>
    <s v="CUST37047"/>
    <x v="9"/>
    <n v="43"/>
    <x v="1"/>
    <x v="0"/>
    <x v="2"/>
    <x v="13"/>
    <x v="0"/>
    <s v="Perfume"/>
    <n v="1"/>
    <n v="258.67"/>
    <x v="19"/>
    <n v="241.29"/>
    <n v="82.38"/>
    <n v="62.33"/>
    <x v="5"/>
    <n v="5"/>
    <x v="0"/>
    <x v="0"/>
    <n v="5"/>
  </r>
  <r>
    <s v="ORD-02975"/>
    <d v="2023-07-11T00:00:00"/>
    <s v="CUST47576"/>
    <x v="387"/>
    <n v="27"/>
    <x v="0"/>
    <x v="0"/>
    <x v="0"/>
    <x v="19"/>
    <x v="4"/>
    <s v="Football"/>
    <n v="1"/>
    <n v="8472.58"/>
    <x v="6"/>
    <n v="7626.2"/>
    <n v="1056.58"/>
    <n v="42.85"/>
    <x v="4"/>
    <n v="5"/>
    <x v="0"/>
    <x v="0"/>
    <n v="10"/>
  </r>
  <r>
    <s v="ORD-00746"/>
    <d v="2020-12-05T00:00:00"/>
    <s v="CUST77230"/>
    <x v="290"/>
    <n v="52"/>
    <x v="2"/>
    <x v="1"/>
    <x v="0"/>
    <x v="19"/>
    <x v="6"/>
    <s v="Smartphone"/>
    <n v="1"/>
    <n v="55374.2"/>
    <x v="13"/>
    <n v="37343.19"/>
    <n v="4332.6899999999996"/>
    <n v="42.92"/>
    <x v="5"/>
    <n v="4"/>
    <x v="1"/>
    <x v="1"/>
    <n v="9"/>
  </r>
  <r>
    <s v="ORD-03832"/>
    <d v="2024-07-24T00:00:00"/>
    <s v="CUST67339"/>
    <x v="104"/>
    <n v="31"/>
    <x v="0"/>
    <x v="1"/>
    <x v="2"/>
    <x v="9"/>
    <x v="2"/>
    <s v="Fiction Novel"/>
    <n v="9"/>
    <n v="592.57000000000005"/>
    <x v="35"/>
    <n v="5565.17"/>
    <n v="2593.15"/>
    <n v="60.15"/>
    <x v="5"/>
    <n v="4"/>
    <x v="1"/>
    <x v="1"/>
    <n v="10"/>
  </r>
  <r>
    <s v="ORD-03789"/>
    <d v="2024-07-04T00:00:00"/>
    <s v="CUST30468"/>
    <x v="258"/>
    <n v="42"/>
    <x v="1"/>
    <x v="1"/>
    <x v="1"/>
    <x v="3"/>
    <x v="3"/>
    <s v="T-Shirt"/>
    <n v="4"/>
    <n v="766.4"/>
    <x v="9"/>
    <n v="4071.69"/>
    <n v="1156.28"/>
    <n v="41.96"/>
    <x v="5"/>
    <n v="3"/>
    <x v="0"/>
    <x v="0"/>
    <n v="10"/>
  </r>
  <r>
    <s v="ORD-03071"/>
    <d v="2023-08-19T00:00:00"/>
    <s v="CUST66429"/>
    <x v="218"/>
    <n v="52"/>
    <x v="2"/>
    <x v="1"/>
    <x v="0"/>
    <x v="0"/>
    <x v="2"/>
    <s v="Textbook"/>
    <n v="8"/>
    <n v="1135.99"/>
    <x v="30"/>
    <n v="8820.52"/>
    <n v="3707.82"/>
    <n v="66.97"/>
    <x v="2"/>
    <n v="4"/>
    <x v="1"/>
    <x v="1"/>
    <n v="6"/>
  </r>
  <r>
    <s v="ORD-01458"/>
    <d v="2021-10-22T00:00:00"/>
    <s v="CUST39952"/>
    <x v="52"/>
    <n v="27"/>
    <x v="0"/>
    <x v="1"/>
    <x v="1"/>
    <x v="3"/>
    <x v="6"/>
    <s v="Camera"/>
    <n v="7"/>
    <n v="38149.199999999997"/>
    <x v="33"/>
    <n v="183278.19"/>
    <n v="21290.22"/>
    <n v="53.93"/>
    <x v="2"/>
    <n v="4"/>
    <x v="1"/>
    <x v="1"/>
    <n v="8"/>
  </r>
  <r>
    <s v="ORD-03236"/>
    <d v="2023-10-31T00:00:00"/>
    <s v="CUST98300"/>
    <x v="279"/>
    <n v="28"/>
    <x v="0"/>
    <x v="0"/>
    <x v="1"/>
    <x v="3"/>
    <x v="4"/>
    <s v="Dumbbells"/>
    <n v="3"/>
    <n v="3481.8"/>
    <x v="22"/>
    <n v="7463.99"/>
    <n v="1681.91"/>
    <n v="55.2"/>
    <x v="4"/>
    <n v="5"/>
    <x v="0"/>
    <x v="0"/>
    <n v="8"/>
  </r>
  <r>
    <s v="ORD-01256"/>
    <d v="2021-07-20T00:00:00"/>
    <s v="CUST36428"/>
    <x v="334"/>
    <n v="50"/>
    <x v="1"/>
    <x v="2"/>
    <x v="2"/>
    <x v="14"/>
    <x v="4"/>
    <s v="Cricket Bat"/>
    <n v="10"/>
    <n v="8620.94"/>
    <x v="8"/>
    <n v="126401.53"/>
    <n v="29243.759999999998"/>
    <n v="63.69"/>
    <x v="1"/>
    <n v="1"/>
    <x v="0"/>
    <x v="2"/>
    <n v="3"/>
  </r>
  <r>
    <s v="ORD-00303"/>
    <d v="2020-05-11T00:00:00"/>
    <s v="CUST62197"/>
    <x v="266"/>
    <n v="34"/>
    <x v="0"/>
    <x v="0"/>
    <x v="2"/>
    <x v="14"/>
    <x v="5"/>
    <s v="Dal (1kg)"/>
    <n v="4"/>
    <n v="87.62"/>
    <x v="26"/>
    <n v="338.94"/>
    <n v="30.3"/>
    <n v="56.98"/>
    <x v="5"/>
    <n v="3"/>
    <x v="1"/>
    <x v="1"/>
    <n v="4"/>
  </r>
  <r>
    <s v="ORD-01772"/>
    <d v="2022-02-23T00:00:00"/>
    <s v="CUST66243"/>
    <x v="76"/>
    <n v="36"/>
    <x v="1"/>
    <x v="1"/>
    <x v="4"/>
    <x v="18"/>
    <x v="3"/>
    <s v="T-Shirt"/>
    <n v="4"/>
    <n v="3567.47"/>
    <x v="1"/>
    <n v="11439.79"/>
    <n v="2952.33"/>
    <n v="90.15"/>
    <x v="2"/>
    <n v="4"/>
    <x v="0"/>
    <x v="2"/>
    <n v="4"/>
  </r>
  <r>
    <s v="ORD-01200"/>
    <d v="2021-06-25T00:00:00"/>
    <s v="CUST04926"/>
    <x v="7"/>
    <n v="32"/>
    <x v="0"/>
    <x v="2"/>
    <x v="3"/>
    <x v="16"/>
    <x v="5"/>
    <s v="Dal (1kg)"/>
    <n v="8"/>
    <n v="243.87"/>
    <x v="27"/>
    <n v="2091.15"/>
    <n v="159.38"/>
    <n v="107.16"/>
    <x v="1"/>
    <n v="4"/>
    <x v="0"/>
    <x v="0"/>
    <n v="8"/>
  </r>
  <r>
    <s v="ORD-00150"/>
    <d v="2020-03-02T00:00:00"/>
    <s v="CUST65041"/>
    <x v="344"/>
    <n v="28"/>
    <x v="0"/>
    <x v="1"/>
    <x v="2"/>
    <x v="9"/>
    <x v="0"/>
    <s v="Shampoo"/>
    <n v="8"/>
    <n v="2402.3000000000002"/>
    <x v="1"/>
    <n v="17325.759999999998"/>
    <n v="7864.22"/>
    <n v="28.34"/>
    <x v="3"/>
    <n v="2"/>
    <x v="0"/>
    <x v="0"/>
    <n v="5"/>
  </r>
  <r>
    <s v="ORD-03495"/>
    <d v="2024-02-28T00:00:00"/>
    <s v="CUST83702"/>
    <x v="32"/>
    <n v="57"/>
    <x v="2"/>
    <x v="1"/>
    <x v="2"/>
    <x v="13"/>
    <x v="1"/>
    <s v="Wardrobe"/>
    <n v="10"/>
    <n v="7864.24"/>
    <x v="16"/>
    <n v="79635.39"/>
    <n v="26334.69"/>
    <n v="41.39"/>
    <x v="4"/>
    <n v="3"/>
    <x v="0"/>
    <x v="0"/>
    <n v="8"/>
  </r>
  <r>
    <s v="ORD-00815"/>
    <d v="2021-01-08T00:00:00"/>
    <s v="CUST16348"/>
    <x v="57"/>
    <n v="29"/>
    <x v="0"/>
    <x v="2"/>
    <x v="0"/>
    <x v="2"/>
    <x v="5"/>
    <s v="Tea"/>
    <n v="3"/>
    <n v="124.54"/>
    <x v="29"/>
    <n v="312.48"/>
    <n v="27.23"/>
    <n v="67.180000000000007"/>
    <x v="3"/>
    <n v="1"/>
    <x v="0"/>
    <x v="3"/>
    <n v="10"/>
  </r>
  <r>
    <s v="ORD-00072"/>
    <d v="2020-01-28T00:00:00"/>
    <s v="CUST86139"/>
    <x v="159"/>
    <n v="35"/>
    <x v="0"/>
    <x v="0"/>
    <x v="4"/>
    <x v="7"/>
    <x v="0"/>
    <s v="Hair Oil"/>
    <n v="3"/>
    <n v="464.07"/>
    <x v="6"/>
    <n v="595.39"/>
    <n v="342.46"/>
    <n v="60.75"/>
    <x v="4"/>
    <n v="5"/>
    <x v="0"/>
    <x v="0"/>
    <n v="5"/>
  </r>
  <r>
    <s v="ORD-02504"/>
    <d v="2022-12-22T00:00:00"/>
    <s v="CUST98767"/>
    <x v="290"/>
    <n v="53"/>
    <x v="2"/>
    <x v="1"/>
    <x v="3"/>
    <x v="16"/>
    <x v="6"/>
    <s v="Headphones"/>
    <n v="8"/>
    <n v="77398.42"/>
    <x v="26"/>
    <n v="353697.54"/>
    <n v="33920.050000000003"/>
    <n v="94.39"/>
    <x v="5"/>
    <n v="3"/>
    <x v="0"/>
    <x v="2"/>
    <n v="10"/>
  </r>
  <r>
    <s v="ORD-00118"/>
    <d v="2020-02-12T00:00:00"/>
    <s v="CUST27542"/>
    <x v="369"/>
    <n v="32"/>
    <x v="0"/>
    <x v="2"/>
    <x v="2"/>
    <x v="13"/>
    <x v="4"/>
    <s v="Cricket Bat"/>
    <n v="2"/>
    <n v="9059.9699999999993"/>
    <x v="12"/>
    <n v="10634.92"/>
    <n v="2775.6"/>
    <n v="59.56"/>
    <x v="1"/>
    <n v="3"/>
    <x v="0"/>
    <x v="0"/>
    <n v="7"/>
  </r>
  <r>
    <s v="ORD-01512"/>
    <d v="2021-11-12T00:00:00"/>
    <s v="CUST69324"/>
    <x v="229"/>
    <n v="19"/>
    <x v="3"/>
    <x v="2"/>
    <x v="1"/>
    <x v="10"/>
    <x v="3"/>
    <s v="Saree"/>
    <n v="7"/>
    <n v="2886.34"/>
    <x v="15"/>
    <n v="9941.0499999999993"/>
    <n v="3851.17"/>
    <n v="58.88"/>
    <x v="0"/>
    <n v="4"/>
    <x v="0"/>
    <x v="0"/>
    <n v="3"/>
  </r>
  <r>
    <s v="ORD-02370"/>
    <d v="2022-10-21T00:00:00"/>
    <s v="CUST09289"/>
    <x v="179"/>
    <n v="28"/>
    <x v="0"/>
    <x v="1"/>
    <x v="2"/>
    <x v="14"/>
    <x v="4"/>
    <s v="Tennis Racket"/>
    <n v="3"/>
    <n v="10631.58"/>
    <x v="39"/>
    <n v="23303.040000000001"/>
    <n v="4472.16"/>
    <n v="31.86"/>
    <x v="0"/>
    <n v="4"/>
    <x v="0"/>
    <x v="0"/>
    <n v="5"/>
  </r>
  <r>
    <s v="ORD-04173"/>
    <d v="2024-12-17T00:00:00"/>
    <s v="CUST95025"/>
    <x v="396"/>
    <n v="18"/>
    <x v="3"/>
    <x v="2"/>
    <x v="2"/>
    <x v="14"/>
    <x v="1"/>
    <s v="Sofa"/>
    <n v="6"/>
    <n v="29938.75"/>
    <x v="2"/>
    <n v="139138.9"/>
    <n v="44922.96"/>
    <n v="34.46"/>
    <x v="2"/>
    <n v="1"/>
    <x v="0"/>
    <x v="0"/>
    <n v="9"/>
  </r>
  <r>
    <s v="ORD-00460"/>
    <d v="2020-07-21T00:00:00"/>
    <s v="CUST75610"/>
    <x v="324"/>
    <n v="41"/>
    <x v="1"/>
    <x v="2"/>
    <x v="2"/>
    <x v="9"/>
    <x v="4"/>
    <s v="Cycle"/>
    <n v="5"/>
    <n v="14409.79"/>
    <x v="29"/>
    <n v="88266"/>
    <n v="14684.99"/>
    <n v="44.5"/>
    <x v="1"/>
    <n v="5"/>
    <x v="0"/>
    <x v="0"/>
    <n v="8"/>
  </r>
  <r>
    <s v="ORD-02218"/>
    <d v="2022-08-26T00:00:00"/>
    <s v="CUST37517"/>
    <x v="226"/>
    <n v="33"/>
    <x v="0"/>
    <x v="1"/>
    <x v="4"/>
    <x v="18"/>
    <x v="4"/>
    <s v="Football"/>
    <n v="3"/>
    <n v="4765.92"/>
    <x v="28"/>
    <n v="17857.419999999998"/>
    <n v="4889.4399999999996"/>
    <n v="59.58"/>
    <x v="5"/>
    <n v="2"/>
    <x v="0"/>
    <x v="0"/>
    <n v="9"/>
  </r>
  <r>
    <s v="ORD-03885"/>
    <d v="2024-08-09T00:00:00"/>
    <s v="CUST10547"/>
    <x v="33"/>
    <n v="36"/>
    <x v="1"/>
    <x v="1"/>
    <x v="1"/>
    <x v="6"/>
    <x v="5"/>
    <s v="Cooking Oil"/>
    <n v="5"/>
    <n v="230.1"/>
    <x v="37"/>
    <n v="1261.3800000000001"/>
    <n v="74.150000000000006"/>
    <n v="44.66"/>
    <x v="0"/>
    <n v="5"/>
    <x v="0"/>
    <x v="0"/>
    <n v="1"/>
  </r>
  <r>
    <s v="ORD-03646"/>
    <d v="2024-05-04T00:00:00"/>
    <s v="CUST63505"/>
    <x v="79"/>
    <n v="52"/>
    <x v="2"/>
    <x v="2"/>
    <x v="4"/>
    <x v="8"/>
    <x v="3"/>
    <s v="Jeans"/>
    <n v="3"/>
    <n v="2490.42"/>
    <x v="9"/>
    <n v="9565"/>
    <n v="4135.1499999999996"/>
    <n v="56.66"/>
    <x v="0"/>
    <n v="5"/>
    <x v="0"/>
    <x v="2"/>
    <n v="8"/>
  </r>
  <r>
    <s v="ORD-00242"/>
    <d v="2020-04-15T00:00:00"/>
    <s v="CUST17001"/>
    <x v="254"/>
    <n v="31"/>
    <x v="0"/>
    <x v="0"/>
    <x v="1"/>
    <x v="10"/>
    <x v="1"/>
    <s v="Desk"/>
    <n v="3"/>
    <n v="14067.89"/>
    <x v="19"/>
    <n v="40312.78"/>
    <n v="8649.34"/>
    <n v="64.02"/>
    <x v="1"/>
    <n v="1"/>
    <x v="0"/>
    <x v="0"/>
    <n v="10"/>
  </r>
  <r>
    <s v="ORD-02747"/>
    <d v="2023-04-04T00:00:00"/>
    <s v="CUST34843"/>
    <x v="0"/>
    <n v="21"/>
    <x v="3"/>
    <x v="0"/>
    <x v="4"/>
    <x v="17"/>
    <x v="0"/>
    <s v="Lipstick"/>
    <n v="9"/>
    <n v="1568.38"/>
    <x v="4"/>
    <n v="21256.5"/>
    <n v="9913.18"/>
    <n v="96.17"/>
    <x v="0"/>
    <n v="5"/>
    <x v="0"/>
    <x v="0"/>
    <n v="7"/>
  </r>
  <r>
    <s v="ORD-00842"/>
    <d v="2021-01-20T00:00:00"/>
    <s v="CUST65032"/>
    <x v="200"/>
    <n v="35"/>
    <x v="0"/>
    <x v="2"/>
    <x v="2"/>
    <x v="14"/>
    <x v="1"/>
    <s v="Desk"/>
    <n v="6"/>
    <n v="10881.01"/>
    <x v="12"/>
    <n v="36305.93"/>
    <n v="13223.63"/>
    <n v="78.19"/>
    <x v="0"/>
    <n v="3"/>
    <x v="0"/>
    <x v="2"/>
    <n v="5"/>
  </r>
  <r>
    <s v="ORD-01938"/>
    <d v="2022-05-05T00:00:00"/>
    <s v="CUST09891"/>
    <x v="81"/>
    <n v="42"/>
    <x v="1"/>
    <x v="2"/>
    <x v="1"/>
    <x v="11"/>
    <x v="2"/>
    <s v="Fiction Novel"/>
    <n v="7"/>
    <n v="1019.7"/>
    <x v="30"/>
    <n v="6327.55"/>
    <n v="3242.6"/>
    <n v="49.01"/>
    <x v="3"/>
    <n v="5"/>
    <x v="0"/>
    <x v="0"/>
    <n v="6"/>
  </r>
  <r>
    <s v="ORD-00745"/>
    <d v="2020-12-04T00:00:00"/>
    <s v="CUST39674"/>
    <x v="140"/>
    <n v="32"/>
    <x v="0"/>
    <x v="0"/>
    <x v="0"/>
    <x v="0"/>
    <x v="6"/>
    <s v="Tablet"/>
    <n v="7"/>
    <n v="63547.4"/>
    <x v="20"/>
    <n v="260057.28"/>
    <n v="44746.11"/>
    <n v="73.72"/>
    <x v="0"/>
    <n v="1"/>
    <x v="0"/>
    <x v="3"/>
    <n v="7"/>
  </r>
  <r>
    <s v="ORD-02751"/>
    <d v="2023-04-06T00:00:00"/>
    <s v="CUST41956"/>
    <x v="41"/>
    <n v="58"/>
    <x v="2"/>
    <x v="0"/>
    <x v="1"/>
    <x v="6"/>
    <x v="1"/>
    <s v="Sofa"/>
    <n v="7"/>
    <n v="21084.54"/>
    <x v="40"/>
    <n v="140156.32"/>
    <n v="29805.11"/>
    <n v="42.37"/>
    <x v="1"/>
    <n v="5"/>
    <x v="1"/>
    <x v="1"/>
    <n v="8"/>
  </r>
  <r>
    <s v="ORD-03004"/>
    <d v="2023-07-24T00:00:00"/>
    <s v="CUST37873"/>
    <x v="273"/>
    <n v="24"/>
    <x v="3"/>
    <x v="2"/>
    <x v="1"/>
    <x v="3"/>
    <x v="5"/>
    <s v="Sugar"/>
    <n v="7"/>
    <n v="223.54"/>
    <x v="28"/>
    <n v="2428.4299999999998"/>
    <n v="183.01"/>
    <n v="54.19"/>
    <x v="0"/>
    <n v="1"/>
    <x v="0"/>
    <x v="0"/>
    <n v="10"/>
  </r>
  <r>
    <s v="ORD-03028"/>
    <d v="2023-08-04T00:00:00"/>
    <s v="CUST60297"/>
    <x v="284"/>
    <n v="31"/>
    <x v="0"/>
    <x v="2"/>
    <x v="0"/>
    <x v="0"/>
    <x v="2"/>
    <s v="Cook Book"/>
    <n v="6"/>
    <n v="210.75"/>
    <x v="36"/>
    <n v="1487.4"/>
    <n v="408.37"/>
    <n v="45.71"/>
    <x v="2"/>
    <n v="4"/>
    <x v="0"/>
    <x v="0"/>
    <n v="2"/>
  </r>
  <r>
    <s v="ORD-02319"/>
    <d v="2022-10-05T00:00:00"/>
    <s v="CUST10347"/>
    <x v="184"/>
    <n v="24"/>
    <x v="3"/>
    <x v="1"/>
    <x v="1"/>
    <x v="6"/>
    <x v="4"/>
    <s v="Yoga Mat"/>
    <n v="2"/>
    <n v="14531.26"/>
    <x v="3"/>
    <n v="19868.59"/>
    <n v="2388.6"/>
    <n v="58.71"/>
    <x v="4"/>
    <n v="5"/>
    <x v="0"/>
    <x v="0"/>
    <n v="1"/>
  </r>
  <r>
    <s v="ORD-03184"/>
    <d v="2023-08-10T00:00:00"/>
    <s v="CUST43954"/>
    <x v="80"/>
    <n v="60"/>
    <x v="2"/>
    <x v="1"/>
    <x v="2"/>
    <x v="13"/>
    <x v="2"/>
    <s v="Biography"/>
    <n v="5"/>
    <n v="652.44000000000005"/>
    <x v="5"/>
    <n v="2663.55"/>
    <n v="1220.8499999999999"/>
    <n v="35.83"/>
    <x v="0"/>
    <n v="1"/>
    <x v="0"/>
    <x v="0"/>
    <n v="9"/>
  </r>
  <r>
    <s v="ORD-02644"/>
    <d v="2023-02-17T00:00:00"/>
    <s v="CUST02050"/>
    <x v="19"/>
    <n v="23"/>
    <x v="3"/>
    <x v="0"/>
    <x v="2"/>
    <x v="4"/>
    <x v="0"/>
    <s v="Sunscreen"/>
    <n v="4"/>
    <n v="800.18"/>
    <x v="36"/>
    <n v="2969.81"/>
    <n v="1136.8399999999999"/>
    <n v="57.24"/>
    <x v="5"/>
    <n v="5"/>
    <x v="0"/>
    <x v="4"/>
    <n v="10"/>
  </r>
  <r>
    <s v="ORD-00786"/>
    <d v="2020-12-25T00:00:00"/>
    <s v="CUST94074"/>
    <x v="297"/>
    <n v="47"/>
    <x v="1"/>
    <x v="2"/>
    <x v="1"/>
    <x v="6"/>
    <x v="1"/>
    <s v="Bed Frame"/>
    <n v="5"/>
    <n v="4377.66"/>
    <x v="27"/>
    <n v="12728.48"/>
    <n v="2557.64"/>
    <n v="49.31"/>
    <x v="0"/>
    <n v="5"/>
    <x v="0"/>
    <x v="0"/>
    <n v="7"/>
  </r>
  <r>
    <s v="ORD-03589"/>
    <d v="2024-04-10T00:00:00"/>
    <s v="CUST32659"/>
    <x v="70"/>
    <n v="23"/>
    <x v="3"/>
    <x v="2"/>
    <x v="4"/>
    <x v="7"/>
    <x v="3"/>
    <s v="Kurta"/>
    <n v="10"/>
    <n v="2503.17"/>
    <x v="8"/>
    <n v="37794.25"/>
    <n v="12461.38"/>
    <n v="67.3"/>
    <x v="4"/>
    <n v="4"/>
    <x v="0"/>
    <x v="0"/>
    <n v="3"/>
  </r>
  <r>
    <s v="ORD-00497"/>
    <d v="2020-08-05T00:00:00"/>
    <s v="CUST61540"/>
    <x v="171"/>
    <n v="22"/>
    <x v="3"/>
    <x v="0"/>
    <x v="1"/>
    <x v="11"/>
    <x v="1"/>
    <s v="Wardrobe"/>
    <n v="9"/>
    <n v="9703.4699999999993"/>
    <x v="9"/>
    <n v="91868.53"/>
    <n v="20614.96"/>
    <n v="74.73"/>
    <x v="3"/>
    <n v="1"/>
    <x v="0"/>
    <x v="0"/>
    <n v="7"/>
  </r>
  <r>
    <s v="ORD-01866"/>
    <d v="2022-04-03T00:00:00"/>
    <s v="CUST49530"/>
    <x v="37"/>
    <n v="29"/>
    <x v="0"/>
    <x v="2"/>
    <x v="0"/>
    <x v="19"/>
    <x v="6"/>
    <s v="Laptop"/>
    <n v="7"/>
    <n v="64794.43"/>
    <x v="28"/>
    <n v="532883.15"/>
    <n v="75066.289999999994"/>
    <n v="73.84"/>
    <x v="0"/>
    <n v="2"/>
    <x v="1"/>
    <x v="1"/>
    <n v="5"/>
  </r>
  <r>
    <s v="ORD-00221"/>
    <d v="2020-04-05T00:00:00"/>
    <s v="CUST73936"/>
    <x v="82"/>
    <n v="19"/>
    <x v="3"/>
    <x v="0"/>
    <x v="3"/>
    <x v="5"/>
    <x v="4"/>
    <s v="Cricket Bat"/>
    <n v="3"/>
    <n v="10399.299999999999"/>
    <x v="4"/>
    <n v="32336.400000000001"/>
    <n v="7236.11"/>
    <n v="59.2"/>
    <x v="0"/>
    <n v="5"/>
    <x v="0"/>
    <x v="0"/>
    <n v="2"/>
  </r>
  <r>
    <s v="ORD-00405"/>
    <d v="2020-06-25T00:00:00"/>
    <s v="CUST07439"/>
    <x v="20"/>
    <n v="58"/>
    <x v="2"/>
    <x v="2"/>
    <x v="2"/>
    <x v="14"/>
    <x v="5"/>
    <s v="Cooking Oil"/>
    <n v="2"/>
    <n v="68.209999999999994"/>
    <x v="11"/>
    <n v="144.62"/>
    <n v="7.79"/>
    <n v="51.11"/>
    <x v="2"/>
    <n v="2"/>
    <x v="0"/>
    <x v="0"/>
    <n v="6"/>
  </r>
  <r>
    <s v="ORD-02926"/>
    <d v="2023-06-20T00:00:00"/>
    <s v="CUST07282"/>
    <x v="392"/>
    <n v="31"/>
    <x v="0"/>
    <x v="2"/>
    <x v="3"/>
    <x v="5"/>
    <x v="0"/>
    <s v="Face Cream"/>
    <n v="8"/>
    <n v="203.71"/>
    <x v="31"/>
    <n v="2533.79"/>
    <n v="1078.45"/>
    <n v="40.28"/>
    <x v="0"/>
    <n v="3"/>
    <x v="0"/>
    <x v="0"/>
    <n v="9"/>
  </r>
  <r>
    <s v="ORD-04146"/>
    <d v="2024-12-06T00:00:00"/>
    <s v="CUST52053"/>
    <x v="80"/>
    <n v="18"/>
    <x v="3"/>
    <x v="0"/>
    <x v="4"/>
    <x v="17"/>
    <x v="0"/>
    <s v="Face Cream"/>
    <n v="2"/>
    <n v="1657.33"/>
    <x v="4"/>
    <n v="3020.21"/>
    <n v="1521.99"/>
    <n v="48.9"/>
    <x v="4"/>
    <n v="5"/>
    <x v="0"/>
    <x v="3"/>
    <n v="4"/>
  </r>
  <r>
    <s v="ORD-03965"/>
    <d v="2024-09-06T00:00:00"/>
    <s v="CUST16673"/>
    <x v="326"/>
    <n v="18"/>
    <x v="3"/>
    <x v="1"/>
    <x v="2"/>
    <x v="13"/>
    <x v="5"/>
    <s v="Flour"/>
    <n v="8"/>
    <n v="144.94999999999999"/>
    <x v="4"/>
    <n v="1586.94"/>
    <n v="135.22999999999999"/>
    <n v="33.74"/>
    <x v="5"/>
    <n v="5"/>
    <x v="0"/>
    <x v="0"/>
    <n v="2"/>
  </r>
  <r>
    <s v="ORD-01916"/>
    <d v="2022-04-27T00:00:00"/>
    <s v="CUST40084"/>
    <x v="230"/>
    <n v="47"/>
    <x v="1"/>
    <x v="0"/>
    <x v="4"/>
    <x v="18"/>
    <x v="5"/>
    <s v="Tea"/>
    <n v="4"/>
    <n v="288.13"/>
    <x v="5"/>
    <n v="1536.04"/>
    <n v="122.61"/>
    <n v="62.28"/>
    <x v="5"/>
    <n v="2"/>
    <x v="0"/>
    <x v="3"/>
    <n v="7"/>
  </r>
  <r>
    <s v="ORD-03210"/>
    <d v="2023-10-20T00:00:00"/>
    <s v="CUST36370"/>
    <x v="310"/>
    <n v="43"/>
    <x v="1"/>
    <x v="2"/>
    <x v="3"/>
    <x v="15"/>
    <x v="0"/>
    <s v="Hair Oil"/>
    <n v="3"/>
    <n v="1474.43"/>
    <x v="17"/>
    <n v="2579.4499999999998"/>
    <n v="1120.3599999999999"/>
    <n v="85.55"/>
    <x v="4"/>
    <n v="1"/>
    <x v="0"/>
    <x v="0"/>
    <n v="3"/>
  </r>
  <r>
    <s v="ORD-00313"/>
    <d v="2020-05-17T00:00:00"/>
    <s v="CUST46769"/>
    <x v="260"/>
    <n v="51"/>
    <x v="2"/>
    <x v="2"/>
    <x v="0"/>
    <x v="19"/>
    <x v="5"/>
    <s v="Dal (1kg)"/>
    <n v="6"/>
    <n v="476.07"/>
    <x v="6"/>
    <n v="2456.4"/>
    <n v="258.13"/>
    <n v="45"/>
    <x v="0"/>
    <n v="3"/>
    <x v="0"/>
    <x v="0"/>
    <n v="1"/>
  </r>
  <r>
    <s v="ORD-02556"/>
    <d v="2023-01-13T00:00:00"/>
    <s v="CUST44541"/>
    <x v="337"/>
    <n v="45"/>
    <x v="1"/>
    <x v="1"/>
    <x v="4"/>
    <x v="18"/>
    <x v="3"/>
    <s v="T-Shirt"/>
    <n v="7"/>
    <n v="3456.76"/>
    <x v="14"/>
    <n v="15504.08"/>
    <n v="3634.35"/>
    <n v="86.38"/>
    <x v="3"/>
    <n v="1"/>
    <x v="0"/>
    <x v="0"/>
    <n v="3"/>
  </r>
  <r>
    <s v="ORD-03214"/>
    <d v="2023-10-21T00:00:00"/>
    <s v="CUST26653"/>
    <x v="101"/>
    <n v="34"/>
    <x v="0"/>
    <x v="2"/>
    <x v="4"/>
    <x v="17"/>
    <x v="0"/>
    <s v="Perfume"/>
    <n v="2"/>
    <n v="2318.9899999999998"/>
    <x v="14"/>
    <n v="3235.02"/>
    <n v="1825.36"/>
    <n v="54.61"/>
    <x v="4"/>
    <n v="1"/>
    <x v="0"/>
    <x v="4"/>
    <n v="6"/>
  </r>
  <r>
    <s v="ORD-02442"/>
    <d v="2022-11-26T00:00:00"/>
    <s v="CUST44235"/>
    <x v="263"/>
    <n v="58"/>
    <x v="2"/>
    <x v="1"/>
    <x v="3"/>
    <x v="5"/>
    <x v="5"/>
    <s v="Flour"/>
    <n v="6"/>
    <n v="487.77"/>
    <x v="35"/>
    <n v="1675.82"/>
    <n v="120.68"/>
    <n v="82.58"/>
    <x v="3"/>
    <n v="5"/>
    <x v="0"/>
    <x v="0"/>
    <n v="6"/>
  </r>
  <r>
    <s v="ORD-03455"/>
    <d v="2024-02-07T00:00:00"/>
    <s v="CUST85337"/>
    <x v="299"/>
    <n v="37"/>
    <x v="1"/>
    <x v="0"/>
    <x v="2"/>
    <x v="13"/>
    <x v="3"/>
    <s v="Kurta"/>
    <n v="3"/>
    <n v="497.57"/>
    <x v="7"/>
    <n v="1277.03"/>
    <n v="481.63"/>
    <n v="64.84"/>
    <x v="2"/>
    <n v="5"/>
    <x v="0"/>
    <x v="0"/>
    <n v="8"/>
  </r>
  <r>
    <s v="ORD-03294"/>
    <d v="2023-11-25T00:00:00"/>
    <s v="CUST10406"/>
    <x v="312"/>
    <n v="46"/>
    <x v="1"/>
    <x v="2"/>
    <x v="3"/>
    <x v="16"/>
    <x v="3"/>
    <s v="Saree"/>
    <n v="8"/>
    <n v="2163.34"/>
    <x v="32"/>
    <n v="14389.27"/>
    <n v="6967.35"/>
    <n v="86.07"/>
    <x v="0"/>
    <n v="4"/>
    <x v="1"/>
    <x v="1"/>
    <n v="2"/>
  </r>
  <r>
    <s v="ORD-00678"/>
    <d v="2020-11-02T00:00:00"/>
    <s v="CUST41806"/>
    <x v="18"/>
    <n v="45"/>
    <x v="1"/>
    <x v="0"/>
    <x v="0"/>
    <x v="2"/>
    <x v="6"/>
    <s v="Tablet"/>
    <n v="10"/>
    <n v="57547.360000000001"/>
    <x v="24"/>
    <n v="412747.46"/>
    <n v="38336.33"/>
    <n v="95.34"/>
    <x v="1"/>
    <n v="1"/>
    <x v="0"/>
    <x v="3"/>
    <n v="1"/>
  </r>
  <r>
    <s v="ORD-03001"/>
    <d v="2023-07-23T00:00:00"/>
    <s v="CUST72975"/>
    <x v="376"/>
    <n v="22"/>
    <x v="3"/>
    <x v="2"/>
    <x v="2"/>
    <x v="9"/>
    <x v="4"/>
    <s v="Dumbbells"/>
    <n v="7"/>
    <n v="5217.82"/>
    <x v="22"/>
    <n v="29460.53"/>
    <n v="4891.91"/>
    <n v="48.5"/>
    <x v="2"/>
    <n v="2"/>
    <x v="0"/>
    <x v="0"/>
    <n v="4"/>
  </r>
  <r>
    <s v="ORD-00329"/>
    <d v="2020-05-23T00:00:00"/>
    <s v="CUST33284"/>
    <x v="383"/>
    <n v="35"/>
    <x v="0"/>
    <x v="0"/>
    <x v="0"/>
    <x v="0"/>
    <x v="6"/>
    <s v="Camera"/>
    <n v="8"/>
    <n v="66799.88"/>
    <x v="24"/>
    <n v="700450.24"/>
    <n v="86189.72"/>
    <n v="63.99"/>
    <x v="0"/>
    <n v="1"/>
    <x v="0"/>
    <x v="0"/>
    <n v="2"/>
  </r>
  <r>
    <s v="ORD-02134"/>
    <d v="2022-07-25T00:00:00"/>
    <s v="CUST70079"/>
    <x v="123"/>
    <n v="33"/>
    <x v="0"/>
    <x v="0"/>
    <x v="0"/>
    <x v="0"/>
    <x v="0"/>
    <s v="Shampoo"/>
    <n v="2"/>
    <n v="879.32"/>
    <x v="38"/>
    <n v="2351.2399999999998"/>
    <n v="1051.5899999999999"/>
    <n v="52.42"/>
    <x v="2"/>
    <n v="5"/>
    <x v="0"/>
    <x v="0"/>
    <n v="5"/>
  </r>
  <r>
    <s v="ORD-02132"/>
    <d v="2022-07-24T00:00:00"/>
    <s v="CUST62399"/>
    <x v="371"/>
    <n v="45"/>
    <x v="1"/>
    <x v="1"/>
    <x v="4"/>
    <x v="18"/>
    <x v="1"/>
    <s v="Sofa"/>
    <n v="4"/>
    <n v="25587.02"/>
    <x v="35"/>
    <n v="106262.43"/>
    <n v="24161.7"/>
    <n v="68.959999999999994"/>
    <x v="0"/>
    <n v="2"/>
    <x v="0"/>
    <x v="0"/>
    <n v="2"/>
  </r>
  <r>
    <s v="ORD-02255"/>
    <d v="2022-09-09T00:00:00"/>
    <s v="CUST86286"/>
    <x v="68"/>
    <n v="23"/>
    <x v="3"/>
    <x v="2"/>
    <x v="2"/>
    <x v="9"/>
    <x v="4"/>
    <s v="Yoga Mat"/>
    <n v="1"/>
    <n v="10374.719999999999"/>
    <x v="8"/>
    <n v="10806.31"/>
    <n v="2109.69"/>
    <n v="63.95"/>
    <x v="2"/>
    <n v="3"/>
    <x v="0"/>
    <x v="2"/>
    <n v="3"/>
  </r>
  <r>
    <s v="ORD-00104"/>
    <d v="2020-02-09T00:00:00"/>
    <s v="CUST30691"/>
    <x v="173"/>
    <n v="47"/>
    <x v="1"/>
    <x v="1"/>
    <x v="1"/>
    <x v="11"/>
    <x v="4"/>
    <s v="Tennis Racket"/>
    <n v="9"/>
    <n v="13043.73"/>
    <x v="15"/>
    <n v="74033.850000000006"/>
    <n v="18187.78"/>
    <n v="74.92"/>
    <x v="0"/>
    <n v="3"/>
    <x v="0"/>
    <x v="0"/>
    <n v="3"/>
  </r>
  <r>
    <s v="ORD-03382"/>
    <d v="2024-01-03T00:00:00"/>
    <s v="CUST08459"/>
    <x v="9"/>
    <n v="35"/>
    <x v="0"/>
    <x v="0"/>
    <x v="0"/>
    <x v="2"/>
    <x v="4"/>
    <s v="Tennis Racket"/>
    <n v="8"/>
    <n v="13871.72"/>
    <x v="13"/>
    <n v="104587.68"/>
    <n v="20681.46"/>
    <n v="87.71"/>
    <x v="4"/>
    <n v="5"/>
    <x v="0"/>
    <x v="3"/>
    <n v="8"/>
  </r>
  <r>
    <s v="ORD-03267"/>
    <d v="2023-11-11T00:00:00"/>
    <s v="CUST39102"/>
    <x v="220"/>
    <n v="31"/>
    <x v="0"/>
    <x v="1"/>
    <x v="3"/>
    <x v="16"/>
    <x v="6"/>
    <s v="Laptop"/>
    <n v="10"/>
    <n v="19168.2"/>
    <x v="32"/>
    <n v="157139.20000000001"/>
    <n v="15931.28"/>
    <n v="92.38"/>
    <x v="4"/>
    <n v="1"/>
    <x v="1"/>
    <x v="1"/>
    <n v="10"/>
  </r>
  <r>
    <s v="ORD-00735"/>
    <d v="2020-12-01T00:00:00"/>
    <s v="CUST45620"/>
    <x v="6"/>
    <n v="59"/>
    <x v="2"/>
    <x v="2"/>
    <x v="3"/>
    <x v="5"/>
    <x v="3"/>
    <s v="Kurta"/>
    <n v="6"/>
    <n v="2055.61"/>
    <x v="36"/>
    <n v="7361.83"/>
    <n v="2436.42"/>
    <n v="87.2"/>
    <x v="0"/>
    <n v="3"/>
    <x v="0"/>
    <x v="4"/>
    <n v="7"/>
  </r>
  <r>
    <s v="ORD-03738"/>
    <d v="2024-06-18T00:00:00"/>
    <s v="CUST81515"/>
    <x v="54"/>
    <n v="44"/>
    <x v="1"/>
    <x v="2"/>
    <x v="0"/>
    <x v="2"/>
    <x v="3"/>
    <s v="Saree"/>
    <n v="8"/>
    <n v="318.72000000000003"/>
    <x v="33"/>
    <n v="3315.64"/>
    <n v="1361.66"/>
    <n v="66.349999999999994"/>
    <x v="2"/>
    <n v="3"/>
    <x v="0"/>
    <x v="0"/>
    <n v="6"/>
  </r>
  <r>
    <s v="ORD-01205"/>
    <d v="2021-06-29T00:00:00"/>
    <s v="CUST52200"/>
    <x v="106"/>
    <n v="28"/>
    <x v="0"/>
    <x v="0"/>
    <x v="0"/>
    <x v="19"/>
    <x v="2"/>
    <s v="Fiction Novel"/>
    <n v="3"/>
    <n v="332.5"/>
    <x v="39"/>
    <n v="1131.28"/>
    <n v="733.38"/>
    <n v="62.24"/>
    <x v="0"/>
    <n v="5"/>
    <x v="0"/>
    <x v="0"/>
    <n v="2"/>
  </r>
  <r>
    <s v="ORD-00695"/>
    <d v="2020-11-11T00:00:00"/>
    <s v="CUST09687"/>
    <x v="79"/>
    <n v="25"/>
    <x v="3"/>
    <x v="0"/>
    <x v="2"/>
    <x v="13"/>
    <x v="3"/>
    <s v="Dress"/>
    <n v="4"/>
    <n v="1315.54"/>
    <x v="29"/>
    <n v="3873.18"/>
    <n v="1168.4100000000001"/>
    <n v="30.16"/>
    <x v="5"/>
    <n v="4"/>
    <x v="0"/>
    <x v="2"/>
    <n v="6"/>
  </r>
  <r>
    <s v="ORD-03238"/>
    <d v="2023-11-01T00:00:00"/>
    <s v="CUST14045"/>
    <x v="132"/>
    <n v="59"/>
    <x v="2"/>
    <x v="1"/>
    <x v="0"/>
    <x v="0"/>
    <x v="5"/>
    <s v="Rice (5kg)"/>
    <n v="8"/>
    <n v="147.66"/>
    <x v="9"/>
    <n v="936.68"/>
    <n v="78.45"/>
    <n v="58.97"/>
    <x v="0"/>
    <n v="1"/>
    <x v="1"/>
    <x v="1"/>
    <n v="10"/>
  </r>
  <r>
    <s v="ORD-00498"/>
    <d v="2020-08-06T00:00:00"/>
    <s v="CUST22854"/>
    <x v="193"/>
    <n v="37"/>
    <x v="1"/>
    <x v="2"/>
    <x v="4"/>
    <x v="18"/>
    <x v="0"/>
    <s v="Lipstick"/>
    <n v="4"/>
    <n v="1620.93"/>
    <x v="24"/>
    <n v="7373.98"/>
    <n v="3625.25"/>
    <n v="54.81"/>
    <x v="4"/>
    <n v="4"/>
    <x v="0"/>
    <x v="2"/>
    <n v="6"/>
  </r>
  <r>
    <s v="ORD-01341"/>
    <d v="2021-08-26T00:00:00"/>
    <s v="CUST78913"/>
    <x v="370"/>
    <n v="25"/>
    <x v="3"/>
    <x v="2"/>
    <x v="4"/>
    <x v="7"/>
    <x v="6"/>
    <s v="Headphones"/>
    <n v="6"/>
    <n v="33295.33"/>
    <x v="3"/>
    <n v="190618.8"/>
    <n v="28846.6"/>
    <n v="81.680000000000007"/>
    <x v="1"/>
    <n v="3"/>
    <x v="0"/>
    <x v="0"/>
    <n v="4"/>
  </r>
  <r>
    <s v="ORD-01166"/>
    <d v="2021-06-07T00:00:00"/>
    <s v="CUST18237"/>
    <x v="30"/>
    <n v="59"/>
    <x v="2"/>
    <x v="0"/>
    <x v="3"/>
    <x v="16"/>
    <x v="6"/>
    <s v="Tablet"/>
    <n v="7"/>
    <n v="15552.34"/>
    <x v="3"/>
    <n v="129304.85"/>
    <n v="22699.93"/>
    <n v="46.69"/>
    <x v="3"/>
    <n v="5"/>
    <x v="1"/>
    <x v="1"/>
    <n v="6"/>
  </r>
  <r>
    <s v="ORD-01349"/>
    <d v="2021-08-30T00:00:00"/>
    <s v="CUST06490"/>
    <x v="227"/>
    <n v="21"/>
    <x v="3"/>
    <x v="2"/>
    <x v="2"/>
    <x v="13"/>
    <x v="3"/>
    <s v="Dress"/>
    <n v="4"/>
    <n v="2556.35"/>
    <x v="36"/>
    <n v="9517.59"/>
    <n v="1946.08"/>
    <n v="45.36"/>
    <x v="4"/>
    <n v="5"/>
    <x v="0"/>
    <x v="0"/>
    <n v="2"/>
  </r>
  <r>
    <s v="ORD-02376"/>
    <d v="2022-10-25T00:00:00"/>
    <s v="CUST02576"/>
    <x v="11"/>
    <n v="38"/>
    <x v="1"/>
    <x v="1"/>
    <x v="3"/>
    <x v="5"/>
    <x v="0"/>
    <s v="Shampoo"/>
    <n v="9"/>
    <n v="2282.2399999999998"/>
    <x v="23"/>
    <n v="15517.58"/>
    <n v="5898.92"/>
    <n v="86.96"/>
    <x v="4"/>
    <n v="3"/>
    <x v="0"/>
    <x v="2"/>
    <n v="7"/>
  </r>
  <r>
    <s v="ORD-01853"/>
    <d v="2022-03-30T00:00:00"/>
    <s v="CUST27427"/>
    <x v="90"/>
    <n v="49"/>
    <x v="1"/>
    <x v="2"/>
    <x v="3"/>
    <x v="5"/>
    <x v="2"/>
    <s v="Cook Book"/>
    <n v="7"/>
    <n v="1034.3"/>
    <x v="11"/>
    <n v="7324.98"/>
    <n v="2536.09"/>
    <n v="60.36"/>
    <x v="3"/>
    <n v="5"/>
    <x v="0"/>
    <x v="0"/>
    <n v="4"/>
  </r>
  <r>
    <s v="ORD-02259"/>
    <d v="2022-09-10T00:00:00"/>
    <s v="CUST42519"/>
    <x v="260"/>
    <n v="46"/>
    <x v="1"/>
    <x v="0"/>
    <x v="1"/>
    <x v="10"/>
    <x v="4"/>
    <s v="Football"/>
    <n v="2"/>
    <n v="2331.7600000000002"/>
    <x v="24"/>
    <n v="5912.22"/>
    <n v="1433.92"/>
    <n v="38.85"/>
    <x v="0"/>
    <n v="5"/>
    <x v="0"/>
    <x v="0"/>
    <n v="1"/>
  </r>
  <r>
    <s v="ORD-02191"/>
    <d v="2022-08-15T00:00:00"/>
    <s v="CUST30252"/>
    <x v="172"/>
    <n v="53"/>
    <x v="2"/>
    <x v="2"/>
    <x v="4"/>
    <x v="7"/>
    <x v="2"/>
    <s v="Self-Help Book"/>
    <n v="5"/>
    <n v="1366.96"/>
    <x v="30"/>
    <n v="5049.74"/>
    <n v="2062.06"/>
    <n v="90.56"/>
    <x v="2"/>
    <n v="1"/>
    <x v="0"/>
    <x v="0"/>
    <n v="8"/>
  </r>
  <r>
    <s v="ORD-00515"/>
    <d v="2020-08-15T00:00:00"/>
    <s v="CUST29764"/>
    <x v="353"/>
    <n v="58"/>
    <x v="2"/>
    <x v="2"/>
    <x v="2"/>
    <x v="4"/>
    <x v="3"/>
    <s v="Jacket"/>
    <n v="9"/>
    <n v="3838.67"/>
    <x v="22"/>
    <n v="25652.22"/>
    <n v="9320.76"/>
    <n v="35.65"/>
    <x v="3"/>
    <n v="2"/>
    <x v="1"/>
    <x v="1"/>
    <n v="8"/>
  </r>
  <r>
    <s v="ORD-00865"/>
    <d v="2021-01-30T00:00:00"/>
    <s v="CUST81979"/>
    <x v="163"/>
    <n v="47"/>
    <x v="1"/>
    <x v="1"/>
    <x v="4"/>
    <x v="18"/>
    <x v="4"/>
    <s v="Football"/>
    <n v="4"/>
    <n v="4061.87"/>
    <x v="7"/>
    <n v="11296.47"/>
    <n v="2369.9499999999998"/>
    <n v="68.59"/>
    <x v="1"/>
    <n v="2"/>
    <x v="0"/>
    <x v="3"/>
    <n v="1"/>
  </r>
  <r>
    <s v="ORD-03354"/>
    <d v="2023-12-21T00:00:00"/>
    <s v="CUST67353"/>
    <x v="350"/>
    <n v="40"/>
    <x v="1"/>
    <x v="1"/>
    <x v="0"/>
    <x v="0"/>
    <x v="5"/>
    <s v="Dal (1kg)"/>
    <n v="8"/>
    <n v="133.54"/>
    <x v="15"/>
    <n v="700.62"/>
    <n v="48.03"/>
    <n v="54.62"/>
    <x v="2"/>
    <n v="2"/>
    <x v="0"/>
    <x v="0"/>
    <n v="7"/>
  </r>
  <r>
    <s v="ORD-02940"/>
    <d v="2023-06-29T00:00:00"/>
    <s v="CUST98397"/>
    <x v="332"/>
    <n v="33"/>
    <x v="0"/>
    <x v="0"/>
    <x v="3"/>
    <x v="16"/>
    <x v="1"/>
    <s v="Desk"/>
    <n v="7"/>
    <n v="29626.67"/>
    <x v="15"/>
    <n v="260198.32"/>
    <n v="54990.37"/>
    <n v="89.07"/>
    <x v="3"/>
    <n v="3"/>
    <x v="0"/>
    <x v="0"/>
    <n v="2"/>
  </r>
  <r>
    <s v="ORD-02863"/>
    <d v="2023-05-30T00:00:00"/>
    <s v="CUST63160"/>
    <x v="110"/>
    <n v="39"/>
    <x v="1"/>
    <x v="1"/>
    <x v="4"/>
    <x v="7"/>
    <x v="2"/>
    <s v="Self-Help Book"/>
    <n v="8"/>
    <n v="786.23"/>
    <x v="37"/>
    <n v="7962.8"/>
    <n v="2889.1"/>
    <n v="89.79"/>
    <x v="2"/>
    <n v="4"/>
    <x v="1"/>
    <x v="1"/>
    <n v="3"/>
  </r>
  <r>
    <s v="ORD-03937"/>
    <d v="2024-08-26T00:00:00"/>
    <s v="CUST26174"/>
    <x v="267"/>
    <n v="26"/>
    <x v="0"/>
    <x v="2"/>
    <x v="2"/>
    <x v="14"/>
    <x v="3"/>
    <s v="Dress"/>
    <n v="2"/>
    <n v="2273.4299999999998"/>
    <x v="36"/>
    <n v="6399.63"/>
    <n v="2166.56"/>
    <n v="65.89"/>
    <x v="3"/>
    <n v="1"/>
    <x v="0"/>
    <x v="0"/>
    <n v="5"/>
  </r>
  <r>
    <s v="ORD-03431"/>
    <d v="2024-01-26T00:00:00"/>
    <s v="CUST60027"/>
    <x v="364"/>
    <n v="20"/>
    <x v="3"/>
    <x v="2"/>
    <x v="2"/>
    <x v="13"/>
    <x v="5"/>
    <s v="Rice (5kg)"/>
    <n v="5"/>
    <n v="293.8"/>
    <x v="22"/>
    <n v="1025.8"/>
    <n v="60.61"/>
    <n v="39.26"/>
    <x v="5"/>
    <n v="2"/>
    <x v="0"/>
    <x v="0"/>
    <n v="1"/>
  </r>
  <r>
    <s v="ORD-00564"/>
    <d v="2020-09-07T00:00:00"/>
    <s v="CUST18845"/>
    <x v="78"/>
    <n v="37"/>
    <x v="1"/>
    <x v="0"/>
    <x v="1"/>
    <x v="10"/>
    <x v="4"/>
    <s v="Cricket Bat"/>
    <n v="8"/>
    <n v="1081.8900000000001"/>
    <x v="2"/>
    <n v="7052.66"/>
    <n v="1691.65"/>
    <n v="68.34"/>
    <x v="5"/>
    <n v="3"/>
    <x v="0"/>
    <x v="0"/>
    <n v="7"/>
  </r>
  <r>
    <s v="ORD-03849"/>
    <d v="2024-07-29T00:00:00"/>
    <s v="CUST29433"/>
    <x v="223"/>
    <n v="25"/>
    <x v="3"/>
    <x v="0"/>
    <x v="0"/>
    <x v="1"/>
    <x v="0"/>
    <s v="Shampoo"/>
    <n v="8"/>
    <n v="142.19"/>
    <x v="8"/>
    <n v="1840.58"/>
    <n v="820.61"/>
    <n v="75.73"/>
    <x v="1"/>
    <n v="3"/>
    <x v="0"/>
    <x v="0"/>
    <n v="5"/>
  </r>
  <r>
    <s v="ORD-03230"/>
    <d v="2023-10-29T00:00:00"/>
    <s v="CUST12331"/>
    <x v="297"/>
    <n v="28"/>
    <x v="0"/>
    <x v="1"/>
    <x v="0"/>
    <x v="2"/>
    <x v="1"/>
    <s v="Bed Frame"/>
    <n v="2"/>
    <n v="28320.84"/>
    <x v="32"/>
    <n v="52512.57"/>
    <n v="12726.17"/>
    <n v="51.84"/>
    <x v="1"/>
    <n v="2"/>
    <x v="0"/>
    <x v="0"/>
    <n v="4"/>
  </r>
  <r>
    <s v="ORD-01012"/>
    <d v="2021-04-03T00:00:00"/>
    <s v="CUST71352"/>
    <x v="119"/>
    <n v="38"/>
    <x v="1"/>
    <x v="1"/>
    <x v="0"/>
    <x v="19"/>
    <x v="3"/>
    <s v="T-Shirt"/>
    <n v="7"/>
    <n v="3514.94"/>
    <x v="27"/>
    <n v="21904.97"/>
    <n v="8841.56"/>
    <n v="59.33"/>
    <x v="5"/>
    <n v="4"/>
    <x v="0"/>
    <x v="0"/>
    <n v="10"/>
  </r>
  <r>
    <s v="ORD-01304"/>
    <d v="2021-08-10T00:00:00"/>
    <s v="CUST66175"/>
    <x v="109"/>
    <n v="26"/>
    <x v="0"/>
    <x v="0"/>
    <x v="1"/>
    <x v="6"/>
    <x v="1"/>
    <s v="Sofa"/>
    <n v="8"/>
    <n v="29112.080000000002"/>
    <x v="20"/>
    <n v="251589.73"/>
    <n v="75733.789999999994"/>
    <n v="27.35"/>
    <x v="1"/>
    <n v="1"/>
    <x v="0"/>
    <x v="0"/>
    <n v="3"/>
  </r>
  <r>
    <s v="ORD-00891"/>
    <d v="2021-02-04T00:00:00"/>
    <s v="CUST89847"/>
    <x v="1"/>
    <n v="35"/>
    <x v="0"/>
    <x v="1"/>
    <x v="4"/>
    <x v="18"/>
    <x v="0"/>
    <s v="Face Cream"/>
    <n v="9"/>
    <n v="616.58000000000004"/>
    <x v="21"/>
    <n v="3400.49"/>
    <n v="1300.95"/>
    <n v="91.17"/>
    <x v="2"/>
    <n v="4"/>
    <x v="0"/>
    <x v="0"/>
    <n v="10"/>
  </r>
  <r>
    <s v="ORD-01262"/>
    <d v="2021-07-23T00:00:00"/>
    <s v="CUST53403"/>
    <x v="273"/>
    <n v="29"/>
    <x v="0"/>
    <x v="2"/>
    <x v="1"/>
    <x v="11"/>
    <x v="4"/>
    <s v="Cricket Bat"/>
    <n v="6"/>
    <n v="4001.67"/>
    <x v="13"/>
    <n v="34048.21"/>
    <n v="7434.44"/>
    <n v="68.099999999999994"/>
    <x v="4"/>
    <n v="5"/>
    <x v="0"/>
    <x v="0"/>
    <n v="7"/>
  </r>
  <r>
    <s v="ORD-02732"/>
    <d v="2023-03-30T00:00:00"/>
    <s v="CUST23366"/>
    <x v="251"/>
    <n v="32"/>
    <x v="0"/>
    <x v="0"/>
    <x v="2"/>
    <x v="4"/>
    <x v="3"/>
    <s v="Jacket"/>
    <n v="8"/>
    <n v="1060.79"/>
    <x v="31"/>
    <n v="8629.82"/>
    <n v="2159.1999999999998"/>
    <n v="51.46"/>
    <x v="4"/>
    <n v="4"/>
    <x v="0"/>
    <x v="4"/>
    <n v="7"/>
  </r>
  <r>
    <s v="ORD-03461"/>
    <d v="2024-02-09T00:00:00"/>
    <s v="CUST10511"/>
    <x v="287"/>
    <n v="52"/>
    <x v="2"/>
    <x v="1"/>
    <x v="3"/>
    <x v="12"/>
    <x v="5"/>
    <s v="Tea"/>
    <n v="8"/>
    <n v="465.1"/>
    <x v="35"/>
    <n v="2873.98"/>
    <n v="258.85000000000002"/>
    <n v="68.06"/>
    <x v="0"/>
    <n v="4"/>
    <x v="0"/>
    <x v="0"/>
    <n v="6"/>
  </r>
  <r>
    <s v="ORD-00633"/>
    <d v="2020-10-11T00:00:00"/>
    <s v="CUST53440"/>
    <x v="298"/>
    <n v="44"/>
    <x v="1"/>
    <x v="0"/>
    <x v="3"/>
    <x v="16"/>
    <x v="5"/>
    <s v="Dal (1kg)"/>
    <n v="4"/>
    <n v="311.10000000000002"/>
    <x v="5"/>
    <n v="1035.45"/>
    <n v="92.22"/>
    <n v="75.239999999999995"/>
    <x v="4"/>
    <n v="2"/>
    <x v="0"/>
    <x v="0"/>
    <n v="1"/>
  </r>
  <r>
    <s v="ORD-00195"/>
    <d v="2020-03-27T00:00:00"/>
    <s v="CUST10870"/>
    <x v="286"/>
    <n v="26"/>
    <x v="0"/>
    <x v="2"/>
    <x v="1"/>
    <x v="6"/>
    <x v="0"/>
    <s v="Shampoo"/>
    <n v="10"/>
    <n v="2466.88"/>
    <x v="15"/>
    <n v="17991.29"/>
    <n v="5973.34"/>
    <n v="34.92"/>
    <x v="5"/>
    <n v="4"/>
    <x v="0"/>
    <x v="0"/>
    <n v="9"/>
  </r>
  <r>
    <s v="ORD-00514"/>
    <d v="2020-08-15T00:00:00"/>
    <s v="CUST86166"/>
    <x v="118"/>
    <n v="48"/>
    <x v="1"/>
    <x v="1"/>
    <x v="1"/>
    <x v="11"/>
    <x v="1"/>
    <s v="Bed Frame"/>
    <n v="2"/>
    <n v="17924.25"/>
    <x v="7"/>
    <n v="40170.17"/>
    <n v="13769.68"/>
    <n v="75.45"/>
    <x v="2"/>
    <n v="5"/>
    <x v="0"/>
    <x v="0"/>
    <n v="10"/>
  </r>
  <r>
    <s v="ORD-01639"/>
    <d v="2021-12-31T00:00:00"/>
    <s v="CUST37611"/>
    <x v="5"/>
    <n v="48"/>
    <x v="1"/>
    <x v="2"/>
    <x v="2"/>
    <x v="4"/>
    <x v="1"/>
    <s v="Bookshelf"/>
    <n v="10"/>
    <n v="33336.04"/>
    <x v="3"/>
    <n v="196057.15"/>
    <n v="62738.27"/>
    <n v="43.07"/>
    <x v="1"/>
    <n v="2"/>
    <x v="0"/>
    <x v="0"/>
    <n v="10"/>
  </r>
  <r>
    <s v="ORD-03747"/>
    <d v="2024-06-21T00:00:00"/>
    <s v="CUST30878"/>
    <x v="316"/>
    <n v="42"/>
    <x v="1"/>
    <x v="0"/>
    <x v="3"/>
    <x v="15"/>
    <x v="6"/>
    <s v="Smartphone"/>
    <n v="6"/>
    <n v="72110.58"/>
    <x v="6"/>
    <n v="450289.54"/>
    <n v="65004.31"/>
    <n v="70.739999999999995"/>
    <x v="2"/>
    <n v="3"/>
    <x v="0"/>
    <x v="4"/>
    <n v="9"/>
  </r>
  <r>
    <s v="ORD-03842"/>
    <d v="2024-07-27T00:00:00"/>
    <s v="CUST75870"/>
    <x v="7"/>
    <n v="20"/>
    <x v="3"/>
    <x v="1"/>
    <x v="3"/>
    <x v="5"/>
    <x v="5"/>
    <s v="Cooking Oil"/>
    <n v="7"/>
    <n v="75.8"/>
    <x v="28"/>
    <n v="782.05"/>
    <n v="70.98"/>
    <n v="62.63"/>
    <x v="5"/>
    <n v="4"/>
    <x v="0"/>
    <x v="0"/>
    <n v="8"/>
  </r>
  <r>
    <s v="ORD-00210"/>
    <d v="2020-04-01T00:00:00"/>
    <s v="CUST41794"/>
    <x v="169"/>
    <n v="29"/>
    <x v="0"/>
    <x v="2"/>
    <x v="1"/>
    <x v="6"/>
    <x v="6"/>
    <s v="Headphones"/>
    <n v="7"/>
    <n v="48050.22"/>
    <x v="18"/>
    <n v="237090.85"/>
    <n v="29156.240000000002"/>
    <n v="35.880000000000003"/>
    <x v="0"/>
    <n v="4"/>
    <x v="0"/>
    <x v="2"/>
    <n v="3"/>
  </r>
  <r>
    <s v="ORD-03049"/>
    <d v="2023-08-12T00:00:00"/>
    <s v="CUST94965"/>
    <x v="351"/>
    <n v="26"/>
    <x v="0"/>
    <x v="1"/>
    <x v="3"/>
    <x v="15"/>
    <x v="4"/>
    <s v="Tennis Racket"/>
    <n v="9"/>
    <n v="905.34"/>
    <x v="28"/>
    <n v="10046.959999999999"/>
    <n v="2301.4899999999998"/>
    <n v="59.24"/>
    <x v="5"/>
    <n v="1"/>
    <x v="0"/>
    <x v="0"/>
    <n v="6"/>
  </r>
  <r>
    <s v="ORD-01187"/>
    <d v="2021-06-17T00:00:00"/>
    <s v="CUST93071"/>
    <x v="103"/>
    <n v="22"/>
    <x v="3"/>
    <x v="2"/>
    <x v="0"/>
    <x v="2"/>
    <x v="6"/>
    <s v="Smartphone"/>
    <n v="3"/>
    <n v="76896.61"/>
    <x v="16"/>
    <n v="332318.84999999998"/>
    <n v="37948.79"/>
    <n v="73.13"/>
    <x v="2"/>
    <n v="3"/>
    <x v="0"/>
    <x v="3"/>
    <n v="5"/>
  </r>
  <r>
    <s v="ORD-00088"/>
    <d v="2020-02-04T00:00:00"/>
    <s v="CUST25625"/>
    <x v="220"/>
    <n v="34"/>
    <x v="0"/>
    <x v="1"/>
    <x v="2"/>
    <x v="9"/>
    <x v="6"/>
    <s v="Camera"/>
    <n v="7"/>
    <n v="60474.12"/>
    <x v="8"/>
    <n v="377022.96"/>
    <n v="37668.94"/>
    <n v="62.96"/>
    <x v="5"/>
    <n v="4"/>
    <x v="0"/>
    <x v="3"/>
    <n v="7"/>
  </r>
  <r>
    <s v="ORD-01370"/>
    <d v="2021-09-09T00:00:00"/>
    <s v="CUST44583"/>
    <x v="230"/>
    <n v="48"/>
    <x v="1"/>
    <x v="0"/>
    <x v="3"/>
    <x v="15"/>
    <x v="6"/>
    <s v="Headphones"/>
    <n v="5"/>
    <n v="77055.5"/>
    <x v="32"/>
    <n v="398426.64"/>
    <n v="51765.01"/>
    <n v="68.430000000000007"/>
    <x v="1"/>
    <n v="5"/>
    <x v="0"/>
    <x v="0"/>
    <n v="6"/>
  </r>
  <r>
    <s v="ORD-02958"/>
    <d v="2023-07-05T00:00:00"/>
    <s v="CUST02784"/>
    <x v="72"/>
    <n v="25"/>
    <x v="3"/>
    <x v="0"/>
    <x v="2"/>
    <x v="4"/>
    <x v="4"/>
    <s v="Cycle"/>
    <n v="3"/>
    <n v="13054.7"/>
    <x v="33"/>
    <n v="50129.67"/>
    <n v="9740.83"/>
    <n v="41.44"/>
    <x v="4"/>
    <n v="2"/>
    <x v="1"/>
    <x v="1"/>
    <n v="9"/>
  </r>
  <r>
    <s v="ORD-00191"/>
    <d v="2020-03-26T00:00:00"/>
    <s v="CUST37196"/>
    <x v="281"/>
    <n v="37"/>
    <x v="1"/>
    <x v="1"/>
    <x v="4"/>
    <x v="18"/>
    <x v="3"/>
    <s v="T-Shirt"/>
    <n v="2"/>
    <n v="2822.43"/>
    <x v="18"/>
    <n v="3893.81"/>
    <n v="1101.47"/>
    <n v="41.8"/>
    <x v="2"/>
    <n v="2"/>
    <x v="0"/>
    <x v="0"/>
    <n v="4"/>
  </r>
  <r>
    <s v="ORD-03825"/>
    <d v="2024-07-21T00:00:00"/>
    <s v="CUST88226"/>
    <x v="394"/>
    <n v="47"/>
    <x v="1"/>
    <x v="0"/>
    <x v="0"/>
    <x v="1"/>
    <x v="5"/>
    <s v="Tea"/>
    <n v="7"/>
    <n v="488.22"/>
    <x v="22"/>
    <n v="2672.94"/>
    <n v="163.37"/>
    <n v="60.37"/>
    <x v="1"/>
    <n v="1"/>
    <x v="1"/>
    <x v="1"/>
    <n v="8"/>
  </r>
  <r>
    <s v="ORD-00179"/>
    <d v="2020-03-19T00:00:00"/>
    <s v="CUST72035"/>
    <x v="148"/>
    <n v="39"/>
    <x v="1"/>
    <x v="0"/>
    <x v="4"/>
    <x v="18"/>
    <x v="0"/>
    <s v="Hair Oil"/>
    <n v="2"/>
    <n v="691.8"/>
    <x v="17"/>
    <n v="832.4"/>
    <n v="369.92"/>
    <n v="65.91"/>
    <x v="0"/>
    <n v="5"/>
    <x v="0"/>
    <x v="0"/>
    <n v="9"/>
  </r>
  <r>
    <s v="ORD-03841"/>
    <d v="2024-07-27T00:00:00"/>
    <s v="CUST55175"/>
    <x v="11"/>
    <n v="36"/>
    <x v="1"/>
    <x v="2"/>
    <x v="2"/>
    <x v="14"/>
    <x v="4"/>
    <s v="Cycle"/>
    <n v="4"/>
    <n v="4702.62"/>
    <x v="25"/>
    <n v="23223.7"/>
    <n v="3762.63"/>
    <n v="66.86"/>
    <x v="5"/>
    <n v="2"/>
    <x v="0"/>
    <x v="0"/>
    <n v="5"/>
  </r>
  <r>
    <s v="ORD-02605"/>
    <d v="2023-02-05T00:00:00"/>
    <s v="CUST70348"/>
    <x v="141"/>
    <n v="33"/>
    <x v="0"/>
    <x v="1"/>
    <x v="3"/>
    <x v="12"/>
    <x v="5"/>
    <s v="Dal (1kg)"/>
    <n v="2"/>
    <n v="458.79"/>
    <x v="27"/>
    <n v="719.16"/>
    <n v="59.83"/>
    <n v="86.04"/>
    <x v="1"/>
    <n v="3"/>
    <x v="0"/>
    <x v="2"/>
    <n v="6"/>
  </r>
  <r>
    <s v="ORD-03465"/>
    <d v="2024-02-09T00:00:00"/>
    <s v="CUST56248"/>
    <x v="384"/>
    <n v="42"/>
    <x v="1"/>
    <x v="2"/>
    <x v="1"/>
    <x v="11"/>
    <x v="5"/>
    <s v="Cooking Oil"/>
    <n v="7"/>
    <n v="359.97"/>
    <x v="8"/>
    <n v="2544.36"/>
    <n v="337.93"/>
    <n v="52.95"/>
    <x v="4"/>
    <n v="5"/>
    <x v="0"/>
    <x v="2"/>
    <n v="5"/>
  </r>
  <r>
    <s v="ORD-02104"/>
    <d v="2022-07-15T00:00:00"/>
    <s v="CUST15485"/>
    <x v="52"/>
    <n v="49"/>
    <x v="1"/>
    <x v="2"/>
    <x v="2"/>
    <x v="14"/>
    <x v="5"/>
    <s v="Cooking Oil"/>
    <n v="4"/>
    <n v="363.4"/>
    <x v="30"/>
    <n v="1689.72"/>
    <n v="153.16999999999999"/>
    <n v="55.45"/>
    <x v="2"/>
    <n v="1"/>
    <x v="0"/>
    <x v="0"/>
    <n v="3"/>
  </r>
  <r>
    <s v="ORD-03916"/>
    <d v="2024-08-19T00:00:00"/>
    <s v="CUST33656"/>
    <x v="343"/>
    <n v="50"/>
    <x v="1"/>
    <x v="0"/>
    <x v="3"/>
    <x v="5"/>
    <x v="5"/>
    <s v="Cooking Oil"/>
    <n v="4"/>
    <n v="169.97"/>
    <x v="38"/>
    <n v="978.94"/>
    <n v="86.75"/>
    <n v="73.040000000000006"/>
    <x v="0"/>
    <n v="1"/>
    <x v="0"/>
    <x v="0"/>
    <n v="9"/>
  </r>
  <r>
    <s v="ORD-03322"/>
    <d v="2023-12-09T00:00:00"/>
    <s v="CUST90480"/>
    <x v="299"/>
    <n v="31"/>
    <x v="0"/>
    <x v="1"/>
    <x v="3"/>
    <x v="16"/>
    <x v="5"/>
    <s v="Rice (5kg)"/>
    <n v="8"/>
    <n v="314.32"/>
    <x v="13"/>
    <n v="2055.5500000000002"/>
    <n v="180.84"/>
    <n v="99.45"/>
    <x v="0"/>
    <n v="1"/>
    <x v="0"/>
    <x v="2"/>
    <n v="2"/>
  </r>
  <r>
    <s v="ORD-03068"/>
    <d v="2023-08-18T00:00:00"/>
    <s v="CUST89345"/>
    <x v="243"/>
    <n v="30"/>
    <x v="0"/>
    <x v="1"/>
    <x v="3"/>
    <x v="12"/>
    <x v="0"/>
    <s v="Shampoo"/>
    <n v="1"/>
    <n v="133.97999999999999"/>
    <x v="31"/>
    <n v="157"/>
    <n v="64.55"/>
    <n v="59.05"/>
    <x v="3"/>
    <n v="5"/>
    <x v="0"/>
    <x v="0"/>
    <n v="4"/>
  </r>
  <r>
    <s v="ORD-03146"/>
    <d v="2023-09-25T00:00:00"/>
    <s v="CUST78079"/>
    <x v="50"/>
    <n v="27"/>
    <x v="0"/>
    <x v="0"/>
    <x v="4"/>
    <x v="7"/>
    <x v="6"/>
    <s v="Smartwatch"/>
    <n v="3"/>
    <n v="40582.57"/>
    <x v="3"/>
    <n v="118400.61"/>
    <n v="13936.96"/>
    <n v="91.9"/>
    <x v="0"/>
    <n v="3"/>
    <x v="0"/>
    <x v="2"/>
    <n v="4"/>
  </r>
  <r>
    <s v="ORD-01813"/>
    <d v="2022-03-12T00:00:00"/>
    <s v="CUST37116"/>
    <x v="126"/>
    <n v="47"/>
    <x v="1"/>
    <x v="1"/>
    <x v="1"/>
    <x v="10"/>
    <x v="3"/>
    <s v="T-Shirt"/>
    <n v="1"/>
    <n v="1385.37"/>
    <x v="0"/>
    <n v="1543.45"/>
    <n v="661.84"/>
    <n v="62.19"/>
    <x v="3"/>
    <n v="2"/>
    <x v="0"/>
    <x v="0"/>
    <n v="5"/>
  </r>
  <r>
    <s v="ORD-03512"/>
    <d v="2024-03-07T00:00:00"/>
    <s v="CUST61863"/>
    <x v="313"/>
    <n v="41"/>
    <x v="1"/>
    <x v="2"/>
    <x v="3"/>
    <x v="16"/>
    <x v="3"/>
    <s v="Jeans"/>
    <n v="10"/>
    <n v="1320.43"/>
    <x v="15"/>
    <n v="13732.16"/>
    <n v="5671.18"/>
    <n v="74.31"/>
    <x v="0"/>
    <n v="2"/>
    <x v="0"/>
    <x v="3"/>
    <n v="6"/>
  </r>
  <r>
    <s v="ORD-01024"/>
    <d v="2021-04-08T00:00:00"/>
    <s v="CUST22670"/>
    <x v="40"/>
    <n v="49"/>
    <x v="1"/>
    <x v="2"/>
    <x v="3"/>
    <x v="5"/>
    <x v="1"/>
    <s v="Bed Frame"/>
    <n v="10"/>
    <n v="14892.78"/>
    <x v="11"/>
    <n v="168394.7"/>
    <n v="64660.74"/>
    <n v="118.18"/>
    <x v="3"/>
    <n v="2"/>
    <x v="0"/>
    <x v="3"/>
    <n v="8"/>
  </r>
  <r>
    <s v="ORD-00472"/>
    <d v="2020-07-27T00:00:00"/>
    <s v="CUST21284"/>
    <x v="181"/>
    <n v="44"/>
    <x v="1"/>
    <x v="1"/>
    <x v="3"/>
    <x v="5"/>
    <x v="5"/>
    <s v="Flour"/>
    <n v="1"/>
    <n v="117.22"/>
    <x v="26"/>
    <n v="124.38"/>
    <n v="11.08"/>
    <n v="84.2"/>
    <x v="3"/>
    <n v="2"/>
    <x v="0"/>
    <x v="0"/>
    <n v="5"/>
  </r>
  <r>
    <s v="ORD-00399"/>
    <d v="2020-06-21T00:00:00"/>
    <s v="CUST01014"/>
    <x v="147"/>
    <n v="27"/>
    <x v="0"/>
    <x v="1"/>
    <x v="0"/>
    <x v="19"/>
    <x v="4"/>
    <s v="Dumbbells"/>
    <n v="9"/>
    <n v="14879.68"/>
    <x v="15"/>
    <n v="128980.52"/>
    <n v="28846.04"/>
    <n v="60"/>
    <x v="3"/>
    <n v="3"/>
    <x v="0"/>
    <x v="0"/>
    <n v="10"/>
  </r>
  <r>
    <s v="ORD-03499"/>
    <d v="2024-02-29T00:00:00"/>
    <s v="CUST16184"/>
    <x v="108"/>
    <n v="39"/>
    <x v="1"/>
    <x v="2"/>
    <x v="0"/>
    <x v="1"/>
    <x v="6"/>
    <s v="Tablet"/>
    <n v="8"/>
    <n v="22744.84"/>
    <x v="13"/>
    <n v="181169.01"/>
    <n v="15125.76"/>
    <n v="75.81"/>
    <x v="1"/>
    <n v="1"/>
    <x v="0"/>
    <x v="3"/>
    <n v="3"/>
  </r>
  <r>
    <s v="ORD-00036"/>
    <d v="2020-01-14T00:00:00"/>
    <s v="CUST38423"/>
    <x v="163"/>
    <n v="26"/>
    <x v="0"/>
    <x v="2"/>
    <x v="3"/>
    <x v="5"/>
    <x v="1"/>
    <s v="Desk"/>
    <n v="3"/>
    <n v="12822.15"/>
    <x v="5"/>
    <n v="29713.41"/>
    <n v="10599.17"/>
    <n v="86.21"/>
    <x v="4"/>
    <n v="2"/>
    <x v="1"/>
    <x v="1"/>
    <n v="9"/>
  </r>
  <r>
    <s v="ORD-02254"/>
    <d v="2022-09-09T00:00:00"/>
    <s v="CUST33459"/>
    <x v="298"/>
    <n v="33"/>
    <x v="0"/>
    <x v="2"/>
    <x v="2"/>
    <x v="9"/>
    <x v="1"/>
    <s v="Desk"/>
    <n v="10"/>
    <n v="5472.78"/>
    <x v="27"/>
    <n v="53170.77"/>
    <n v="15999.21"/>
    <n v="73.94"/>
    <x v="0"/>
    <n v="4"/>
    <x v="0"/>
    <x v="0"/>
    <n v="9"/>
  </r>
  <r>
    <s v="ORD-02657"/>
    <d v="2023-02-24T00:00:00"/>
    <s v="CUST66904"/>
    <x v="359"/>
    <n v="41"/>
    <x v="1"/>
    <x v="1"/>
    <x v="3"/>
    <x v="16"/>
    <x v="5"/>
    <s v="Cooking Oil"/>
    <n v="5"/>
    <n v="97.04"/>
    <x v="16"/>
    <n v="446.89"/>
    <n v="48.71"/>
    <n v="82.24"/>
    <x v="5"/>
    <n v="1"/>
    <x v="0"/>
    <x v="0"/>
    <n v="3"/>
  </r>
  <r>
    <s v="ORD-00253"/>
    <d v="2020-04-22T00:00:00"/>
    <s v="CUST11397"/>
    <x v="131"/>
    <n v="50"/>
    <x v="1"/>
    <x v="0"/>
    <x v="3"/>
    <x v="5"/>
    <x v="2"/>
    <s v="Comic Book"/>
    <n v="8"/>
    <n v="724.91"/>
    <x v="40"/>
    <n v="3949.85"/>
    <n v="1441.05"/>
    <n v="80.319999999999993"/>
    <x v="5"/>
    <n v="3"/>
    <x v="0"/>
    <x v="4"/>
    <n v="1"/>
  </r>
  <r>
    <s v="ORD-02656"/>
    <d v="2023-02-24T00:00:00"/>
    <s v="CUST34846"/>
    <x v="180"/>
    <n v="46"/>
    <x v="1"/>
    <x v="2"/>
    <x v="2"/>
    <x v="13"/>
    <x v="1"/>
    <s v="Bookshelf"/>
    <n v="8"/>
    <n v="24561.25"/>
    <x v="30"/>
    <n v="140193.35999999999"/>
    <n v="31348.77"/>
    <n v="47.2"/>
    <x v="3"/>
    <n v="2"/>
    <x v="0"/>
    <x v="0"/>
    <n v="1"/>
  </r>
  <r>
    <s v="ORD-01068"/>
    <d v="2021-04-28T00:00:00"/>
    <s v="CUST93899"/>
    <x v="220"/>
    <n v="49"/>
    <x v="1"/>
    <x v="0"/>
    <x v="4"/>
    <x v="17"/>
    <x v="1"/>
    <s v="Chair"/>
    <n v="8"/>
    <n v="13756.55"/>
    <x v="21"/>
    <n v="88558.6"/>
    <n v="31183.119999999999"/>
    <n v="80.06"/>
    <x v="3"/>
    <n v="2"/>
    <x v="0"/>
    <x v="0"/>
    <n v="10"/>
  </r>
  <r>
    <s v="ORD-01286"/>
    <d v="2021-08-03T00:00:00"/>
    <s v="CUST73360"/>
    <x v="298"/>
    <n v="30"/>
    <x v="0"/>
    <x v="2"/>
    <x v="0"/>
    <x v="1"/>
    <x v="6"/>
    <s v="Smartwatch"/>
    <n v="5"/>
    <n v="53420.53"/>
    <x v="31"/>
    <n v="268730.15000000002"/>
    <n v="18234.55"/>
    <n v="49.75"/>
    <x v="0"/>
    <n v="4"/>
    <x v="0"/>
    <x v="0"/>
    <n v="3"/>
  </r>
  <r>
    <s v="ORD-03221"/>
    <d v="2023-10-24T00:00:00"/>
    <s v="CUST96034"/>
    <x v="188"/>
    <n v="30"/>
    <x v="0"/>
    <x v="0"/>
    <x v="2"/>
    <x v="13"/>
    <x v="2"/>
    <s v="Textbook"/>
    <n v="6"/>
    <n v="452.9"/>
    <x v="5"/>
    <n v="2766.66"/>
    <n v="1043.0999999999999"/>
    <n v="58.82"/>
    <x v="5"/>
    <n v="1"/>
    <x v="0"/>
    <x v="0"/>
    <n v="3"/>
  </r>
  <r>
    <s v="ORD-02478"/>
    <d v="2022-12-12T00:00:00"/>
    <s v="CUST02396"/>
    <x v="153"/>
    <n v="32"/>
    <x v="0"/>
    <x v="0"/>
    <x v="4"/>
    <x v="17"/>
    <x v="6"/>
    <s v="Tablet"/>
    <n v="3"/>
    <n v="58643.55"/>
    <x v="20"/>
    <n v="104290.62"/>
    <n v="10501.29"/>
    <n v="67.56"/>
    <x v="3"/>
    <n v="3"/>
    <x v="0"/>
    <x v="2"/>
    <n v="2"/>
  </r>
  <r>
    <s v="ORD-02941"/>
    <d v="2023-06-29T00:00:00"/>
    <s v="CUST16576"/>
    <x v="31"/>
    <n v="53"/>
    <x v="2"/>
    <x v="2"/>
    <x v="2"/>
    <x v="4"/>
    <x v="2"/>
    <s v="Fiction Novel"/>
    <n v="4"/>
    <n v="254.4"/>
    <x v="8"/>
    <n v="1971.55"/>
    <n v="765.6"/>
    <n v="70.91"/>
    <x v="2"/>
    <n v="4"/>
    <x v="0"/>
    <x v="0"/>
    <n v="7"/>
  </r>
  <r>
    <s v="ORD-03052"/>
    <d v="2023-08-13T00:00:00"/>
    <s v="CUST62695"/>
    <x v="104"/>
    <n v="38"/>
    <x v="1"/>
    <x v="1"/>
    <x v="3"/>
    <x v="12"/>
    <x v="4"/>
    <s v="Dumbbells"/>
    <n v="7"/>
    <n v="13199.66"/>
    <x v="37"/>
    <n v="101253.81"/>
    <n v="23525.51"/>
    <n v="75.760000000000005"/>
    <x v="2"/>
    <n v="4"/>
    <x v="0"/>
    <x v="0"/>
    <n v="9"/>
  </r>
  <r>
    <s v="ORD-03078"/>
    <d v="2023-08-21T00:00:00"/>
    <s v="CUST46478"/>
    <x v="330"/>
    <n v="32"/>
    <x v="0"/>
    <x v="2"/>
    <x v="3"/>
    <x v="15"/>
    <x v="2"/>
    <s v="Textbook"/>
    <n v="3"/>
    <n v="761.02"/>
    <x v="37"/>
    <n v="2331.91"/>
    <n v="1183.07"/>
    <n v="118.86"/>
    <x v="3"/>
    <n v="3"/>
    <x v="0"/>
    <x v="0"/>
    <n v="7"/>
  </r>
  <r>
    <s v="ORD-04194"/>
    <d v="2024-12-28T00:00:00"/>
    <s v="CUST18508"/>
    <x v="95"/>
    <n v="56"/>
    <x v="2"/>
    <x v="0"/>
    <x v="2"/>
    <x v="14"/>
    <x v="2"/>
    <s v="Biography"/>
    <n v="2"/>
    <n v="709.51"/>
    <x v="0"/>
    <n v="1228.8699999999999"/>
    <n v="481.53"/>
    <n v="18.48"/>
    <x v="5"/>
    <n v="5"/>
    <x v="0"/>
    <x v="2"/>
    <n v="5"/>
  </r>
  <r>
    <s v="ORD-01610"/>
    <d v="2021-12-20T00:00:00"/>
    <s v="CUST76313"/>
    <x v="16"/>
    <n v="40"/>
    <x v="1"/>
    <x v="1"/>
    <x v="1"/>
    <x v="3"/>
    <x v="2"/>
    <s v="Textbook"/>
    <n v="7"/>
    <n v="1347.81"/>
    <x v="1"/>
    <n v="5535.71"/>
    <n v="1992.64"/>
    <n v="32.85"/>
    <x v="3"/>
    <n v="2"/>
    <x v="0"/>
    <x v="0"/>
    <n v="9"/>
  </r>
  <r>
    <s v="ORD-02367"/>
    <d v="2022-10-20T00:00:00"/>
    <s v="CUST71730"/>
    <x v="220"/>
    <n v="33"/>
    <x v="0"/>
    <x v="2"/>
    <x v="3"/>
    <x v="5"/>
    <x v="2"/>
    <s v="Biography"/>
    <n v="6"/>
    <n v="353.19"/>
    <x v="6"/>
    <n v="1424.52"/>
    <n v="640.89"/>
    <n v="87.77"/>
    <x v="5"/>
    <n v="3"/>
    <x v="0"/>
    <x v="0"/>
    <n v="7"/>
  </r>
  <r>
    <s v="ORD-00926"/>
    <d v="2021-02-23T00:00:00"/>
    <s v="CUST42894"/>
    <x v="321"/>
    <n v="30"/>
    <x v="0"/>
    <x v="0"/>
    <x v="0"/>
    <x v="2"/>
    <x v="3"/>
    <s v="Jeans"/>
    <n v="9"/>
    <n v="1846.99"/>
    <x v="18"/>
    <n v="9441.56"/>
    <n v="3194.01"/>
    <n v="82.33"/>
    <x v="0"/>
    <n v="3"/>
    <x v="0"/>
    <x v="0"/>
    <n v="6"/>
  </r>
  <r>
    <s v="ORD-02942"/>
    <d v="2023-06-30T00:00:00"/>
    <s v="CUST41370"/>
    <x v="68"/>
    <n v="40"/>
    <x v="1"/>
    <x v="0"/>
    <x v="2"/>
    <x v="9"/>
    <x v="5"/>
    <s v="Dal (1kg)"/>
    <n v="5"/>
    <n v="306.51"/>
    <x v="20"/>
    <n v="2204.96"/>
    <n v="174.67"/>
    <n v="63.22"/>
    <x v="2"/>
    <n v="3"/>
    <x v="0"/>
    <x v="0"/>
    <n v="3"/>
  </r>
  <r>
    <s v="ORD-02083"/>
    <d v="2022-07-07T00:00:00"/>
    <s v="CUST58154"/>
    <x v="361"/>
    <n v="33"/>
    <x v="0"/>
    <x v="1"/>
    <x v="0"/>
    <x v="1"/>
    <x v="1"/>
    <s v="Bookshelf"/>
    <n v="6"/>
    <n v="6433.11"/>
    <x v="28"/>
    <n v="51511.32"/>
    <n v="11059.52"/>
    <n v="68.209999999999994"/>
    <x v="5"/>
    <n v="1"/>
    <x v="0"/>
    <x v="0"/>
    <n v="7"/>
  </r>
  <r>
    <s v="ORD-03385"/>
    <d v="2024-01-04T00:00:00"/>
    <s v="CUST57537"/>
    <x v="260"/>
    <n v="23"/>
    <x v="3"/>
    <x v="0"/>
    <x v="3"/>
    <x v="12"/>
    <x v="2"/>
    <s v="Textbook"/>
    <n v="9"/>
    <n v="1151.99"/>
    <x v="21"/>
    <n v="5781.66"/>
    <n v="2458.52"/>
    <n v="80.27"/>
    <x v="1"/>
    <n v="5"/>
    <x v="0"/>
    <x v="0"/>
    <n v="6"/>
  </r>
  <r>
    <s v="ORD-02124"/>
    <d v="2022-07-23T00:00:00"/>
    <s v="CUST24923"/>
    <x v="204"/>
    <n v="23"/>
    <x v="3"/>
    <x v="0"/>
    <x v="0"/>
    <x v="19"/>
    <x v="2"/>
    <s v="Cook Book"/>
    <n v="6"/>
    <n v="1164.68"/>
    <x v="34"/>
    <n v="5939.75"/>
    <n v="1561.14"/>
    <n v="57.35"/>
    <x v="0"/>
    <n v="2"/>
    <x v="1"/>
    <x v="1"/>
    <n v="5"/>
  </r>
  <r>
    <s v="ORD-02222"/>
    <d v="2022-08-28T00:00:00"/>
    <s v="CUST57957"/>
    <x v="331"/>
    <n v="33"/>
    <x v="0"/>
    <x v="0"/>
    <x v="1"/>
    <x v="6"/>
    <x v="0"/>
    <s v="Face Cream"/>
    <n v="5"/>
    <n v="1366.62"/>
    <x v="35"/>
    <n v="7613.24"/>
    <n v="4061.59"/>
    <n v="45.32"/>
    <x v="5"/>
    <n v="4"/>
    <x v="0"/>
    <x v="3"/>
    <n v="7"/>
  </r>
  <r>
    <s v="ORD-01076"/>
    <d v="2021-05-02T00:00:00"/>
    <s v="CUST34738"/>
    <x v="360"/>
    <n v="49"/>
    <x v="1"/>
    <x v="2"/>
    <x v="4"/>
    <x v="7"/>
    <x v="1"/>
    <s v="Bookshelf"/>
    <n v="1"/>
    <n v="28157.96"/>
    <x v="12"/>
    <n v="31874.43"/>
    <n v="7988.88"/>
    <n v="86.82"/>
    <x v="3"/>
    <n v="2"/>
    <x v="1"/>
    <x v="1"/>
    <n v="5"/>
  </r>
  <r>
    <s v="ORD-02950"/>
    <d v="2023-07-01T00:00:00"/>
    <s v="CUST02564"/>
    <x v="222"/>
    <n v="57"/>
    <x v="2"/>
    <x v="1"/>
    <x v="1"/>
    <x v="6"/>
    <x v="1"/>
    <s v="Wardrobe"/>
    <n v="7"/>
    <n v="7949.66"/>
    <x v="10"/>
    <n v="60207.42"/>
    <n v="13411.24"/>
    <n v="66.87"/>
    <x v="3"/>
    <n v="4"/>
    <x v="0"/>
    <x v="0"/>
    <n v="2"/>
  </r>
  <r>
    <s v="ORD-03904"/>
    <d v="2024-08-15T00:00:00"/>
    <s v="CUST28988"/>
    <x v="158"/>
    <n v="29"/>
    <x v="0"/>
    <x v="1"/>
    <x v="0"/>
    <x v="0"/>
    <x v="5"/>
    <s v="Tea"/>
    <n v="6"/>
    <n v="212.91"/>
    <x v="12"/>
    <n v="1250.1199999999999"/>
    <n v="97.83"/>
    <n v="63.02"/>
    <x v="0"/>
    <n v="3"/>
    <x v="0"/>
    <x v="0"/>
    <n v="10"/>
  </r>
  <r>
    <s v="ORD-01850"/>
    <d v="2022-03-30T00:00:00"/>
    <s v="CUST64792"/>
    <x v="137"/>
    <n v="38"/>
    <x v="1"/>
    <x v="0"/>
    <x v="4"/>
    <x v="17"/>
    <x v="4"/>
    <s v="Cycle"/>
    <n v="4"/>
    <n v="14204.71"/>
    <x v="23"/>
    <n v="54400.72"/>
    <n v="13383.31"/>
    <n v="93.83"/>
    <x v="4"/>
    <n v="1"/>
    <x v="1"/>
    <x v="1"/>
    <n v="10"/>
  </r>
  <r>
    <s v="ORD-02796"/>
    <d v="2023-04-27T00:00:00"/>
    <s v="CUST56780"/>
    <x v="75"/>
    <n v="24"/>
    <x v="3"/>
    <x v="1"/>
    <x v="3"/>
    <x v="12"/>
    <x v="5"/>
    <s v="Cooking Oil"/>
    <n v="8"/>
    <n v="132.4"/>
    <x v="18"/>
    <n v="1145.95"/>
    <n v="93.32"/>
    <n v="91.9"/>
    <x v="0"/>
    <n v="2"/>
    <x v="0"/>
    <x v="0"/>
    <n v="2"/>
  </r>
  <r>
    <s v="ORD-01245"/>
    <d v="2021-07-16T00:00:00"/>
    <s v="CUST94664"/>
    <x v="42"/>
    <n v="51"/>
    <x v="2"/>
    <x v="2"/>
    <x v="3"/>
    <x v="12"/>
    <x v="4"/>
    <s v="Tennis Racket"/>
    <n v="3"/>
    <n v="14773.91"/>
    <x v="35"/>
    <n v="39228.730000000003"/>
    <n v="11423.75"/>
    <n v="63.56"/>
    <x v="5"/>
    <n v="3"/>
    <x v="0"/>
    <x v="0"/>
    <n v="4"/>
  </r>
  <r>
    <s v="ORD-03321"/>
    <d v="2023-12-09T00:00:00"/>
    <s v="CUST48101"/>
    <x v="322"/>
    <n v="38"/>
    <x v="1"/>
    <x v="0"/>
    <x v="3"/>
    <x v="5"/>
    <x v="3"/>
    <s v="Jacket"/>
    <n v="7"/>
    <n v="2311.75"/>
    <x v="1"/>
    <n v="11373.42"/>
    <n v="4064.18"/>
    <n v="93.86"/>
    <x v="5"/>
    <n v="4"/>
    <x v="0"/>
    <x v="0"/>
    <n v="10"/>
  </r>
  <r>
    <s v="ORD-00509"/>
    <d v="2020-08-13T00:00:00"/>
    <s v="CUST37820"/>
    <x v="120"/>
    <n v="22"/>
    <x v="3"/>
    <x v="1"/>
    <x v="1"/>
    <x v="3"/>
    <x v="2"/>
    <s v="Textbook"/>
    <n v="7"/>
    <n v="286.07"/>
    <x v="12"/>
    <n v="1349.48"/>
    <n v="474.55"/>
    <n v="52.35"/>
    <x v="2"/>
    <n v="3"/>
    <x v="0"/>
    <x v="0"/>
    <n v="4"/>
  </r>
  <r>
    <s v="ORD-00711"/>
    <d v="2020-11-21T00:00:00"/>
    <s v="CUST81896"/>
    <x v="50"/>
    <n v="51"/>
    <x v="2"/>
    <x v="0"/>
    <x v="0"/>
    <x v="0"/>
    <x v="3"/>
    <s v="Jeans"/>
    <n v="5"/>
    <n v="3038.32"/>
    <x v="0"/>
    <n v="11598.72"/>
    <n v="4520.1099999999997"/>
    <n v="46.38"/>
    <x v="4"/>
    <n v="3"/>
    <x v="0"/>
    <x v="0"/>
    <n v="8"/>
  </r>
  <r>
    <s v="ORD-01145"/>
    <d v="2021-05-30T00:00:00"/>
    <s v="CUST43834"/>
    <x v="197"/>
    <n v="20"/>
    <x v="3"/>
    <x v="0"/>
    <x v="2"/>
    <x v="9"/>
    <x v="4"/>
    <s v="Cricket Bat"/>
    <n v="7"/>
    <n v="14524.03"/>
    <x v="2"/>
    <n v="124422.97"/>
    <n v="28871.78"/>
    <n v="52.9"/>
    <x v="1"/>
    <n v="4"/>
    <x v="0"/>
    <x v="0"/>
    <n v="9"/>
  </r>
  <r>
    <s v="ORD-00608"/>
    <d v="2020-09-28T00:00:00"/>
    <s v="CUST06194"/>
    <x v="100"/>
    <n v="24"/>
    <x v="3"/>
    <x v="0"/>
    <x v="2"/>
    <x v="13"/>
    <x v="5"/>
    <s v="Dal (1kg)"/>
    <n v="6"/>
    <n v="56.45"/>
    <x v="16"/>
    <n v="342.17"/>
    <n v="22.1"/>
    <n v="41.2"/>
    <x v="4"/>
    <n v="2"/>
    <x v="1"/>
    <x v="1"/>
    <n v="6"/>
  </r>
  <r>
    <s v="ORD-03166"/>
    <d v="2023-10-03T00:00:00"/>
    <s v="CUST06674"/>
    <x v="385"/>
    <n v="47"/>
    <x v="1"/>
    <x v="2"/>
    <x v="1"/>
    <x v="3"/>
    <x v="1"/>
    <s v="Bookshelf"/>
    <n v="9"/>
    <n v="22760.46"/>
    <x v="6"/>
    <n v="145109.60999999999"/>
    <n v="39767.620000000003"/>
    <n v="72.02"/>
    <x v="1"/>
    <n v="1"/>
    <x v="0"/>
    <x v="3"/>
    <n v="3"/>
  </r>
  <r>
    <s v="ORD-00868"/>
    <d v="2021-01-31T00:00:00"/>
    <s v="CUST94965"/>
    <x v="214"/>
    <n v="38"/>
    <x v="1"/>
    <x v="2"/>
    <x v="4"/>
    <x v="17"/>
    <x v="6"/>
    <s v="Smartwatch"/>
    <n v="3"/>
    <n v="42838.23"/>
    <x v="32"/>
    <n v="107037.9"/>
    <n v="14607.13"/>
    <n v="87.84"/>
    <x v="0"/>
    <n v="1"/>
    <x v="1"/>
    <x v="1"/>
    <n v="1"/>
  </r>
  <r>
    <s v="ORD-00912"/>
    <d v="2021-02-13T00:00:00"/>
    <s v="CUST49621"/>
    <x v="18"/>
    <n v="31"/>
    <x v="0"/>
    <x v="0"/>
    <x v="1"/>
    <x v="10"/>
    <x v="1"/>
    <s v="Chair"/>
    <n v="7"/>
    <n v="16795.84"/>
    <x v="21"/>
    <n v="56221.37"/>
    <n v="12491.37"/>
    <n v="56.62"/>
    <x v="2"/>
    <n v="2"/>
    <x v="1"/>
    <x v="1"/>
    <n v="2"/>
  </r>
  <r>
    <s v="ORD-01922"/>
    <d v="2022-04-30T00:00:00"/>
    <s v="CUST64561"/>
    <x v="48"/>
    <n v="55"/>
    <x v="2"/>
    <x v="1"/>
    <x v="4"/>
    <x v="17"/>
    <x v="5"/>
    <s v="Rice (5kg)"/>
    <n v="1"/>
    <n v="116.8"/>
    <x v="14"/>
    <n v="98.72"/>
    <n v="7.87"/>
    <n v="74.41"/>
    <x v="3"/>
    <n v="4"/>
    <x v="0"/>
    <x v="0"/>
    <n v="3"/>
  </r>
  <r>
    <s v="ORD-03724"/>
    <d v="2024-06-13T00:00:00"/>
    <s v="CUST07562"/>
    <x v="394"/>
    <n v="29"/>
    <x v="0"/>
    <x v="0"/>
    <x v="3"/>
    <x v="5"/>
    <x v="1"/>
    <s v="Bookshelf"/>
    <n v="4"/>
    <n v="29351.23"/>
    <x v="36"/>
    <n v="174388.71"/>
    <n v="36069.54"/>
    <n v="82.28"/>
    <x v="5"/>
    <n v="4"/>
    <x v="0"/>
    <x v="0"/>
    <n v="9"/>
  </r>
  <r>
    <s v="ORD-00149"/>
    <d v="2020-03-01T00:00:00"/>
    <s v="CUST13333"/>
    <x v="243"/>
    <n v="32"/>
    <x v="0"/>
    <x v="0"/>
    <x v="0"/>
    <x v="19"/>
    <x v="1"/>
    <s v="Bookshelf"/>
    <n v="5"/>
    <n v="31560.75"/>
    <x v="6"/>
    <n v="117876.02"/>
    <n v="35282.21"/>
    <n v="38.479999999999997"/>
    <x v="2"/>
    <n v="4"/>
    <x v="0"/>
    <x v="0"/>
    <n v="5"/>
  </r>
  <r>
    <s v="ORD-00754"/>
    <d v="2020-12-08T00:00:00"/>
    <s v="CUST33308"/>
    <x v="140"/>
    <n v="46"/>
    <x v="1"/>
    <x v="1"/>
    <x v="3"/>
    <x v="16"/>
    <x v="6"/>
    <s v="Headphones"/>
    <n v="9"/>
    <n v="9975.0499999999993"/>
    <x v="12"/>
    <n v="38987.93"/>
    <n v="3991.52"/>
    <n v="83.83"/>
    <x v="1"/>
    <n v="1"/>
    <x v="1"/>
    <x v="1"/>
    <n v="5"/>
  </r>
  <r>
    <s v="ORD-03555"/>
    <d v="2024-03-24T00:00:00"/>
    <s v="CUST21921"/>
    <x v="155"/>
    <n v="44"/>
    <x v="1"/>
    <x v="2"/>
    <x v="1"/>
    <x v="11"/>
    <x v="3"/>
    <s v="Dress"/>
    <n v="8"/>
    <n v="825.43"/>
    <x v="25"/>
    <n v="6590.81"/>
    <n v="2481.12"/>
    <n v="48.12"/>
    <x v="5"/>
    <n v="1"/>
    <x v="0"/>
    <x v="0"/>
    <n v="2"/>
  </r>
  <r>
    <s v="ORD-02451"/>
    <d v="2022-11-28T00:00:00"/>
    <s v="CUST04161"/>
    <x v="367"/>
    <n v="58"/>
    <x v="2"/>
    <x v="2"/>
    <x v="0"/>
    <x v="19"/>
    <x v="4"/>
    <s v="Dumbbells"/>
    <n v="9"/>
    <n v="13538.61"/>
    <x v="8"/>
    <n v="98932.09"/>
    <n v="24598.22"/>
    <n v="64.819999999999993"/>
    <x v="3"/>
    <n v="3"/>
    <x v="0"/>
    <x v="0"/>
    <n v="1"/>
  </r>
  <r>
    <s v="ORD-01274"/>
    <d v="2021-07-28T00:00:00"/>
    <s v="CUST42513"/>
    <x v="130"/>
    <n v="29"/>
    <x v="0"/>
    <x v="2"/>
    <x v="3"/>
    <x v="15"/>
    <x v="1"/>
    <s v="Chair"/>
    <n v="2"/>
    <n v="3092.5"/>
    <x v="13"/>
    <n v="7652.46"/>
    <n v="2113.54"/>
    <n v="62.46"/>
    <x v="3"/>
    <n v="4"/>
    <x v="0"/>
    <x v="0"/>
    <n v="3"/>
  </r>
  <r>
    <s v="ORD-00341"/>
    <d v="2020-05-28T00:00:00"/>
    <s v="CUST77930"/>
    <x v="126"/>
    <n v="34"/>
    <x v="0"/>
    <x v="0"/>
    <x v="1"/>
    <x v="10"/>
    <x v="5"/>
    <s v="Sugar"/>
    <n v="7"/>
    <n v="369.81"/>
    <x v="17"/>
    <n v="1896.12"/>
    <n v="92.88"/>
    <n v="65.27"/>
    <x v="3"/>
    <n v="2"/>
    <x v="0"/>
    <x v="3"/>
    <n v="4"/>
  </r>
  <r>
    <s v="ORD-04110"/>
    <d v="2024-11-20T00:00:00"/>
    <s v="CUST48614"/>
    <x v="10"/>
    <n v="31"/>
    <x v="0"/>
    <x v="2"/>
    <x v="4"/>
    <x v="7"/>
    <x v="5"/>
    <s v="Tea"/>
    <n v="1"/>
    <n v="281.64999999999998"/>
    <x v="38"/>
    <n v="268.27"/>
    <n v="27.01"/>
    <n v="73.959999999999994"/>
    <x v="4"/>
    <n v="1"/>
    <x v="1"/>
    <x v="1"/>
    <n v="7"/>
  </r>
  <r>
    <s v="ORD-03036"/>
    <d v="2023-08-05T00:00:00"/>
    <s v="CUST13591"/>
    <x v="30"/>
    <n v="57"/>
    <x v="2"/>
    <x v="2"/>
    <x v="1"/>
    <x v="11"/>
    <x v="6"/>
    <s v="Smartwatch"/>
    <n v="4"/>
    <n v="5288.54"/>
    <x v="36"/>
    <n v="27570.77"/>
    <n v="3492.82"/>
    <n v="95.83"/>
    <x v="0"/>
    <n v="3"/>
    <x v="0"/>
    <x v="0"/>
    <n v="5"/>
  </r>
  <r>
    <s v="ORD-02249"/>
    <d v="2022-09-08T00:00:00"/>
    <s v="CUST22912"/>
    <x v="384"/>
    <n v="22"/>
    <x v="3"/>
    <x v="2"/>
    <x v="3"/>
    <x v="15"/>
    <x v="5"/>
    <s v="Cooking Oil"/>
    <n v="6"/>
    <n v="129.66"/>
    <x v="0"/>
    <n v="1008.28"/>
    <n v="60.96"/>
    <n v="63.39"/>
    <x v="5"/>
    <n v="5"/>
    <x v="0"/>
    <x v="0"/>
    <n v="3"/>
  </r>
  <r>
    <s v="ORD-02781"/>
    <d v="2023-04-18T00:00:00"/>
    <s v="CUST33751"/>
    <x v="297"/>
    <n v="43"/>
    <x v="1"/>
    <x v="1"/>
    <x v="1"/>
    <x v="6"/>
    <x v="5"/>
    <s v="Cooking Oil"/>
    <n v="7"/>
    <n v="287.94"/>
    <x v="14"/>
    <n v="1907.63"/>
    <n v="168.82"/>
    <n v="48.27"/>
    <x v="3"/>
    <n v="4"/>
    <x v="0"/>
    <x v="0"/>
    <n v="5"/>
  </r>
  <r>
    <s v="ORD-02740"/>
    <d v="2023-03-31T00:00:00"/>
    <s v="CUST90154"/>
    <x v="236"/>
    <n v="39"/>
    <x v="1"/>
    <x v="2"/>
    <x v="0"/>
    <x v="0"/>
    <x v="0"/>
    <s v="Sunscreen"/>
    <n v="3"/>
    <n v="1932.05"/>
    <x v="9"/>
    <n v="6749.05"/>
    <n v="2983.29"/>
    <n v="47.16"/>
    <x v="4"/>
    <n v="1"/>
    <x v="0"/>
    <x v="4"/>
    <n v="5"/>
  </r>
  <r>
    <s v="ORD-03657"/>
    <d v="2024-05-08T00:00:00"/>
    <s v="CUST04582"/>
    <x v="128"/>
    <n v="43"/>
    <x v="1"/>
    <x v="2"/>
    <x v="3"/>
    <x v="15"/>
    <x v="1"/>
    <s v="Chair"/>
    <n v="7"/>
    <n v="16570.919999999998"/>
    <x v="30"/>
    <n v="122079.93"/>
    <n v="40801.29"/>
    <n v="111.73"/>
    <x v="5"/>
    <n v="1"/>
    <x v="0"/>
    <x v="3"/>
    <n v="9"/>
  </r>
  <r>
    <s v="ORD-01467"/>
    <d v="2021-10-23T00:00:00"/>
    <s v="CUST97904"/>
    <x v="239"/>
    <n v="36"/>
    <x v="1"/>
    <x v="0"/>
    <x v="0"/>
    <x v="2"/>
    <x v="3"/>
    <s v="Kurta"/>
    <n v="10"/>
    <n v="2394.19"/>
    <x v="20"/>
    <n v="18412.38"/>
    <n v="6424.53"/>
    <n v="80.64"/>
    <x v="2"/>
    <n v="4"/>
    <x v="0"/>
    <x v="0"/>
    <n v="5"/>
  </r>
  <r>
    <s v="ORD-02658"/>
    <d v="2023-02-25T00:00:00"/>
    <s v="CUST50190"/>
    <x v="99"/>
    <n v="29"/>
    <x v="0"/>
    <x v="2"/>
    <x v="1"/>
    <x v="3"/>
    <x v="3"/>
    <s v="T-Shirt"/>
    <n v="4"/>
    <n v="2095.6"/>
    <x v="21"/>
    <n v="5514.66"/>
    <n v="1469.25"/>
    <n v="50.22"/>
    <x v="5"/>
    <n v="4"/>
    <x v="0"/>
    <x v="0"/>
    <n v="6"/>
  </r>
  <r>
    <s v="ORD-00956"/>
    <d v="2021-03-10T00:00:00"/>
    <s v="CUST26332"/>
    <x v="323"/>
    <n v="38"/>
    <x v="1"/>
    <x v="0"/>
    <x v="0"/>
    <x v="19"/>
    <x v="2"/>
    <s v="Fiction Novel"/>
    <n v="10"/>
    <n v="1207.23"/>
    <x v="31"/>
    <n v="10978.87"/>
    <n v="2840.09"/>
    <n v="56.99"/>
    <x v="2"/>
    <n v="2"/>
    <x v="0"/>
    <x v="0"/>
    <n v="6"/>
  </r>
  <r>
    <s v="ORD-02459"/>
    <d v="2022-12-02T00:00:00"/>
    <s v="CUST97641"/>
    <x v="138"/>
    <n v="33"/>
    <x v="0"/>
    <x v="0"/>
    <x v="4"/>
    <x v="17"/>
    <x v="3"/>
    <s v="T-Shirt"/>
    <n v="4"/>
    <n v="1231.26"/>
    <x v="16"/>
    <n v="3543.81"/>
    <n v="1397.23"/>
    <n v="42.37"/>
    <x v="0"/>
    <n v="3"/>
    <x v="0"/>
    <x v="0"/>
    <n v="9"/>
  </r>
  <r>
    <s v="ORD-02650"/>
    <d v="2023-02-21T00:00:00"/>
    <s v="CUST24055"/>
    <x v="296"/>
    <n v="47"/>
    <x v="1"/>
    <x v="2"/>
    <x v="3"/>
    <x v="15"/>
    <x v="3"/>
    <s v="Saree"/>
    <n v="6"/>
    <n v="3972.74"/>
    <x v="36"/>
    <n v="21803.58"/>
    <n v="9997.3700000000008"/>
    <n v="46.75"/>
    <x v="0"/>
    <n v="2"/>
    <x v="0"/>
    <x v="0"/>
    <n v="1"/>
  </r>
  <r>
    <s v="ORD-01593"/>
    <d v="2021-12-12T00:00:00"/>
    <s v="CUST14125"/>
    <x v="212"/>
    <n v="37"/>
    <x v="1"/>
    <x v="2"/>
    <x v="2"/>
    <x v="4"/>
    <x v="5"/>
    <s v="Sugar"/>
    <n v="5"/>
    <n v="225.72"/>
    <x v="5"/>
    <n v="877.93"/>
    <n v="110.9"/>
    <n v="57.3"/>
    <x v="2"/>
    <n v="2"/>
    <x v="1"/>
    <x v="1"/>
    <n v="7"/>
  </r>
  <r>
    <s v="ORD-02606"/>
    <d v="2023-02-05T00:00:00"/>
    <s v="CUST20519"/>
    <x v="230"/>
    <n v="48"/>
    <x v="1"/>
    <x v="1"/>
    <x v="4"/>
    <x v="8"/>
    <x v="3"/>
    <s v="T-Shirt"/>
    <n v="9"/>
    <n v="1032.03"/>
    <x v="30"/>
    <n v="6175.76"/>
    <n v="1554.99"/>
    <n v="79.739999999999995"/>
    <x v="4"/>
    <n v="4"/>
    <x v="1"/>
    <x v="1"/>
    <n v="7"/>
  </r>
  <r>
    <s v="ORD-03767"/>
    <d v="2024-06-27T00:00:00"/>
    <s v="CUST10979"/>
    <x v="142"/>
    <n v="41"/>
    <x v="1"/>
    <x v="2"/>
    <x v="3"/>
    <x v="12"/>
    <x v="1"/>
    <s v="Sofa"/>
    <n v="1"/>
    <n v="31109.85"/>
    <x v="3"/>
    <n v="44220.44"/>
    <n v="11000.78"/>
    <n v="97.57"/>
    <x v="0"/>
    <n v="3"/>
    <x v="0"/>
    <x v="0"/>
    <n v="3"/>
  </r>
  <r>
    <s v="ORD-01515"/>
    <d v="2021-11-13T00:00:00"/>
    <s v="CUST36636"/>
    <x v="289"/>
    <n v="34"/>
    <x v="0"/>
    <x v="1"/>
    <x v="3"/>
    <x v="15"/>
    <x v="4"/>
    <s v="Cycle"/>
    <n v="10"/>
    <n v="8236.27"/>
    <x v="8"/>
    <n v="66408.75"/>
    <n v="10958.97"/>
    <n v="69.62"/>
    <x v="0"/>
    <n v="3"/>
    <x v="1"/>
    <x v="1"/>
    <n v="7"/>
  </r>
  <r>
    <s v="ORD-00688"/>
    <d v="2020-11-08T00:00:00"/>
    <s v="CUST98974"/>
    <x v="54"/>
    <n v="22"/>
    <x v="3"/>
    <x v="2"/>
    <x v="2"/>
    <x v="14"/>
    <x v="1"/>
    <s v="Desk"/>
    <n v="6"/>
    <n v="21919.09"/>
    <x v="2"/>
    <n v="80745.64"/>
    <n v="19787.939999999999"/>
    <n v="53.3"/>
    <x v="0"/>
    <n v="5"/>
    <x v="0"/>
    <x v="0"/>
    <n v="9"/>
  </r>
  <r>
    <s v="ORD-00336"/>
    <d v="2020-05-25T00:00:00"/>
    <s v="CUST51371"/>
    <x v="25"/>
    <n v="27"/>
    <x v="0"/>
    <x v="2"/>
    <x v="1"/>
    <x v="10"/>
    <x v="1"/>
    <s v="Desk"/>
    <n v="5"/>
    <n v="6765.44"/>
    <x v="30"/>
    <n v="31049.48"/>
    <n v="6138.52"/>
    <n v="54.05"/>
    <x v="4"/>
    <n v="2"/>
    <x v="0"/>
    <x v="2"/>
    <n v="6"/>
  </r>
  <r>
    <s v="ORD-02363"/>
    <d v="2022-10-18T00:00:00"/>
    <s v="CUST91997"/>
    <x v="79"/>
    <n v="38"/>
    <x v="1"/>
    <x v="0"/>
    <x v="0"/>
    <x v="1"/>
    <x v="6"/>
    <s v="Laptop"/>
    <n v="5"/>
    <n v="5729.21"/>
    <x v="26"/>
    <n v="21082.560000000001"/>
    <n v="2258.77"/>
    <n v="47.72"/>
    <x v="5"/>
    <n v="4"/>
    <x v="0"/>
    <x v="2"/>
    <n v="8"/>
  </r>
  <r>
    <s v="ORD-02028"/>
    <d v="2022-06-13T00:00:00"/>
    <s v="CUST57353"/>
    <x v="51"/>
    <n v="28"/>
    <x v="0"/>
    <x v="0"/>
    <x v="1"/>
    <x v="3"/>
    <x v="5"/>
    <s v="Tea"/>
    <n v="1"/>
    <n v="431.51"/>
    <x v="26"/>
    <n v="545.27"/>
    <n v="23.26"/>
    <n v="56.68"/>
    <x v="4"/>
    <n v="3"/>
    <x v="0"/>
    <x v="0"/>
    <n v="5"/>
  </r>
  <r>
    <s v="ORD-00783"/>
    <d v="2020-12-21T00:00:00"/>
    <s v="CUST34065"/>
    <x v="66"/>
    <n v="42"/>
    <x v="1"/>
    <x v="1"/>
    <x v="0"/>
    <x v="19"/>
    <x v="1"/>
    <s v="Desk"/>
    <n v="8"/>
    <n v="14923.8"/>
    <x v="36"/>
    <n v="74800.009999999995"/>
    <n v="25405.51"/>
    <n v="42.54"/>
    <x v="3"/>
    <n v="2"/>
    <x v="0"/>
    <x v="0"/>
    <n v="4"/>
  </r>
  <r>
    <s v="ORD-04016"/>
    <d v="2024-10-02T00:00:00"/>
    <s v="CUST07018"/>
    <x v="322"/>
    <n v="39"/>
    <x v="1"/>
    <x v="0"/>
    <x v="1"/>
    <x v="3"/>
    <x v="6"/>
    <s v="Tablet"/>
    <n v="2"/>
    <n v="24384.77"/>
    <x v="17"/>
    <n v="33639.93"/>
    <n v="4904.58"/>
    <n v="40.950000000000003"/>
    <x v="3"/>
    <n v="3"/>
    <x v="0"/>
    <x v="0"/>
    <n v="9"/>
  </r>
  <r>
    <s v="ORD-00622"/>
    <d v="2020-10-05T00:00:00"/>
    <s v="CUST27267"/>
    <x v="18"/>
    <n v="27"/>
    <x v="0"/>
    <x v="0"/>
    <x v="2"/>
    <x v="9"/>
    <x v="0"/>
    <s v="Shampoo"/>
    <n v="2"/>
    <n v="662.8"/>
    <x v="25"/>
    <n v="887.58"/>
    <n v="508.29"/>
    <n v="51.48"/>
    <x v="3"/>
    <n v="2"/>
    <x v="0"/>
    <x v="0"/>
    <n v="10"/>
  </r>
  <r>
    <s v="ORD-03579"/>
    <d v="2024-04-04T00:00:00"/>
    <s v="CUST20050"/>
    <x v="382"/>
    <n v="31"/>
    <x v="0"/>
    <x v="0"/>
    <x v="2"/>
    <x v="4"/>
    <x v="6"/>
    <s v="Laptop"/>
    <n v="3"/>
    <n v="40441.120000000003"/>
    <x v="29"/>
    <n v="167514.18"/>
    <n v="15922.46"/>
    <n v="37.81"/>
    <x v="3"/>
    <n v="3"/>
    <x v="0"/>
    <x v="3"/>
    <n v="3"/>
  </r>
  <r>
    <s v="ORD-03323"/>
    <d v="2023-12-09T00:00:00"/>
    <s v="CUST01601"/>
    <x v="261"/>
    <n v="43"/>
    <x v="1"/>
    <x v="1"/>
    <x v="2"/>
    <x v="4"/>
    <x v="2"/>
    <s v="Biography"/>
    <n v="6"/>
    <n v="816.54"/>
    <x v="9"/>
    <n v="3736.19"/>
    <n v="1793.27"/>
    <n v="39.880000000000003"/>
    <x v="5"/>
    <n v="2"/>
    <x v="0"/>
    <x v="4"/>
    <n v="7"/>
  </r>
  <r>
    <s v="ORD-01158"/>
    <d v="2021-06-04T00:00:00"/>
    <s v="CUST43022"/>
    <x v="206"/>
    <n v="41"/>
    <x v="1"/>
    <x v="1"/>
    <x v="4"/>
    <x v="18"/>
    <x v="3"/>
    <s v="Kurta"/>
    <n v="2"/>
    <n v="838.89"/>
    <x v="7"/>
    <n v="2075.3200000000002"/>
    <n v="829.82"/>
    <n v="52.06"/>
    <x v="2"/>
    <n v="4"/>
    <x v="1"/>
    <x v="1"/>
    <n v="2"/>
  </r>
  <r>
    <s v="ORD-02141"/>
    <d v="2022-07-28T00:00:00"/>
    <s v="CUST81398"/>
    <x v="138"/>
    <n v="53"/>
    <x v="2"/>
    <x v="2"/>
    <x v="2"/>
    <x v="9"/>
    <x v="2"/>
    <s v="Comic Book"/>
    <n v="10"/>
    <n v="772.14"/>
    <x v="17"/>
    <n v="6278.32"/>
    <n v="2969.03"/>
    <n v="72.12"/>
    <x v="2"/>
    <n v="2"/>
    <x v="0"/>
    <x v="2"/>
    <n v="4"/>
  </r>
  <r>
    <s v="ORD-00835"/>
    <d v="2021-01-17T00:00:00"/>
    <s v="CUST51769"/>
    <x v="77"/>
    <n v="23"/>
    <x v="3"/>
    <x v="0"/>
    <x v="3"/>
    <x v="15"/>
    <x v="5"/>
    <s v="Rice (5kg)"/>
    <n v="9"/>
    <n v="358.92"/>
    <x v="0"/>
    <n v="2353.0700000000002"/>
    <n v="122.29"/>
    <n v="84.03"/>
    <x v="0"/>
    <n v="4"/>
    <x v="0"/>
    <x v="0"/>
    <n v="6"/>
  </r>
  <r>
    <s v="ORD-02641"/>
    <d v="2023-02-17T00:00:00"/>
    <s v="CUST93173"/>
    <x v="369"/>
    <n v="30"/>
    <x v="0"/>
    <x v="2"/>
    <x v="0"/>
    <x v="1"/>
    <x v="3"/>
    <s v="Kurta"/>
    <n v="8"/>
    <n v="3934.14"/>
    <x v="5"/>
    <n v="31003.27"/>
    <n v="9818.15"/>
    <n v="59.66"/>
    <x v="3"/>
    <n v="1"/>
    <x v="0"/>
    <x v="0"/>
    <n v="5"/>
  </r>
  <r>
    <s v="ORD-02580"/>
    <d v="2023-01-27T00:00:00"/>
    <s v="CUST20280"/>
    <x v="332"/>
    <n v="46"/>
    <x v="1"/>
    <x v="1"/>
    <x v="0"/>
    <x v="1"/>
    <x v="0"/>
    <s v="Hair Oil"/>
    <n v="4"/>
    <n v="1660.82"/>
    <x v="11"/>
    <n v="5505.54"/>
    <n v="2444.92"/>
    <n v="41.4"/>
    <x v="0"/>
    <n v="3"/>
    <x v="0"/>
    <x v="0"/>
    <n v="7"/>
  </r>
  <r>
    <s v="ORD-02044"/>
    <d v="2022-06-18T00:00:00"/>
    <s v="CUST01603"/>
    <x v="27"/>
    <n v="30"/>
    <x v="0"/>
    <x v="2"/>
    <x v="4"/>
    <x v="18"/>
    <x v="1"/>
    <s v="Desk"/>
    <n v="8"/>
    <n v="25000.7"/>
    <x v="29"/>
    <n v="272564.21999999997"/>
    <n v="76789.22"/>
    <n v="67.03"/>
    <x v="0"/>
    <n v="4"/>
    <x v="0"/>
    <x v="0"/>
    <n v="1"/>
  </r>
  <r>
    <s v="ORD-01451"/>
    <d v="2021-10-18T00:00:00"/>
    <s v="CUST83181"/>
    <x v="83"/>
    <n v="48"/>
    <x v="1"/>
    <x v="0"/>
    <x v="2"/>
    <x v="9"/>
    <x v="3"/>
    <s v="T-Shirt"/>
    <n v="8"/>
    <n v="983.33"/>
    <x v="30"/>
    <n v="5486.4"/>
    <n v="1956.84"/>
    <n v="48"/>
    <x v="0"/>
    <n v="1"/>
    <x v="1"/>
    <x v="1"/>
    <n v="9"/>
  </r>
  <r>
    <s v="ORD-00846"/>
    <d v="2021-01-21T00:00:00"/>
    <s v="CUST86953"/>
    <x v="316"/>
    <n v="31"/>
    <x v="0"/>
    <x v="1"/>
    <x v="1"/>
    <x v="10"/>
    <x v="0"/>
    <s v="Face Cream"/>
    <n v="2"/>
    <n v="2449.9699999999998"/>
    <x v="21"/>
    <n v="2301.25"/>
    <n v="882.12"/>
    <n v="63.24"/>
    <x v="4"/>
    <n v="5"/>
    <x v="0"/>
    <x v="0"/>
    <n v="5"/>
  </r>
  <r>
    <s v="ORD-03118"/>
    <d v="2023-09-09T00:00:00"/>
    <s v="CUST99970"/>
    <x v="29"/>
    <n v="32"/>
    <x v="0"/>
    <x v="2"/>
    <x v="2"/>
    <x v="4"/>
    <x v="4"/>
    <s v="Cycle"/>
    <n v="4"/>
    <n v="4072.52"/>
    <x v="6"/>
    <n v="12014.98"/>
    <n v="2649.18"/>
    <n v="60.13"/>
    <x v="5"/>
    <n v="3"/>
    <x v="0"/>
    <x v="0"/>
    <n v="4"/>
  </r>
  <r>
    <s v="ORD-02624"/>
    <d v="2023-02-12T00:00:00"/>
    <s v="CUST85938"/>
    <x v="381"/>
    <n v="28"/>
    <x v="0"/>
    <x v="2"/>
    <x v="3"/>
    <x v="12"/>
    <x v="6"/>
    <s v="Headphones"/>
    <n v="1"/>
    <n v="34782.199999999997"/>
    <x v="35"/>
    <n v="23810.12"/>
    <n v="2943.23"/>
    <n v="73.540000000000006"/>
    <x v="4"/>
    <n v="5"/>
    <x v="0"/>
    <x v="0"/>
    <n v="4"/>
  </r>
  <r>
    <s v="ORD-02784"/>
    <d v="2023-04-20T00:00:00"/>
    <s v="CUST25444"/>
    <x v="209"/>
    <n v="52"/>
    <x v="2"/>
    <x v="0"/>
    <x v="1"/>
    <x v="3"/>
    <x v="0"/>
    <s v="Perfume"/>
    <n v="8"/>
    <n v="2413.19"/>
    <x v="15"/>
    <n v="18757.8"/>
    <n v="6413.01"/>
    <n v="55.59"/>
    <x v="1"/>
    <n v="3"/>
    <x v="0"/>
    <x v="0"/>
    <n v="10"/>
  </r>
  <r>
    <s v="ORD-00950"/>
    <d v="2021-03-07T00:00:00"/>
    <s v="CUST77157"/>
    <x v="33"/>
    <n v="25"/>
    <x v="3"/>
    <x v="2"/>
    <x v="3"/>
    <x v="15"/>
    <x v="3"/>
    <s v="Jeans"/>
    <n v="1"/>
    <n v="2017.09"/>
    <x v="28"/>
    <n v="2090.5700000000002"/>
    <n v="823.03"/>
    <n v="84.95"/>
    <x v="3"/>
    <n v="2"/>
    <x v="0"/>
    <x v="4"/>
    <n v="1"/>
  </r>
  <r>
    <s v="ORD-01762"/>
    <d v="2022-02-19T00:00:00"/>
    <s v="CUST02740"/>
    <x v="309"/>
    <n v="41"/>
    <x v="1"/>
    <x v="2"/>
    <x v="0"/>
    <x v="2"/>
    <x v="6"/>
    <s v="Smartphone"/>
    <n v="9"/>
    <n v="9157.81"/>
    <x v="30"/>
    <n v="55730.83"/>
    <n v="7761.83"/>
    <n v="67.23"/>
    <x v="1"/>
    <n v="3"/>
    <x v="0"/>
    <x v="0"/>
    <n v="3"/>
  </r>
  <r>
    <s v="ORD-02328"/>
    <d v="2022-10-08T00:00:00"/>
    <s v="CUST09166"/>
    <x v="206"/>
    <n v="21"/>
    <x v="3"/>
    <x v="0"/>
    <x v="0"/>
    <x v="19"/>
    <x v="5"/>
    <s v="Dal (1kg)"/>
    <n v="5"/>
    <n v="142.69999999999999"/>
    <x v="10"/>
    <n v="560.89"/>
    <n v="25.3"/>
    <n v="26.87"/>
    <x v="1"/>
    <n v="5"/>
    <x v="0"/>
    <x v="0"/>
    <n v="8"/>
  </r>
  <r>
    <s v="ORD-02276"/>
    <d v="2022-09-16T00:00:00"/>
    <s v="CUST27939"/>
    <x v="42"/>
    <n v="37"/>
    <x v="1"/>
    <x v="2"/>
    <x v="2"/>
    <x v="9"/>
    <x v="4"/>
    <s v="Yoga Mat"/>
    <n v="4"/>
    <n v="590.58000000000004"/>
    <x v="26"/>
    <n v="2166.86"/>
    <n v="376.29"/>
    <n v="74.83"/>
    <x v="2"/>
    <n v="1"/>
    <x v="0"/>
    <x v="4"/>
    <n v="5"/>
  </r>
  <r>
    <s v="ORD-03771"/>
    <d v="2024-06-29T00:00:00"/>
    <s v="CUST79702"/>
    <x v="83"/>
    <n v="38"/>
    <x v="1"/>
    <x v="2"/>
    <x v="4"/>
    <x v="17"/>
    <x v="3"/>
    <s v="Jacket"/>
    <n v="6"/>
    <n v="3840.34"/>
    <x v="37"/>
    <n v="33201.769999999997"/>
    <n v="12918.61"/>
    <n v="69.58"/>
    <x v="2"/>
    <n v="3"/>
    <x v="0"/>
    <x v="4"/>
    <n v="1"/>
  </r>
  <r>
    <s v="ORD-02057"/>
    <d v="2022-06-25T00:00:00"/>
    <s v="CUST88172"/>
    <x v="1"/>
    <n v="44"/>
    <x v="1"/>
    <x v="2"/>
    <x v="3"/>
    <x v="15"/>
    <x v="1"/>
    <s v="Bed Frame"/>
    <n v="4"/>
    <n v="34052.07"/>
    <x v="16"/>
    <n v="210338.05"/>
    <n v="69009.61"/>
    <n v="65.239999999999995"/>
    <x v="4"/>
    <n v="2"/>
    <x v="0"/>
    <x v="4"/>
    <n v="2"/>
  </r>
  <r>
    <s v="ORD-01110"/>
    <d v="2021-05-15T00:00:00"/>
    <s v="CUST00210"/>
    <x v="278"/>
    <n v="29"/>
    <x v="0"/>
    <x v="2"/>
    <x v="2"/>
    <x v="9"/>
    <x v="6"/>
    <s v="Smartphone"/>
    <n v="6"/>
    <n v="48230.85"/>
    <x v="34"/>
    <n v="245712.19"/>
    <n v="22881.08"/>
    <n v="68.73"/>
    <x v="0"/>
    <n v="1"/>
    <x v="0"/>
    <x v="3"/>
    <n v="9"/>
  </r>
  <r>
    <s v="ORD-04156"/>
    <d v="2024-12-09T00:00:00"/>
    <s v="CUST37501"/>
    <x v="371"/>
    <n v="40"/>
    <x v="1"/>
    <x v="1"/>
    <x v="1"/>
    <x v="6"/>
    <x v="6"/>
    <s v="Tablet"/>
    <n v="4"/>
    <n v="23593.16"/>
    <x v="40"/>
    <n v="50867.37"/>
    <n v="6623.39"/>
    <n v="41.37"/>
    <x v="5"/>
    <n v="4"/>
    <x v="0"/>
    <x v="0"/>
    <n v="9"/>
  </r>
  <r>
    <s v="ORD-00294"/>
    <d v="2020-05-09T00:00:00"/>
    <s v="CUST22246"/>
    <x v="254"/>
    <n v="23"/>
    <x v="3"/>
    <x v="2"/>
    <x v="3"/>
    <x v="16"/>
    <x v="2"/>
    <s v="Textbook"/>
    <n v="9"/>
    <n v="1441.87"/>
    <x v="32"/>
    <n v="15544.23"/>
    <n v="6061.53"/>
    <n v="61.52"/>
    <x v="0"/>
    <n v="4"/>
    <x v="0"/>
    <x v="3"/>
    <n v="1"/>
  </r>
  <r>
    <s v="ORD-03169"/>
    <d v="2023-10-04T00:00:00"/>
    <s v="CUST57585"/>
    <x v="315"/>
    <n v="36"/>
    <x v="1"/>
    <x v="0"/>
    <x v="0"/>
    <x v="19"/>
    <x v="4"/>
    <s v="Tennis Racket"/>
    <n v="7"/>
    <n v="11959.3"/>
    <x v="29"/>
    <n v="80013.649999999994"/>
    <n v="18319.5"/>
    <n v="55.16"/>
    <x v="2"/>
    <n v="1"/>
    <x v="0"/>
    <x v="3"/>
    <n v="1"/>
  </r>
  <r>
    <s v="ORD-03414"/>
    <d v="2024-01-18T00:00:00"/>
    <s v="CUST92259"/>
    <x v="11"/>
    <n v="28"/>
    <x v="0"/>
    <x v="2"/>
    <x v="3"/>
    <x v="12"/>
    <x v="0"/>
    <s v="Shampoo"/>
    <n v="10"/>
    <n v="103.75"/>
    <x v="26"/>
    <n v="763.63"/>
    <n v="473.48"/>
    <n v="78.5"/>
    <x v="3"/>
    <n v="1"/>
    <x v="0"/>
    <x v="2"/>
    <n v="7"/>
  </r>
  <r>
    <s v="ORD-03194"/>
    <d v="2023-10-14T00:00:00"/>
    <s v="CUST46133"/>
    <x v="175"/>
    <n v="35"/>
    <x v="0"/>
    <x v="2"/>
    <x v="1"/>
    <x v="10"/>
    <x v="5"/>
    <s v="Rice (5kg)"/>
    <n v="1"/>
    <n v="466.8"/>
    <x v="6"/>
    <n v="312.81"/>
    <n v="17.47"/>
    <n v="67.52"/>
    <x v="1"/>
    <n v="4"/>
    <x v="0"/>
    <x v="0"/>
    <n v="7"/>
  </r>
  <r>
    <s v="ORD-02594"/>
    <d v="2023-02-01T00:00:00"/>
    <s v="CUST20482"/>
    <x v="56"/>
    <n v="35"/>
    <x v="0"/>
    <x v="2"/>
    <x v="1"/>
    <x v="10"/>
    <x v="4"/>
    <s v="Cricket Bat"/>
    <n v="10"/>
    <n v="856.51"/>
    <x v="40"/>
    <n v="5930.43"/>
    <n v="1385.75"/>
    <n v="57.74"/>
    <x v="5"/>
    <n v="3"/>
    <x v="0"/>
    <x v="0"/>
    <n v="4"/>
  </r>
  <r>
    <s v="ORD-02682"/>
    <d v="2023-03-08T00:00:00"/>
    <s v="CUST50033"/>
    <x v="197"/>
    <n v="51"/>
    <x v="2"/>
    <x v="1"/>
    <x v="4"/>
    <x v="7"/>
    <x v="3"/>
    <s v="Dress"/>
    <n v="8"/>
    <n v="3911.66"/>
    <x v="25"/>
    <n v="25920.44"/>
    <n v="11329.49"/>
    <n v="76.959999999999994"/>
    <x v="0"/>
    <n v="3"/>
    <x v="0"/>
    <x v="2"/>
    <n v="3"/>
  </r>
  <r>
    <s v="ORD-00471"/>
    <d v="2020-07-26T00:00:00"/>
    <s v="CUST70383"/>
    <x v="319"/>
    <n v="46"/>
    <x v="1"/>
    <x v="2"/>
    <x v="2"/>
    <x v="9"/>
    <x v="6"/>
    <s v="Smartphone"/>
    <n v="7"/>
    <n v="64119.9"/>
    <x v="6"/>
    <n v="328579.52"/>
    <n v="27779.3"/>
    <n v="23.56"/>
    <x v="3"/>
    <n v="4"/>
    <x v="0"/>
    <x v="3"/>
    <n v="3"/>
  </r>
  <r>
    <s v="ORD-00558"/>
    <d v="2020-09-05T00:00:00"/>
    <s v="CUST39230"/>
    <x v="317"/>
    <n v="33"/>
    <x v="0"/>
    <x v="2"/>
    <x v="1"/>
    <x v="3"/>
    <x v="6"/>
    <s v="Smartphone"/>
    <n v="4"/>
    <n v="61889.58"/>
    <x v="12"/>
    <n v="188994.43"/>
    <n v="30756.01"/>
    <n v="79.61"/>
    <x v="1"/>
    <n v="2"/>
    <x v="0"/>
    <x v="0"/>
    <n v="5"/>
  </r>
  <r>
    <s v="ORD-02039"/>
    <d v="2022-06-17T00:00:00"/>
    <s v="CUST14314"/>
    <x v="157"/>
    <n v="38"/>
    <x v="1"/>
    <x v="1"/>
    <x v="3"/>
    <x v="5"/>
    <x v="4"/>
    <s v="Yoga Mat"/>
    <n v="6"/>
    <n v="14693.99"/>
    <x v="37"/>
    <n v="98156.4"/>
    <n v="22834.62"/>
    <n v="68.94"/>
    <x v="0"/>
    <n v="2"/>
    <x v="0"/>
    <x v="0"/>
    <n v="4"/>
  </r>
  <r>
    <s v="ORD-03796"/>
    <d v="2024-07-07T00:00:00"/>
    <s v="CUST82853"/>
    <x v="141"/>
    <n v="18"/>
    <x v="3"/>
    <x v="1"/>
    <x v="1"/>
    <x v="6"/>
    <x v="3"/>
    <s v="Dress"/>
    <n v="10"/>
    <n v="1784.51"/>
    <x v="20"/>
    <n v="22208.97"/>
    <n v="11474.7"/>
    <n v="69.08"/>
    <x v="2"/>
    <n v="4"/>
    <x v="0"/>
    <x v="0"/>
    <n v="8"/>
  </r>
  <r>
    <s v="ORD-02342"/>
    <d v="2022-10-11T00:00:00"/>
    <s v="CUST03284"/>
    <x v="120"/>
    <n v="31"/>
    <x v="0"/>
    <x v="0"/>
    <x v="3"/>
    <x v="16"/>
    <x v="6"/>
    <s v="Headphones"/>
    <n v="9"/>
    <n v="58781.51"/>
    <x v="33"/>
    <n v="399047.78"/>
    <n v="43776.4"/>
    <n v="94.29"/>
    <x v="1"/>
    <n v="4"/>
    <x v="0"/>
    <x v="0"/>
    <n v="2"/>
  </r>
  <r>
    <s v="ORD-02821"/>
    <d v="2023-05-10T00:00:00"/>
    <s v="CUST76939"/>
    <x v="380"/>
    <n v="56"/>
    <x v="2"/>
    <x v="1"/>
    <x v="2"/>
    <x v="9"/>
    <x v="6"/>
    <s v="Smartphone"/>
    <n v="8"/>
    <n v="29764.18"/>
    <x v="11"/>
    <n v="268708.58"/>
    <n v="24851.54"/>
    <n v="45.84"/>
    <x v="2"/>
    <n v="2"/>
    <x v="0"/>
    <x v="0"/>
    <n v="2"/>
  </r>
  <r>
    <s v="ORD-01439"/>
    <d v="2021-10-10T00:00:00"/>
    <s v="CUST93212"/>
    <x v="139"/>
    <n v="37"/>
    <x v="1"/>
    <x v="0"/>
    <x v="1"/>
    <x v="10"/>
    <x v="4"/>
    <s v="Dumbbells"/>
    <n v="3"/>
    <n v="13108.91"/>
    <x v="1"/>
    <n v="30143.82"/>
    <n v="8326.51"/>
    <n v="55.08"/>
    <x v="3"/>
    <n v="1"/>
    <x v="0"/>
    <x v="0"/>
    <n v="10"/>
  </r>
  <r>
    <s v="ORD-01263"/>
    <d v="2021-07-24T00:00:00"/>
    <s v="CUST75667"/>
    <x v="377"/>
    <n v="63"/>
    <x v="2"/>
    <x v="0"/>
    <x v="0"/>
    <x v="0"/>
    <x v="4"/>
    <s v="Cricket Bat"/>
    <n v="10"/>
    <n v="5417.12"/>
    <x v="11"/>
    <n v="55413.45"/>
    <n v="15661.22"/>
    <n v="56.55"/>
    <x v="4"/>
    <n v="1"/>
    <x v="0"/>
    <x v="2"/>
    <n v="5"/>
  </r>
  <r>
    <s v="ORD-03237"/>
    <d v="2023-10-31T00:00:00"/>
    <s v="CUST62193"/>
    <x v="81"/>
    <n v="48"/>
    <x v="1"/>
    <x v="1"/>
    <x v="3"/>
    <x v="16"/>
    <x v="0"/>
    <s v="Perfume"/>
    <n v="3"/>
    <n v="434.81"/>
    <x v="40"/>
    <n v="892.79"/>
    <n v="365.96"/>
    <n v="77.89"/>
    <x v="0"/>
    <n v="2"/>
    <x v="0"/>
    <x v="0"/>
    <n v="5"/>
  </r>
  <r>
    <s v="ORD-01023"/>
    <d v="2021-04-07T00:00:00"/>
    <s v="CUST74961"/>
    <x v="151"/>
    <n v="28"/>
    <x v="0"/>
    <x v="2"/>
    <x v="3"/>
    <x v="5"/>
    <x v="0"/>
    <s v="Hair Oil"/>
    <n v="4"/>
    <n v="1885.47"/>
    <x v="40"/>
    <n v="6078.11"/>
    <n v="2097.44"/>
    <n v="72.41"/>
    <x v="2"/>
    <n v="4"/>
    <x v="0"/>
    <x v="0"/>
    <n v="10"/>
  </r>
  <r>
    <s v="ORD-00121"/>
    <d v="2020-02-16T00:00:00"/>
    <s v="CUST87494"/>
    <x v="69"/>
    <n v="62"/>
    <x v="2"/>
    <x v="0"/>
    <x v="4"/>
    <x v="17"/>
    <x v="0"/>
    <s v="Shampoo"/>
    <n v="4"/>
    <n v="965.04"/>
    <x v="18"/>
    <n v="2121.23"/>
    <n v="1209.8800000000001"/>
    <n v="58.85"/>
    <x v="1"/>
    <n v="1"/>
    <x v="1"/>
    <x v="1"/>
    <n v="6"/>
  </r>
  <r>
    <s v="ORD-00906"/>
    <d v="2021-02-09T00:00:00"/>
    <s v="CUST56644"/>
    <x v="52"/>
    <n v="50"/>
    <x v="1"/>
    <x v="1"/>
    <x v="2"/>
    <x v="9"/>
    <x v="6"/>
    <s v="Headphones"/>
    <n v="7"/>
    <n v="10081.67"/>
    <x v="13"/>
    <n v="59897.17"/>
    <n v="4993.59"/>
    <n v="16.940000000000001"/>
    <x v="3"/>
    <n v="5"/>
    <x v="0"/>
    <x v="0"/>
    <n v="7"/>
  </r>
  <r>
    <s v="ORD-03769"/>
    <d v="2024-06-28T00:00:00"/>
    <s v="CUST52834"/>
    <x v="215"/>
    <n v="43"/>
    <x v="1"/>
    <x v="1"/>
    <x v="0"/>
    <x v="0"/>
    <x v="1"/>
    <s v="Bed Frame"/>
    <n v="3"/>
    <n v="20889.939999999999"/>
    <x v="12"/>
    <n v="70530.850000000006"/>
    <n v="15914.76"/>
    <n v="86.28"/>
    <x v="4"/>
    <n v="5"/>
    <x v="0"/>
    <x v="0"/>
    <n v="2"/>
  </r>
  <r>
    <s v="ORD-01307"/>
    <d v="2021-08-11T00:00:00"/>
    <s v="CUST83913"/>
    <x v="246"/>
    <n v="28"/>
    <x v="0"/>
    <x v="0"/>
    <x v="2"/>
    <x v="9"/>
    <x v="2"/>
    <s v="Comic Book"/>
    <n v="4"/>
    <n v="268"/>
    <x v="35"/>
    <n v="983.11"/>
    <n v="397.26"/>
    <n v="58.22"/>
    <x v="4"/>
    <n v="4"/>
    <x v="0"/>
    <x v="2"/>
    <n v="4"/>
  </r>
  <r>
    <s v="ORD-01389"/>
    <d v="2021-09-19T00:00:00"/>
    <s v="CUST70094"/>
    <x v="130"/>
    <n v="29"/>
    <x v="0"/>
    <x v="1"/>
    <x v="3"/>
    <x v="12"/>
    <x v="4"/>
    <s v="Dumbbells"/>
    <n v="5"/>
    <n v="5472.78"/>
    <x v="32"/>
    <n v="26718.92"/>
    <n v="5839.8"/>
    <n v="85.38"/>
    <x v="5"/>
    <n v="3"/>
    <x v="0"/>
    <x v="3"/>
    <n v="7"/>
  </r>
  <r>
    <s v="ORD-03819"/>
    <d v="2024-07-19T00:00:00"/>
    <s v="CUST71900"/>
    <x v="257"/>
    <n v="48"/>
    <x v="1"/>
    <x v="0"/>
    <x v="3"/>
    <x v="16"/>
    <x v="1"/>
    <s v="Chair"/>
    <n v="3"/>
    <n v="10939.89"/>
    <x v="6"/>
    <n v="35018.76"/>
    <n v="7992.14"/>
    <n v="99.95"/>
    <x v="2"/>
    <n v="1"/>
    <x v="0"/>
    <x v="0"/>
    <n v="9"/>
  </r>
  <r>
    <s v="ORD-01335"/>
    <d v="2021-08-23T00:00:00"/>
    <s v="CUST27800"/>
    <x v="283"/>
    <n v="38"/>
    <x v="1"/>
    <x v="1"/>
    <x v="1"/>
    <x v="11"/>
    <x v="1"/>
    <s v="Sofa"/>
    <n v="8"/>
    <n v="27002.71"/>
    <x v="39"/>
    <n v="247619.21"/>
    <n v="75880.399999999994"/>
    <n v="107.71"/>
    <x v="4"/>
    <n v="1"/>
    <x v="0"/>
    <x v="0"/>
    <n v="3"/>
  </r>
  <r>
    <s v="ORD-02559"/>
    <d v="2023-01-14T00:00:00"/>
    <s v="CUST02955"/>
    <x v="290"/>
    <n v="46"/>
    <x v="1"/>
    <x v="2"/>
    <x v="3"/>
    <x v="5"/>
    <x v="0"/>
    <s v="Hair Oil"/>
    <n v="1"/>
    <n v="1511.99"/>
    <x v="40"/>
    <n v="914.13"/>
    <n v="402.56"/>
    <n v="88.69"/>
    <x v="4"/>
    <n v="1"/>
    <x v="0"/>
    <x v="2"/>
    <n v="7"/>
  </r>
  <r>
    <s v="ORD-02228"/>
    <d v="2022-08-29T00:00:00"/>
    <s v="CUST45867"/>
    <x v="154"/>
    <n v="53"/>
    <x v="2"/>
    <x v="1"/>
    <x v="1"/>
    <x v="6"/>
    <x v="1"/>
    <s v="Bed Frame"/>
    <n v="5"/>
    <n v="16148.89"/>
    <x v="35"/>
    <n v="65510.48"/>
    <n v="17083.16"/>
    <n v="56.19"/>
    <x v="2"/>
    <n v="5"/>
    <x v="0"/>
    <x v="0"/>
    <n v="1"/>
  </r>
  <r>
    <s v="ORD-01936"/>
    <d v="2022-05-05T00:00:00"/>
    <s v="CUST63093"/>
    <x v="167"/>
    <n v="35"/>
    <x v="0"/>
    <x v="1"/>
    <x v="0"/>
    <x v="0"/>
    <x v="6"/>
    <s v="Laptop"/>
    <n v="4"/>
    <n v="35805.64"/>
    <x v="3"/>
    <n v="175898.51"/>
    <n v="16761.62"/>
    <n v="64.56"/>
    <x v="5"/>
    <n v="2"/>
    <x v="0"/>
    <x v="2"/>
    <n v="9"/>
  </r>
  <r>
    <s v="ORD-03882"/>
    <d v="2024-08-09T00:00:00"/>
    <s v="CUST84457"/>
    <x v="261"/>
    <n v="30"/>
    <x v="0"/>
    <x v="2"/>
    <x v="1"/>
    <x v="6"/>
    <x v="6"/>
    <s v="Camera"/>
    <n v="1"/>
    <n v="8508.27"/>
    <x v="9"/>
    <n v="10874.57"/>
    <n v="1416.52"/>
    <n v="82.74"/>
    <x v="4"/>
    <n v="3"/>
    <x v="0"/>
    <x v="4"/>
    <n v="1"/>
  </r>
  <r>
    <s v="ORD-01094"/>
    <d v="2021-05-08T00:00:00"/>
    <s v="CUST74740"/>
    <x v="361"/>
    <n v="43"/>
    <x v="1"/>
    <x v="1"/>
    <x v="0"/>
    <x v="1"/>
    <x v="6"/>
    <s v="Smartwatch"/>
    <n v="10"/>
    <n v="65812.2"/>
    <x v="1"/>
    <n v="755611.74"/>
    <n v="101212.3"/>
    <n v="48.25"/>
    <x v="5"/>
    <n v="4"/>
    <x v="0"/>
    <x v="0"/>
    <n v="8"/>
  </r>
  <r>
    <s v="ORD-01560"/>
    <d v="2021-11-30T00:00:00"/>
    <s v="CUST99753"/>
    <x v="212"/>
    <n v="58"/>
    <x v="2"/>
    <x v="2"/>
    <x v="0"/>
    <x v="19"/>
    <x v="4"/>
    <s v="Football"/>
    <n v="10"/>
    <n v="12971.47"/>
    <x v="34"/>
    <n v="65353.81"/>
    <n v="15914.47"/>
    <n v="51.11"/>
    <x v="3"/>
    <n v="3"/>
    <x v="0"/>
    <x v="0"/>
    <n v="7"/>
  </r>
  <r>
    <s v="ORD-03877"/>
    <d v="2024-08-08T00:00:00"/>
    <s v="CUST87297"/>
    <x v="176"/>
    <n v="44"/>
    <x v="1"/>
    <x v="1"/>
    <x v="1"/>
    <x v="11"/>
    <x v="6"/>
    <s v="Smartwatch"/>
    <n v="3"/>
    <n v="21470.45"/>
    <x v="4"/>
    <n v="92585"/>
    <n v="5457.16"/>
    <n v="77.05"/>
    <x v="3"/>
    <n v="5"/>
    <x v="0"/>
    <x v="0"/>
    <n v="9"/>
  </r>
  <r>
    <s v="ORD-00816"/>
    <d v="2021-01-09T00:00:00"/>
    <s v="CUST98871"/>
    <x v="230"/>
    <n v="48"/>
    <x v="1"/>
    <x v="2"/>
    <x v="3"/>
    <x v="12"/>
    <x v="3"/>
    <s v="Jeans"/>
    <n v="4"/>
    <n v="1333.04"/>
    <x v="7"/>
    <n v="3641.6"/>
    <n v="1576"/>
    <n v="89.29"/>
    <x v="5"/>
    <n v="5"/>
    <x v="0"/>
    <x v="0"/>
    <n v="9"/>
  </r>
  <r>
    <s v="ORD-01083"/>
    <d v="2021-05-04T00:00:00"/>
    <s v="CUST10450"/>
    <x v="92"/>
    <n v="21"/>
    <x v="3"/>
    <x v="0"/>
    <x v="2"/>
    <x v="4"/>
    <x v="5"/>
    <s v="Sugar"/>
    <n v="6"/>
    <n v="195"/>
    <x v="5"/>
    <n v="1590.89"/>
    <n v="163.31"/>
    <n v="46.08"/>
    <x v="5"/>
    <n v="2"/>
    <x v="0"/>
    <x v="2"/>
    <n v="7"/>
  </r>
  <r>
    <s v="ORD-01209"/>
    <d v="2021-06-29T00:00:00"/>
    <s v="CUST12905"/>
    <x v="369"/>
    <n v="36"/>
    <x v="1"/>
    <x v="1"/>
    <x v="0"/>
    <x v="1"/>
    <x v="6"/>
    <s v="Smartwatch"/>
    <n v="6"/>
    <n v="35685.360000000001"/>
    <x v="25"/>
    <n v="182448.8"/>
    <n v="21541.19"/>
    <n v="65.92"/>
    <x v="1"/>
    <n v="4"/>
    <x v="0"/>
    <x v="0"/>
    <n v="2"/>
  </r>
  <r>
    <s v="ORD-00096"/>
    <d v="2020-02-07T00:00:00"/>
    <s v="CUST66932"/>
    <x v="54"/>
    <n v="38"/>
    <x v="1"/>
    <x v="1"/>
    <x v="2"/>
    <x v="4"/>
    <x v="4"/>
    <s v="Dumbbells"/>
    <n v="3"/>
    <n v="2728.31"/>
    <x v="27"/>
    <n v="5207.6400000000003"/>
    <n v="802.54"/>
    <n v="36.26"/>
    <x v="3"/>
    <n v="1"/>
    <x v="1"/>
    <x v="1"/>
    <n v="10"/>
  </r>
  <r>
    <s v="ORD-04184"/>
    <d v="2024-12-24T00:00:00"/>
    <s v="CUST57246"/>
    <x v="258"/>
    <n v="34"/>
    <x v="0"/>
    <x v="0"/>
    <x v="3"/>
    <x v="12"/>
    <x v="1"/>
    <s v="Chair"/>
    <n v="9"/>
    <n v="17949.599999999999"/>
    <x v="0"/>
    <n v="129636.87"/>
    <n v="41301.730000000003"/>
    <n v="79.91"/>
    <x v="4"/>
    <n v="5"/>
    <x v="0"/>
    <x v="0"/>
    <n v="3"/>
  </r>
  <r>
    <s v="ORD-02429"/>
    <d v="2022-11-16T00:00:00"/>
    <s v="CUST34276"/>
    <x v="0"/>
    <n v="35"/>
    <x v="0"/>
    <x v="2"/>
    <x v="2"/>
    <x v="4"/>
    <x v="1"/>
    <s v="Desk"/>
    <n v="4"/>
    <n v="9446.44"/>
    <x v="25"/>
    <n v="22683.91"/>
    <n v="5513.68"/>
    <n v="58.8"/>
    <x v="0"/>
    <n v="5"/>
    <x v="0"/>
    <x v="2"/>
    <n v="9"/>
  </r>
  <r>
    <s v="ORD-00605"/>
    <d v="2020-09-26T00:00:00"/>
    <s v="CUST07202"/>
    <x v="324"/>
    <n v="39"/>
    <x v="1"/>
    <x v="1"/>
    <x v="4"/>
    <x v="17"/>
    <x v="0"/>
    <s v="Shampoo"/>
    <n v="7"/>
    <n v="387.9"/>
    <x v="32"/>
    <n v="2585.0300000000002"/>
    <n v="1269.6300000000001"/>
    <n v="57.88"/>
    <x v="1"/>
    <n v="1"/>
    <x v="0"/>
    <x v="4"/>
    <n v="3"/>
  </r>
  <r>
    <s v="ORD-03112"/>
    <d v="2023-09-05T00:00:00"/>
    <s v="CUST75819"/>
    <x v="301"/>
    <n v="48"/>
    <x v="1"/>
    <x v="1"/>
    <x v="4"/>
    <x v="17"/>
    <x v="3"/>
    <s v="Dress"/>
    <n v="8"/>
    <n v="771.59"/>
    <x v="6"/>
    <n v="4477.38"/>
    <n v="1547"/>
    <n v="66.22"/>
    <x v="5"/>
    <n v="5"/>
    <x v="0"/>
    <x v="0"/>
    <n v="2"/>
  </r>
  <r>
    <s v="ORD-02115"/>
    <d v="2022-07-19T00:00:00"/>
    <s v="CUST34821"/>
    <x v="192"/>
    <n v="58"/>
    <x v="2"/>
    <x v="2"/>
    <x v="3"/>
    <x v="16"/>
    <x v="1"/>
    <s v="Wardrobe"/>
    <n v="8"/>
    <n v="6806.19"/>
    <x v="39"/>
    <n v="67597"/>
    <n v="26754.18"/>
    <n v="63.82"/>
    <x v="5"/>
    <n v="5"/>
    <x v="0"/>
    <x v="0"/>
    <n v="1"/>
  </r>
  <r>
    <s v="ORD-03220"/>
    <d v="2023-10-24T00:00:00"/>
    <s v="CUST05571"/>
    <x v="121"/>
    <n v="44"/>
    <x v="1"/>
    <x v="1"/>
    <x v="0"/>
    <x v="2"/>
    <x v="2"/>
    <s v="Fiction Novel"/>
    <n v="6"/>
    <n v="1199.21"/>
    <x v="32"/>
    <n v="7876.86"/>
    <n v="3776.83"/>
    <n v="61.99"/>
    <x v="1"/>
    <n v="5"/>
    <x v="0"/>
    <x v="3"/>
    <n v="3"/>
  </r>
  <r>
    <s v="ORD-00476"/>
    <d v="2020-07-29T00:00:00"/>
    <s v="CUST99185"/>
    <x v="63"/>
    <n v="46"/>
    <x v="1"/>
    <x v="2"/>
    <x v="0"/>
    <x v="1"/>
    <x v="3"/>
    <s v="T-Shirt"/>
    <n v="7"/>
    <n v="359.64"/>
    <x v="9"/>
    <n v="2673.78"/>
    <n v="1271.43"/>
    <n v="58.05"/>
    <x v="0"/>
    <n v="3"/>
    <x v="0"/>
    <x v="0"/>
    <n v="3"/>
  </r>
  <r>
    <s v="ORD-00213"/>
    <d v="2020-04-02T00:00:00"/>
    <s v="CUST16925"/>
    <x v="382"/>
    <n v="33"/>
    <x v="0"/>
    <x v="0"/>
    <x v="1"/>
    <x v="10"/>
    <x v="0"/>
    <s v="Lipstick"/>
    <n v="3"/>
    <n v="538.36"/>
    <x v="13"/>
    <n v="1938.58"/>
    <n v="978.3"/>
    <n v="42"/>
    <x v="4"/>
    <n v="1"/>
    <x v="0"/>
    <x v="0"/>
    <n v="10"/>
  </r>
  <r>
    <s v="ORD-03513"/>
    <d v="2024-03-08T00:00:00"/>
    <s v="CUST75619"/>
    <x v="327"/>
    <n v="45"/>
    <x v="1"/>
    <x v="1"/>
    <x v="3"/>
    <x v="12"/>
    <x v="6"/>
    <s v="Smartwatch"/>
    <n v="7"/>
    <n v="70949.08"/>
    <x v="11"/>
    <n v="539413.9"/>
    <n v="58300.98"/>
    <n v="79.98"/>
    <x v="2"/>
    <n v="4"/>
    <x v="0"/>
    <x v="3"/>
    <n v="4"/>
  </r>
  <r>
    <s v="ORD-01589"/>
    <d v="2021-12-10T00:00:00"/>
    <s v="CUST24981"/>
    <x v="235"/>
    <n v="29"/>
    <x v="0"/>
    <x v="2"/>
    <x v="3"/>
    <x v="5"/>
    <x v="4"/>
    <s v="Dumbbells"/>
    <n v="8"/>
    <n v="14455.23"/>
    <x v="16"/>
    <n v="81451.899999999994"/>
    <n v="14095.31"/>
    <n v="69.38"/>
    <x v="3"/>
    <n v="1"/>
    <x v="0"/>
    <x v="0"/>
    <n v="1"/>
  </r>
  <r>
    <s v="ORD-02481"/>
    <d v="2022-12-12T00:00:00"/>
    <s v="CUST18007"/>
    <x v="193"/>
    <n v="30"/>
    <x v="0"/>
    <x v="1"/>
    <x v="0"/>
    <x v="0"/>
    <x v="5"/>
    <s v="Tea"/>
    <n v="10"/>
    <n v="93.18"/>
    <x v="38"/>
    <n v="717.1"/>
    <n v="61.36"/>
    <n v="39.090000000000003"/>
    <x v="5"/>
    <n v="1"/>
    <x v="0"/>
    <x v="0"/>
    <n v="8"/>
  </r>
  <r>
    <s v="ORD-00277"/>
    <d v="2020-05-03T00:00:00"/>
    <s v="CUST65185"/>
    <x v="122"/>
    <n v="59"/>
    <x v="2"/>
    <x v="1"/>
    <x v="4"/>
    <x v="18"/>
    <x v="5"/>
    <s v="Dal (1kg)"/>
    <n v="10"/>
    <n v="217.3"/>
    <x v="28"/>
    <n v="2227.02"/>
    <n v="142.65"/>
    <n v="53.01"/>
    <x v="0"/>
    <n v="5"/>
    <x v="0"/>
    <x v="0"/>
    <n v="7"/>
  </r>
  <r>
    <s v="ORD-00506"/>
    <d v="2020-08-12T00:00:00"/>
    <s v="CUST53218"/>
    <x v="60"/>
    <n v="23"/>
    <x v="3"/>
    <x v="1"/>
    <x v="2"/>
    <x v="13"/>
    <x v="6"/>
    <s v="Headphones"/>
    <n v="8"/>
    <n v="61264.42"/>
    <x v="28"/>
    <n v="463985.67"/>
    <n v="82726.06"/>
    <n v="50.65"/>
    <x v="3"/>
    <n v="2"/>
    <x v="1"/>
    <x v="1"/>
    <n v="7"/>
  </r>
  <r>
    <s v="ORD-01336"/>
    <d v="2021-08-23T00:00:00"/>
    <s v="CUST25698"/>
    <x v="278"/>
    <n v="20"/>
    <x v="3"/>
    <x v="2"/>
    <x v="0"/>
    <x v="19"/>
    <x v="0"/>
    <s v="Face Cream"/>
    <n v="10"/>
    <n v="547"/>
    <x v="18"/>
    <n v="4726.28"/>
    <n v="2513.67"/>
    <n v="65.08"/>
    <x v="2"/>
    <n v="2"/>
    <x v="0"/>
    <x v="2"/>
    <n v="7"/>
  </r>
  <r>
    <s v="ORD-02340"/>
    <d v="2022-10-10T00:00:00"/>
    <s v="CUST46573"/>
    <x v="267"/>
    <n v="43"/>
    <x v="1"/>
    <x v="0"/>
    <x v="3"/>
    <x v="16"/>
    <x v="2"/>
    <s v="Comic Book"/>
    <n v="1"/>
    <n v="269.23"/>
    <x v="34"/>
    <n v="146.46"/>
    <n v="51.64"/>
    <n v="77.260000000000005"/>
    <x v="0"/>
    <n v="2"/>
    <x v="0"/>
    <x v="0"/>
    <n v="8"/>
  </r>
  <r>
    <s v="ORD-00902"/>
    <d v="2021-02-09T00:00:00"/>
    <s v="CUST55154"/>
    <x v="101"/>
    <n v="56"/>
    <x v="2"/>
    <x v="0"/>
    <x v="2"/>
    <x v="13"/>
    <x v="6"/>
    <s v="Tablet"/>
    <n v="1"/>
    <n v="39881.71"/>
    <x v="8"/>
    <n v="30194.77"/>
    <n v="2984.54"/>
    <n v="21.56"/>
    <x v="5"/>
    <n v="3"/>
    <x v="0"/>
    <x v="0"/>
    <n v="1"/>
  </r>
  <r>
    <s v="ORD-00449"/>
    <d v="2020-07-16T00:00:00"/>
    <s v="CUST70202"/>
    <x v="43"/>
    <n v="41"/>
    <x v="1"/>
    <x v="0"/>
    <x v="1"/>
    <x v="10"/>
    <x v="3"/>
    <s v="Dress"/>
    <n v="8"/>
    <n v="1227.51"/>
    <x v="35"/>
    <n v="7184.61"/>
    <n v="2117.5300000000002"/>
    <n v="55.16"/>
    <x v="3"/>
    <n v="5"/>
    <x v="0"/>
    <x v="0"/>
    <n v="2"/>
  </r>
  <r>
    <s v="ORD-01410"/>
    <d v="2021-09-27T00:00:00"/>
    <s v="CUST74811"/>
    <x v="255"/>
    <n v="32"/>
    <x v="0"/>
    <x v="1"/>
    <x v="3"/>
    <x v="5"/>
    <x v="0"/>
    <s v="Face Cream"/>
    <n v="7"/>
    <n v="1026.47"/>
    <x v="16"/>
    <n v="6772.95"/>
    <n v="2747.24"/>
    <n v="58.92"/>
    <x v="2"/>
    <n v="1"/>
    <x v="1"/>
    <x v="1"/>
    <n v="9"/>
  </r>
  <r>
    <s v="ORD-02535"/>
    <d v="2023-01-05T00:00:00"/>
    <s v="CUST40704"/>
    <x v="157"/>
    <n v="36"/>
    <x v="1"/>
    <x v="2"/>
    <x v="2"/>
    <x v="9"/>
    <x v="1"/>
    <s v="Wardrobe"/>
    <n v="1"/>
    <n v="10813.51"/>
    <x v="9"/>
    <n v="8770.86"/>
    <n v="1573.05"/>
    <n v="58.09"/>
    <x v="4"/>
    <n v="1"/>
    <x v="1"/>
    <x v="1"/>
    <n v="1"/>
  </r>
  <r>
    <s v="ORD-03597"/>
    <d v="2024-04-13T00:00:00"/>
    <s v="CUST83582"/>
    <x v="123"/>
    <n v="32"/>
    <x v="0"/>
    <x v="1"/>
    <x v="0"/>
    <x v="2"/>
    <x v="4"/>
    <s v="Cricket Bat"/>
    <n v="2"/>
    <n v="10269.18"/>
    <x v="32"/>
    <n v="24486.71"/>
    <n v="5686.61"/>
    <n v="76.3"/>
    <x v="2"/>
    <n v="3"/>
    <x v="0"/>
    <x v="0"/>
    <n v="10"/>
  </r>
  <r>
    <s v="ORD-00304"/>
    <d v="2020-05-12T00:00:00"/>
    <s v="CUST28932"/>
    <x v="289"/>
    <n v="41"/>
    <x v="1"/>
    <x v="0"/>
    <x v="1"/>
    <x v="3"/>
    <x v="2"/>
    <s v="Fiction Novel"/>
    <n v="7"/>
    <n v="513.52"/>
    <x v="22"/>
    <n v="2985.15"/>
    <n v="1015.8"/>
    <n v="35.5"/>
    <x v="5"/>
    <n v="2"/>
    <x v="0"/>
    <x v="0"/>
    <n v="10"/>
  </r>
  <r>
    <s v="ORD-04148"/>
    <d v="2024-12-07T00:00:00"/>
    <s v="CUST97586"/>
    <x v="206"/>
    <n v="33"/>
    <x v="0"/>
    <x v="2"/>
    <x v="2"/>
    <x v="14"/>
    <x v="3"/>
    <s v="T-Shirt"/>
    <n v="5"/>
    <n v="614.15"/>
    <x v="2"/>
    <n v="2315.9"/>
    <n v="981.99"/>
    <n v="65.63"/>
    <x v="4"/>
    <n v="1"/>
    <x v="1"/>
    <x v="1"/>
    <n v="8"/>
  </r>
  <r>
    <s v="ORD-00824"/>
    <d v="2021-01-12T00:00:00"/>
    <s v="CUST93771"/>
    <x v="206"/>
    <n v="25"/>
    <x v="3"/>
    <x v="2"/>
    <x v="3"/>
    <x v="15"/>
    <x v="6"/>
    <s v="Smartwatch"/>
    <n v="10"/>
    <n v="62379.19"/>
    <x v="29"/>
    <n v="476054.02"/>
    <n v="44865.32"/>
    <n v="83.61"/>
    <x v="0"/>
    <n v="3"/>
    <x v="0"/>
    <x v="0"/>
    <n v="4"/>
  </r>
  <r>
    <s v="ORD-02989"/>
    <d v="2023-07-18T00:00:00"/>
    <s v="CUST00835"/>
    <x v="17"/>
    <n v="38"/>
    <x v="1"/>
    <x v="1"/>
    <x v="2"/>
    <x v="14"/>
    <x v="6"/>
    <s v="Camera"/>
    <n v="2"/>
    <n v="77260.63"/>
    <x v="12"/>
    <n v="179057.38"/>
    <n v="27038.61"/>
    <n v="72.59"/>
    <x v="4"/>
    <n v="4"/>
    <x v="0"/>
    <x v="0"/>
    <n v="4"/>
  </r>
  <r>
    <s v="ORD-01997"/>
    <d v="2022-06-01T00:00:00"/>
    <s v="CUST56393"/>
    <x v="387"/>
    <n v="32"/>
    <x v="0"/>
    <x v="0"/>
    <x v="2"/>
    <x v="13"/>
    <x v="5"/>
    <s v="Dal (1kg)"/>
    <n v="9"/>
    <n v="493.26"/>
    <x v="0"/>
    <n v="6307.15"/>
    <n v="506.13"/>
    <n v="45.11"/>
    <x v="4"/>
    <n v="3"/>
    <x v="0"/>
    <x v="2"/>
    <n v="9"/>
  </r>
  <r>
    <s v="ORD-02068"/>
    <d v="2022-07-02T00:00:00"/>
    <s v="CUST60687"/>
    <x v="327"/>
    <n v="40"/>
    <x v="1"/>
    <x v="2"/>
    <x v="0"/>
    <x v="1"/>
    <x v="1"/>
    <s v="Sofa"/>
    <n v="9"/>
    <n v="33837.01"/>
    <x v="3"/>
    <n v="353282.34"/>
    <n v="116653.75"/>
    <n v="42.65"/>
    <x v="5"/>
    <n v="1"/>
    <x v="0"/>
    <x v="0"/>
    <n v="4"/>
  </r>
  <r>
    <s v="ORD-01902"/>
    <d v="2022-04-20T00:00:00"/>
    <s v="CUST14081"/>
    <x v="30"/>
    <n v="26"/>
    <x v="0"/>
    <x v="1"/>
    <x v="1"/>
    <x v="3"/>
    <x v="6"/>
    <s v="Laptop"/>
    <n v="5"/>
    <n v="8793.32"/>
    <x v="15"/>
    <n v="45113.120000000003"/>
    <n v="6647.66"/>
    <n v="30.21"/>
    <x v="4"/>
    <n v="1"/>
    <x v="0"/>
    <x v="0"/>
    <n v="10"/>
  </r>
  <r>
    <s v="ORD-00325"/>
    <d v="2020-05-22T00:00:00"/>
    <s v="CUST90197"/>
    <x v="199"/>
    <n v="38"/>
    <x v="1"/>
    <x v="0"/>
    <x v="3"/>
    <x v="5"/>
    <x v="6"/>
    <s v="Headphones"/>
    <n v="2"/>
    <n v="5256.57"/>
    <x v="26"/>
    <n v="10092.16"/>
    <n v="822.2"/>
    <n v="111.69"/>
    <x v="5"/>
    <n v="4"/>
    <x v="0"/>
    <x v="0"/>
    <n v="4"/>
  </r>
  <r>
    <s v="ORD-03333"/>
    <d v="2023-12-12T00:00:00"/>
    <s v="CUST27128"/>
    <x v="272"/>
    <n v="36"/>
    <x v="1"/>
    <x v="1"/>
    <x v="3"/>
    <x v="5"/>
    <x v="5"/>
    <s v="Tea"/>
    <n v="8"/>
    <n v="244.23"/>
    <x v="11"/>
    <n v="1268.8399999999999"/>
    <n v="127.92"/>
    <n v="76.52"/>
    <x v="0"/>
    <n v="3"/>
    <x v="0"/>
    <x v="0"/>
    <n v="6"/>
  </r>
  <r>
    <s v="ORD-01155"/>
    <d v="2021-06-03T00:00:00"/>
    <s v="CUST00350"/>
    <x v="243"/>
    <n v="32"/>
    <x v="0"/>
    <x v="1"/>
    <x v="3"/>
    <x v="16"/>
    <x v="6"/>
    <s v="Tablet"/>
    <n v="1"/>
    <n v="29383.37"/>
    <x v="29"/>
    <n v="38160.26"/>
    <n v="3473.46"/>
    <n v="76.02"/>
    <x v="2"/>
    <n v="3"/>
    <x v="1"/>
    <x v="1"/>
    <n v="2"/>
  </r>
  <r>
    <s v="ORD-01434"/>
    <d v="2021-10-08T00:00:00"/>
    <s v="CUST32355"/>
    <x v="101"/>
    <n v="31"/>
    <x v="0"/>
    <x v="0"/>
    <x v="4"/>
    <x v="18"/>
    <x v="3"/>
    <s v="T-Shirt"/>
    <n v="9"/>
    <n v="2943.22"/>
    <x v="4"/>
    <n v="22356.5"/>
    <n v="7881.59"/>
    <n v="58.83"/>
    <x v="1"/>
    <n v="5"/>
    <x v="0"/>
    <x v="3"/>
    <n v="5"/>
  </r>
  <r>
    <s v="ORD-01474"/>
    <d v="2021-10-25T00:00:00"/>
    <s v="CUST18611"/>
    <x v="344"/>
    <n v="27"/>
    <x v="0"/>
    <x v="0"/>
    <x v="3"/>
    <x v="12"/>
    <x v="6"/>
    <s v="Smartphone"/>
    <n v="6"/>
    <n v="6119.98"/>
    <x v="10"/>
    <n v="25738.91"/>
    <n v="3137.93"/>
    <n v="74.62"/>
    <x v="0"/>
    <n v="1"/>
    <x v="1"/>
    <x v="1"/>
    <n v="5"/>
  </r>
  <r>
    <s v="ORD-02103"/>
    <d v="2022-07-14T00:00:00"/>
    <s v="CUST67925"/>
    <x v="115"/>
    <n v="32"/>
    <x v="0"/>
    <x v="1"/>
    <x v="2"/>
    <x v="9"/>
    <x v="0"/>
    <s v="Perfume"/>
    <n v="7"/>
    <n v="920.5"/>
    <x v="39"/>
    <n v="8123.9"/>
    <n v="4006.12"/>
    <n v="47.75"/>
    <x v="0"/>
    <n v="1"/>
    <x v="0"/>
    <x v="3"/>
    <n v="4"/>
  </r>
  <r>
    <s v="ORD-03012"/>
    <d v="2023-07-28T00:00:00"/>
    <s v="CUST28387"/>
    <x v="107"/>
    <n v="42"/>
    <x v="1"/>
    <x v="0"/>
    <x v="3"/>
    <x v="5"/>
    <x v="6"/>
    <s v="Headphones"/>
    <n v="3"/>
    <n v="73866.570000000007"/>
    <x v="26"/>
    <n v="269224.59000000003"/>
    <n v="33151.919999999998"/>
    <n v="88.4"/>
    <x v="2"/>
    <n v="4"/>
    <x v="0"/>
    <x v="0"/>
    <n v="5"/>
  </r>
  <r>
    <s v="ORD-02980"/>
    <d v="2023-07-15T00:00:00"/>
    <s v="CUST27360"/>
    <x v="64"/>
    <n v="58"/>
    <x v="2"/>
    <x v="1"/>
    <x v="0"/>
    <x v="19"/>
    <x v="5"/>
    <s v="Sugar"/>
    <n v="6"/>
    <n v="290.29000000000002"/>
    <x v="12"/>
    <n v="2095.81"/>
    <n v="197.15"/>
    <n v="73.31"/>
    <x v="2"/>
    <n v="3"/>
    <x v="0"/>
    <x v="0"/>
    <n v="8"/>
  </r>
  <r>
    <s v="ORD-00151"/>
    <d v="2020-03-02T00:00:00"/>
    <s v="CUST17244"/>
    <x v="11"/>
    <n v="36"/>
    <x v="1"/>
    <x v="0"/>
    <x v="1"/>
    <x v="6"/>
    <x v="1"/>
    <s v="Chair"/>
    <n v="3"/>
    <n v="5678.86"/>
    <x v="30"/>
    <n v="10585.41"/>
    <n v="3430.87"/>
    <n v="66.63"/>
    <x v="0"/>
    <n v="5"/>
    <x v="0"/>
    <x v="0"/>
    <n v="6"/>
  </r>
  <r>
    <s v="ORD-04118"/>
    <d v="2024-11-26T00:00:00"/>
    <s v="CUST48264"/>
    <x v="303"/>
    <n v="56"/>
    <x v="2"/>
    <x v="1"/>
    <x v="2"/>
    <x v="4"/>
    <x v="3"/>
    <s v="Saree"/>
    <n v="9"/>
    <n v="2252.16"/>
    <x v="32"/>
    <n v="17908.2"/>
    <n v="4417.3500000000004"/>
    <n v="42.65"/>
    <x v="5"/>
    <n v="5"/>
    <x v="0"/>
    <x v="3"/>
    <n v="5"/>
  </r>
  <r>
    <s v="ORD-01697"/>
    <d v="2022-01-28T00:00:00"/>
    <s v="CUST17647"/>
    <x v="80"/>
    <n v="30"/>
    <x v="0"/>
    <x v="0"/>
    <x v="2"/>
    <x v="4"/>
    <x v="3"/>
    <s v="Kurta"/>
    <n v="8"/>
    <n v="670.37"/>
    <x v="17"/>
    <n v="2707.64"/>
    <n v="886.76"/>
    <n v="85.42"/>
    <x v="2"/>
    <n v="1"/>
    <x v="1"/>
    <x v="1"/>
    <n v="7"/>
  </r>
  <r>
    <s v="ORD-01122"/>
    <d v="2021-05-22T00:00:00"/>
    <s v="CUST22847"/>
    <x v="300"/>
    <n v="45"/>
    <x v="1"/>
    <x v="0"/>
    <x v="3"/>
    <x v="12"/>
    <x v="5"/>
    <s v="Rice (5kg)"/>
    <n v="7"/>
    <n v="261.14999999999998"/>
    <x v="25"/>
    <n v="1938.7"/>
    <n v="126.72"/>
    <n v="75.319999999999993"/>
    <x v="4"/>
    <n v="3"/>
    <x v="0"/>
    <x v="0"/>
    <n v="3"/>
  </r>
  <r>
    <s v="ORD-02798"/>
    <d v="2023-04-28T00:00:00"/>
    <s v="CUST05716"/>
    <x v="335"/>
    <n v="35"/>
    <x v="0"/>
    <x v="0"/>
    <x v="2"/>
    <x v="4"/>
    <x v="6"/>
    <s v="Tablet"/>
    <n v="4"/>
    <n v="22399.3"/>
    <x v="14"/>
    <n v="85795.74"/>
    <n v="10309.74"/>
    <n v="54.13"/>
    <x v="1"/>
    <n v="4"/>
    <x v="0"/>
    <x v="2"/>
    <n v="8"/>
  </r>
  <r>
    <s v="ORD-01049"/>
    <d v="2021-04-20T00:00:00"/>
    <s v="CUST90241"/>
    <x v="239"/>
    <n v="54"/>
    <x v="2"/>
    <x v="1"/>
    <x v="2"/>
    <x v="14"/>
    <x v="0"/>
    <s v="Shampoo"/>
    <n v="5"/>
    <n v="2321.44"/>
    <x v="14"/>
    <n v="10030.620000000001"/>
    <n v="3661.06"/>
    <n v="74.83"/>
    <x v="2"/>
    <n v="4"/>
    <x v="0"/>
    <x v="0"/>
    <n v="8"/>
  </r>
  <r>
    <s v="ORD-00812"/>
    <d v="2021-01-07T00:00:00"/>
    <s v="CUST90877"/>
    <x v="322"/>
    <n v="37"/>
    <x v="1"/>
    <x v="2"/>
    <x v="4"/>
    <x v="18"/>
    <x v="6"/>
    <s v="Smartwatch"/>
    <n v="10"/>
    <n v="60534.21"/>
    <x v="5"/>
    <n v="501766.48"/>
    <n v="79842.600000000006"/>
    <n v="52"/>
    <x v="0"/>
    <n v="4"/>
    <x v="0"/>
    <x v="0"/>
    <n v="2"/>
  </r>
  <r>
    <s v="ORD-02710"/>
    <d v="2023-03-22T00:00:00"/>
    <s v="CUST02291"/>
    <x v="76"/>
    <n v="34"/>
    <x v="0"/>
    <x v="0"/>
    <x v="3"/>
    <x v="12"/>
    <x v="6"/>
    <s v="Smartwatch"/>
    <n v="2"/>
    <n v="10193.98"/>
    <x v="22"/>
    <n v="14993.54"/>
    <n v="1174.9000000000001"/>
    <n v="86.74"/>
    <x v="1"/>
    <n v="4"/>
    <x v="0"/>
    <x v="4"/>
    <n v="5"/>
  </r>
  <r>
    <s v="ORD-03911"/>
    <d v="2024-08-16T00:00:00"/>
    <s v="CUST56239"/>
    <x v="218"/>
    <n v="51"/>
    <x v="2"/>
    <x v="0"/>
    <x v="2"/>
    <x v="4"/>
    <x v="4"/>
    <s v="Dumbbells"/>
    <n v="10"/>
    <n v="786.71"/>
    <x v="13"/>
    <n v="11951.87"/>
    <n v="1750.05"/>
    <n v="48.55"/>
    <x v="5"/>
    <n v="1"/>
    <x v="0"/>
    <x v="0"/>
    <n v="8"/>
  </r>
  <r>
    <s v="ORD-01558"/>
    <d v="2021-11-29T00:00:00"/>
    <s v="CUST50687"/>
    <x v="250"/>
    <n v="21"/>
    <x v="3"/>
    <x v="2"/>
    <x v="3"/>
    <x v="5"/>
    <x v="2"/>
    <s v="Fiction Novel"/>
    <n v="10"/>
    <n v="722.86"/>
    <x v="7"/>
    <n v="5123.0200000000004"/>
    <n v="2442.73"/>
    <n v="55.76"/>
    <x v="4"/>
    <n v="1"/>
    <x v="0"/>
    <x v="0"/>
    <n v="4"/>
  </r>
  <r>
    <s v="ORD-01064"/>
    <d v="2021-04-27T00:00:00"/>
    <s v="CUST14319"/>
    <x v="208"/>
    <n v="27"/>
    <x v="0"/>
    <x v="0"/>
    <x v="1"/>
    <x v="10"/>
    <x v="0"/>
    <s v="Lipstick"/>
    <n v="6"/>
    <n v="2416.31"/>
    <x v="19"/>
    <n v="15688.04"/>
    <n v="7768.7"/>
    <n v="37.54"/>
    <x v="2"/>
    <n v="4"/>
    <x v="0"/>
    <x v="0"/>
    <n v="4"/>
  </r>
  <r>
    <s v="ORD-03155"/>
    <d v="2023-09-29T00:00:00"/>
    <s v="CUST59557"/>
    <x v="32"/>
    <n v="25"/>
    <x v="3"/>
    <x v="1"/>
    <x v="4"/>
    <x v="18"/>
    <x v="3"/>
    <s v="Jacket"/>
    <n v="6"/>
    <n v="2996.07"/>
    <x v="40"/>
    <n v="13261.21"/>
    <n v="6275.03"/>
    <n v="75.180000000000007"/>
    <x v="2"/>
    <n v="2"/>
    <x v="0"/>
    <x v="0"/>
    <n v="1"/>
  </r>
  <r>
    <s v="ORD-02304"/>
    <d v="2022-09-27T00:00:00"/>
    <s v="CUST81774"/>
    <x v="93"/>
    <n v="34"/>
    <x v="0"/>
    <x v="0"/>
    <x v="3"/>
    <x v="12"/>
    <x v="0"/>
    <s v="Hair Oil"/>
    <n v="8"/>
    <n v="1956.04"/>
    <x v="28"/>
    <n v="16158.29"/>
    <n v="7683.48"/>
    <n v="90.07"/>
    <x v="1"/>
    <n v="1"/>
    <x v="0"/>
    <x v="2"/>
    <n v="4"/>
  </r>
  <r>
    <s v="ORD-00893"/>
    <d v="2021-02-05T00:00:00"/>
    <s v="CUST82516"/>
    <x v="294"/>
    <n v="48"/>
    <x v="1"/>
    <x v="1"/>
    <x v="4"/>
    <x v="17"/>
    <x v="5"/>
    <s v="Tea"/>
    <n v="4"/>
    <n v="405.74"/>
    <x v="29"/>
    <n v="1652.51"/>
    <n v="140.36000000000001"/>
    <n v="111.98"/>
    <x v="3"/>
    <n v="5"/>
    <x v="0"/>
    <x v="3"/>
    <n v="7"/>
  </r>
  <r>
    <s v="ORD-01101"/>
    <d v="2021-05-11T00:00:00"/>
    <s v="CUST25632"/>
    <x v="235"/>
    <n v="23"/>
    <x v="3"/>
    <x v="1"/>
    <x v="3"/>
    <x v="15"/>
    <x v="0"/>
    <s v="Perfume"/>
    <n v="4"/>
    <n v="2455.13"/>
    <x v="8"/>
    <n v="12314.54"/>
    <n v="5429.24"/>
    <n v="86.94"/>
    <x v="1"/>
    <n v="5"/>
    <x v="0"/>
    <x v="0"/>
    <n v="2"/>
  </r>
  <r>
    <s v="ORD-02985"/>
    <d v="2023-07-15T00:00:00"/>
    <s v="CUST52758"/>
    <x v="70"/>
    <n v="42"/>
    <x v="1"/>
    <x v="0"/>
    <x v="3"/>
    <x v="12"/>
    <x v="4"/>
    <s v="Tennis Racket"/>
    <n v="3"/>
    <n v="13447.87"/>
    <x v="13"/>
    <n v="63861.69"/>
    <n v="14051.98"/>
    <n v="89.88"/>
    <x v="3"/>
    <n v="1"/>
    <x v="1"/>
    <x v="1"/>
    <n v="1"/>
  </r>
  <r>
    <s v="ORD-01649"/>
    <d v="2022-01-05T00:00:00"/>
    <s v="CUST44360"/>
    <x v="3"/>
    <n v="28"/>
    <x v="0"/>
    <x v="1"/>
    <x v="2"/>
    <x v="4"/>
    <x v="1"/>
    <s v="Bed Frame"/>
    <n v="10"/>
    <n v="9788.59"/>
    <x v="20"/>
    <n v="56440.79"/>
    <n v="15796.43"/>
    <n v="48.09"/>
    <x v="5"/>
    <n v="1"/>
    <x v="1"/>
    <x v="1"/>
    <n v="7"/>
  </r>
  <r>
    <s v="ORD-03104"/>
    <d v="2023-09-03T00:00:00"/>
    <s v="CUST21518"/>
    <x v="346"/>
    <n v="26"/>
    <x v="0"/>
    <x v="0"/>
    <x v="0"/>
    <x v="2"/>
    <x v="3"/>
    <s v="Saree"/>
    <n v="1"/>
    <n v="1916.17"/>
    <x v="3"/>
    <n v="1845.9"/>
    <n v="598.99"/>
    <n v="47.98"/>
    <x v="5"/>
    <n v="4"/>
    <x v="0"/>
    <x v="0"/>
    <n v="10"/>
  </r>
  <r>
    <s v="ORD-00796"/>
    <d v="2020-12-28T00:00:00"/>
    <s v="CUST33825"/>
    <x v="381"/>
    <n v="44"/>
    <x v="1"/>
    <x v="1"/>
    <x v="0"/>
    <x v="19"/>
    <x v="3"/>
    <s v="T-Shirt"/>
    <n v="8"/>
    <n v="1635.94"/>
    <x v="2"/>
    <n v="7364.45"/>
    <n v="1973.68"/>
    <n v="58.56"/>
    <x v="1"/>
    <n v="4"/>
    <x v="0"/>
    <x v="0"/>
    <n v="7"/>
  </r>
  <r>
    <s v="ORD-00074"/>
    <d v="2020-01-28T00:00:00"/>
    <s v="CUST91087"/>
    <x v="283"/>
    <n v="40"/>
    <x v="1"/>
    <x v="2"/>
    <x v="3"/>
    <x v="5"/>
    <x v="1"/>
    <s v="Chair"/>
    <n v="8"/>
    <n v="33648.870000000003"/>
    <x v="23"/>
    <n v="165959.54999999999"/>
    <n v="58848.22"/>
    <n v="90.58"/>
    <x v="5"/>
    <n v="4"/>
    <x v="1"/>
    <x v="1"/>
    <n v="9"/>
  </r>
  <r>
    <s v="ORD-00461"/>
    <d v="2020-07-21T00:00:00"/>
    <s v="CUST87839"/>
    <x v="251"/>
    <n v="36"/>
    <x v="1"/>
    <x v="1"/>
    <x v="2"/>
    <x v="14"/>
    <x v="4"/>
    <s v="Yoga Mat"/>
    <n v="6"/>
    <n v="11043.66"/>
    <x v="21"/>
    <n v="52329.61"/>
    <n v="10394.780000000001"/>
    <n v="45.19"/>
    <x v="4"/>
    <n v="1"/>
    <x v="0"/>
    <x v="0"/>
    <n v="3"/>
  </r>
  <r>
    <s v="ORD-00487"/>
    <d v="2020-08-03T00:00:00"/>
    <s v="CUST82166"/>
    <x v="89"/>
    <n v="36"/>
    <x v="1"/>
    <x v="2"/>
    <x v="2"/>
    <x v="4"/>
    <x v="3"/>
    <s v="Jeans"/>
    <n v="1"/>
    <n v="2218.42"/>
    <x v="5"/>
    <n v="2825.18"/>
    <n v="885.38"/>
    <n v="25.22"/>
    <x v="5"/>
    <n v="2"/>
    <x v="0"/>
    <x v="0"/>
    <n v="6"/>
  </r>
  <r>
    <s v="ORD-02139"/>
    <d v="2022-07-28T00:00:00"/>
    <s v="CUST46079"/>
    <x v="397"/>
    <n v="40"/>
    <x v="1"/>
    <x v="1"/>
    <x v="2"/>
    <x v="9"/>
    <x v="0"/>
    <s v="Hair Oil"/>
    <n v="8"/>
    <n v="1990.6"/>
    <x v="6"/>
    <n v="14038.19"/>
    <n v="5997.36"/>
    <n v="71.989999999999995"/>
    <x v="4"/>
    <n v="2"/>
    <x v="0"/>
    <x v="0"/>
    <n v="9"/>
  </r>
  <r>
    <s v="ORD-00493"/>
    <d v="2020-08-04T00:00:00"/>
    <s v="CUST79400"/>
    <x v="283"/>
    <n v="52"/>
    <x v="2"/>
    <x v="1"/>
    <x v="0"/>
    <x v="0"/>
    <x v="1"/>
    <s v="Wardrobe"/>
    <n v="3"/>
    <n v="14320.7"/>
    <x v="12"/>
    <n v="33717.699999999997"/>
    <n v="8980.94"/>
    <n v="51.39"/>
    <x v="0"/>
    <n v="1"/>
    <x v="0"/>
    <x v="0"/>
    <n v="3"/>
  </r>
  <r>
    <s v="ORD-02105"/>
    <d v="2022-07-16T00:00:00"/>
    <s v="CUST23451"/>
    <x v="354"/>
    <n v="28"/>
    <x v="0"/>
    <x v="1"/>
    <x v="0"/>
    <x v="0"/>
    <x v="2"/>
    <s v="Comic Book"/>
    <n v="10"/>
    <n v="1326.18"/>
    <x v="33"/>
    <n v="16441.16"/>
    <n v="5803.82"/>
    <n v="73.42"/>
    <x v="2"/>
    <n v="3"/>
    <x v="0"/>
    <x v="0"/>
    <n v="5"/>
  </r>
  <r>
    <s v="ORD-03419"/>
    <d v="2024-01-22T00:00:00"/>
    <s v="CUST03566"/>
    <x v="186"/>
    <n v="37"/>
    <x v="1"/>
    <x v="1"/>
    <x v="4"/>
    <x v="18"/>
    <x v="4"/>
    <s v="Cricket Bat"/>
    <n v="6"/>
    <n v="548.70000000000005"/>
    <x v="19"/>
    <n v="2818.03"/>
    <n v="795.42"/>
    <n v="59.32"/>
    <x v="1"/>
    <n v="3"/>
    <x v="0"/>
    <x v="0"/>
    <n v="2"/>
  </r>
  <r>
    <s v="ORD-02528"/>
    <d v="2023-01-02T00:00:00"/>
    <s v="CUST85727"/>
    <x v="338"/>
    <n v="38"/>
    <x v="1"/>
    <x v="2"/>
    <x v="4"/>
    <x v="7"/>
    <x v="3"/>
    <s v="Jacket"/>
    <n v="9"/>
    <n v="2765.83"/>
    <x v="32"/>
    <n v="21588.14"/>
    <n v="7174.59"/>
    <n v="83.41"/>
    <x v="2"/>
    <n v="5"/>
    <x v="0"/>
    <x v="2"/>
    <n v="4"/>
  </r>
  <r>
    <s v="ORD-01773"/>
    <d v="2022-02-23T00:00:00"/>
    <s v="CUST06303"/>
    <x v="4"/>
    <n v="44"/>
    <x v="1"/>
    <x v="2"/>
    <x v="2"/>
    <x v="13"/>
    <x v="1"/>
    <s v="Bed Frame"/>
    <n v="10"/>
    <n v="18135.2"/>
    <x v="0"/>
    <n v="146993.72"/>
    <n v="36601.82"/>
    <n v="42.09"/>
    <x v="2"/>
    <n v="2"/>
    <x v="0"/>
    <x v="3"/>
    <n v="7"/>
  </r>
  <r>
    <s v="ORD-01468"/>
    <d v="2021-10-23T00:00:00"/>
    <s v="CUST62484"/>
    <x v="292"/>
    <n v="24"/>
    <x v="3"/>
    <x v="2"/>
    <x v="0"/>
    <x v="19"/>
    <x v="5"/>
    <s v="Cooking Oil"/>
    <n v="9"/>
    <n v="63.47"/>
    <x v="7"/>
    <n v="477.64"/>
    <n v="35.42"/>
    <n v="44.96"/>
    <x v="3"/>
    <n v="3"/>
    <x v="0"/>
    <x v="0"/>
    <n v="8"/>
  </r>
  <r>
    <s v="ORD-01479"/>
    <d v="2021-10-26T00:00:00"/>
    <s v="CUST30026"/>
    <x v="60"/>
    <n v="28"/>
    <x v="0"/>
    <x v="0"/>
    <x v="4"/>
    <x v="8"/>
    <x v="0"/>
    <s v="Face Cream"/>
    <n v="1"/>
    <n v="703.89"/>
    <x v="9"/>
    <n v="594.21"/>
    <n v="209.92"/>
    <n v="68.12"/>
    <x v="3"/>
    <n v="1"/>
    <x v="1"/>
    <x v="1"/>
    <n v="4"/>
  </r>
  <r>
    <s v="ORD-01891"/>
    <d v="2022-04-15T00:00:00"/>
    <s v="CUST26370"/>
    <x v="352"/>
    <n v="23"/>
    <x v="3"/>
    <x v="1"/>
    <x v="0"/>
    <x v="19"/>
    <x v="1"/>
    <s v="Desk"/>
    <n v="8"/>
    <n v="34992.04"/>
    <x v="38"/>
    <n v="286556.78000000003"/>
    <n v="82342.39"/>
    <n v="35.17"/>
    <x v="1"/>
    <n v="4"/>
    <x v="0"/>
    <x v="4"/>
    <n v="1"/>
  </r>
  <r>
    <s v="ORD-03141"/>
    <d v="2023-09-20T00:00:00"/>
    <s v="CUST51444"/>
    <x v="329"/>
    <n v="34"/>
    <x v="0"/>
    <x v="2"/>
    <x v="1"/>
    <x v="11"/>
    <x v="4"/>
    <s v="Cricket Bat"/>
    <n v="9"/>
    <n v="3722.56"/>
    <x v="32"/>
    <n v="35748.44"/>
    <n v="8661.64"/>
    <n v="41.2"/>
    <x v="4"/>
    <n v="4"/>
    <x v="0"/>
    <x v="2"/>
    <n v="2"/>
  </r>
  <r>
    <s v="ORD-02345"/>
    <d v="2022-10-11T00:00:00"/>
    <s v="CUST71392"/>
    <x v="133"/>
    <n v="21"/>
    <x v="3"/>
    <x v="0"/>
    <x v="4"/>
    <x v="18"/>
    <x v="2"/>
    <s v="Self-Help Book"/>
    <n v="4"/>
    <n v="1497.67"/>
    <x v="11"/>
    <n v="4793.8900000000003"/>
    <n v="1329.44"/>
    <n v="68.06"/>
    <x v="5"/>
    <n v="5"/>
    <x v="0"/>
    <x v="0"/>
    <n v="7"/>
  </r>
  <r>
    <s v="ORD-02951"/>
    <d v="2023-07-01T00:00:00"/>
    <s v="CUST74188"/>
    <x v="293"/>
    <n v="46"/>
    <x v="1"/>
    <x v="0"/>
    <x v="0"/>
    <x v="0"/>
    <x v="4"/>
    <s v="Football"/>
    <n v="2"/>
    <n v="10865.46"/>
    <x v="15"/>
    <n v="25165.9"/>
    <n v="6993.08"/>
    <n v="49.79"/>
    <x v="2"/>
    <n v="1"/>
    <x v="1"/>
    <x v="1"/>
    <n v="7"/>
  </r>
  <r>
    <s v="ORD-00602"/>
    <d v="2020-09-26T00:00:00"/>
    <s v="CUST38438"/>
    <x v="287"/>
    <n v="50"/>
    <x v="1"/>
    <x v="1"/>
    <x v="4"/>
    <x v="7"/>
    <x v="5"/>
    <s v="Flour"/>
    <n v="9"/>
    <n v="60.08"/>
    <x v="21"/>
    <n v="346.37"/>
    <n v="13.3"/>
    <n v="67.3"/>
    <x v="4"/>
    <n v="4"/>
    <x v="0"/>
    <x v="0"/>
    <n v="3"/>
  </r>
  <r>
    <s v="ORD-03943"/>
    <d v="2024-08-27T00:00:00"/>
    <s v="CUST79156"/>
    <x v="226"/>
    <n v="26"/>
    <x v="0"/>
    <x v="2"/>
    <x v="4"/>
    <x v="17"/>
    <x v="5"/>
    <s v="Rice (5kg)"/>
    <n v="5"/>
    <n v="228.28"/>
    <x v="10"/>
    <n v="1160.5"/>
    <n v="93.76"/>
    <n v="62.68"/>
    <x v="5"/>
    <n v="4"/>
    <x v="0"/>
    <x v="0"/>
    <n v="8"/>
  </r>
  <r>
    <s v="ORD-03222"/>
    <d v="2023-10-25T00:00:00"/>
    <s v="CUST90239"/>
    <x v="278"/>
    <n v="31"/>
    <x v="0"/>
    <x v="2"/>
    <x v="3"/>
    <x v="16"/>
    <x v="2"/>
    <s v="Comic Book"/>
    <n v="9"/>
    <n v="224.99"/>
    <x v="11"/>
    <n v="1955.07"/>
    <n v="489.85"/>
    <n v="81.53"/>
    <x v="1"/>
    <n v="3"/>
    <x v="0"/>
    <x v="3"/>
    <n v="1"/>
  </r>
  <r>
    <s v="ORD-00396"/>
    <d v="2020-06-20T00:00:00"/>
    <s v="CUST01484"/>
    <x v="2"/>
    <n v="51"/>
    <x v="2"/>
    <x v="0"/>
    <x v="0"/>
    <x v="1"/>
    <x v="2"/>
    <s v="Textbook"/>
    <n v="4"/>
    <n v="579.35"/>
    <x v="34"/>
    <n v="1835.02"/>
    <n v="1058.6500000000001"/>
    <n v="60.19"/>
    <x v="1"/>
    <n v="2"/>
    <x v="0"/>
    <x v="3"/>
    <n v="7"/>
  </r>
  <r>
    <s v="ORD-00427"/>
    <d v="2020-07-08T00:00:00"/>
    <s v="CUST70997"/>
    <x v="207"/>
    <n v="46"/>
    <x v="1"/>
    <x v="0"/>
    <x v="4"/>
    <x v="17"/>
    <x v="4"/>
    <s v="Cycle"/>
    <n v="8"/>
    <n v="14501.84"/>
    <x v="34"/>
    <n v="102399.25"/>
    <n v="25057.46"/>
    <n v="74.64"/>
    <x v="0"/>
    <n v="1"/>
    <x v="0"/>
    <x v="0"/>
    <n v="5"/>
  </r>
  <r>
    <s v="ORD-00022"/>
    <d v="2020-01-09T00:00:00"/>
    <s v="CUST85754"/>
    <x v="389"/>
    <n v="54"/>
    <x v="2"/>
    <x v="0"/>
    <x v="4"/>
    <x v="8"/>
    <x v="5"/>
    <s v="Sugar"/>
    <n v="1"/>
    <n v="454.8"/>
    <x v="21"/>
    <n v="220.25"/>
    <n v="21.68"/>
    <n v="67.900000000000006"/>
    <x v="2"/>
    <n v="2"/>
    <x v="0"/>
    <x v="0"/>
    <n v="6"/>
  </r>
  <r>
    <s v="ORD-01039"/>
    <d v="2021-04-15T00:00:00"/>
    <s v="CUST90995"/>
    <x v="342"/>
    <n v="33"/>
    <x v="0"/>
    <x v="1"/>
    <x v="4"/>
    <x v="8"/>
    <x v="6"/>
    <s v="Smartphone"/>
    <n v="10"/>
    <n v="76400.639999999999"/>
    <x v="11"/>
    <n v="741543.82"/>
    <n v="80532.820000000007"/>
    <n v="72.349999999999994"/>
    <x v="3"/>
    <n v="2"/>
    <x v="0"/>
    <x v="4"/>
    <n v="9"/>
  </r>
  <r>
    <s v="ORD-02301"/>
    <d v="2022-09-25T00:00:00"/>
    <s v="CUST94749"/>
    <x v="248"/>
    <n v="52"/>
    <x v="2"/>
    <x v="1"/>
    <x v="4"/>
    <x v="17"/>
    <x v="0"/>
    <s v="Hair Oil"/>
    <n v="3"/>
    <n v="1334.72"/>
    <x v="1"/>
    <n v="4167.5"/>
    <n v="1517.77"/>
    <n v="68.86"/>
    <x v="5"/>
    <n v="1"/>
    <x v="0"/>
    <x v="0"/>
    <n v="5"/>
  </r>
  <r>
    <s v="ORD-00845"/>
    <d v="2021-01-20T00:00:00"/>
    <s v="CUST66370"/>
    <x v="322"/>
    <n v="43"/>
    <x v="1"/>
    <x v="1"/>
    <x v="4"/>
    <x v="17"/>
    <x v="4"/>
    <s v="Tennis Racket"/>
    <n v="7"/>
    <n v="12247.06"/>
    <x v="16"/>
    <n v="61250.51"/>
    <n v="11670.83"/>
    <n v="87.17"/>
    <x v="3"/>
    <n v="4"/>
    <x v="0"/>
    <x v="4"/>
    <n v="5"/>
  </r>
  <r>
    <s v="ORD-02894"/>
    <d v="2023-06-06T00:00:00"/>
    <s v="CUST87652"/>
    <x v="58"/>
    <n v="25"/>
    <x v="3"/>
    <x v="1"/>
    <x v="3"/>
    <x v="15"/>
    <x v="0"/>
    <s v="Shampoo"/>
    <n v="1"/>
    <n v="123.79"/>
    <x v="2"/>
    <n v="167.72"/>
    <n v="67.47"/>
    <n v="49.95"/>
    <x v="3"/>
    <n v="3"/>
    <x v="0"/>
    <x v="0"/>
    <n v="3"/>
  </r>
  <r>
    <s v="ORD-02603"/>
    <d v="2023-02-04T00:00:00"/>
    <s v="CUST47968"/>
    <x v="20"/>
    <n v="27"/>
    <x v="0"/>
    <x v="2"/>
    <x v="2"/>
    <x v="4"/>
    <x v="0"/>
    <s v="Shampoo"/>
    <n v="5"/>
    <n v="1931.12"/>
    <x v="4"/>
    <n v="10949.84"/>
    <n v="3362.6"/>
    <n v="79.88"/>
    <x v="5"/>
    <n v="1"/>
    <x v="0"/>
    <x v="0"/>
    <n v="9"/>
  </r>
  <r>
    <s v="ORD-03418"/>
    <d v="2024-01-22T00:00:00"/>
    <s v="CUST18997"/>
    <x v="161"/>
    <n v="47"/>
    <x v="1"/>
    <x v="1"/>
    <x v="4"/>
    <x v="18"/>
    <x v="5"/>
    <s v="Dal (1kg)"/>
    <n v="7"/>
    <n v="317.18"/>
    <x v="8"/>
    <n v="2340.06"/>
    <n v="216.78"/>
    <n v="80.19"/>
    <x v="2"/>
    <n v="4"/>
    <x v="0"/>
    <x v="0"/>
    <n v="9"/>
  </r>
  <r>
    <s v="ORD-01670"/>
    <d v="2022-01-15T00:00:00"/>
    <s v="CUST23703"/>
    <x v="396"/>
    <n v="29"/>
    <x v="0"/>
    <x v="2"/>
    <x v="2"/>
    <x v="13"/>
    <x v="3"/>
    <s v="Saree"/>
    <n v="2"/>
    <n v="2248.1"/>
    <x v="26"/>
    <n v="3192.69"/>
    <n v="1599.72"/>
    <n v="34.36"/>
    <x v="2"/>
    <n v="4"/>
    <x v="1"/>
    <x v="1"/>
    <n v="5"/>
  </r>
  <r>
    <s v="ORD-01315"/>
    <d v="2021-08-14T00:00:00"/>
    <s v="CUST19293"/>
    <x v="44"/>
    <n v="44"/>
    <x v="1"/>
    <x v="1"/>
    <x v="4"/>
    <x v="8"/>
    <x v="1"/>
    <s v="Bed Frame"/>
    <n v="3"/>
    <n v="6100.73"/>
    <x v="34"/>
    <n v="16831.689999999999"/>
    <n v="4667.8999999999996"/>
    <n v="82.45"/>
    <x v="2"/>
    <n v="5"/>
    <x v="0"/>
    <x v="3"/>
    <n v="2"/>
  </r>
  <r>
    <s v="ORD-01847"/>
    <d v="2022-03-27T00:00:00"/>
    <s v="CUST23650"/>
    <x v="321"/>
    <n v="43"/>
    <x v="1"/>
    <x v="0"/>
    <x v="4"/>
    <x v="7"/>
    <x v="6"/>
    <s v="Headphones"/>
    <n v="6"/>
    <n v="36964.92"/>
    <x v="16"/>
    <n v="229078.34"/>
    <n v="22543.08"/>
    <n v="71.02"/>
    <x v="4"/>
    <n v="3"/>
    <x v="0"/>
    <x v="0"/>
    <n v="6"/>
  </r>
  <r>
    <s v="ORD-03089"/>
    <d v="2023-08-28T00:00:00"/>
    <s v="CUST94322"/>
    <x v="165"/>
    <n v="19"/>
    <x v="3"/>
    <x v="1"/>
    <x v="3"/>
    <x v="5"/>
    <x v="2"/>
    <s v="Textbook"/>
    <n v="7"/>
    <n v="1441.05"/>
    <x v="10"/>
    <n v="9079.99"/>
    <n v="2820.94"/>
    <n v="86.34"/>
    <x v="0"/>
    <n v="3"/>
    <x v="1"/>
    <x v="1"/>
    <n v="10"/>
  </r>
  <r>
    <s v="ORD-00244"/>
    <d v="2020-04-17T00:00:00"/>
    <s v="CUST99038"/>
    <x v="185"/>
    <n v="40"/>
    <x v="1"/>
    <x v="2"/>
    <x v="3"/>
    <x v="16"/>
    <x v="5"/>
    <s v="Rice (5kg)"/>
    <n v="3"/>
    <n v="211.24"/>
    <x v="20"/>
    <n v="628.26"/>
    <n v="55.71"/>
    <n v="90.81"/>
    <x v="3"/>
    <n v="3"/>
    <x v="0"/>
    <x v="0"/>
    <n v="10"/>
  </r>
  <r>
    <s v="ORD-00934"/>
    <d v="2021-02-25T00:00:00"/>
    <s v="CUST57153"/>
    <x v="9"/>
    <n v="33"/>
    <x v="0"/>
    <x v="1"/>
    <x v="4"/>
    <x v="18"/>
    <x v="6"/>
    <s v="Camera"/>
    <n v="10"/>
    <n v="39470.47"/>
    <x v="13"/>
    <n v="381281.41"/>
    <n v="61665.08"/>
    <n v="68.19"/>
    <x v="0"/>
    <n v="1"/>
    <x v="1"/>
    <x v="1"/>
    <n v="9"/>
  </r>
  <r>
    <s v="ORD-02408"/>
    <d v="2022-11-06T00:00:00"/>
    <s v="CUST35312"/>
    <x v="181"/>
    <n v="45"/>
    <x v="1"/>
    <x v="0"/>
    <x v="4"/>
    <x v="18"/>
    <x v="2"/>
    <s v="Biography"/>
    <n v="6"/>
    <n v="922.08"/>
    <x v="40"/>
    <n v="2622.16"/>
    <n v="1193.45"/>
    <n v="101.28"/>
    <x v="4"/>
    <n v="5"/>
    <x v="0"/>
    <x v="0"/>
    <n v="9"/>
  </r>
  <r>
    <s v="ORD-02144"/>
    <d v="2022-07-30T00:00:00"/>
    <s v="CUST57185"/>
    <x v="34"/>
    <n v="45"/>
    <x v="1"/>
    <x v="1"/>
    <x v="0"/>
    <x v="2"/>
    <x v="3"/>
    <s v="Jacket"/>
    <n v="3"/>
    <n v="1239.18"/>
    <x v="38"/>
    <n v="4592.68"/>
    <n v="1338.61"/>
    <n v="61.11"/>
    <x v="1"/>
    <n v="1"/>
    <x v="0"/>
    <x v="2"/>
    <n v="10"/>
  </r>
  <r>
    <s v="ORD-01497"/>
    <d v="2021-11-02T00:00:00"/>
    <s v="CUST49401"/>
    <x v="340"/>
    <n v="52"/>
    <x v="2"/>
    <x v="1"/>
    <x v="0"/>
    <x v="0"/>
    <x v="5"/>
    <s v="Sugar"/>
    <n v="3"/>
    <n v="398.14"/>
    <x v="15"/>
    <n v="680.62"/>
    <n v="46.49"/>
    <n v="38.92"/>
    <x v="1"/>
    <n v="1"/>
    <x v="1"/>
    <x v="1"/>
    <n v="10"/>
  </r>
  <r>
    <s v="ORD-02570"/>
    <d v="2023-01-24T00:00:00"/>
    <s v="CUST14169"/>
    <x v="171"/>
    <n v="33"/>
    <x v="0"/>
    <x v="0"/>
    <x v="1"/>
    <x v="11"/>
    <x v="2"/>
    <s v="Cook Book"/>
    <n v="6"/>
    <n v="1149.8599999999999"/>
    <x v="11"/>
    <n v="5203.29"/>
    <n v="2215.79"/>
    <n v="26.1"/>
    <x v="0"/>
    <n v="4"/>
    <x v="1"/>
    <x v="1"/>
    <n v="8"/>
  </r>
  <r>
    <s v="ORD-01555"/>
    <d v="2021-11-28T00:00:00"/>
    <s v="CUST84373"/>
    <x v="171"/>
    <n v="32"/>
    <x v="0"/>
    <x v="0"/>
    <x v="3"/>
    <x v="16"/>
    <x v="0"/>
    <s v="Hair Oil"/>
    <n v="8"/>
    <n v="1512.26"/>
    <x v="10"/>
    <n v="7442.04"/>
    <n v="1712.58"/>
    <n v="87.62"/>
    <x v="5"/>
    <n v="3"/>
    <x v="0"/>
    <x v="0"/>
    <n v="3"/>
  </r>
  <r>
    <s v="ORD-03224"/>
    <d v="2023-10-26T00:00:00"/>
    <s v="CUST38211"/>
    <x v="345"/>
    <n v="37"/>
    <x v="1"/>
    <x v="0"/>
    <x v="1"/>
    <x v="11"/>
    <x v="3"/>
    <s v="Saree"/>
    <n v="4"/>
    <n v="594.33000000000004"/>
    <x v="16"/>
    <n v="2462.17"/>
    <n v="786.24"/>
    <n v="84.06"/>
    <x v="4"/>
    <n v="1"/>
    <x v="0"/>
    <x v="0"/>
    <n v="8"/>
  </r>
  <r>
    <s v="ORD-03400"/>
    <d v="2024-01-13T00:00:00"/>
    <s v="CUST16290"/>
    <x v="89"/>
    <n v="34"/>
    <x v="0"/>
    <x v="2"/>
    <x v="0"/>
    <x v="2"/>
    <x v="0"/>
    <s v="Shampoo"/>
    <n v="4"/>
    <n v="1042.68"/>
    <x v="9"/>
    <n v="3735.87"/>
    <n v="1923.69"/>
    <n v="43.55"/>
    <x v="5"/>
    <n v="4"/>
    <x v="0"/>
    <x v="0"/>
    <n v="4"/>
  </r>
  <r>
    <s v="ORD-03329"/>
    <d v="2023-12-11T00:00:00"/>
    <s v="CUST84812"/>
    <x v="85"/>
    <n v="29"/>
    <x v="0"/>
    <x v="0"/>
    <x v="2"/>
    <x v="4"/>
    <x v="0"/>
    <s v="Hair Oil"/>
    <n v="7"/>
    <n v="1649.29"/>
    <x v="20"/>
    <n v="7846.93"/>
    <n v="3544.75"/>
    <n v="37.21"/>
    <x v="5"/>
    <n v="2"/>
    <x v="0"/>
    <x v="0"/>
    <n v="2"/>
  </r>
  <r>
    <s v="ORD-01809"/>
    <d v="2022-03-11T00:00:00"/>
    <s v="CUST33015"/>
    <x v="92"/>
    <n v="25"/>
    <x v="3"/>
    <x v="1"/>
    <x v="4"/>
    <x v="7"/>
    <x v="6"/>
    <s v="Headphones"/>
    <n v="9"/>
    <n v="15199.01"/>
    <x v="37"/>
    <n v="129545.79"/>
    <n v="19098.669999999998"/>
    <n v="60.16"/>
    <x v="2"/>
    <n v="1"/>
    <x v="0"/>
    <x v="0"/>
    <n v="6"/>
  </r>
  <r>
    <s v="ORD-02891"/>
    <d v="2023-06-05T00:00:00"/>
    <s v="CUST13778"/>
    <x v="162"/>
    <n v="41"/>
    <x v="1"/>
    <x v="2"/>
    <x v="4"/>
    <x v="17"/>
    <x v="0"/>
    <s v="Sunscreen"/>
    <n v="2"/>
    <n v="1297.33"/>
    <x v="3"/>
    <n v="3312.56"/>
    <n v="1518.57"/>
    <n v="46.51"/>
    <x v="0"/>
    <n v="1"/>
    <x v="0"/>
    <x v="0"/>
    <n v="9"/>
  </r>
  <r>
    <s v="ORD-02507"/>
    <d v="2022-12-24T00:00:00"/>
    <s v="CUST89268"/>
    <x v="275"/>
    <n v="36"/>
    <x v="1"/>
    <x v="1"/>
    <x v="1"/>
    <x v="11"/>
    <x v="4"/>
    <s v="Dumbbells"/>
    <n v="9"/>
    <n v="5484.95"/>
    <x v="32"/>
    <n v="32970.07"/>
    <n v="5646.17"/>
    <n v="31.22"/>
    <x v="0"/>
    <n v="3"/>
    <x v="0"/>
    <x v="0"/>
    <n v="9"/>
  </r>
  <r>
    <s v="ORD-02388"/>
    <d v="2022-10-30T00:00:00"/>
    <s v="CUST96079"/>
    <x v="231"/>
    <n v="33"/>
    <x v="0"/>
    <x v="0"/>
    <x v="0"/>
    <x v="2"/>
    <x v="3"/>
    <s v="Kurta"/>
    <n v="8"/>
    <n v="3591.12"/>
    <x v="8"/>
    <n v="23914.76"/>
    <n v="6348.6"/>
    <n v="50.27"/>
    <x v="2"/>
    <n v="2"/>
    <x v="0"/>
    <x v="2"/>
    <n v="8"/>
  </r>
  <r>
    <s v="ORD-02554"/>
    <d v="2023-01-12T00:00:00"/>
    <s v="CUST72987"/>
    <x v="0"/>
    <n v="32"/>
    <x v="0"/>
    <x v="0"/>
    <x v="2"/>
    <x v="14"/>
    <x v="0"/>
    <s v="Lipstick"/>
    <n v="5"/>
    <n v="1481.3"/>
    <x v="35"/>
    <n v="4531.1499999999996"/>
    <n v="1360.74"/>
    <n v="44.59"/>
    <x v="2"/>
    <n v="2"/>
    <x v="0"/>
    <x v="4"/>
    <n v="2"/>
  </r>
  <r>
    <s v="ORD-01761"/>
    <d v="2022-02-19T00:00:00"/>
    <s v="CUST42165"/>
    <x v="103"/>
    <n v="60"/>
    <x v="2"/>
    <x v="2"/>
    <x v="3"/>
    <x v="16"/>
    <x v="3"/>
    <s v="Saree"/>
    <n v="1"/>
    <n v="944.02"/>
    <x v="20"/>
    <n v="670.28"/>
    <n v="181.9"/>
    <n v="78.510000000000005"/>
    <x v="3"/>
    <n v="5"/>
    <x v="0"/>
    <x v="0"/>
    <n v="3"/>
  </r>
  <r>
    <s v="ORD-03280"/>
    <d v="2023-11-17T00:00:00"/>
    <s v="CUST58917"/>
    <x v="365"/>
    <n v="40"/>
    <x v="1"/>
    <x v="1"/>
    <x v="3"/>
    <x v="16"/>
    <x v="2"/>
    <s v="Cook Book"/>
    <n v="6"/>
    <n v="1395.75"/>
    <x v="3"/>
    <n v="5091"/>
    <n v="2066.2800000000002"/>
    <n v="73.099999999999994"/>
    <x v="0"/>
    <n v="2"/>
    <x v="0"/>
    <x v="0"/>
    <n v="7"/>
  </r>
  <r>
    <s v="ORD-02949"/>
    <d v="2023-07-01T00:00:00"/>
    <s v="CUST29456"/>
    <x v="83"/>
    <n v="20"/>
    <x v="3"/>
    <x v="1"/>
    <x v="3"/>
    <x v="15"/>
    <x v="5"/>
    <s v="Flour"/>
    <n v="3"/>
    <n v="108.19"/>
    <x v="17"/>
    <n v="272.74"/>
    <n v="18.29"/>
    <n v="82.45"/>
    <x v="2"/>
    <n v="2"/>
    <x v="0"/>
    <x v="2"/>
    <n v="5"/>
  </r>
  <r>
    <s v="ORD-03143"/>
    <d v="2023-09-21T00:00:00"/>
    <s v="CUST43908"/>
    <x v="207"/>
    <n v="31"/>
    <x v="0"/>
    <x v="0"/>
    <x v="1"/>
    <x v="3"/>
    <x v="6"/>
    <s v="Laptop"/>
    <n v="3"/>
    <n v="56628.56"/>
    <x v="18"/>
    <n v="145921.20000000001"/>
    <n v="15624.65"/>
    <n v="47.88"/>
    <x v="3"/>
    <n v="1"/>
    <x v="0"/>
    <x v="3"/>
    <n v="8"/>
  </r>
  <r>
    <s v="ORD-00445"/>
    <d v="2020-07-16T00:00:00"/>
    <s v="CUST52068"/>
    <x v="379"/>
    <n v="48"/>
    <x v="1"/>
    <x v="0"/>
    <x v="3"/>
    <x v="12"/>
    <x v="6"/>
    <s v="Smartphone"/>
    <n v="10"/>
    <n v="19028.599999999999"/>
    <x v="31"/>
    <n v="211424.88"/>
    <n v="15185.24"/>
    <n v="90.95"/>
    <x v="4"/>
    <n v="4"/>
    <x v="0"/>
    <x v="0"/>
    <n v="7"/>
  </r>
  <r>
    <s v="ORD-02088"/>
    <d v="2022-07-09T00:00:00"/>
    <s v="CUST29896"/>
    <x v="68"/>
    <n v="43"/>
    <x v="1"/>
    <x v="1"/>
    <x v="0"/>
    <x v="0"/>
    <x v="0"/>
    <s v="Sunscreen"/>
    <n v="6"/>
    <n v="2056.5"/>
    <x v="20"/>
    <n v="13191.89"/>
    <n v="5400.15"/>
    <n v="38.67"/>
    <x v="5"/>
    <n v="5"/>
    <x v="0"/>
    <x v="2"/>
    <n v="5"/>
  </r>
  <r>
    <s v="ORD-01265"/>
    <d v="2021-07-25T00:00:00"/>
    <s v="CUST61301"/>
    <x v="188"/>
    <n v="43"/>
    <x v="1"/>
    <x v="0"/>
    <x v="0"/>
    <x v="19"/>
    <x v="1"/>
    <s v="Bed Frame"/>
    <n v="3"/>
    <n v="6493.94"/>
    <x v="20"/>
    <n v="18197.59"/>
    <n v="5074.92"/>
    <n v="35.799999999999997"/>
    <x v="5"/>
    <n v="4"/>
    <x v="0"/>
    <x v="3"/>
    <n v="8"/>
  </r>
  <r>
    <s v="ORD-02754"/>
    <d v="2023-04-06T00:00:00"/>
    <s v="CUST60353"/>
    <x v="348"/>
    <n v="52"/>
    <x v="2"/>
    <x v="2"/>
    <x v="3"/>
    <x v="5"/>
    <x v="4"/>
    <s v="Cycle"/>
    <n v="5"/>
    <n v="12633.19"/>
    <x v="20"/>
    <n v="75906"/>
    <n v="19171.82"/>
    <n v="62.92"/>
    <x v="2"/>
    <n v="2"/>
    <x v="1"/>
    <x v="1"/>
    <n v="8"/>
  </r>
  <r>
    <s v="ORD-01077"/>
    <d v="2021-05-02T00:00:00"/>
    <s v="CUST86865"/>
    <x v="162"/>
    <n v="29"/>
    <x v="0"/>
    <x v="2"/>
    <x v="0"/>
    <x v="0"/>
    <x v="5"/>
    <s v="Rice (5kg)"/>
    <n v="2"/>
    <n v="413.27"/>
    <x v="3"/>
    <n v="843.51"/>
    <n v="59.92"/>
    <n v="45.09"/>
    <x v="4"/>
    <n v="1"/>
    <x v="0"/>
    <x v="0"/>
    <n v="8"/>
  </r>
  <r>
    <s v="ORD-02888"/>
    <d v="2023-06-04T00:00:00"/>
    <s v="CUST23652"/>
    <x v="259"/>
    <n v="39"/>
    <x v="1"/>
    <x v="0"/>
    <x v="0"/>
    <x v="0"/>
    <x v="4"/>
    <s v="Football"/>
    <n v="9"/>
    <n v="3434.17"/>
    <x v="0"/>
    <n v="46040.29"/>
    <n v="10782.3"/>
    <n v="55.14"/>
    <x v="4"/>
    <n v="2"/>
    <x v="0"/>
    <x v="0"/>
    <n v="5"/>
  </r>
  <r>
    <s v="ORD-03271"/>
    <d v="2023-11-14T00:00:00"/>
    <s v="CUST54392"/>
    <x v="211"/>
    <n v="31"/>
    <x v="0"/>
    <x v="0"/>
    <x v="1"/>
    <x v="6"/>
    <x v="5"/>
    <s v="Dal (1kg)"/>
    <n v="6"/>
    <n v="470.13"/>
    <x v="14"/>
    <n v="1607.31"/>
    <n v="145.53"/>
    <n v="73.23"/>
    <x v="0"/>
    <n v="4"/>
    <x v="0"/>
    <x v="0"/>
    <n v="2"/>
  </r>
  <r>
    <s v="ORD-01228"/>
    <d v="2021-07-07T00:00:00"/>
    <s v="CUST18110"/>
    <x v="249"/>
    <n v="31"/>
    <x v="0"/>
    <x v="2"/>
    <x v="3"/>
    <x v="5"/>
    <x v="2"/>
    <s v="Self-Help Book"/>
    <n v="3"/>
    <n v="453.81"/>
    <x v="1"/>
    <n v="1633.5"/>
    <n v="658.01"/>
    <n v="88.97"/>
    <x v="2"/>
    <n v="2"/>
    <x v="0"/>
    <x v="0"/>
    <n v="6"/>
  </r>
  <r>
    <s v="ORD-01152"/>
    <d v="2021-06-01T00:00:00"/>
    <s v="CUST51781"/>
    <x v="272"/>
    <n v="50"/>
    <x v="1"/>
    <x v="2"/>
    <x v="0"/>
    <x v="2"/>
    <x v="2"/>
    <s v="Fiction Novel"/>
    <n v="10"/>
    <n v="736.78"/>
    <x v="28"/>
    <n v="8312.64"/>
    <n v="3354.33"/>
    <n v="65.760000000000005"/>
    <x v="3"/>
    <n v="3"/>
    <x v="0"/>
    <x v="0"/>
    <n v="9"/>
  </r>
  <r>
    <s v="ORD-03728"/>
    <d v="2024-06-13T00:00:00"/>
    <s v="CUST36060"/>
    <x v="107"/>
    <n v="48"/>
    <x v="1"/>
    <x v="2"/>
    <x v="4"/>
    <x v="7"/>
    <x v="0"/>
    <s v="Face Cream"/>
    <n v="3"/>
    <n v="1059.55"/>
    <x v="10"/>
    <n v="3720.84"/>
    <n v="1778.64"/>
    <n v="88.2"/>
    <x v="3"/>
    <n v="4"/>
    <x v="0"/>
    <x v="3"/>
    <n v="6"/>
  </r>
  <r>
    <s v="ORD-04031"/>
    <d v="2024-10-16T00:00:00"/>
    <s v="CUST16901"/>
    <x v="293"/>
    <n v="36"/>
    <x v="1"/>
    <x v="1"/>
    <x v="1"/>
    <x v="6"/>
    <x v="4"/>
    <s v="Cycle"/>
    <n v="4"/>
    <n v="10043.459999999999"/>
    <x v="5"/>
    <n v="42595.96"/>
    <n v="8765.23"/>
    <n v="45.62"/>
    <x v="1"/>
    <n v="4"/>
    <x v="0"/>
    <x v="2"/>
    <n v="2"/>
  </r>
  <r>
    <s v="ORD-03935"/>
    <d v="2024-08-25T00:00:00"/>
    <s v="CUST84410"/>
    <x v="345"/>
    <n v="37"/>
    <x v="1"/>
    <x v="2"/>
    <x v="4"/>
    <x v="8"/>
    <x v="0"/>
    <s v="Sunscreen"/>
    <n v="3"/>
    <n v="1547.78"/>
    <x v="23"/>
    <n v="4796.68"/>
    <n v="2149.21"/>
    <n v="79.739999999999995"/>
    <x v="0"/>
    <n v="4"/>
    <x v="0"/>
    <x v="0"/>
    <n v="6"/>
  </r>
  <r>
    <s v="ORD-01243"/>
    <d v="2021-07-14T00:00:00"/>
    <s v="CUST88419"/>
    <x v="162"/>
    <n v="39"/>
    <x v="1"/>
    <x v="2"/>
    <x v="2"/>
    <x v="9"/>
    <x v="4"/>
    <s v="Cycle"/>
    <n v="9"/>
    <n v="8547.4599999999991"/>
    <x v="5"/>
    <n v="109622.85"/>
    <n v="14504.29"/>
    <n v="50.6"/>
    <x v="5"/>
    <n v="3"/>
    <x v="0"/>
    <x v="0"/>
    <n v="1"/>
  </r>
  <r>
    <s v="ORD-01867"/>
    <d v="2022-04-03T00:00:00"/>
    <s v="CUST11136"/>
    <x v="50"/>
    <n v="39"/>
    <x v="1"/>
    <x v="1"/>
    <x v="3"/>
    <x v="16"/>
    <x v="4"/>
    <s v="Cricket Bat"/>
    <n v="4"/>
    <n v="1061.5899999999999"/>
    <x v="5"/>
    <n v="5761.67"/>
    <n v="990.61"/>
    <n v="66.63"/>
    <x v="3"/>
    <n v="1"/>
    <x v="0"/>
    <x v="0"/>
    <n v="7"/>
  </r>
  <r>
    <s v="ORD-03167"/>
    <d v="2023-10-03T00:00:00"/>
    <s v="CUST14358"/>
    <x v="367"/>
    <n v="45"/>
    <x v="1"/>
    <x v="2"/>
    <x v="4"/>
    <x v="7"/>
    <x v="5"/>
    <s v="Cooking Oil"/>
    <n v="2"/>
    <n v="487.25"/>
    <x v="35"/>
    <n v="715.47"/>
    <n v="59.76"/>
    <n v="64.430000000000007"/>
    <x v="0"/>
    <n v="1"/>
    <x v="0"/>
    <x v="0"/>
    <n v="6"/>
  </r>
  <r>
    <s v="ORD-03664"/>
    <d v="2024-05-13T00:00:00"/>
    <s v="CUST92119"/>
    <x v="85"/>
    <n v="39"/>
    <x v="1"/>
    <x v="0"/>
    <x v="4"/>
    <x v="8"/>
    <x v="5"/>
    <s v="Cooking Oil"/>
    <n v="9"/>
    <n v="188.1"/>
    <x v="0"/>
    <n v="2301.06"/>
    <n v="192.79"/>
    <n v="67.95"/>
    <x v="1"/>
    <n v="2"/>
    <x v="1"/>
    <x v="1"/>
    <n v="9"/>
  </r>
  <r>
    <s v="ORD-02638"/>
    <d v="2023-02-16T00:00:00"/>
    <s v="CUST24560"/>
    <x v="148"/>
    <n v="34"/>
    <x v="0"/>
    <x v="0"/>
    <x v="0"/>
    <x v="0"/>
    <x v="1"/>
    <s v="Bookshelf"/>
    <n v="4"/>
    <n v="17789.72"/>
    <x v="16"/>
    <n v="69297.429999999993"/>
    <n v="19802.240000000002"/>
    <n v="80.3"/>
    <x v="1"/>
    <n v="3"/>
    <x v="0"/>
    <x v="0"/>
    <n v="5"/>
  </r>
  <r>
    <s v="ORD-00621"/>
    <d v="2020-10-05T00:00:00"/>
    <s v="CUST05543"/>
    <x v="319"/>
    <n v="32"/>
    <x v="0"/>
    <x v="2"/>
    <x v="0"/>
    <x v="2"/>
    <x v="6"/>
    <s v="Camera"/>
    <n v="6"/>
    <n v="25397.18"/>
    <x v="23"/>
    <n v="82799.59"/>
    <n v="14030.93"/>
    <n v="71.52"/>
    <x v="3"/>
    <n v="4"/>
    <x v="0"/>
    <x v="0"/>
    <n v="3"/>
  </r>
  <r>
    <s v="ORD-02552"/>
    <d v="2023-01-12T00:00:00"/>
    <s v="CUST30853"/>
    <x v="334"/>
    <n v="40"/>
    <x v="1"/>
    <x v="2"/>
    <x v="2"/>
    <x v="9"/>
    <x v="0"/>
    <s v="Lipstick"/>
    <n v="10"/>
    <n v="544.05999999999995"/>
    <x v="4"/>
    <n v="4863.92"/>
    <n v="2369.17"/>
    <n v="69.040000000000006"/>
    <x v="2"/>
    <n v="3"/>
    <x v="0"/>
    <x v="3"/>
    <n v="6"/>
  </r>
  <r>
    <s v="ORD-02971"/>
    <d v="2023-07-09T00:00:00"/>
    <s v="CUST11958"/>
    <x v="135"/>
    <n v="41"/>
    <x v="1"/>
    <x v="2"/>
    <x v="3"/>
    <x v="12"/>
    <x v="3"/>
    <s v="Saree"/>
    <n v="2"/>
    <n v="1764.31"/>
    <x v="28"/>
    <n v="4950.24"/>
    <n v="1681.63"/>
    <n v="91.22"/>
    <x v="1"/>
    <n v="5"/>
    <x v="0"/>
    <x v="0"/>
    <n v="7"/>
  </r>
  <r>
    <s v="ORD-02208"/>
    <d v="2022-08-21T00:00:00"/>
    <s v="CUST55072"/>
    <x v="97"/>
    <n v="35"/>
    <x v="0"/>
    <x v="1"/>
    <x v="0"/>
    <x v="1"/>
    <x v="6"/>
    <s v="Laptop"/>
    <n v="7"/>
    <n v="5978.14"/>
    <x v="22"/>
    <n v="31403.119999999999"/>
    <n v="3202.9"/>
    <n v="68.28"/>
    <x v="1"/>
    <n v="2"/>
    <x v="0"/>
    <x v="2"/>
    <n v="9"/>
  </r>
  <r>
    <s v="ORD-03467"/>
    <d v="2024-02-13T00:00:00"/>
    <s v="CUST83168"/>
    <x v="87"/>
    <n v="30"/>
    <x v="0"/>
    <x v="2"/>
    <x v="2"/>
    <x v="13"/>
    <x v="1"/>
    <s v="Wardrobe"/>
    <n v="1"/>
    <n v="34040.99"/>
    <x v="34"/>
    <n v="24095.35"/>
    <n v="6731.99"/>
    <n v="44"/>
    <x v="1"/>
    <n v="2"/>
    <x v="0"/>
    <x v="2"/>
    <n v="7"/>
  </r>
  <r>
    <s v="ORD-00538"/>
    <d v="2020-08-25T00:00:00"/>
    <s v="CUST99927"/>
    <x v="320"/>
    <n v="41"/>
    <x v="1"/>
    <x v="2"/>
    <x v="1"/>
    <x v="6"/>
    <x v="5"/>
    <s v="Flour"/>
    <n v="5"/>
    <n v="195.75"/>
    <x v="37"/>
    <n v="857.03"/>
    <n v="70.849999999999994"/>
    <n v="48.01"/>
    <x v="2"/>
    <n v="1"/>
    <x v="1"/>
    <x v="1"/>
    <n v="7"/>
  </r>
  <r>
    <s v="ORD-03768"/>
    <d v="2024-06-28T00:00:00"/>
    <s v="CUST05494"/>
    <x v="108"/>
    <n v="42"/>
    <x v="1"/>
    <x v="2"/>
    <x v="0"/>
    <x v="19"/>
    <x v="3"/>
    <s v="Saree"/>
    <n v="9"/>
    <n v="419.53"/>
    <x v="32"/>
    <n v="6597.21"/>
    <n v="2226.42"/>
    <n v="55.39"/>
    <x v="1"/>
    <n v="1"/>
    <x v="0"/>
    <x v="0"/>
    <n v="6"/>
  </r>
  <r>
    <s v="ORD-02289"/>
    <d v="2022-09-20T00:00:00"/>
    <s v="CUST74884"/>
    <x v="307"/>
    <n v="28"/>
    <x v="0"/>
    <x v="1"/>
    <x v="3"/>
    <x v="15"/>
    <x v="6"/>
    <s v="Laptop"/>
    <n v="5"/>
    <n v="76773.58"/>
    <x v="9"/>
    <n v="367938.22"/>
    <n v="45756.9"/>
    <n v="84.18"/>
    <x v="4"/>
    <n v="2"/>
    <x v="0"/>
    <x v="0"/>
    <n v="5"/>
  </r>
  <r>
    <s v="ORD-00014"/>
    <d v="2020-01-05T00:00:00"/>
    <s v="CUST18131"/>
    <x v="153"/>
    <n v="52"/>
    <x v="2"/>
    <x v="0"/>
    <x v="0"/>
    <x v="1"/>
    <x v="3"/>
    <s v="Dress"/>
    <n v="3"/>
    <n v="471.05"/>
    <x v="31"/>
    <n v="815.57"/>
    <n v="414.35"/>
    <n v="64.239999999999995"/>
    <x v="2"/>
    <n v="2"/>
    <x v="0"/>
    <x v="0"/>
    <n v="6"/>
  </r>
  <r>
    <s v="ORD-00741"/>
    <d v="2020-12-03T00:00:00"/>
    <s v="CUST07400"/>
    <x v="16"/>
    <n v="39"/>
    <x v="1"/>
    <x v="0"/>
    <x v="4"/>
    <x v="18"/>
    <x v="6"/>
    <s v="Smartwatch"/>
    <n v="5"/>
    <n v="17354.95"/>
    <x v="18"/>
    <n v="42550.65"/>
    <n v="5443.79"/>
    <n v="87.73"/>
    <x v="4"/>
    <n v="3"/>
    <x v="0"/>
    <x v="0"/>
    <n v="4"/>
  </r>
  <r>
    <s v="ORD-02977"/>
    <d v="2023-07-13T00:00:00"/>
    <s v="CUST30941"/>
    <x v="172"/>
    <n v="36"/>
    <x v="1"/>
    <x v="0"/>
    <x v="4"/>
    <x v="8"/>
    <x v="3"/>
    <s v="Dress"/>
    <n v="3"/>
    <n v="3416.07"/>
    <x v="1"/>
    <n v="15099.86"/>
    <n v="6787.12"/>
    <n v="56.49"/>
    <x v="2"/>
    <n v="4"/>
    <x v="0"/>
    <x v="3"/>
    <n v="8"/>
  </r>
  <r>
    <s v="ORD-03387"/>
    <d v="2024-01-04T00:00:00"/>
    <s v="CUST28149"/>
    <x v="364"/>
    <n v="30"/>
    <x v="0"/>
    <x v="2"/>
    <x v="0"/>
    <x v="1"/>
    <x v="1"/>
    <s v="Bookshelf"/>
    <n v="6"/>
    <n v="20348.09"/>
    <x v="23"/>
    <n v="89448.76"/>
    <n v="23773.69"/>
    <n v="74.42"/>
    <x v="1"/>
    <n v="2"/>
    <x v="0"/>
    <x v="2"/>
    <n v="1"/>
  </r>
  <r>
    <s v="ORD-01386"/>
    <d v="2021-09-18T00:00:00"/>
    <s v="CUST40254"/>
    <x v="196"/>
    <n v="26"/>
    <x v="0"/>
    <x v="0"/>
    <x v="3"/>
    <x v="15"/>
    <x v="0"/>
    <s v="Sunscreen"/>
    <n v="9"/>
    <n v="1633.93"/>
    <x v="26"/>
    <n v="13364.21"/>
    <n v="6165.22"/>
    <n v="62.78"/>
    <x v="4"/>
    <n v="4"/>
    <x v="0"/>
    <x v="0"/>
    <n v="2"/>
  </r>
  <r>
    <s v="ORD-02844"/>
    <d v="2023-05-24T00:00:00"/>
    <s v="CUST72283"/>
    <x v="381"/>
    <n v="48"/>
    <x v="1"/>
    <x v="0"/>
    <x v="0"/>
    <x v="0"/>
    <x v="1"/>
    <s v="Chair"/>
    <n v="2"/>
    <n v="16498.439999999999"/>
    <x v="18"/>
    <n v="35854.5"/>
    <n v="11294.07"/>
    <n v="57.11"/>
    <x v="3"/>
    <n v="4"/>
    <x v="0"/>
    <x v="0"/>
    <n v="5"/>
  </r>
  <r>
    <s v="ORD-02404"/>
    <d v="2022-11-05T00:00:00"/>
    <s v="CUST20182"/>
    <x v="269"/>
    <n v="33"/>
    <x v="0"/>
    <x v="0"/>
    <x v="0"/>
    <x v="1"/>
    <x v="6"/>
    <s v="Laptop"/>
    <n v="4"/>
    <n v="6142.5"/>
    <x v="12"/>
    <n v="15055.56"/>
    <n v="2596.19"/>
    <n v="76.47"/>
    <x v="1"/>
    <n v="5"/>
    <x v="0"/>
    <x v="0"/>
    <n v="4"/>
  </r>
  <r>
    <s v="ORD-00335"/>
    <d v="2020-05-25T00:00:00"/>
    <s v="CUST11141"/>
    <x v="303"/>
    <n v="45"/>
    <x v="1"/>
    <x v="2"/>
    <x v="0"/>
    <x v="19"/>
    <x v="3"/>
    <s v="Dress"/>
    <n v="2"/>
    <n v="2283.88"/>
    <x v="22"/>
    <n v="3053.06"/>
    <n v="1108.5"/>
    <n v="35.32"/>
    <x v="0"/>
    <n v="4"/>
    <x v="1"/>
    <x v="1"/>
    <n v="5"/>
  </r>
  <r>
    <s v="ORD-02737"/>
    <d v="2023-03-30T00:00:00"/>
    <s v="CUST77328"/>
    <x v="70"/>
    <n v="34"/>
    <x v="0"/>
    <x v="1"/>
    <x v="3"/>
    <x v="15"/>
    <x v="3"/>
    <s v="Dress"/>
    <n v="4"/>
    <n v="1407.93"/>
    <x v="28"/>
    <n v="6398.88"/>
    <n v="2389.35"/>
    <n v="107.41"/>
    <x v="0"/>
    <n v="5"/>
    <x v="0"/>
    <x v="0"/>
    <n v="2"/>
  </r>
  <r>
    <s v="ORD-03496"/>
    <d v="2024-02-29T00:00:00"/>
    <s v="CUST72195"/>
    <x v="329"/>
    <n v="26"/>
    <x v="0"/>
    <x v="2"/>
    <x v="0"/>
    <x v="2"/>
    <x v="3"/>
    <s v="Dress"/>
    <n v="3"/>
    <n v="1849.16"/>
    <x v="27"/>
    <n v="4817.3500000000004"/>
    <n v="2118.33"/>
    <n v="38.42"/>
    <x v="5"/>
    <n v="2"/>
    <x v="0"/>
    <x v="0"/>
    <n v="4"/>
  </r>
  <r>
    <s v="ORD-02990"/>
    <d v="2023-07-18T00:00:00"/>
    <s v="CUST58369"/>
    <x v="271"/>
    <n v="25"/>
    <x v="3"/>
    <x v="1"/>
    <x v="3"/>
    <x v="5"/>
    <x v="0"/>
    <s v="Perfume"/>
    <n v="2"/>
    <n v="524.05999999999995"/>
    <x v="34"/>
    <n v="992.13"/>
    <n v="703.91"/>
    <n v="91.44"/>
    <x v="2"/>
    <n v="5"/>
    <x v="0"/>
    <x v="0"/>
    <n v="3"/>
  </r>
  <r>
    <s v="ORD-03398"/>
    <d v="2024-01-12T00:00:00"/>
    <s v="CUST65122"/>
    <x v="355"/>
    <n v="27"/>
    <x v="0"/>
    <x v="1"/>
    <x v="0"/>
    <x v="0"/>
    <x v="5"/>
    <s v="Tea"/>
    <n v="8"/>
    <n v="381.64"/>
    <x v="7"/>
    <n v="2926.92"/>
    <n v="195.11"/>
    <n v="61.1"/>
    <x v="5"/>
    <n v="1"/>
    <x v="0"/>
    <x v="3"/>
    <n v="1"/>
  </r>
  <r>
    <s v="ORD-03050"/>
    <d v="2023-08-12T00:00:00"/>
    <s v="CUST75754"/>
    <x v="56"/>
    <n v="48"/>
    <x v="1"/>
    <x v="1"/>
    <x v="2"/>
    <x v="13"/>
    <x v="1"/>
    <s v="Sofa"/>
    <n v="5"/>
    <n v="2325.92"/>
    <x v="4"/>
    <n v="17516.82"/>
    <n v="4426.97"/>
    <n v="68.39"/>
    <x v="2"/>
    <n v="1"/>
    <x v="0"/>
    <x v="0"/>
    <n v="5"/>
  </r>
  <r>
    <s v="ORD-02236"/>
    <d v="2022-09-01T00:00:00"/>
    <s v="CUST58809"/>
    <x v="331"/>
    <n v="34"/>
    <x v="0"/>
    <x v="2"/>
    <x v="4"/>
    <x v="18"/>
    <x v="0"/>
    <s v="Shampoo"/>
    <n v="9"/>
    <n v="1011.72"/>
    <x v="36"/>
    <n v="8905.76"/>
    <n v="2925.83"/>
    <n v="96.59"/>
    <x v="5"/>
    <n v="1"/>
    <x v="0"/>
    <x v="0"/>
    <n v="4"/>
  </r>
  <r>
    <s v="ORD-00942"/>
    <d v="2021-03-02T00:00:00"/>
    <s v="CUST93436"/>
    <x v="371"/>
    <n v="26"/>
    <x v="0"/>
    <x v="1"/>
    <x v="0"/>
    <x v="19"/>
    <x v="0"/>
    <s v="Sunscreen"/>
    <n v="10"/>
    <n v="1967.69"/>
    <x v="9"/>
    <n v="19952.419999999998"/>
    <n v="8446.34"/>
    <n v="29.78"/>
    <x v="3"/>
    <n v="4"/>
    <x v="0"/>
    <x v="3"/>
    <n v="4"/>
  </r>
  <r>
    <s v="ORD-02948"/>
    <d v="2023-07-01T00:00:00"/>
    <s v="CUST47347"/>
    <x v="352"/>
    <n v="36"/>
    <x v="1"/>
    <x v="0"/>
    <x v="2"/>
    <x v="13"/>
    <x v="0"/>
    <s v="Hair Oil"/>
    <n v="9"/>
    <n v="384.12"/>
    <x v="29"/>
    <n v="5112.1400000000003"/>
    <n v="2559.12"/>
    <n v="26.49"/>
    <x v="4"/>
    <n v="3"/>
    <x v="0"/>
    <x v="0"/>
    <n v="8"/>
  </r>
  <r>
    <s v="ORD-01185"/>
    <d v="2021-06-16T00:00:00"/>
    <s v="CUST20075"/>
    <x v="286"/>
    <n v="48"/>
    <x v="1"/>
    <x v="1"/>
    <x v="0"/>
    <x v="2"/>
    <x v="4"/>
    <s v="Tennis Racket"/>
    <n v="7"/>
    <n v="13866.5"/>
    <x v="17"/>
    <n v="89463.92"/>
    <n v="27530.1"/>
    <n v="63.5"/>
    <x v="1"/>
    <n v="2"/>
    <x v="1"/>
    <x v="1"/>
    <n v="9"/>
  </r>
  <r>
    <s v="ORD-02278"/>
    <d v="2022-09-16T00:00:00"/>
    <s v="CUST26869"/>
    <x v="99"/>
    <n v="28"/>
    <x v="0"/>
    <x v="2"/>
    <x v="3"/>
    <x v="15"/>
    <x v="4"/>
    <s v="Cycle"/>
    <n v="5"/>
    <n v="10621.22"/>
    <x v="13"/>
    <n v="58513.74"/>
    <n v="13918.5"/>
    <n v="72.95"/>
    <x v="3"/>
    <n v="4"/>
    <x v="0"/>
    <x v="4"/>
    <n v="3"/>
  </r>
  <r>
    <s v="ORD-03932"/>
    <d v="2024-08-25T00:00:00"/>
    <s v="CUST12409"/>
    <x v="92"/>
    <n v="45"/>
    <x v="1"/>
    <x v="2"/>
    <x v="1"/>
    <x v="6"/>
    <x v="1"/>
    <s v="Bookshelf"/>
    <n v="7"/>
    <n v="26483.31"/>
    <x v="36"/>
    <n v="218498.09"/>
    <n v="59352.07"/>
    <n v="51.56"/>
    <x v="0"/>
    <n v="2"/>
    <x v="0"/>
    <x v="0"/>
    <n v="8"/>
  </r>
  <r>
    <s v="ORD-01852"/>
    <d v="2022-03-30T00:00:00"/>
    <s v="CUST44543"/>
    <x v="313"/>
    <n v="21"/>
    <x v="3"/>
    <x v="2"/>
    <x v="1"/>
    <x v="10"/>
    <x v="0"/>
    <s v="Shampoo"/>
    <n v="1"/>
    <n v="2086.4699999999998"/>
    <x v="17"/>
    <n v="1378.93"/>
    <n v="777.51"/>
    <n v="51"/>
    <x v="1"/>
    <n v="5"/>
    <x v="0"/>
    <x v="3"/>
    <n v="6"/>
  </r>
  <r>
    <s v="ORD-04138"/>
    <d v="2024-12-04T00:00:00"/>
    <s v="CUST97139"/>
    <x v="225"/>
    <n v="25"/>
    <x v="3"/>
    <x v="0"/>
    <x v="1"/>
    <x v="10"/>
    <x v="2"/>
    <s v="Cook Book"/>
    <n v="1"/>
    <n v="395.88"/>
    <x v="28"/>
    <n v="323.02999999999997"/>
    <n v="152.9"/>
    <n v="52.45"/>
    <x v="2"/>
    <n v="3"/>
    <x v="0"/>
    <x v="0"/>
    <n v="5"/>
  </r>
  <r>
    <s v="ORD-02797"/>
    <d v="2023-04-28T00:00:00"/>
    <s v="CUST19934"/>
    <x v="33"/>
    <n v="37"/>
    <x v="1"/>
    <x v="2"/>
    <x v="0"/>
    <x v="1"/>
    <x v="5"/>
    <s v="Dal (1kg)"/>
    <n v="7"/>
    <n v="345.21"/>
    <x v="35"/>
    <n v="2467.58"/>
    <n v="210.23"/>
    <n v="60.08"/>
    <x v="1"/>
    <n v="4"/>
    <x v="0"/>
    <x v="0"/>
    <n v="10"/>
  </r>
  <r>
    <s v="ORD-01887"/>
    <d v="2022-04-13T00:00:00"/>
    <s v="CUST32630"/>
    <x v="33"/>
    <n v="27"/>
    <x v="0"/>
    <x v="0"/>
    <x v="1"/>
    <x v="6"/>
    <x v="4"/>
    <s v="Tennis Racket"/>
    <n v="8"/>
    <n v="10307.31"/>
    <x v="8"/>
    <n v="110726.11"/>
    <n v="34280.730000000003"/>
    <n v="65.12"/>
    <x v="4"/>
    <n v="4"/>
    <x v="0"/>
    <x v="0"/>
    <n v="8"/>
  </r>
  <r>
    <s v="ORD-03616"/>
    <d v="2024-04-22T00:00:00"/>
    <s v="CUST58545"/>
    <x v="306"/>
    <n v="33"/>
    <x v="0"/>
    <x v="1"/>
    <x v="3"/>
    <x v="16"/>
    <x v="1"/>
    <s v="Desk"/>
    <n v="9"/>
    <n v="14817.04"/>
    <x v="24"/>
    <n v="202150.56"/>
    <n v="62640.08"/>
    <n v="83.25"/>
    <x v="4"/>
    <n v="2"/>
    <x v="0"/>
    <x v="0"/>
    <n v="2"/>
  </r>
  <r>
    <s v="ORD-02398"/>
    <d v="2022-11-03T00:00:00"/>
    <s v="CUST32655"/>
    <x v="89"/>
    <n v="23"/>
    <x v="3"/>
    <x v="0"/>
    <x v="3"/>
    <x v="16"/>
    <x v="3"/>
    <s v="Dress"/>
    <n v="1"/>
    <n v="978.49"/>
    <x v="9"/>
    <n v="736.31"/>
    <n v="317.25"/>
    <n v="92.46"/>
    <x v="1"/>
    <n v="2"/>
    <x v="0"/>
    <x v="0"/>
    <n v="2"/>
  </r>
  <r>
    <s v="ORD-02094"/>
    <d v="2022-07-10T00:00:00"/>
    <s v="CUST96963"/>
    <x v="245"/>
    <n v="28"/>
    <x v="0"/>
    <x v="2"/>
    <x v="3"/>
    <x v="16"/>
    <x v="4"/>
    <s v="Football"/>
    <n v="8"/>
    <n v="3340.32"/>
    <x v="15"/>
    <n v="28705.040000000001"/>
    <n v="6012.3"/>
    <n v="87.45"/>
    <x v="5"/>
    <n v="3"/>
    <x v="0"/>
    <x v="3"/>
    <n v="5"/>
  </r>
  <r>
    <s v="ORD-03690"/>
    <d v="2024-05-22T00:00:00"/>
    <s v="CUST65586"/>
    <x v="255"/>
    <n v="42"/>
    <x v="1"/>
    <x v="1"/>
    <x v="1"/>
    <x v="3"/>
    <x v="6"/>
    <s v="Camera"/>
    <n v="1"/>
    <n v="44361.97"/>
    <x v="12"/>
    <n v="54397.95"/>
    <n v="6985.15"/>
    <n v="30.74"/>
    <x v="3"/>
    <n v="4"/>
    <x v="0"/>
    <x v="0"/>
    <n v="2"/>
  </r>
  <r>
    <s v="ORD-00030"/>
    <d v="2020-01-11T00:00:00"/>
    <s v="CUST05185"/>
    <x v="176"/>
    <n v="35"/>
    <x v="0"/>
    <x v="1"/>
    <x v="3"/>
    <x v="16"/>
    <x v="2"/>
    <s v="Fiction Novel"/>
    <n v="2"/>
    <n v="1132.17"/>
    <x v="9"/>
    <n v="1451.01"/>
    <n v="458.01"/>
    <n v="90.46"/>
    <x v="4"/>
    <n v="5"/>
    <x v="0"/>
    <x v="2"/>
    <n v="6"/>
  </r>
  <r>
    <s v="ORD-02670"/>
    <d v="2023-02-28T00:00:00"/>
    <s v="CUST97284"/>
    <x v="224"/>
    <n v="39"/>
    <x v="1"/>
    <x v="2"/>
    <x v="2"/>
    <x v="14"/>
    <x v="4"/>
    <s v="Cricket Bat"/>
    <n v="3"/>
    <n v="12089.59"/>
    <x v="7"/>
    <n v="27702.22"/>
    <n v="5345.08"/>
    <n v="42.62"/>
    <x v="4"/>
    <n v="5"/>
    <x v="0"/>
    <x v="3"/>
    <n v="5"/>
  </r>
  <r>
    <s v="ORD-04157"/>
    <d v="2024-12-10T00:00:00"/>
    <s v="CUST48612"/>
    <x v="179"/>
    <n v="56"/>
    <x v="2"/>
    <x v="0"/>
    <x v="4"/>
    <x v="17"/>
    <x v="1"/>
    <s v="Bookshelf"/>
    <n v="6"/>
    <n v="10501.71"/>
    <x v="22"/>
    <n v="35801.199999999997"/>
    <n v="13056.43"/>
    <n v="75.180000000000007"/>
    <x v="3"/>
    <n v="1"/>
    <x v="0"/>
    <x v="2"/>
    <n v="6"/>
  </r>
  <r>
    <s v="ORD-01108"/>
    <d v="2021-05-14T00:00:00"/>
    <s v="CUST42651"/>
    <x v="162"/>
    <n v="25"/>
    <x v="3"/>
    <x v="2"/>
    <x v="0"/>
    <x v="2"/>
    <x v="1"/>
    <s v="Chair"/>
    <n v="1"/>
    <n v="5140.1899999999996"/>
    <x v="39"/>
    <n v="6859.73"/>
    <n v="1640.29"/>
    <n v="59.15"/>
    <x v="1"/>
    <n v="3"/>
    <x v="0"/>
    <x v="0"/>
    <n v="4"/>
  </r>
  <r>
    <s v="ORD-00491"/>
    <d v="2020-08-04T00:00:00"/>
    <s v="CUST01461"/>
    <x v="251"/>
    <n v="28"/>
    <x v="0"/>
    <x v="0"/>
    <x v="3"/>
    <x v="5"/>
    <x v="4"/>
    <s v="Dumbbells"/>
    <n v="10"/>
    <n v="9368.59"/>
    <x v="1"/>
    <n v="92987.57"/>
    <n v="23130.27"/>
    <n v="86.8"/>
    <x v="5"/>
    <n v="3"/>
    <x v="0"/>
    <x v="0"/>
    <n v="2"/>
  </r>
  <r>
    <s v="ORD-01475"/>
    <d v="2021-10-25T00:00:00"/>
    <s v="CUST99554"/>
    <x v="245"/>
    <n v="34"/>
    <x v="0"/>
    <x v="0"/>
    <x v="4"/>
    <x v="7"/>
    <x v="5"/>
    <s v="Sugar"/>
    <n v="2"/>
    <n v="94.21"/>
    <x v="8"/>
    <n v="161.58000000000001"/>
    <n v="12.72"/>
    <n v="51.52"/>
    <x v="0"/>
    <n v="3"/>
    <x v="0"/>
    <x v="0"/>
    <n v="7"/>
  </r>
  <r>
    <s v="ORD-00382"/>
    <d v="2020-06-12T00:00:00"/>
    <s v="CUST28553"/>
    <x v="363"/>
    <n v="25"/>
    <x v="3"/>
    <x v="0"/>
    <x v="2"/>
    <x v="13"/>
    <x v="2"/>
    <s v="Textbook"/>
    <n v="9"/>
    <n v="1096.6400000000001"/>
    <x v="22"/>
    <n v="7522.38"/>
    <n v="2771.77"/>
    <n v="69.739999999999995"/>
    <x v="0"/>
    <n v="4"/>
    <x v="0"/>
    <x v="2"/>
    <n v="8"/>
  </r>
  <r>
    <s v="ORD-03596"/>
    <d v="2024-04-12T00:00:00"/>
    <s v="CUST47686"/>
    <x v="182"/>
    <n v="49"/>
    <x v="1"/>
    <x v="0"/>
    <x v="3"/>
    <x v="16"/>
    <x v="6"/>
    <s v="Smartphone"/>
    <n v="9"/>
    <n v="64870.17"/>
    <x v="8"/>
    <n v="931056.13"/>
    <n v="126890.46"/>
    <n v="83.98"/>
    <x v="2"/>
    <n v="4"/>
    <x v="0"/>
    <x v="4"/>
    <n v="8"/>
  </r>
  <r>
    <s v="ORD-00446"/>
    <d v="2020-07-16T00:00:00"/>
    <s v="CUST01334"/>
    <x v="363"/>
    <n v="22"/>
    <x v="3"/>
    <x v="1"/>
    <x v="4"/>
    <x v="18"/>
    <x v="1"/>
    <s v="Desk"/>
    <n v="3"/>
    <n v="7359.98"/>
    <x v="26"/>
    <n v="18237.3"/>
    <n v="4022.85"/>
    <n v="82.84"/>
    <x v="3"/>
    <n v="1"/>
    <x v="0"/>
    <x v="0"/>
    <n v="8"/>
  </r>
  <r>
    <s v="ORD-02828"/>
    <d v="2023-05-15T00:00:00"/>
    <s v="CUST68781"/>
    <x v="336"/>
    <n v="27"/>
    <x v="0"/>
    <x v="0"/>
    <x v="4"/>
    <x v="7"/>
    <x v="0"/>
    <s v="Face Cream"/>
    <n v="7"/>
    <n v="1149.53"/>
    <x v="36"/>
    <n v="11894.14"/>
    <n v="7264.17"/>
    <n v="62.38"/>
    <x v="2"/>
    <n v="4"/>
    <x v="0"/>
    <x v="4"/>
    <n v="2"/>
  </r>
  <r>
    <s v="ORD-01113"/>
    <d v="2021-05-17T00:00:00"/>
    <s v="CUST01886"/>
    <x v="127"/>
    <n v="38"/>
    <x v="1"/>
    <x v="0"/>
    <x v="4"/>
    <x v="18"/>
    <x v="4"/>
    <s v="Tennis Racket"/>
    <n v="6"/>
    <n v="13738.11"/>
    <x v="14"/>
    <n v="71562.45"/>
    <n v="13685.23"/>
    <n v="96.34"/>
    <x v="4"/>
    <n v="4"/>
    <x v="1"/>
    <x v="1"/>
    <n v="4"/>
  </r>
  <r>
    <s v="ORD-01485"/>
    <d v="2021-10-28T00:00:00"/>
    <s v="CUST30209"/>
    <x v="52"/>
    <n v="48"/>
    <x v="1"/>
    <x v="2"/>
    <x v="3"/>
    <x v="5"/>
    <x v="3"/>
    <s v="Dress"/>
    <n v="5"/>
    <n v="3082.63"/>
    <x v="11"/>
    <n v="11512.76"/>
    <n v="2611.62"/>
    <n v="79.569999999999993"/>
    <x v="1"/>
    <n v="4"/>
    <x v="0"/>
    <x v="4"/>
    <n v="7"/>
  </r>
  <r>
    <s v="ORD-02978"/>
    <d v="2023-07-14T00:00:00"/>
    <s v="CUST72850"/>
    <x v="320"/>
    <n v="28"/>
    <x v="0"/>
    <x v="0"/>
    <x v="2"/>
    <x v="9"/>
    <x v="4"/>
    <s v="Football"/>
    <n v="4"/>
    <n v="10069.780000000001"/>
    <x v="30"/>
    <n v="43500.13"/>
    <n v="6733.75"/>
    <n v="81.56"/>
    <x v="4"/>
    <n v="2"/>
    <x v="0"/>
    <x v="0"/>
    <n v="9"/>
  </r>
  <r>
    <s v="ORD-03196"/>
    <d v="2023-10-14T00:00:00"/>
    <s v="CUST46008"/>
    <x v="344"/>
    <n v="27"/>
    <x v="0"/>
    <x v="1"/>
    <x v="0"/>
    <x v="1"/>
    <x v="1"/>
    <s v="Sofa"/>
    <n v="6"/>
    <n v="28759.21"/>
    <x v="12"/>
    <n v="142656.4"/>
    <n v="33781.29"/>
    <n v="54.72"/>
    <x v="0"/>
    <n v="1"/>
    <x v="0"/>
    <x v="2"/>
    <n v="5"/>
  </r>
  <r>
    <s v="ORD-03806"/>
    <d v="2024-07-12T00:00:00"/>
    <s v="CUST73502"/>
    <x v="50"/>
    <n v="34"/>
    <x v="0"/>
    <x v="0"/>
    <x v="0"/>
    <x v="0"/>
    <x v="3"/>
    <s v="Kurta"/>
    <n v="9"/>
    <n v="1781.89"/>
    <x v="11"/>
    <n v="20730.43"/>
    <n v="4832"/>
    <n v="54.08"/>
    <x v="1"/>
    <n v="2"/>
    <x v="1"/>
    <x v="1"/>
    <n v="5"/>
  </r>
  <r>
    <s v="ORD-00012"/>
    <d v="2020-01-04T00:00:00"/>
    <s v="CUST61608"/>
    <x v="157"/>
    <n v="21"/>
    <x v="3"/>
    <x v="0"/>
    <x v="0"/>
    <x v="2"/>
    <x v="6"/>
    <s v="Laptop"/>
    <n v="9"/>
    <n v="29868.65"/>
    <x v="18"/>
    <n v="117822.65"/>
    <n v="12480.5"/>
    <n v="51.76"/>
    <x v="4"/>
    <n v="1"/>
    <x v="0"/>
    <x v="0"/>
    <n v="9"/>
  </r>
  <r>
    <s v="ORD-01974"/>
    <d v="2022-05-22T00:00:00"/>
    <s v="CUST96684"/>
    <x v="336"/>
    <n v="25"/>
    <x v="3"/>
    <x v="2"/>
    <x v="4"/>
    <x v="7"/>
    <x v="2"/>
    <s v="Self-Help Book"/>
    <n v="1"/>
    <n v="429.32"/>
    <x v="6"/>
    <n v="331.72"/>
    <n v="193.26"/>
    <n v="89.48"/>
    <x v="5"/>
    <n v="3"/>
    <x v="0"/>
    <x v="2"/>
    <n v="9"/>
  </r>
  <r>
    <s v="ORD-01789"/>
    <d v="2022-03-04T00:00:00"/>
    <s v="CUST43962"/>
    <x v="282"/>
    <n v="49"/>
    <x v="1"/>
    <x v="0"/>
    <x v="1"/>
    <x v="11"/>
    <x v="3"/>
    <s v="Kurta"/>
    <n v="1"/>
    <n v="2434.6"/>
    <x v="8"/>
    <n v="2589.54"/>
    <n v="635.65"/>
    <n v="29.56"/>
    <x v="1"/>
    <n v="3"/>
    <x v="0"/>
    <x v="0"/>
    <n v="1"/>
  </r>
  <r>
    <s v="ORD-02401"/>
    <d v="2022-11-04T00:00:00"/>
    <s v="CUST64655"/>
    <x v="361"/>
    <n v="21"/>
    <x v="3"/>
    <x v="0"/>
    <x v="2"/>
    <x v="13"/>
    <x v="3"/>
    <s v="Kurta"/>
    <n v="9"/>
    <n v="3802.99"/>
    <x v="2"/>
    <n v="24949.89"/>
    <n v="9516.59"/>
    <n v="50.21"/>
    <x v="3"/>
    <n v="1"/>
    <x v="0"/>
    <x v="3"/>
    <n v="4"/>
  </r>
  <r>
    <s v="ORD-02701"/>
    <d v="2023-03-16T00:00:00"/>
    <s v="CUST61925"/>
    <x v="246"/>
    <n v="37"/>
    <x v="1"/>
    <x v="1"/>
    <x v="0"/>
    <x v="19"/>
    <x v="0"/>
    <s v="Hair Oil"/>
    <n v="3"/>
    <n v="2346.2600000000002"/>
    <x v="21"/>
    <n v="6011.01"/>
    <n v="2771.99"/>
    <n v="60.72"/>
    <x v="3"/>
    <n v="1"/>
    <x v="0"/>
    <x v="0"/>
    <n v="6"/>
  </r>
  <r>
    <s v="ORD-00774"/>
    <d v="2020-12-16T00:00:00"/>
    <s v="CUST03427"/>
    <x v="152"/>
    <n v="32"/>
    <x v="0"/>
    <x v="1"/>
    <x v="0"/>
    <x v="2"/>
    <x v="4"/>
    <s v="Football"/>
    <n v="9"/>
    <n v="12132.54"/>
    <x v="6"/>
    <n v="48966.18"/>
    <n v="9632.31"/>
    <n v="31.17"/>
    <x v="3"/>
    <n v="4"/>
    <x v="0"/>
    <x v="3"/>
    <n v="5"/>
  </r>
  <r>
    <s v="ORD-00791"/>
    <d v="2020-12-27T00:00:00"/>
    <s v="CUST50607"/>
    <x v="74"/>
    <n v="33"/>
    <x v="0"/>
    <x v="0"/>
    <x v="1"/>
    <x v="11"/>
    <x v="1"/>
    <s v="Bed Frame"/>
    <n v="10"/>
    <n v="20725.97"/>
    <x v="29"/>
    <n v="123725.25"/>
    <n v="32970.370000000003"/>
    <n v="54.51"/>
    <x v="0"/>
    <n v="5"/>
    <x v="0"/>
    <x v="2"/>
    <n v="5"/>
  </r>
  <r>
    <s v="ORD-02916"/>
    <d v="2023-06-14T00:00:00"/>
    <s v="CUST68649"/>
    <x v="200"/>
    <n v="20"/>
    <x v="3"/>
    <x v="1"/>
    <x v="4"/>
    <x v="18"/>
    <x v="5"/>
    <s v="Dal (1kg)"/>
    <n v="8"/>
    <n v="246.15"/>
    <x v="11"/>
    <n v="2555.54"/>
    <n v="179.49"/>
    <n v="95.73"/>
    <x v="5"/>
    <n v="1"/>
    <x v="0"/>
    <x v="0"/>
    <n v="2"/>
  </r>
  <r>
    <s v="ORD-02122"/>
    <d v="2022-07-22T00:00:00"/>
    <s v="CUST58669"/>
    <x v="81"/>
    <n v="54"/>
    <x v="2"/>
    <x v="1"/>
    <x v="3"/>
    <x v="15"/>
    <x v="0"/>
    <s v="Perfume"/>
    <n v="9"/>
    <n v="1933.74"/>
    <x v="17"/>
    <n v="14508.76"/>
    <n v="4077.16"/>
    <n v="88.26"/>
    <x v="0"/>
    <n v="4"/>
    <x v="0"/>
    <x v="0"/>
    <n v="6"/>
  </r>
  <r>
    <s v="ORD-01554"/>
    <d v="2021-11-28T00:00:00"/>
    <s v="CUST42573"/>
    <x v="68"/>
    <n v="32"/>
    <x v="0"/>
    <x v="0"/>
    <x v="2"/>
    <x v="14"/>
    <x v="5"/>
    <s v="Flour"/>
    <n v="3"/>
    <n v="60.31"/>
    <x v="20"/>
    <n v="108.58"/>
    <n v="6.36"/>
    <n v="35.049999999999997"/>
    <x v="3"/>
    <n v="2"/>
    <x v="0"/>
    <x v="0"/>
    <n v="2"/>
  </r>
  <r>
    <s v="ORD-03135"/>
    <d v="2023-09-16T00:00:00"/>
    <s v="CUST31542"/>
    <x v="29"/>
    <n v="43"/>
    <x v="1"/>
    <x v="1"/>
    <x v="2"/>
    <x v="14"/>
    <x v="2"/>
    <s v="Textbook"/>
    <n v="10"/>
    <n v="344.89"/>
    <x v="11"/>
    <n v="2919.85"/>
    <n v="480.69"/>
    <n v="36.51"/>
    <x v="2"/>
    <n v="4"/>
    <x v="0"/>
    <x v="0"/>
    <n v="1"/>
  </r>
  <r>
    <s v="ORD-02879"/>
    <d v="2023-06-02T00:00:00"/>
    <s v="CUST55177"/>
    <x v="138"/>
    <n v="27"/>
    <x v="0"/>
    <x v="1"/>
    <x v="3"/>
    <x v="16"/>
    <x v="5"/>
    <s v="Sugar"/>
    <n v="6"/>
    <n v="386.8"/>
    <x v="11"/>
    <n v="3078.58"/>
    <n v="318.39"/>
    <n v="79.260000000000005"/>
    <x v="1"/>
    <n v="1"/>
    <x v="0"/>
    <x v="3"/>
    <n v="5"/>
  </r>
  <r>
    <s v="ORD-02811"/>
    <d v="2023-05-04T00:00:00"/>
    <s v="CUST06279"/>
    <x v="351"/>
    <n v="35"/>
    <x v="0"/>
    <x v="2"/>
    <x v="2"/>
    <x v="14"/>
    <x v="0"/>
    <s v="Lipstick"/>
    <n v="10"/>
    <n v="239.33"/>
    <x v="37"/>
    <n v="2481.9299999999998"/>
    <n v="780.04"/>
    <n v="61.7"/>
    <x v="5"/>
    <n v="4"/>
    <x v="0"/>
    <x v="0"/>
    <n v="10"/>
  </r>
  <r>
    <s v="ORD-01045"/>
    <d v="2021-04-19T00:00:00"/>
    <s v="CUST27554"/>
    <x v="30"/>
    <n v="27"/>
    <x v="0"/>
    <x v="2"/>
    <x v="3"/>
    <x v="15"/>
    <x v="2"/>
    <s v="Textbook"/>
    <n v="8"/>
    <n v="1199.3399999999999"/>
    <x v="1"/>
    <n v="11154.85"/>
    <n v="6783.73"/>
    <n v="76.89"/>
    <x v="0"/>
    <n v="2"/>
    <x v="1"/>
    <x v="1"/>
    <n v="7"/>
  </r>
  <r>
    <s v="ORD-00245"/>
    <d v="2020-04-17T00:00:00"/>
    <s v="CUST17070"/>
    <x v="396"/>
    <n v="30"/>
    <x v="0"/>
    <x v="2"/>
    <x v="1"/>
    <x v="6"/>
    <x v="5"/>
    <s v="Flour"/>
    <n v="4"/>
    <n v="368.44"/>
    <x v="28"/>
    <n v="1419.14"/>
    <n v="133.75"/>
    <n v="54.97"/>
    <x v="3"/>
    <n v="2"/>
    <x v="0"/>
    <x v="0"/>
    <n v="2"/>
  </r>
  <r>
    <s v="ORD-02023"/>
    <d v="2022-06-10T00:00:00"/>
    <s v="CUST72866"/>
    <x v="383"/>
    <n v="41"/>
    <x v="1"/>
    <x v="0"/>
    <x v="2"/>
    <x v="4"/>
    <x v="4"/>
    <s v="Tennis Racket"/>
    <n v="4"/>
    <n v="11418.62"/>
    <x v="11"/>
    <n v="52022.28"/>
    <n v="11855.66"/>
    <n v="52.64"/>
    <x v="2"/>
    <n v="2"/>
    <x v="0"/>
    <x v="0"/>
    <n v="1"/>
  </r>
  <r>
    <s v="ORD-00450"/>
    <d v="2020-07-17T00:00:00"/>
    <s v="CUST20483"/>
    <x v="151"/>
    <n v="29"/>
    <x v="0"/>
    <x v="1"/>
    <x v="4"/>
    <x v="18"/>
    <x v="1"/>
    <s v="Wardrobe"/>
    <n v="10"/>
    <n v="9945.43"/>
    <x v="27"/>
    <n v="94093.98"/>
    <n v="30233.13"/>
    <n v="76.34"/>
    <x v="3"/>
    <n v="3"/>
    <x v="0"/>
    <x v="0"/>
    <n v="10"/>
  </r>
  <r>
    <s v="ORD-04082"/>
    <d v="2024-11-05T00:00:00"/>
    <s v="CUST72244"/>
    <x v="6"/>
    <n v="19"/>
    <x v="3"/>
    <x v="2"/>
    <x v="3"/>
    <x v="12"/>
    <x v="5"/>
    <s v="Cooking Oil"/>
    <n v="10"/>
    <n v="400.5"/>
    <x v="18"/>
    <n v="2696.95"/>
    <n v="174.53"/>
    <n v="55.61"/>
    <x v="1"/>
    <n v="4"/>
    <x v="0"/>
    <x v="0"/>
    <n v="9"/>
  </r>
  <r>
    <s v="ORD-03458"/>
    <d v="2024-02-08T00:00:00"/>
    <s v="CUST09746"/>
    <x v="346"/>
    <n v="25"/>
    <x v="3"/>
    <x v="0"/>
    <x v="4"/>
    <x v="18"/>
    <x v="3"/>
    <s v="Kurta"/>
    <n v="7"/>
    <n v="3147.97"/>
    <x v="19"/>
    <n v="22125.94"/>
    <n v="10153.44"/>
    <n v="38.76"/>
    <x v="1"/>
    <n v="2"/>
    <x v="0"/>
    <x v="2"/>
    <n v="2"/>
  </r>
  <r>
    <s v="ORD-01738"/>
    <d v="2022-02-11T00:00:00"/>
    <s v="CUST50460"/>
    <x v="266"/>
    <n v="40"/>
    <x v="1"/>
    <x v="2"/>
    <x v="3"/>
    <x v="15"/>
    <x v="2"/>
    <s v="Biography"/>
    <n v="5"/>
    <n v="1456.57"/>
    <x v="23"/>
    <n v="4835.66"/>
    <n v="2312.44"/>
    <n v="71.900000000000006"/>
    <x v="2"/>
    <n v="1"/>
    <x v="0"/>
    <x v="2"/>
    <n v="4"/>
  </r>
  <r>
    <s v="ORD-03241"/>
    <d v="2023-11-01T00:00:00"/>
    <s v="CUST36164"/>
    <x v="363"/>
    <n v="23"/>
    <x v="3"/>
    <x v="1"/>
    <x v="2"/>
    <x v="9"/>
    <x v="1"/>
    <s v="Desk"/>
    <n v="10"/>
    <n v="28349.81"/>
    <x v="1"/>
    <n v="211857.48"/>
    <n v="59966.21"/>
    <n v="53.88"/>
    <x v="0"/>
    <n v="2"/>
    <x v="0"/>
    <x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A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0:C47" firstHeaderRow="1" firstDataRow="1" firstDataCol="0"/>
  <pivotFields count="22">
    <pivotField showAll="0"/>
    <pivotField numFmtId="14" showAll="0"/>
    <pivotField showAll="0"/>
    <pivotField showAll="0">
      <items count="401">
        <item x="384"/>
        <item x="213"/>
        <item x="303"/>
        <item x="109"/>
        <item x="301"/>
        <item x="366"/>
        <item x="181"/>
        <item x="294"/>
        <item x="348"/>
        <item x="99"/>
        <item x="211"/>
        <item x="330"/>
        <item x="248"/>
        <item x="42"/>
        <item x="230"/>
        <item x="381"/>
        <item x="208"/>
        <item x="290"/>
        <item x="293"/>
        <item x="131"/>
        <item x="391"/>
        <item x="107"/>
        <item x="147"/>
        <item x="47"/>
        <item x="43"/>
        <item x="262"/>
        <item x="342"/>
        <item x="396"/>
        <item x="271"/>
        <item x="31"/>
        <item x="375"/>
        <item x="184"/>
        <item x="6"/>
        <item x="34"/>
        <item x="255"/>
        <item x="399"/>
        <item x="123"/>
        <item x="5"/>
        <item x="177"/>
        <item x="394"/>
        <item x="178"/>
        <item x="232"/>
        <item x="276"/>
        <item x="77"/>
        <item x="317"/>
        <item x="149"/>
        <item x="351"/>
        <item x="257"/>
        <item x="137"/>
        <item x="266"/>
        <item x="333"/>
        <item x="194"/>
        <item x="71"/>
        <item x="162"/>
        <item x="172"/>
        <item x="190"/>
        <item x="324"/>
        <item x="275"/>
        <item x="85"/>
        <item x="68"/>
        <item x="210"/>
        <item x="380"/>
        <item x="397"/>
        <item x="203"/>
        <item x="146"/>
        <item x="378"/>
        <item x="44"/>
        <item x="360"/>
        <item x="254"/>
        <item x="296"/>
        <item x="206"/>
        <item x="28"/>
        <item x="23"/>
        <item x="345"/>
        <item x="81"/>
        <item x="138"/>
        <item x="46"/>
        <item x="199"/>
        <item x="217"/>
        <item x="55"/>
        <item x="277"/>
        <item x="218"/>
        <item x="75"/>
        <item x="279"/>
        <item x="284"/>
        <item x="114"/>
        <item x="395"/>
        <item x="169"/>
        <item x="289"/>
        <item x="373"/>
        <item x="339"/>
        <item x="335"/>
        <item x="193"/>
        <item x="16"/>
        <item x="236"/>
        <item x="150"/>
        <item x="4"/>
        <item x="300"/>
        <item x="367"/>
        <item x="161"/>
        <item x="286"/>
        <item x="127"/>
        <item x="310"/>
        <item x="48"/>
        <item x="171"/>
        <item x="243"/>
        <item x="130"/>
        <item x="117"/>
        <item x="143"/>
        <item x="242"/>
        <item x="352"/>
        <item x="39"/>
        <item x="374"/>
        <item x="19"/>
        <item x="59"/>
        <item x="379"/>
        <item x="393"/>
        <item x="318"/>
        <item x="376"/>
        <item x="69"/>
        <item x="323"/>
        <item x="79"/>
        <item x="361"/>
        <item x="56"/>
        <item x="292"/>
        <item x="24"/>
        <item x="325"/>
        <item x="315"/>
        <item x="316"/>
        <item x="358"/>
        <item x="204"/>
        <item x="252"/>
        <item x="264"/>
        <item x="346"/>
        <item x="249"/>
        <item x="86"/>
        <item x="273"/>
        <item x="153"/>
        <item x="157"/>
        <item x="272"/>
        <item x="238"/>
        <item x="231"/>
        <item x="359"/>
        <item x="94"/>
        <item x="309"/>
        <item x="151"/>
        <item x="269"/>
        <item x="229"/>
        <item x="128"/>
        <item x="259"/>
        <item x="307"/>
        <item x="163"/>
        <item x="17"/>
        <item x="18"/>
        <item x="102"/>
        <item x="237"/>
        <item x="133"/>
        <item x="214"/>
        <item x="82"/>
        <item x="27"/>
        <item x="302"/>
        <item x="389"/>
        <item x="32"/>
        <item x="158"/>
        <item x="50"/>
        <item x="93"/>
        <item x="112"/>
        <item x="220"/>
        <item x="29"/>
        <item x="110"/>
        <item x="7"/>
        <item x="62"/>
        <item x="201"/>
        <item x="70"/>
        <item x="140"/>
        <item x="260"/>
        <item x="283"/>
        <item x="370"/>
        <item x="51"/>
        <item x="166"/>
        <item x="12"/>
        <item x="14"/>
        <item x="234"/>
        <item x="388"/>
        <item x="167"/>
        <item x="270"/>
        <item x="80"/>
        <item x="320"/>
        <item x="221"/>
        <item x="328"/>
        <item x="9"/>
        <item x="66"/>
        <item x="58"/>
        <item x="295"/>
        <item x="363"/>
        <item x="30"/>
        <item x="265"/>
        <item x="291"/>
        <item x="297"/>
        <item x="187"/>
        <item x="106"/>
        <item x="179"/>
        <item x="314"/>
        <item x="126"/>
        <item x="222"/>
        <item x="207"/>
        <item x="100"/>
        <item x="87"/>
        <item x="219"/>
        <item x="45"/>
        <item x="159"/>
        <item x="392"/>
        <item x="299"/>
        <item x="338"/>
        <item x="240"/>
        <item x="122"/>
        <item x="53"/>
        <item x="298"/>
        <item x="160"/>
        <item x="362"/>
        <item x="120"/>
        <item x="349"/>
        <item x="281"/>
        <item x="306"/>
        <item x="154"/>
        <item x="88"/>
        <item x="186"/>
        <item x="142"/>
        <item x="129"/>
        <item x="125"/>
        <item x="64"/>
        <item x="304"/>
        <item x="278"/>
        <item x="377"/>
        <item x="113"/>
        <item x="205"/>
        <item x="91"/>
        <item x="1"/>
        <item x="245"/>
        <item x="11"/>
        <item x="357"/>
        <item x="224"/>
        <item x="223"/>
        <item x="287"/>
        <item x="116"/>
        <item x="337"/>
        <item x="38"/>
        <item x="189"/>
        <item x="251"/>
        <item x="209"/>
        <item x="139"/>
        <item x="183"/>
        <item x="332"/>
        <item x="119"/>
        <item x="368"/>
        <item x="2"/>
        <item x="215"/>
        <item x="83"/>
        <item x="57"/>
        <item x="101"/>
        <item x="241"/>
        <item x="135"/>
        <item x="67"/>
        <item x="63"/>
        <item x="8"/>
        <item x="263"/>
        <item x="327"/>
        <item x="15"/>
        <item x="108"/>
        <item x="355"/>
        <item x="233"/>
        <item x="250"/>
        <item x="200"/>
        <item x="336"/>
        <item x="398"/>
        <item x="354"/>
        <item x="369"/>
        <item x="21"/>
        <item x="216"/>
        <item x="61"/>
        <item x="226"/>
        <item x="145"/>
        <item x="256"/>
        <item x="182"/>
        <item x="41"/>
        <item x="308"/>
        <item x="197"/>
        <item x="326"/>
        <item x="198"/>
        <item x="340"/>
        <item x="173"/>
        <item x="22"/>
        <item x="353"/>
        <item x="148"/>
        <item x="343"/>
        <item x="90"/>
        <item x="247"/>
        <item x="174"/>
        <item x="334"/>
        <item x="35"/>
        <item x="225"/>
        <item x="371"/>
        <item x="170"/>
        <item x="356"/>
        <item x="305"/>
        <item x="331"/>
        <item x="365"/>
        <item x="329"/>
        <item x="98"/>
        <item x="235"/>
        <item x="282"/>
        <item x="37"/>
        <item x="134"/>
        <item x="97"/>
        <item x="246"/>
        <item x="390"/>
        <item x="73"/>
        <item x="382"/>
        <item x="188"/>
        <item x="228"/>
        <item x="239"/>
        <item x="10"/>
        <item x="141"/>
        <item x="311"/>
        <item x="115"/>
        <item x="52"/>
        <item x="40"/>
        <item x="164"/>
        <item x="322"/>
        <item x="76"/>
        <item x="168"/>
        <item x="195"/>
        <item x="321"/>
        <item x="385"/>
        <item x="176"/>
        <item x="13"/>
        <item x="25"/>
        <item x="156"/>
        <item x="261"/>
        <item x="0"/>
        <item x="244"/>
        <item x="202"/>
        <item x="386"/>
        <item x="136"/>
        <item x="89"/>
        <item x="253"/>
        <item x="347"/>
        <item x="165"/>
        <item x="36"/>
        <item x="196"/>
        <item x="105"/>
        <item x="313"/>
        <item x="258"/>
        <item x="74"/>
        <item x="118"/>
        <item x="54"/>
        <item x="227"/>
        <item x="312"/>
        <item x="288"/>
        <item x="185"/>
        <item x="280"/>
        <item x="191"/>
        <item x="285"/>
        <item x="144"/>
        <item x="72"/>
        <item x="92"/>
        <item x="65"/>
        <item x="364"/>
        <item x="132"/>
        <item x="192"/>
        <item x="267"/>
        <item x="350"/>
        <item x="175"/>
        <item x="124"/>
        <item x="387"/>
        <item x="78"/>
        <item x="344"/>
        <item x="95"/>
        <item x="212"/>
        <item x="84"/>
        <item x="104"/>
        <item x="319"/>
        <item x="96"/>
        <item x="274"/>
        <item x="60"/>
        <item x="3"/>
        <item x="103"/>
        <item x="152"/>
        <item x="26"/>
        <item x="121"/>
        <item x="383"/>
        <item x="49"/>
        <item x="372"/>
        <item x="20"/>
        <item x="268"/>
        <item x="341"/>
        <item x="33"/>
        <item x="111"/>
        <item x="180"/>
        <item x="155"/>
        <item t="default"/>
      </items>
    </pivotField>
    <pivotField showAll="0"/>
    <pivotField showAll="0"/>
    <pivotField showAll="0"/>
    <pivotField showAll="0">
      <items count="6">
        <item x="1"/>
        <item x="3"/>
        <item x="2"/>
        <item x="4"/>
        <item x="0"/>
        <item t="default"/>
      </items>
    </pivotField>
    <pivotField showAll="0">
      <items count="21">
        <item x="2"/>
        <item x="4"/>
        <item x="7"/>
        <item x="3"/>
        <item x="15"/>
        <item x="13"/>
        <item x="18"/>
        <item x="9"/>
        <item x="12"/>
        <item x="17"/>
        <item x="11"/>
        <item x="8"/>
        <item x="16"/>
        <item x="14"/>
        <item x="0"/>
        <item x="10"/>
        <item x="5"/>
        <item x="19"/>
        <item x="6"/>
        <item x="1"/>
        <item t="default"/>
      </items>
    </pivotField>
    <pivotField showAll="0">
      <items count="8">
        <item x="0"/>
        <item x="2"/>
        <item x="3"/>
        <item x="6"/>
        <item x="1"/>
        <item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70:E76" firstHeaderRow="1" firstDataRow="1" firstDataCol="1"/>
  <pivotFields count="22">
    <pivotField showAll="0"/>
    <pivotField numFmtId="14" showAll="0"/>
    <pivotField showAll="0"/>
    <pivotField showAll="0">
      <items count="401">
        <item x="384"/>
        <item x="213"/>
        <item x="303"/>
        <item x="109"/>
        <item x="301"/>
        <item x="366"/>
        <item x="181"/>
        <item x="294"/>
        <item x="348"/>
        <item x="99"/>
        <item x="211"/>
        <item x="330"/>
        <item x="248"/>
        <item x="42"/>
        <item x="230"/>
        <item x="381"/>
        <item x="208"/>
        <item x="290"/>
        <item x="293"/>
        <item x="131"/>
        <item x="391"/>
        <item x="107"/>
        <item x="147"/>
        <item x="47"/>
        <item x="43"/>
        <item x="262"/>
        <item x="342"/>
        <item x="396"/>
        <item x="271"/>
        <item x="31"/>
        <item x="375"/>
        <item x="184"/>
        <item x="6"/>
        <item x="34"/>
        <item x="255"/>
        <item x="399"/>
        <item x="123"/>
        <item x="5"/>
        <item x="177"/>
        <item x="394"/>
        <item x="178"/>
        <item x="232"/>
        <item x="276"/>
        <item x="77"/>
        <item x="317"/>
        <item x="149"/>
        <item x="351"/>
        <item x="257"/>
        <item x="137"/>
        <item x="266"/>
        <item x="333"/>
        <item x="194"/>
        <item x="71"/>
        <item x="162"/>
        <item x="172"/>
        <item x="190"/>
        <item x="324"/>
        <item x="275"/>
        <item x="85"/>
        <item x="68"/>
        <item x="210"/>
        <item x="380"/>
        <item x="397"/>
        <item x="203"/>
        <item x="146"/>
        <item x="378"/>
        <item x="44"/>
        <item x="360"/>
        <item x="254"/>
        <item x="296"/>
        <item x="206"/>
        <item x="28"/>
        <item x="23"/>
        <item x="345"/>
        <item x="81"/>
        <item x="138"/>
        <item x="46"/>
        <item x="199"/>
        <item x="217"/>
        <item x="55"/>
        <item x="277"/>
        <item x="218"/>
        <item x="75"/>
        <item x="279"/>
        <item x="284"/>
        <item x="114"/>
        <item x="395"/>
        <item x="169"/>
        <item x="289"/>
        <item x="373"/>
        <item x="339"/>
        <item x="335"/>
        <item x="193"/>
        <item x="16"/>
        <item x="236"/>
        <item x="150"/>
        <item x="4"/>
        <item x="300"/>
        <item x="367"/>
        <item x="161"/>
        <item x="286"/>
        <item x="127"/>
        <item x="310"/>
        <item x="48"/>
        <item x="171"/>
        <item x="243"/>
        <item x="130"/>
        <item x="117"/>
        <item x="143"/>
        <item x="242"/>
        <item x="352"/>
        <item x="39"/>
        <item x="374"/>
        <item x="19"/>
        <item x="59"/>
        <item x="379"/>
        <item x="393"/>
        <item x="318"/>
        <item x="376"/>
        <item x="69"/>
        <item x="323"/>
        <item x="79"/>
        <item x="361"/>
        <item x="56"/>
        <item x="292"/>
        <item x="24"/>
        <item x="325"/>
        <item x="315"/>
        <item x="316"/>
        <item x="358"/>
        <item x="204"/>
        <item x="252"/>
        <item x="264"/>
        <item x="346"/>
        <item x="249"/>
        <item x="86"/>
        <item x="273"/>
        <item x="153"/>
        <item x="157"/>
        <item x="272"/>
        <item x="238"/>
        <item x="231"/>
        <item x="359"/>
        <item x="94"/>
        <item x="309"/>
        <item x="151"/>
        <item x="269"/>
        <item x="229"/>
        <item x="128"/>
        <item x="259"/>
        <item x="307"/>
        <item x="163"/>
        <item x="17"/>
        <item x="18"/>
        <item x="102"/>
        <item x="237"/>
        <item x="133"/>
        <item x="214"/>
        <item x="82"/>
        <item x="27"/>
        <item x="302"/>
        <item x="389"/>
        <item x="32"/>
        <item x="158"/>
        <item x="50"/>
        <item x="93"/>
        <item x="112"/>
        <item x="220"/>
        <item x="29"/>
        <item x="110"/>
        <item x="7"/>
        <item x="62"/>
        <item x="201"/>
        <item x="70"/>
        <item x="140"/>
        <item x="260"/>
        <item x="283"/>
        <item x="370"/>
        <item x="51"/>
        <item x="166"/>
        <item x="12"/>
        <item x="14"/>
        <item x="234"/>
        <item x="388"/>
        <item x="167"/>
        <item x="270"/>
        <item x="80"/>
        <item x="320"/>
        <item x="221"/>
        <item x="328"/>
        <item x="9"/>
        <item x="66"/>
        <item x="58"/>
        <item x="295"/>
        <item x="363"/>
        <item x="30"/>
        <item x="265"/>
        <item x="291"/>
        <item x="297"/>
        <item x="187"/>
        <item x="106"/>
        <item x="179"/>
        <item x="314"/>
        <item x="126"/>
        <item x="222"/>
        <item x="207"/>
        <item x="100"/>
        <item x="87"/>
        <item x="219"/>
        <item x="45"/>
        <item x="159"/>
        <item x="392"/>
        <item x="299"/>
        <item x="338"/>
        <item x="240"/>
        <item x="122"/>
        <item x="53"/>
        <item x="298"/>
        <item x="160"/>
        <item x="362"/>
        <item x="120"/>
        <item x="349"/>
        <item x="281"/>
        <item x="306"/>
        <item x="154"/>
        <item x="88"/>
        <item x="186"/>
        <item x="142"/>
        <item x="129"/>
        <item x="125"/>
        <item x="64"/>
        <item x="304"/>
        <item x="278"/>
        <item x="377"/>
        <item x="113"/>
        <item x="205"/>
        <item x="91"/>
        <item x="1"/>
        <item x="245"/>
        <item x="11"/>
        <item x="357"/>
        <item x="224"/>
        <item x="223"/>
        <item x="287"/>
        <item x="116"/>
        <item x="337"/>
        <item x="38"/>
        <item x="189"/>
        <item x="251"/>
        <item x="209"/>
        <item x="139"/>
        <item x="183"/>
        <item x="332"/>
        <item x="119"/>
        <item x="368"/>
        <item x="2"/>
        <item x="215"/>
        <item x="83"/>
        <item x="57"/>
        <item x="101"/>
        <item x="241"/>
        <item x="135"/>
        <item x="67"/>
        <item x="63"/>
        <item x="8"/>
        <item x="263"/>
        <item x="327"/>
        <item x="15"/>
        <item x="108"/>
        <item x="355"/>
        <item x="233"/>
        <item x="250"/>
        <item x="200"/>
        <item x="336"/>
        <item x="398"/>
        <item x="354"/>
        <item x="369"/>
        <item x="21"/>
        <item x="216"/>
        <item x="61"/>
        <item x="226"/>
        <item x="145"/>
        <item x="256"/>
        <item x="182"/>
        <item x="41"/>
        <item x="308"/>
        <item x="197"/>
        <item x="326"/>
        <item x="198"/>
        <item x="340"/>
        <item x="173"/>
        <item x="22"/>
        <item x="353"/>
        <item x="148"/>
        <item x="343"/>
        <item x="90"/>
        <item x="247"/>
        <item x="174"/>
        <item x="334"/>
        <item x="35"/>
        <item x="225"/>
        <item x="371"/>
        <item x="170"/>
        <item x="356"/>
        <item x="305"/>
        <item x="331"/>
        <item x="365"/>
        <item x="329"/>
        <item x="98"/>
        <item x="235"/>
        <item x="282"/>
        <item x="37"/>
        <item x="134"/>
        <item x="97"/>
        <item x="246"/>
        <item x="390"/>
        <item x="73"/>
        <item x="382"/>
        <item x="188"/>
        <item x="228"/>
        <item x="239"/>
        <item x="10"/>
        <item x="141"/>
        <item x="311"/>
        <item x="115"/>
        <item x="52"/>
        <item x="40"/>
        <item x="164"/>
        <item x="322"/>
        <item x="76"/>
        <item x="168"/>
        <item x="195"/>
        <item x="321"/>
        <item x="385"/>
        <item x="176"/>
        <item x="13"/>
        <item x="25"/>
        <item x="156"/>
        <item x="261"/>
        <item x="0"/>
        <item x="244"/>
        <item x="202"/>
        <item x="386"/>
        <item x="136"/>
        <item x="89"/>
        <item x="253"/>
        <item x="347"/>
        <item x="165"/>
        <item x="36"/>
        <item x="196"/>
        <item x="105"/>
        <item x="313"/>
        <item x="258"/>
        <item x="74"/>
        <item x="118"/>
        <item x="54"/>
        <item x="227"/>
        <item x="312"/>
        <item x="288"/>
        <item x="185"/>
        <item x="280"/>
        <item x="191"/>
        <item x="285"/>
        <item x="144"/>
        <item x="72"/>
        <item x="92"/>
        <item x="65"/>
        <item x="364"/>
        <item x="132"/>
        <item x="192"/>
        <item x="267"/>
        <item x="350"/>
        <item x="175"/>
        <item x="124"/>
        <item x="387"/>
        <item x="78"/>
        <item x="344"/>
        <item x="95"/>
        <item x="212"/>
        <item x="84"/>
        <item x="104"/>
        <item x="319"/>
        <item x="96"/>
        <item x="274"/>
        <item x="60"/>
        <item x="3"/>
        <item x="103"/>
        <item x="152"/>
        <item x="26"/>
        <item x="121"/>
        <item x="383"/>
        <item x="49"/>
        <item x="372"/>
        <item x="20"/>
        <item x="268"/>
        <item x="341"/>
        <item x="33"/>
        <item x="111"/>
        <item x="180"/>
        <item x="155"/>
        <item t="default"/>
      </items>
    </pivotField>
    <pivotField showAll="0"/>
    <pivotField showAll="0"/>
    <pivotField showAll="0"/>
    <pivotField axis="axisRow" showAll="0">
      <items count="6">
        <item x="1"/>
        <item x="3"/>
        <item x="2"/>
        <item x="4"/>
        <item x="0"/>
        <item t="default"/>
      </items>
    </pivotField>
    <pivotField showAll="0">
      <items count="21">
        <item x="2"/>
        <item x="4"/>
        <item x="7"/>
        <item x="3"/>
        <item x="15"/>
        <item x="13"/>
        <item x="18"/>
        <item x="9"/>
        <item x="12"/>
        <item x="17"/>
        <item x="11"/>
        <item x="8"/>
        <item x="16"/>
        <item x="14"/>
        <item x="0"/>
        <item x="10"/>
        <item x="5"/>
        <item x="19"/>
        <item x="6"/>
        <item x="1"/>
        <item t="default"/>
      </items>
    </pivotField>
    <pivotField showAll="0">
      <items count="8">
        <item x="0"/>
        <item x="2"/>
        <item x="3"/>
        <item x="6"/>
        <item x="1"/>
        <item x="5"/>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customer_satisfaction" fld="18" subtotal="average" baseField="0" baseItem="0" numFmtId="166"/>
  </dataFields>
  <formats count="2">
    <format dxfId="4">
      <pivotArea collapsedLevelsAreSubtotals="1" fieldPosition="0">
        <references count="1">
          <reference field="7" count="1">
            <x v="0"/>
          </reference>
        </references>
      </pivotArea>
    </format>
    <format dxfId="3">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G3:H11" firstHeaderRow="1" firstDataRow="1" firstDataCol="1"/>
  <pivotFields count="22">
    <pivotField showAll="0"/>
    <pivotField numFmtId="14" showAll="0"/>
    <pivotField showAll="0"/>
    <pivotField showAll="0">
      <items count="401">
        <item x="384"/>
        <item x="213"/>
        <item x="303"/>
        <item x="109"/>
        <item x="301"/>
        <item x="366"/>
        <item x="181"/>
        <item x="294"/>
        <item x="348"/>
        <item x="99"/>
        <item x="211"/>
        <item x="330"/>
        <item x="248"/>
        <item x="42"/>
        <item x="230"/>
        <item x="381"/>
        <item x="208"/>
        <item x="290"/>
        <item x="293"/>
        <item x="131"/>
        <item x="391"/>
        <item x="107"/>
        <item x="147"/>
        <item x="47"/>
        <item x="43"/>
        <item x="262"/>
        <item x="342"/>
        <item x="396"/>
        <item x="271"/>
        <item x="31"/>
        <item x="375"/>
        <item x="184"/>
        <item x="6"/>
        <item x="34"/>
        <item x="255"/>
        <item x="399"/>
        <item x="123"/>
        <item x="5"/>
        <item x="177"/>
        <item x="394"/>
        <item x="178"/>
        <item x="232"/>
        <item x="276"/>
        <item x="77"/>
        <item x="317"/>
        <item x="149"/>
        <item x="351"/>
        <item x="257"/>
        <item x="137"/>
        <item x="266"/>
        <item x="333"/>
        <item x="194"/>
        <item x="71"/>
        <item x="162"/>
        <item x="172"/>
        <item x="190"/>
        <item x="324"/>
        <item x="275"/>
        <item x="85"/>
        <item x="68"/>
        <item x="210"/>
        <item x="380"/>
        <item x="397"/>
        <item x="203"/>
        <item x="146"/>
        <item x="378"/>
        <item x="44"/>
        <item x="360"/>
        <item x="254"/>
        <item x="296"/>
        <item x="206"/>
        <item x="28"/>
        <item x="23"/>
        <item x="345"/>
        <item x="81"/>
        <item x="138"/>
        <item x="46"/>
        <item x="199"/>
        <item x="217"/>
        <item x="55"/>
        <item x="277"/>
        <item x="218"/>
        <item x="75"/>
        <item x="279"/>
        <item x="284"/>
        <item x="114"/>
        <item x="395"/>
        <item x="169"/>
        <item x="289"/>
        <item x="373"/>
        <item x="339"/>
        <item x="335"/>
        <item x="193"/>
        <item x="16"/>
        <item x="236"/>
        <item x="150"/>
        <item x="4"/>
        <item x="300"/>
        <item x="367"/>
        <item x="161"/>
        <item x="286"/>
        <item x="127"/>
        <item x="310"/>
        <item x="48"/>
        <item x="171"/>
        <item x="243"/>
        <item x="130"/>
        <item x="117"/>
        <item x="143"/>
        <item x="242"/>
        <item x="352"/>
        <item x="39"/>
        <item x="374"/>
        <item x="19"/>
        <item x="59"/>
        <item x="379"/>
        <item x="393"/>
        <item x="318"/>
        <item x="376"/>
        <item x="69"/>
        <item x="323"/>
        <item x="79"/>
        <item x="361"/>
        <item x="56"/>
        <item x="292"/>
        <item x="24"/>
        <item x="325"/>
        <item x="315"/>
        <item x="316"/>
        <item x="358"/>
        <item x="204"/>
        <item x="252"/>
        <item x="264"/>
        <item x="346"/>
        <item x="249"/>
        <item x="86"/>
        <item x="273"/>
        <item x="153"/>
        <item x="157"/>
        <item x="272"/>
        <item x="238"/>
        <item x="231"/>
        <item x="359"/>
        <item x="94"/>
        <item x="309"/>
        <item x="151"/>
        <item x="269"/>
        <item x="229"/>
        <item x="128"/>
        <item x="259"/>
        <item x="307"/>
        <item x="163"/>
        <item x="17"/>
        <item x="18"/>
        <item x="102"/>
        <item x="237"/>
        <item x="133"/>
        <item x="214"/>
        <item x="82"/>
        <item x="27"/>
        <item x="302"/>
        <item x="389"/>
        <item x="32"/>
        <item x="158"/>
        <item x="50"/>
        <item x="93"/>
        <item x="112"/>
        <item x="220"/>
        <item x="29"/>
        <item x="110"/>
        <item x="7"/>
        <item x="62"/>
        <item x="201"/>
        <item x="70"/>
        <item x="140"/>
        <item x="260"/>
        <item x="283"/>
        <item x="370"/>
        <item x="51"/>
        <item x="166"/>
        <item x="12"/>
        <item x="14"/>
        <item x="234"/>
        <item x="388"/>
        <item x="167"/>
        <item x="270"/>
        <item x="80"/>
        <item x="320"/>
        <item x="221"/>
        <item x="328"/>
        <item x="9"/>
        <item x="66"/>
        <item x="58"/>
        <item x="295"/>
        <item x="363"/>
        <item x="30"/>
        <item x="265"/>
        <item x="291"/>
        <item x="297"/>
        <item x="187"/>
        <item x="106"/>
        <item x="179"/>
        <item x="314"/>
        <item x="126"/>
        <item x="222"/>
        <item x="207"/>
        <item x="100"/>
        <item x="87"/>
        <item x="219"/>
        <item x="45"/>
        <item x="159"/>
        <item x="392"/>
        <item x="299"/>
        <item x="338"/>
        <item x="240"/>
        <item x="122"/>
        <item x="53"/>
        <item x="298"/>
        <item x="160"/>
        <item x="362"/>
        <item x="120"/>
        <item x="349"/>
        <item x="281"/>
        <item x="306"/>
        <item x="154"/>
        <item x="88"/>
        <item x="186"/>
        <item x="142"/>
        <item x="129"/>
        <item x="125"/>
        <item x="64"/>
        <item x="304"/>
        <item x="278"/>
        <item x="377"/>
        <item x="113"/>
        <item x="205"/>
        <item x="91"/>
        <item x="1"/>
        <item x="245"/>
        <item x="11"/>
        <item x="357"/>
        <item x="224"/>
        <item x="223"/>
        <item x="287"/>
        <item x="116"/>
        <item x="337"/>
        <item x="38"/>
        <item x="189"/>
        <item x="251"/>
        <item x="209"/>
        <item x="139"/>
        <item x="183"/>
        <item x="332"/>
        <item x="119"/>
        <item x="368"/>
        <item x="2"/>
        <item x="215"/>
        <item x="83"/>
        <item x="57"/>
        <item x="101"/>
        <item x="241"/>
        <item x="135"/>
        <item x="67"/>
        <item x="63"/>
        <item x="8"/>
        <item x="263"/>
        <item x="327"/>
        <item x="15"/>
        <item x="108"/>
        <item x="355"/>
        <item x="233"/>
        <item x="250"/>
        <item x="200"/>
        <item x="336"/>
        <item x="398"/>
        <item x="354"/>
        <item x="369"/>
        <item x="21"/>
        <item x="216"/>
        <item x="61"/>
        <item x="226"/>
        <item x="145"/>
        <item x="256"/>
        <item x="182"/>
        <item x="41"/>
        <item x="308"/>
        <item x="197"/>
        <item x="326"/>
        <item x="198"/>
        <item x="340"/>
        <item x="173"/>
        <item x="22"/>
        <item x="353"/>
        <item x="148"/>
        <item x="343"/>
        <item x="90"/>
        <item x="247"/>
        <item x="174"/>
        <item x="334"/>
        <item x="35"/>
        <item x="225"/>
        <item x="371"/>
        <item x="170"/>
        <item x="356"/>
        <item x="305"/>
        <item x="331"/>
        <item x="365"/>
        <item x="329"/>
        <item x="98"/>
        <item x="235"/>
        <item x="282"/>
        <item x="37"/>
        <item x="134"/>
        <item x="97"/>
        <item x="246"/>
        <item x="390"/>
        <item x="73"/>
        <item x="382"/>
        <item x="188"/>
        <item x="228"/>
        <item x="239"/>
        <item x="10"/>
        <item x="141"/>
        <item x="311"/>
        <item x="115"/>
        <item x="52"/>
        <item x="40"/>
        <item x="164"/>
        <item x="322"/>
        <item x="76"/>
        <item x="168"/>
        <item x="195"/>
        <item x="321"/>
        <item x="385"/>
        <item x="176"/>
        <item x="13"/>
        <item x="25"/>
        <item x="156"/>
        <item x="261"/>
        <item x="0"/>
        <item x="244"/>
        <item x="202"/>
        <item x="386"/>
        <item x="136"/>
        <item x="89"/>
        <item x="253"/>
        <item x="347"/>
        <item x="165"/>
        <item x="36"/>
        <item x="196"/>
        <item x="105"/>
        <item x="313"/>
        <item x="258"/>
        <item x="74"/>
        <item x="118"/>
        <item x="54"/>
        <item x="227"/>
        <item x="312"/>
        <item x="288"/>
        <item x="185"/>
        <item x="280"/>
        <item x="191"/>
        <item x="285"/>
        <item x="144"/>
        <item x="72"/>
        <item x="92"/>
        <item x="65"/>
        <item x="364"/>
        <item x="132"/>
        <item x="192"/>
        <item x="267"/>
        <item x="350"/>
        <item x="175"/>
        <item x="124"/>
        <item x="387"/>
        <item x="78"/>
        <item x="344"/>
        <item x="95"/>
        <item x="212"/>
        <item x="84"/>
        <item x="104"/>
        <item x="319"/>
        <item x="96"/>
        <item x="274"/>
        <item x="60"/>
        <item x="3"/>
        <item x="103"/>
        <item x="152"/>
        <item x="26"/>
        <item x="121"/>
        <item x="383"/>
        <item x="49"/>
        <item x="372"/>
        <item x="20"/>
        <item x="268"/>
        <item x="341"/>
        <item x="33"/>
        <item x="111"/>
        <item x="180"/>
        <item x="155"/>
        <item t="default"/>
      </items>
    </pivotField>
    <pivotField showAll="0"/>
    <pivotField showAll="0"/>
    <pivotField showAll="0"/>
    <pivotField showAll="0">
      <items count="6">
        <item x="1"/>
        <item x="3"/>
        <item x="2"/>
        <item x="4"/>
        <item x="0"/>
        <item t="default"/>
      </items>
    </pivotField>
    <pivotField showAll="0">
      <items count="21">
        <item x="2"/>
        <item x="4"/>
        <item x="7"/>
        <item x="3"/>
        <item x="15"/>
        <item x="13"/>
        <item x="18"/>
        <item x="9"/>
        <item x="12"/>
        <item x="17"/>
        <item x="11"/>
        <item x="8"/>
        <item x="16"/>
        <item x="14"/>
        <item x="0"/>
        <item x="10"/>
        <item x="5"/>
        <item x="19"/>
        <item x="6"/>
        <item x="1"/>
        <item t="default"/>
      </items>
    </pivotField>
    <pivotField axis="axisRow" showAll="0" sortType="descending">
      <items count="8">
        <item x="0"/>
        <item x="2"/>
        <item x="3"/>
        <item x="6"/>
        <item x="1"/>
        <item x="5"/>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9"/>
  </rowFields>
  <rowItems count="8">
    <i>
      <x v="3"/>
    </i>
    <i>
      <x v="4"/>
    </i>
    <i>
      <x v="6"/>
    </i>
    <i>
      <x v="2"/>
    </i>
    <i>
      <x/>
    </i>
    <i>
      <x v="1"/>
    </i>
    <i>
      <x v="5"/>
    </i>
    <i t="grand">
      <x/>
    </i>
  </rowItems>
  <colItems count="1">
    <i/>
  </colItems>
  <dataFields count="1">
    <dataField name="Sum of sales_amount" fld="14" baseField="0" baseItem="0" numFmtId="164"/>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31:E36" firstHeaderRow="1" firstDataRow="1" firstDataCol="1"/>
  <pivotFields count="22">
    <pivotField showAll="0"/>
    <pivotField numFmtId="14" showAll="0"/>
    <pivotField showAll="0"/>
    <pivotField showAll="0">
      <items count="401">
        <item x="384"/>
        <item x="213"/>
        <item x="303"/>
        <item x="109"/>
        <item x="301"/>
        <item x="366"/>
        <item x="181"/>
        <item x="294"/>
        <item x="348"/>
        <item x="99"/>
        <item x="211"/>
        <item x="330"/>
        <item x="248"/>
        <item x="42"/>
        <item x="230"/>
        <item x="381"/>
        <item x="208"/>
        <item x="290"/>
        <item x="293"/>
        <item x="131"/>
        <item x="391"/>
        <item x="107"/>
        <item x="147"/>
        <item x="47"/>
        <item x="43"/>
        <item x="262"/>
        <item x="342"/>
        <item x="396"/>
        <item x="271"/>
        <item x="31"/>
        <item x="375"/>
        <item x="184"/>
        <item x="6"/>
        <item x="34"/>
        <item x="255"/>
        <item x="399"/>
        <item x="123"/>
        <item x="5"/>
        <item x="177"/>
        <item x="394"/>
        <item x="178"/>
        <item x="232"/>
        <item x="276"/>
        <item x="77"/>
        <item x="317"/>
        <item x="149"/>
        <item x="351"/>
        <item x="257"/>
        <item x="137"/>
        <item x="266"/>
        <item x="333"/>
        <item x="194"/>
        <item x="71"/>
        <item x="162"/>
        <item x="172"/>
        <item x="190"/>
        <item x="324"/>
        <item x="275"/>
        <item x="85"/>
        <item x="68"/>
        <item x="210"/>
        <item x="380"/>
        <item x="397"/>
        <item x="203"/>
        <item x="146"/>
        <item x="378"/>
        <item x="44"/>
        <item x="360"/>
        <item x="254"/>
        <item x="296"/>
        <item x="206"/>
        <item x="28"/>
        <item x="23"/>
        <item x="345"/>
        <item x="81"/>
        <item x="138"/>
        <item x="46"/>
        <item x="199"/>
        <item x="217"/>
        <item x="55"/>
        <item x="277"/>
        <item x="218"/>
        <item x="75"/>
        <item x="279"/>
        <item x="284"/>
        <item x="114"/>
        <item x="395"/>
        <item x="169"/>
        <item x="289"/>
        <item x="373"/>
        <item x="339"/>
        <item x="335"/>
        <item x="193"/>
        <item x="16"/>
        <item x="236"/>
        <item x="150"/>
        <item x="4"/>
        <item x="300"/>
        <item x="367"/>
        <item x="161"/>
        <item x="286"/>
        <item x="127"/>
        <item x="310"/>
        <item x="48"/>
        <item x="171"/>
        <item x="243"/>
        <item x="130"/>
        <item x="117"/>
        <item x="143"/>
        <item x="242"/>
        <item x="352"/>
        <item x="39"/>
        <item x="374"/>
        <item x="19"/>
        <item x="59"/>
        <item x="379"/>
        <item x="393"/>
        <item x="318"/>
        <item x="376"/>
        <item x="69"/>
        <item x="323"/>
        <item x="79"/>
        <item x="361"/>
        <item x="56"/>
        <item x="292"/>
        <item x="24"/>
        <item x="325"/>
        <item x="315"/>
        <item x="316"/>
        <item x="358"/>
        <item x="204"/>
        <item x="252"/>
        <item x="264"/>
        <item x="346"/>
        <item x="249"/>
        <item x="86"/>
        <item x="273"/>
        <item x="153"/>
        <item x="157"/>
        <item x="272"/>
        <item x="238"/>
        <item x="231"/>
        <item x="359"/>
        <item x="94"/>
        <item x="309"/>
        <item x="151"/>
        <item x="269"/>
        <item x="229"/>
        <item x="128"/>
        <item x="259"/>
        <item x="307"/>
        <item x="163"/>
        <item x="17"/>
        <item x="18"/>
        <item x="102"/>
        <item x="237"/>
        <item x="133"/>
        <item x="214"/>
        <item x="82"/>
        <item x="27"/>
        <item x="302"/>
        <item x="389"/>
        <item x="32"/>
        <item x="158"/>
        <item x="50"/>
        <item x="93"/>
        <item x="112"/>
        <item x="220"/>
        <item x="29"/>
        <item x="110"/>
        <item x="7"/>
        <item x="62"/>
        <item x="201"/>
        <item x="70"/>
        <item x="140"/>
        <item x="260"/>
        <item x="283"/>
        <item x="370"/>
        <item x="51"/>
        <item x="166"/>
        <item x="12"/>
        <item x="14"/>
        <item x="234"/>
        <item x="388"/>
        <item x="167"/>
        <item x="270"/>
        <item x="80"/>
        <item x="320"/>
        <item x="221"/>
        <item x="328"/>
        <item x="9"/>
        <item x="66"/>
        <item x="58"/>
        <item x="295"/>
        <item x="363"/>
        <item x="30"/>
        <item x="265"/>
        <item x="291"/>
        <item x="297"/>
        <item x="187"/>
        <item x="106"/>
        <item x="179"/>
        <item x="314"/>
        <item x="126"/>
        <item x="222"/>
        <item x="207"/>
        <item x="100"/>
        <item x="87"/>
        <item x="219"/>
        <item x="45"/>
        <item x="159"/>
        <item x="392"/>
        <item x="299"/>
        <item x="338"/>
        <item x="240"/>
        <item x="122"/>
        <item x="53"/>
        <item x="298"/>
        <item x="160"/>
        <item x="362"/>
        <item x="120"/>
        <item x="349"/>
        <item x="281"/>
        <item x="306"/>
        <item x="154"/>
        <item x="88"/>
        <item x="186"/>
        <item x="142"/>
        <item x="129"/>
        <item x="125"/>
        <item x="64"/>
        <item x="304"/>
        <item x="278"/>
        <item x="377"/>
        <item x="113"/>
        <item x="205"/>
        <item x="91"/>
        <item x="1"/>
        <item x="245"/>
        <item x="11"/>
        <item x="357"/>
        <item x="224"/>
        <item x="223"/>
        <item x="287"/>
        <item x="116"/>
        <item x="337"/>
        <item x="38"/>
        <item x="189"/>
        <item x="251"/>
        <item x="209"/>
        <item x="139"/>
        <item x="183"/>
        <item x="332"/>
        <item x="119"/>
        <item x="368"/>
        <item x="2"/>
        <item x="215"/>
        <item x="83"/>
        <item x="57"/>
        <item x="101"/>
        <item x="241"/>
        <item x="135"/>
        <item x="67"/>
        <item x="63"/>
        <item x="8"/>
        <item x="263"/>
        <item x="327"/>
        <item x="15"/>
        <item x="108"/>
        <item x="355"/>
        <item x="233"/>
        <item x="250"/>
        <item x="200"/>
        <item x="336"/>
        <item x="398"/>
        <item x="354"/>
        <item x="369"/>
        <item x="21"/>
        <item x="216"/>
        <item x="61"/>
        <item x="226"/>
        <item x="145"/>
        <item x="256"/>
        <item x="182"/>
        <item x="41"/>
        <item x="308"/>
        <item x="197"/>
        <item x="326"/>
        <item x="198"/>
        <item x="340"/>
        <item x="173"/>
        <item x="22"/>
        <item x="353"/>
        <item x="148"/>
        <item x="343"/>
        <item x="90"/>
        <item x="247"/>
        <item x="174"/>
        <item x="334"/>
        <item x="35"/>
        <item x="225"/>
        <item x="371"/>
        <item x="170"/>
        <item x="356"/>
        <item x="305"/>
        <item x="331"/>
        <item x="365"/>
        <item x="329"/>
        <item x="98"/>
        <item x="235"/>
        <item x="282"/>
        <item x="37"/>
        <item x="134"/>
        <item x="97"/>
        <item x="246"/>
        <item x="390"/>
        <item x="73"/>
        <item x="382"/>
        <item x="188"/>
        <item x="228"/>
        <item x="239"/>
        <item x="10"/>
        <item x="141"/>
        <item x="311"/>
        <item x="115"/>
        <item x="52"/>
        <item x="40"/>
        <item x="164"/>
        <item x="322"/>
        <item x="76"/>
        <item x="168"/>
        <item x="195"/>
        <item x="321"/>
        <item x="385"/>
        <item x="176"/>
        <item x="13"/>
        <item x="25"/>
        <item x="156"/>
        <item x="261"/>
        <item x="0"/>
        <item x="244"/>
        <item x="202"/>
        <item x="386"/>
        <item x="136"/>
        <item x="89"/>
        <item x="253"/>
        <item x="347"/>
        <item x="165"/>
        <item x="36"/>
        <item x="196"/>
        <item x="105"/>
        <item x="313"/>
        <item x="258"/>
        <item x="74"/>
        <item x="118"/>
        <item x="54"/>
        <item x="227"/>
        <item x="312"/>
        <item x="288"/>
        <item x="185"/>
        <item x="280"/>
        <item x="191"/>
        <item x="285"/>
        <item x="144"/>
        <item x="72"/>
        <item x="92"/>
        <item x="65"/>
        <item x="364"/>
        <item x="132"/>
        <item x="192"/>
        <item x="267"/>
        <item x="350"/>
        <item x="175"/>
        <item x="124"/>
        <item x="387"/>
        <item x="78"/>
        <item x="344"/>
        <item x="95"/>
        <item x="212"/>
        <item x="84"/>
        <item x="104"/>
        <item x="319"/>
        <item x="96"/>
        <item x="274"/>
        <item x="60"/>
        <item x="3"/>
        <item x="103"/>
        <item x="152"/>
        <item x="26"/>
        <item x="121"/>
        <item x="383"/>
        <item x="49"/>
        <item x="372"/>
        <item x="20"/>
        <item x="268"/>
        <item x="341"/>
        <item x="33"/>
        <item x="111"/>
        <item x="180"/>
        <item x="155"/>
        <item t="default"/>
      </items>
    </pivotField>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items count="6">
        <item x="1"/>
        <item x="3"/>
        <item x="2"/>
        <item x="4"/>
        <item x="0"/>
        <item t="default"/>
      </items>
    </pivotField>
    <pivotField showAll="0">
      <items count="21">
        <item x="2"/>
        <item x="4"/>
        <item x="7"/>
        <item x="3"/>
        <item x="15"/>
        <item x="13"/>
        <item x="18"/>
        <item x="9"/>
        <item x="12"/>
        <item x="17"/>
        <item x="11"/>
        <item x="8"/>
        <item x="16"/>
        <item x="14"/>
        <item x="0"/>
        <item x="10"/>
        <item x="5"/>
        <item x="19"/>
        <item x="6"/>
        <item x="1"/>
        <item t="default"/>
      </items>
    </pivotField>
    <pivotField showAll="0" sortType="descending">
      <items count="8">
        <item x="0"/>
        <item x="2"/>
        <item x="3"/>
        <item x="6"/>
        <item x="1"/>
        <item x="5"/>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5"/>
  </rowFields>
  <rowItems count="5">
    <i>
      <x v="2"/>
    </i>
    <i>
      <x v="1"/>
    </i>
    <i>
      <x/>
    </i>
    <i>
      <x v="3"/>
    </i>
    <i t="grand">
      <x/>
    </i>
  </rowItems>
  <colItems count="1">
    <i/>
  </colItems>
  <dataFields count="1">
    <dataField name="Sum of sales_amount" fld="14" baseField="0" baseItem="0" numFmtId="165"/>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3"/>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 chart="3" format="12">
      <pivotArea type="data" outline="0" fieldPosition="0">
        <references count="2">
          <reference field="4294967294" count="1" selected="0">
            <x v="0"/>
          </reference>
          <reference field="5" count="1" selected="0">
            <x v="1"/>
          </reference>
        </references>
      </pivotArea>
    </chartFormat>
    <chartFormat chart="3" format="13">
      <pivotArea type="data" outline="0" fieldPosition="0">
        <references count="2">
          <reference field="4294967294" count="1" selected="0">
            <x v="0"/>
          </reference>
          <reference field="5" count="1" selected="0">
            <x v="0"/>
          </reference>
        </references>
      </pivotArea>
    </chartFormat>
    <chartFormat chart="3"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4" firstHeaderRow="0" firstDataRow="1" firstDataCol="0"/>
  <pivotFields count="22">
    <pivotField showAll="0"/>
    <pivotField numFmtId="14" showAll="0"/>
    <pivotField showAll="0"/>
    <pivotField showAll="0">
      <items count="401">
        <item x="384"/>
        <item x="213"/>
        <item x="303"/>
        <item x="109"/>
        <item x="301"/>
        <item x="366"/>
        <item x="181"/>
        <item x="294"/>
        <item x="348"/>
        <item x="99"/>
        <item x="211"/>
        <item x="330"/>
        <item x="248"/>
        <item x="42"/>
        <item x="230"/>
        <item x="381"/>
        <item x="208"/>
        <item x="290"/>
        <item x="293"/>
        <item x="131"/>
        <item x="391"/>
        <item x="107"/>
        <item x="147"/>
        <item x="47"/>
        <item x="43"/>
        <item x="262"/>
        <item x="342"/>
        <item x="396"/>
        <item x="271"/>
        <item x="31"/>
        <item x="375"/>
        <item x="184"/>
        <item x="6"/>
        <item x="34"/>
        <item x="255"/>
        <item x="399"/>
        <item x="123"/>
        <item x="5"/>
        <item x="177"/>
        <item x="394"/>
        <item x="178"/>
        <item x="232"/>
        <item x="276"/>
        <item x="77"/>
        <item x="317"/>
        <item x="149"/>
        <item x="351"/>
        <item x="257"/>
        <item x="137"/>
        <item x="266"/>
        <item x="333"/>
        <item x="194"/>
        <item x="71"/>
        <item x="162"/>
        <item x="172"/>
        <item x="190"/>
        <item x="324"/>
        <item x="275"/>
        <item x="85"/>
        <item x="68"/>
        <item x="210"/>
        <item x="380"/>
        <item x="397"/>
        <item x="203"/>
        <item x="146"/>
        <item x="378"/>
        <item x="44"/>
        <item x="360"/>
        <item x="254"/>
        <item x="296"/>
        <item x="206"/>
        <item x="28"/>
        <item x="23"/>
        <item x="345"/>
        <item x="81"/>
        <item x="138"/>
        <item x="46"/>
        <item x="199"/>
        <item x="217"/>
        <item x="55"/>
        <item x="277"/>
        <item x="218"/>
        <item x="75"/>
        <item x="279"/>
        <item x="284"/>
        <item x="114"/>
        <item x="395"/>
        <item x="169"/>
        <item x="289"/>
        <item x="373"/>
        <item x="339"/>
        <item x="335"/>
        <item x="193"/>
        <item x="16"/>
        <item x="236"/>
        <item x="150"/>
        <item x="4"/>
        <item x="300"/>
        <item x="367"/>
        <item x="161"/>
        <item x="286"/>
        <item x="127"/>
        <item x="310"/>
        <item x="48"/>
        <item x="171"/>
        <item x="243"/>
        <item x="130"/>
        <item x="117"/>
        <item x="143"/>
        <item x="242"/>
        <item x="352"/>
        <item x="39"/>
        <item x="374"/>
        <item x="19"/>
        <item x="59"/>
        <item x="379"/>
        <item x="393"/>
        <item x="318"/>
        <item x="376"/>
        <item x="69"/>
        <item x="323"/>
        <item x="79"/>
        <item x="361"/>
        <item x="56"/>
        <item x="292"/>
        <item x="24"/>
        <item x="325"/>
        <item x="315"/>
        <item x="316"/>
        <item x="358"/>
        <item x="204"/>
        <item x="252"/>
        <item x="264"/>
        <item x="346"/>
        <item x="249"/>
        <item x="86"/>
        <item x="273"/>
        <item x="153"/>
        <item x="157"/>
        <item x="272"/>
        <item x="238"/>
        <item x="231"/>
        <item x="359"/>
        <item x="94"/>
        <item x="309"/>
        <item x="151"/>
        <item x="269"/>
        <item x="229"/>
        <item x="128"/>
        <item x="259"/>
        <item x="307"/>
        <item x="163"/>
        <item x="17"/>
        <item x="18"/>
        <item x="102"/>
        <item x="237"/>
        <item x="133"/>
        <item x="214"/>
        <item x="82"/>
        <item x="27"/>
        <item x="302"/>
        <item x="389"/>
        <item x="32"/>
        <item x="158"/>
        <item x="50"/>
        <item x="93"/>
        <item x="112"/>
        <item x="220"/>
        <item x="29"/>
        <item x="110"/>
        <item x="7"/>
        <item x="62"/>
        <item x="201"/>
        <item x="70"/>
        <item x="140"/>
        <item x="260"/>
        <item x="283"/>
        <item x="370"/>
        <item x="51"/>
        <item x="166"/>
        <item x="12"/>
        <item x="14"/>
        <item x="234"/>
        <item x="388"/>
        <item x="167"/>
        <item x="270"/>
        <item x="80"/>
        <item x="320"/>
        <item x="221"/>
        <item x="328"/>
        <item x="9"/>
        <item x="66"/>
        <item x="58"/>
        <item x="295"/>
        <item x="363"/>
        <item x="30"/>
        <item x="265"/>
        <item x="291"/>
        <item x="297"/>
        <item x="187"/>
        <item x="106"/>
        <item x="179"/>
        <item x="314"/>
        <item x="126"/>
        <item x="222"/>
        <item x="207"/>
        <item x="100"/>
        <item x="87"/>
        <item x="219"/>
        <item x="45"/>
        <item x="159"/>
        <item x="392"/>
        <item x="299"/>
        <item x="338"/>
        <item x="240"/>
        <item x="122"/>
        <item x="53"/>
        <item x="298"/>
        <item x="160"/>
        <item x="362"/>
        <item x="120"/>
        <item x="349"/>
        <item x="281"/>
        <item x="306"/>
        <item x="154"/>
        <item x="88"/>
        <item x="186"/>
        <item x="142"/>
        <item x="129"/>
        <item x="125"/>
        <item x="64"/>
        <item x="304"/>
        <item x="278"/>
        <item x="377"/>
        <item x="113"/>
        <item x="205"/>
        <item x="91"/>
        <item x="1"/>
        <item x="245"/>
        <item x="11"/>
        <item x="357"/>
        <item x="224"/>
        <item x="223"/>
        <item x="287"/>
        <item x="116"/>
        <item x="337"/>
        <item x="38"/>
        <item x="189"/>
        <item x="251"/>
        <item x="209"/>
        <item x="139"/>
        <item x="183"/>
        <item x="332"/>
        <item x="119"/>
        <item x="368"/>
        <item x="2"/>
        <item x="215"/>
        <item x="83"/>
        <item x="57"/>
        <item x="101"/>
        <item x="241"/>
        <item x="135"/>
        <item x="67"/>
        <item x="63"/>
        <item x="8"/>
        <item x="263"/>
        <item x="327"/>
        <item x="15"/>
        <item x="108"/>
        <item x="355"/>
        <item x="233"/>
        <item x="250"/>
        <item x="200"/>
        <item x="336"/>
        <item x="398"/>
        <item x="354"/>
        <item x="369"/>
        <item x="21"/>
        <item x="216"/>
        <item x="61"/>
        <item x="226"/>
        <item x="145"/>
        <item x="256"/>
        <item x="182"/>
        <item x="41"/>
        <item x="308"/>
        <item x="197"/>
        <item x="326"/>
        <item x="198"/>
        <item x="340"/>
        <item x="173"/>
        <item x="22"/>
        <item x="353"/>
        <item x="148"/>
        <item x="343"/>
        <item x="90"/>
        <item x="247"/>
        <item x="174"/>
        <item x="334"/>
        <item x="35"/>
        <item x="225"/>
        <item x="371"/>
        <item x="170"/>
        <item x="356"/>
        <item x="305"/>
        <item x="331"/>
        <item x="365"/>
        <item x="329"/>
        <item x="98"/>
        <item x="235"/>
        <item x="282"/>
        <item x="37"/>
        <item x="134"/>
        <item x="97"/>
        <item x="246"/>
        <item x="390"/>
        <item x="73"/>
        <item x="382"/>
        <item x="188"/>
        <item x="228"/>
        <item x="239"/>
        <item x="10"/>
        <item x="141"/>
        <item x="311"/>
        <item x="115"/>
        <item x="52"/>
        <item x="40"/>
        <item x="164"/>
        <item x="322"/>
        <item x="76"/>
        <item x="168"/>
        <item x="195"/>
        <item x="321"/>
        <item x="385"/>
        <item x="176"/>
        <item x="13"/>
        <item x="25"/>
        <item x="156"/>
        <item x="261"/>
        <item x="0"/>
        <item x="244"/>
        <item x="202"/>
        <item x="386"/>
        <item x="136"/>
        <item x="89"/>
        <item x="253"/>
        <item x="347"/>
        <item x="165"/>
        <item x="36"/>
        <item x="196"/>
        <item x="105"/>
        <item x="313"/>
        <item x="258"/>
        <item x="74"/>
        <item x="118"/>
        <item x="54"/>
        <item x="227"/>
        <item x="312"/>
        <item x="288"/>
        <item x="185"/>
        <item x="280"/>
        <item x="191"/>
        <item x="285"/>
        <item x="144"/>
        <item x="72"/>
        <item x="92"/>
        <item x="65"/>
        <item x="364"/>
        <item x="132"/>
        <item x="192"/>
        <item x="267"/>
        <item x="350"/>
        <item x="175"/>
        <item x="124"/>
        <item x="387"/>
        <item x="78"/>
        <item x="344"/>
        <item x="95"/>
        <item x="212"/>
        <item x="84"/>
        <item x="104"/>
        <item x="319"/>
        <item x="96"/>
        <item x="274"/>
        <item x="60"/>
        <item x="3"/>
        <item x="103"/>
        <item x="152"/>
        <item x="26"/>
        <item x="121"/>
        <item x="383"/>
        <item x="49"/>
        <item x="372"/>
        <item x="20"/>
        <item x="268"/>
        <item x="341"/>
        <item x="33"/>
        <item x="111"/>
        <item x="180"/>
        <item x="155"/>
        <item t="default"/>
      </items>
    </pivotField>
    <pivotField showAll="0"/>
    <pivotField showAll="0"/>
    <pivotField showAll="0"/>
    <pivotField showAll="0">
      <items count="6">
        <item x="1"/>
        <item x="3"/>
        <item x="2"/>
        <item x="4"/>
        <item x="0"/>
        <item t="default"/>
      </items>
    </pivotField>
    <pivotField showAll="0">
      <items count="21">
        <item x="2"/>
        <item x="4"/>
        <item x="7"/>
        <item x="3"/>
        <item x="15"/>
        <item x="13"/>
        <item x="18"/>
        <item x="9"/>
        <item x="12"/>
        <item x="17"/>
        <item x="11"/>
        <item x="8"/>
        <item x="16"/>
        <item x="14"/>
        <item x="0"/>
        <item x="10"/>
        <item x="5"/>
        <item x="19"/>
        <item x="6"/>
        <item x="1"/>
        <item t="default"/>
      </items>
    </pivotField>
    <pivotField showAll="0">
      <items count="8">
        <item x="0"/>
        <item x="2"/>
        <item x="3"/>
        <item x="6"/>
        <item x="1"/>
        <item x="5"/>
        <item x="4"/>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sales_amount" fld="14" baseField="0" baseItem="0" numFmtId="164"/>
    <dataField name="Sum of profit" fld="15" baseField="0"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7:B28" firstHeaderRow="1" firstDataRow="1" firstDataCol="1"/>
  <pivotFields count="22">
    <pivotField showAll="0"/>
    <pivotField numFmtId="14" showAll="0"/>
    <pivotField showAll="0"/>
    <pivotField showAll="0">
      <items count="401">
        <item x="384"/>
        <item x="213"/>
        <item x="303"/>
        <item x="109"/>
        <item x="301"/>
        <item x="366"/>
        <item x="181"/>
        <item x="294"/>
        <item x="348"/>
        <item x="99"/>
        <item x="211"/>
        <item x="330"/>
        <item x="248"/>
        <item x="42"/>
        <item x="230"/>
        <item x="381"/>
        <item x="208"/>
        <item x="290"/>
        <item x="293"/>
        <item x="131"/>
        <item x="391"/>
        <item x="107"/>
        <item x="147"/>
        <item x="47"/>
        <item x="43"/>
        <item x="262"/>
        <item x="342"/>
        <item x="396"/>
        <item x="271"/>
        <item x="31"/>
        <item x="375"/>
        <item x="184"/>
        <item x="6"/>
        <item x="34"/>
        <item x="255"/>
        <item x="399"/>
        <item x="123"/>
        <item x="5"/>
        <item x="177"/>
        <item x="394"/>
        <item x="178"/>
        <item x="232"/>
        <item x="276"/>
        <item x="77"/>
        <item x="317"/>
        <item x="149"/>
        <item x="351"/>
        <item x="257"/>
        <item x="137"/>
        <item x="266"/>
        <item x="333"/>
        <item x="194"/>
        <item x="71"/>
        <item x="162"/>
        <item x="172"/>
        <item x="190"/>
        <item x="324"/>
        <item x="275"/>
        <item x="85"/>
        <item x="68"/>
        <item x="210"/>
        <item x="380"/>
        <item x="397"/>
        <item x="203"/>
        <item x="146"/>
        <item x="378"/>
        <item x="44"/>
        <item x="360"/>
        <item x="254"/>
        <item x="296"/>
        <item x="206"/>
        <item x="28"/>
        <item x="23"/>
        <item x="345"/>
        <item x="81"/>
        <item x="138"/>
        <item x="46"/>
        <item x="199"/>
        <item x="217"/>
        <item x="55"/>
        <item x="277"/>
        <item x="218"/>
        <item x="75"/>
        <item x="279"/>
        <item x="284"/>
        <item x="114"/>
        <item x="395"/>
        <item x="169"/>
        <item x="289"/>
        <item x="373"/>
        <item x="339"/>
        <item x="335"/>
        <item x="193"/>
        <item x="16"/>
        <item x="236"/>
        <item x="150"/>
        <item x="4"/>
        <item x="300"/>
        <item x="367"/>
        <item x="161"/>
        <item x="286"/>
        <item x="127"/>
        <item x="310"/>
        <item x="48"/>
        <item x="171"/>
        <item x="243"/>
        <item x="130"/>
        <item x="117"/>
        <item x="143"/>
        <item x="242"/>
        <item x="352"/>
        <item x="39"/>
        <item x="374"/>
        <item x="19"/>
        <item x="59"/>
        <item x="379"/>
        <item x="393"/>
        <item x="318"/>
        <item x="376"/>
        <item x="69"/>
        <item x="323"/>
        <item x="79"/>
        <item x="361"/>
        <item x="56"/>
        <item x="292"/>
        <item x="24"/>
        <item x="325"/>
        <item x="315"/>
        <item x="316"/>
        <item x="358"/>
        <item x="204"/>
        <item x="252"/>
        <item x="264"/>
        <item x="346"/>
        <item x="249"/>
        <item x="86"/>
        <item x="273"/>
        <item x="153"/>
        <item x="157"/>
        <item x="272"/>
        <item x="238"/>
        <item x="231"/>
        <item x="359"/>
        <item x="94"/>
        <item x="309"/>
        <item x="151"/>
        <item x="269"/>
        <item x="229"/>
        <item x="128"/>
        <item x="259"/>
        <item x="307"/>
        <item x="163"/>
        <item x="17"/>
        <item x="18"/>
        <item x="102"/>
        <item x="237"/>
        <item x="133"/>
        <item x="214"/>
        <item x="82"/>
        <item x="27"/>
        <item x="302"/>
        <item x="389"/>
        <item x="32"/>
        <item x="158"/>
        <item x="50"/>
        <item x="93"/>
        <item x="112"/>
        <item x="220"/>
        <item x="29"/>
        <item x="110"/>
        <item x="7"/>
        <item x="62"/>
        <item x="201"/>
        <item x="70"/>
        <item x="140"/>
        <item x="260"/>
        <item x="283"/>
        <item x="370"/>
        <item x="51"/>
        <item x="166"/>
        <item x="12"/>
        <item x="14"/>
        <item x="234"/>
        <item x="388"/>
        <item x="167"/>
        <item x="270"/>
        <item x="80"/>
        <item x="320"/>
        <item x="221"/>
        <item x="328"/>
        <item x="9"/>
        <item x="66"/>
        <item x="58"/>
        <item x="295"/>
        <item x="363"/>
        <item x="30"/>
        <item x="265"/>
        <item x="291"/>
        <item x="297"/>
        <item x="187"/>
        <item x="106"/>
        <item x="179"/>
        <item x="314"/>
        <item x="126"/>
        <item x="222"/>
        <item x="207"/>
        <item x="100"/>
        <item x="87"/>
        <item x="219"/>
        <item x="45"/>
        <item x="159"/>
        <item x="392"/>
        <item x="299"/>
        <item x="338"/>
        <item x="240"/>
        <item x="122"/>
        <item x="53"/>
        <item x="298"/>
        <item x="160"/>
        <item x="362"/>
        <item x="120"/>
        <item x="349"/>
        <item x="281"/>
        <item x="306"/>
        <item x="154"/>
        <item x="88"/>
        <item x="186"/>
        <item x="142"/>
        <item x="129"/>
        <item x="125"/>
        <item x="64"/>
        <item x="304"/>
        <item x="278"/>
        <item x="377"/>
        <item x="113"/>
        <item x="205"/>
        <item x="91"/>
        <item x="1"/>
        <item x="245"/>
        <item x="11"/>
        <item x="357"/>
        <item x="224"/>
        <item x="223"/>
        <item x="287"/>
        <item x="116"/>
        <item x="337"/>
        <item x="38"/>
        <item x="189"/>
        <item x="251"/>
        <item x="209"/>
        <item x="139"/>
        <item x="183"/>
        <item x="332"/>
        <item x="119"/>
        <item x="368"/>
        <item x="2"/>
        <item x="215"/>
        <item x="83"/>
        <item x="57"/>
        <item x="101"/>
        <item x="241"/>
        <item x="135"/>
        <item x="67"/>
        <item x="63"/>
        <item x="8"/>
        <item x="263"/>
        <item x="327"/>
        <item x="15"/>
        <item x="108"/>
        <item x="355"/>
        <item x="233"/>
        <item x="250"/>
        <item x="200"/>
        <item x="336"/>
        <item x="398"/>
        <item x="354"/>
        <item x="369"/>
        <item x="21"/>
        <item x="216"/>
        <item x="61"/>
        <item x="226"/>
        <item x="145"/>
        <item x="256"/>
        <item x="182"/>
        <item x="41"/>
        <item x="308"/>
        <item x="197"/>
        <item x="326"/>
        <item x="198"/>
        <item x="340"/>
        <item x="173"/>
        <item x="22"/>
        <item x="353"/>
        <item x="148"/>
        <item x="343"/>
        <item x="90"/>
        <item x="247"/>
        <item x="174"/>
        <item x="334"/>
        <item x="35"/>
        <item x="225"/>
        <item x="371"/>
        <item x="170"/>
        <item x="356"/>
        <item x="305"/>
        <item x="331"/>
        <item x="365"/>
        <item x="329"/>
        <item x="98"/>
        <item x="235"/>
        <item x="282"/>
        <item x="37"/>
        <item x="134"/>
        <item x="97"/>
        <item x="246"/>
        <item x="390"/>
        <item x="73"/>
        <item x="382"/>
        <item x="188"/>
        <item x="228"/>
        <item x="239"/>
        <item x="10"/>
        <item x="141"/>
        <item x="311"/>
        <item x="115"/>
        <item x="52"/>
        <item x="40"/>
        <item x="164"/>
        <item x="322"/>
        <item x="76"/>
        <item x="168"/>
        <item x="195"/>
        <item x="321"/>
        <item x="385"/>
        <item x="176"/>
        <item x="13"/>
        <item x="25"/>
        <item x="156"/>
        <item x="261"/>
        <item x="0"/>
        <item x="244"/>
        <item x="202"/>
        <item x="386"/>
        <item x="136"/>
        <item x="89"/>
        <item x="253"/>
        <item x="347"/>
        <item x="165"/>
        <item x="36"/>
        <item x="196"/>
        <item x="105"/>
        <item x="313"/>
        <item x="258"/>
        <item x="74"/>
        <item x="118"/>
        <item x="54"/>
        <item x="227"/>
        <item x="312"/>
        <item x="288"/>
        <item x="185"/>
        <item x="280"/>
        <item x="191"/>
        <item x="285"/>
        <item x="144"/>
        <item x="72"/>
        <item x="92"/>
        <item x="65"/>
        <item x="364"/>
        <item x="132"/>
        <item x="192"/>
        <item x="267"/>
        <item x="350"/>
        <item x="175"/>
        <item x="124"/>
        <item x="387"/>
        <item x="78"/>
        <item x="344"/>
        <item x="95"/>
        <item x="212"/>
        <item x="84"/>
        <item x="104"/>
        <item x="319"/>
        <item x="96"/>
        <item x="274"/>
        <item x="60"/>
        <item x="3"/>
        <item x="103"/>
        <item x="152"/>
        <item x="26"/>
        <item x="121"/>
        <item x="383"/>
        <item x="49"/>
        <item x="372"/>
        <item x="20"/>
        <item x="268"/>
        <item x="341"/>
        <item x="33"/>
        <item x="111"/>
        <item x="180"/>
        <item x="155"/>
        <item t="default"/>
      </items>
    </pivotField>
    <pivotField showAll="0"/>
    <pivotField showAll="0"/>
    <pivotField showAll="0"/>
    <pivotField showAll="0">
      <items count="6">
        <item x="1"/>
        <item x="3"/>
        <item x="2"/>
        <item x="4"/>
        <item x="0"/>
        <item t="default"/>
      </items>
    </pivotField>
    <pivotField axis="axisRow" showAll="0" sortType="descending">
      <items count="21">
        <item x="2"/>
        <item x="4"/>
        <item x="7"/>
        <item x="3"/>
        <item x="15"/>
        <item x="13"/>
        <item x="18"/>
        <item x="9"/>
        <item x="12"/>
        <item x="17"/>
        <item x="11"/>
        <item x="8"/>
        <item x="16"/>
        <item x="14"/>
        <item x="0"/>
        <item x="10"/>
        <item x="5"/>
        <item x="19"/>
        <item x="6"/>
        <item x="1"/>
        <item t="default"/>
      </items>
      <autoSortScope>
        <pivotArea dataOnly="0" outline="0" fieldPosition="0">
          <references count="1">
            <reference field="4294967294" count="1" selected="0">
              <x v="0"/>
            </reference>
          </references>
        </pivotArea>
      </autoSortScope>
    </pivotField>
    <pivotField showAll="0">
      <items count="8">
        <item x="0"/>
        <item x="2"/>
        <item x="3"/>
        <item x="6"/>
        <item x="1"/>
        <item x="5"/>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8"/>
  </rowFields>
  <rowItems count="21">
    <i>
      <x v="1"/>
    </i>
    <i>
      <x v="6"/>
    </i>
    <i>
      <x v="14"/>
    </i>
    <i>
      <x v="12"/>
    </i>
    <i>
      <x/>
    </i>
    <i>
      <x v="9"/>
    </i>
    <i>
      <x v="8"/>
    </i>
    <i>
      <x v="7"/>
    </i>
    <i>
      <x v="4"/>
    </i>
    <i>
      <x v="19"/>
    </i>
    <i>
      <x v="10"/>
    </i>
    <i>
      <x v="13"/>
    </i>
    <i>
      <x v="2"/>
    </i>
    <i>
      <x v="15"/>
    </i>
    <i>
      <x v="17"/>
    </i>
    <i>
      <x v="11"/>
    </i>
    <i>
      <x v="16"/>
    </i>
    <i>
      <x v="18"/>
    </i>
    <i>
      <x v="5"/>
    </i>
    <i>
      <x v="3"/>
    </i>
    <i t="grand">
      <x/>
    </i>
  </rowItems>
  <colItems count="1">
    <i/>
  </colItems>
  <dataFields count="1">
    <dataField name="Sum of sales_amount" fld="14" baseField="0" baseItem="0" numFmtId="164"/>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5:E28" firstHeaderRow="1" firstDataRow="1" firstDataCol="1"/>
  <pivotFields count="22">
    <pivotField dataField="1" showAll="0"/>
    <pivotField numFmtId="14" showAll="0"/>
    <pivotField showAll="0"/>
    <pivotField showAll="0">
      <items count="401">
        <item x="384"/>
        <item x="213"/>
        <item x="303"/>
        <item x="109"/>
        <item x="301"/>
        <item x="366"/>
        <item x="181"/>
        <item x="294"/>
        <item x="348"/>
        <item x="99"/>
        <item x="211"/>
        <item x="330"/>
        <item x="248"/>
        <item x="42"/>
        <item x="230"/>
        <item x="381"/>
        <item x="208"/>
        <item x="290"/>
        <item x="293"/>
        <item x="131"/>
        <item x="391"/>
        <item x="107"/>
        <item x="147"/>
        <item x="47"/>
        <item x="43"/>
        <item x="262"/>
        <item x="342"/>
        <item x="396"/>
        <item x="271"/>
        <item x="31"/>
        <item x="375"/>
        <item x="184"/>
        <item x="6"/>
        <item x="34"/>
        <item x="255"/>
        <item x="399"/>
        <item x="123"/>
        <item x="5"/>
        <item x="177"/>
        <item x="394"/>
        <item x="178"/>
        <item x="232"/>
        <item x="276"/>
        <item x="77"/>
        <item x="317"/>
        <item x="149"/>
        <item x="351"/>
        <item x="257"/>
        <item x="137"/>
        <item x="266"/>
        <item x="333"/>
        <item x="194"/>
        <item x="71"/>
        <item x="162"/>
        <item x="172"/>
        <item x="190"/>
        <item x="324"/>
        <item x="275"/>
        <item x="85"/>
        <item x="68"/>
        <item x="210"/>
        <item x="380"/>
        <item x="397"/>
        <item x="203"/>
        <item x="146"/>
        <item x="378"/>
        <item x="44"/>
        <item x="360"/>
        <item x="254"/>
        <item x="296"/>
        <item x="206"/>
        <item x="28"/>
        <item x="23"/>
        <item x="345"/>
        <item x="81"/>
        <item x="138"/>
        <item x="46"/>
        <item x="199"/>
        <item x="217"/>
        <item x="55"/>
        <item x="277"/>
        <item x="218"/>
        <item x="75"/>
        <item x="279"/>
        <item x="284"/>
        <item x="114"/>
        <item x="395"/>
        <item x="169"/>
        <item x="289"/>
        <item x="373"/>
        <item x="339"/>
        <item x="335"/>
        <item x="193"/>
        <item x="16"/>
        <item x="236"/>
        <item x="150"/>
        <item x="4"/>
        <item x="300"/>
        <item x="367"/>
        <item x="161"/>
        <item x="286"/>
        <item x="127"/>
        <item x="310"/>
        <item x="48"/>
        <item x="171"/>
        <item x="243"/>
        <item x="130"/>
        <item x="117"/>
        <item x="143"/>
        <item x="242"/>
        <item x="352"/>
        <item x="39"/>
        <item x="374"/>
        <item x="19"/>
        <item x="59"/>
        <item x="379"/>
        <item x="393"/>
        <item x="318"/>
        <item x="376"/>
        <item x="69"/>
        <item x="323"/>
        <item x="79"/>
        <item x="361"/>
        <item x="56"/>
        <item x="292"/>
        <item x="24"/>
        <item x="325"/>
        <item x="315"/>
        <item x="316"/>
        <item x="358"/>
        <item x="204"/>
        <item x="252"/>
        <item x="264"/>
        <item x="346"/>
        <item x="249"/>
        <item x="86"/>
        <item x="273"/>
        <item x="153"/>
        <item x="157"/>
        <item x="272"/>
        <item x="238"/>
        <item x="231"/>
        <item x="359"/>
        <item x="94"/>
        <item x="309"/>
        <item x="151"/>
        <item x="269"/>
        <item x="229"/>
        <item x="128"/>
        <item x="259"/>
        <item x="307"/>
        <item x="163"/>
        <item x="17"/>
        <item x="18"/>
        <item x="102"/>
        <item x="237"/>
        <item x="133"/>
        <item x="214"/>
        <item x="82"/>
        <item x="27"/>
        <item x="302"/>
        <item x="389"/>
        <item x="32"/>
        <item x="158"/>
        <item x="50"/>
        <item x="93"/>
        <item x="112"/>
        <item x="220"/>
        <item x="29"/>
        <item x="110"/>
        <item x="7"/>
        <item x="62"/>
        <item x="201"/>
        <item x="70"/>
        <item x="140"/>
        <item x="260"/>
        <item x="283"/>
        <item x="370"/>
        <item x="51"/>
        <item x="166"/>
        <item x="12"/>
        <item x="14"/>
        <item x="234"/>
        <item x="388"/>
        <item x="167"/>
        <item x="270"/>
        <item x="80"/>
        <item x="320"/>
        <item x="221"/>
        <item x="328"/>
        <item x="9"/>
        <item x="66"/>
        <item x="58"/>
        <item x="295"/>
        <item x="363"/>
        <item x="30"/>
        <item x="265"/>
        <item x="291"/>
        <item x="297"/>
        <item x="187"/>
        <item x="106"/>
        <item x="179"/>
        <item x="314"/>
        <item x="126"/>
        <item x="222"/>
        <item x="207"/>
        <item x="100"/>
        <item x="87"/>
        <item x="219"/>
        <item x="45"/>
        <item x="159"/>
        <item x="392"/>
        <item x="299"/>
        <item x="338"/>
        <item x="240"/>
        <item x="122"/>
        <item x="53"/>
        <item x="298"/>
        <item x="160"/>
        <item x="362"/>
        <item x="120"/>
        <item x="349"/>
        <item x="281"/>
        <item x="306"/>
        <item x="154"/>
        <item x="88"/>
        <item x="186"/>
        <item x="142"/>
        <item x="129"/>
        <item x="125"/>
        <item x="64"/>
        <item x="304"/>
        <item x="278"/>
        <item x="377"/>
        <item x="113"/>
        <item x="205"/>
        <item x="91"/>
        <item x="1"/>
        <item x="245"/>
        <item x="11"/>
        <item x="357"/>
        <item x="224"/>
        <item x="223"/>
        <item x="287"/>
        <item x="116"/>
        <item x="337"/>
        <item x="38"/>
        <item x="189"/>
        <item x="251"/>
        <item x="209"/>
        <item x="139"/>
        <item x="183"/>
        <item x="332"/>
        <item x="119"/>
        <item x="368"/>
        <item x="2"/>
        <item x="215"/>
        <item x="83"/>
        <item x="57"/>
        <item x="101"/>
        <item x="241"/>
        <item x="135"/>
        <item x="67"/>
        <item x="63"/>
        <item x="8"/>
        <item x="263"/>
        <item x="327"/>
        <item x="15"/>
        <item x="108"/>
        <item x="355"/>
        <item x="233"/>
        <item x="250"/>
        <item x="200"/>
        <item x="336"/>
        <item x="398"/>
        <item x="354"/>
        <item x="369"/>
        <item x="21"/>
        <item x="216"/>
        <item x="61"/>
        <item x="226"/>
        <item x="145"/>
        <item x="256"/>
        <item x="182"/>
        <item x="41"/>
        <item x="308"/>
        <item x="197"/>
        <item x="326"/>
        <item x="198"/>
        <item x="340"/>
        <item x="173"/>
        <item x="22"/>
        <item x="353"/>
        <item x="148"/>
        <item x="343"/>
        <item x="90"/>
        <item x="247"/>
        <item x="174"/>
        <item x="334"/>
        <item x="35"/>
        <item x="225"/>
        <item x="371"/>
        <item x="170"/>
        <item x="356"/>
        <item x="305"/>
        <item x="331"/>
        <item x="365"/>
        <item x="329"/>
        <item x="98"/>
        <item x="235"/>
        <item x="282"/>
        <item x="37"/>
        <item x="134"/>
        <item x="97"/>
        <item x="246"/>
        <item x="390"/>
        <item x="73"/>
        <item x="382"/>
        <item x="188"/>
        <item x="228"/>
        <item x="239"/>
        <item x="10"/>
        <item x="141"/>
        <item x="311"/>
        <item x="115"/>
        <item x="52"/>
        <item x="40"/>
        <item x="164"/>
        <item x="322"/>
        <item x="76"/>
        <item x="168"/>
        <item x="195"/>
        <item x="321"/>
        <item x="385"/>
        <item x="176"/>
        <item x="13"/>
        <item x="25"/>
        <item x="156"/>
        <item x="261"/>
        <item x="0"/>
        <item x="244"/>
        <item x="202"/>
        <item x="386"/>
        <item x="136"/>
        <item x="89"/>
        <item x="253"/>
        <item x="347"/>
        <item x="165"/>
        <item x="36"/>
        <item x="196"/>
        <item x="105"/>
        <item x="313"/>
        <item x="258"/>
        <item x="74"/>
        <item x="118"/>
        <item x="54"/>
        <item x="227"/>
        <item x="312"/>
        <item x="288"/>
        <item x="185"/>
        <item x="280"/>
        <item x="191"/>
        <item x="285"/>
        <item x="144"/>
        <item x="72"/>
        <item x="92"/>
        <item x="65"/>
        <item x="364"/>
        <item x="132"/>
        <item x="192"/>
        <item x="267"/>
        <item x="350"/>
        <item x="175"/>
        <item x="124"/>
        <item x="387"/>
        <item x="78"/>
        <item x="344"/>
        <item x="95"/>
        <item x="212"/>
        <item x="84"/>
        <item x="104"/>
        <item x="319"/>
        <item x="96"/>
        <item x="274"/>
        <item x="60"/>
        <item x="3"/>
        <item x="103"/>
        <item x="152"/>
        <item x="26"/>
        <item x="121"/>
        <item x="383"/>
        <item x="49"/>
        <item x="372"/>
        <item x="20"/>
        <item x="268"/>
        <item x="341"/>
        <item x="33"/>
        <item x="111"/>
        <item x="180"/>
        <item x="155"/>
        <item t="default"/>
      </items>
    </pivotField>
    <pivotField showAll="0"/>
    <pivotField showAll="0"/>
    <pivotField showAll="0"/>
    <pivotField showAll="0">
      <items count="6">
        <item x="1"/>
        <item x="3"/>
        <item x="2"/>
        <item x="4"/>
        <item x="0"/>
        <item t="default"/>
      </items>
    </pivotField>
    <pivotField showAll="0">
      <items count="21">
        <item x="2"/>
        <item x="4"/>
        <item x="7"/>
        <item x="3"/>
        <item x="15"/>
        <item x="13"/>
        <item x="18"/>
        <item x="9"/>
        <item x="12"/>
        <item x="17"/>
        <item x="11"/>
        <item x="8"/>
        <item x="16"/>
        <item x="14"/>
        <item x="0"/>
        <item x="10"/>
        <item x="5"/>
        <item x="19"/>
        <item x="6"/>
        <item x="1"/>
        <item t="default"/>
      </items>
    </pivotField>
    <pivotField showAll="0">
      <items count="8">
        <item x="0"/>
        <item x="2"/>
        <item x="3"/>
        <item x="6"/>
        <item x="1"/>
        <item x="5"/>
        <item x="4"/>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s>
  <rowFields count="1">
    <field x="19"/>
  </rowFields>
  <rowItems count="3">
    <i>
      <x/>
    </i>
    <i>
      <x v="1"/>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D12:E23" firstHeaderRow="1" firstDataRow="1" firstDataCol="1"/>
  <pivotFields count="22">
    <pivotField showAll="0"/>
    <pivotField numFmtId="14" showAll="0"/>
    <pivotField showAll="0"/>
    <pivotField axis="axisRow" showAll="0" measureFilter="1" sortType="descending">
      <items count="401">
        <item x="384"/>
        <item x="213"/>
        <item x="303"/>
        <item x="109"/>
        <item x="301"/>
        <item x="366"/>
        <item x="181"/>
        <item x="294"/>
        <item x="348"/>
        <item x="99"/>
        <item x="211"/>
        <item x="330"/>
        <item x="248"/>
        <item x="42"/>
        <item x="230"/>
        <item x="381"/>
        <item x="208"/>
        <item x="290"/>
        <item x="293"/>
        <item x="131"/>
        <item x="391"/>
        <item x="107"/>
        <item x="147"/>
        <item x="47"/>
        <item x="43"/>
        <item x="262"/>
        <item x="342"/>
        <item x="396"/>
        <item x="271"/>
        <item x="31"/>
        <item x="375"/>
        <item x="184"/>
        <item x="6"/>
        <item x="34"/>
        <item x="255"/>
        <item x="399"/>
        <item x="123"/>
        <item x="5"/>
        <item x="177"/>
        <item x="394"/>
        <item x="178"/>
        <item x="232"/>
        <item x="276"/>
        <item x="77"/>
        <item x="317"/>
        <item x="149"/>
        <item x="351"/>
        <item x="257"/>
        <item x="137"/>
        <item x="266"/>
        <item x="333"/>
        <item x="194"/>
        <item x="71"/>
        <item x="162"/>
        <item x="172"/>
        <item x="190"/>
        <item x="324"/>
        <item x="275"/>
        <item x="85"/>
        <item x="68"/>
        <item x="210"/>
        <item x="380"/>
        <item x="397"/>
        <item x="203"/>
        <item x="146"/>
        <item x="378"/>
        <item x="44"/>
        <item x="360"/>
        <item x="254"/>
        <item x="296"/>
        <item x="206"/>
        <item x="28"/>
        <item x="23"/>
        <item x="345"/>
        <item x="81"/>
        <item x="138"/>
        <item x="46"/>
        <item x="199"/>
        <item x="217"/>
        <item x="55"/>
        <item x="277"/>
        <item x="218"/>
        <item x="75"/>
        <item x="279"/>
        <item x="284"/>
        <item x="114"/>
        <item x="395"/>
        <item x="169"/>
        <item x="289"/>
        <item x="373"/>
        <item x="339"/>
        <item x="335"/>
        <item x="193"/>
        <item x="16"/>
        <item x="236"/>
        <item x="150"/>
        <item x="4"/>
        <item x="300"/>
        <item x="367"/>
        <item x="161"/>
        <item x="286"/>
        <item x="127"/>
        <item x="310"/>
        <item x="48"/>
        <item x="171"/>
        <item x="243"/>
        <item x="130"/>
        <item x="117"/>
        <item x="143"/>
        <item x="242"/>
        <item x="352"/>
        <item x="39"/>
        <item x="374"/>
        <item x="19"/>
        <item x="59"/>
        <item x="379"/>
        <item x="393"/>
        <item x="318"/>
        <item x="376"/>
        <item x="69"/>
        <item x="323"/>
        <item x="79"/>
        <item x="361"/>
        <item x="56"/>
        <item x="292"/>
        <item x="24"/>
        <item x="325"/>
        <item x="315"/>
        <item x="316"/>
        <item x="358"/>
        <item x="204"/>
        <item x="252"/>
        <item x="264"/>
        <item x="346"/>
        <item x="249"/>
        <item x="86"/>
        <item x="273"/>
        <item x="153"/>
        <item x="157"/>
        <item x="272"/>
        <item x="238"/>
        <item x="231"/>
        <item x="359"/>
        <item x="94"/>
        <item x="309"/>
        <item x="151"/>
        <item x="269"/>
        <item x="229"/>
        <item x="128"/>
        <item x="259"/>
        <item x="307"/>
        <item x="163"/>
        <item x="17"/>
        <item x="18"/>
        <item x="102"/>
        <item x="237"/>
        <item x="133"/>
        <item x="214"/>
        <item x="82"/>
        <item x="27"/>
        <item x="302"/>
        <item x="389"/>
        <item x="32"/>
        <item x="158"/>
        <item x="50"/>
        <item x="93"/>
        <item x="112"/>
        <item x="220"/>
        <item x="29"/>
        <item x="110"/>
        <item x="7"/>
        <item x="62"/>
        <item x="201"/>
        <item x="70"/>
        <item x="140"/>
        <item x="260"/>
        <item x="283"/>
        <item x="370"/>
        <item x="51"/>
        <item x="166"/>
        <item x="12"/>
        <item x="14"/>
        <item x="234"/>
        <item x="388"/>
        <item x="167"/>
        <item x="270"/>
        <item x="80"/>
        <item x="320"/>
        <item x="221"/>
        <item x="328"/>
        <item x="9"/>
        <item x="66"/>
        <item x="58"/>
        <item x="295"/>
        <item x="363"/>
        <item x="30"/>
        <item x="265"/>
        <item x="291"/>
        <item x="297"/>
        <item x="187"/>
        <item x="106"/>
        <item x="179"/>
        <item x="314"/>
        <item x="126"/>
        <item x="222"/>
        <item x="207"/>
        <item x="100"/>
        <item x="87"/>
        <item x="219"/>
        <item x="45"/>
        <item x="159"/>
        <item x="392"/>
        <item x="299"/>
        <item x="338"/>
        <item x="240"/>
        <item x="122"/>
        <item x="53"/>
        <item x="298"/>
        <item x="160"/>
        <item x="362"/>
        <item x="120"/>
        <item x="349"/>
        <item x="281"/>
        <item x="306"/>
        <item x="154"/>
        <item x="88"/>
        <item x="186"/>
        <item x="142"/>
        <item x="129"/>
        <item x="125"/>
        <item x="64"/>
        <item x="304"/>
        <item x="278"/>
        <item x="377"/>
        <item x="113"/>
        <item x="205"/>
        <item x="91"/>
        <item x="1"/>
        <item x="245"/>
        <item x="11"/>
        <item x="357"/>
        <item x="224"/>
        <item x="223"/>
        <item x="287"/>
        <item x="116"/>
        <item x="337"/>
        <item x="38"/>
        <item x="189"/>
        <item x="251"/>
        <item x="209"/>
        <item x="139"/>
        <item x="183"/>
        <item x="332"/>
        <item x="119"/>
        <item x="368"/>
        <item x="2"/>
        <item x="215"/>
        <item x="83"/>
        <item x="57"/>
        <item x="101"/>
        <item x="241"/>
        <item x="135"/>
        <item x="67"/>
        <item x="63"/>
        <item x="8"/>
        <item x="263"/>
        <item x="327"/>
        <item x="15"/>
        <item x="108"/>
        <item x="355"/>
        <item x="233"/>
        <item x="250"/>
        <item x="200"/>
        <item x="336"/>
        <item x="398"/>
        <item x="354"/>
        <item x="369"/>
        <item x="21"/>
        <item x="216"/>
        <item x="61"/>
        <item x="226"/>
        <item x="145"/>
        <item x="256"/>
        <item x="182"/>
        <item x="41"/>
        <item x="308"/>
        <item x="197"/>
        <item x="326"/>
        <item x="198"/>
        <item x="340"/>
        <item x="173"/>
        <item x="22"/>
        <item x="353"/>
        <item x="148"/>
        <item x="343"/>
        <item x="90"/>
        <item x="247"/>
        <item x="174"/>
        <item x="334"/>
        <item x="35"/>
        <item x="225"/>
        <item x="371"/>
        <item x="170"/>
        <item x="356"/>
        <item x="305"/>
        <item x="331"/>
        <item x="365"/>
        <item x="329"/>
        <item x="98"/>
        <item x="235"/>
        <item x="282"/>
        <item x="37"/>
        <item x="134"/>
        <item x="97"/>
        <item x="246"/>
        <item x="390"/>
        <item x="73"/>
        <item x="382"/>
        <item x="188"/>
        <item x="228"/>
        <item x="239"/>
        <item x="10"/>
        <item x="141"/>
        <item x="311"/>
        <item x="115"/>
        <item x="52"/>
        <item x="40"/>
        <item x="164"/>
        <item x="322"/>
        <item x="76"/>
        <item x="168"/>
        <item x="195"/>
        <item x="321"/>
        <item x="385"/>
        <item x="176"/>
        <item x="13"/>
        <item x="25"/>
        <item x="156"/>
        <item x="261"/>
        <item x="0"/>
        <item x="244"/>
        <item x="202"/>
        <item x="386"/>
        <item x="136"/>
        <item x="89"/>
        <item x="253"/>
        <item x="347"/>
        <item x="165"/>
        <item x="36"/>
        <item x="196"/>
        <item x="105"/>
        <item x="313"/>
        <item x="258"/>
        <item x="74"/>
        <item x="118"/>
        <item x="54"/>
        <item x="227"/>
        <item x="312"/>
        <item x="288"/>
        <item x="185"/>
        <item x="280"/>
        <item x="191"/>
        <item x="285"/>
        <item x="144"/>
        <item x="72"/>
        <item x="92"/>
        <item x="65"/>
        <item x="364"/>
        <item x="132"/>
        <item x="192"/>
        <item x="267"/>
        <item x="350"/>
        <item x="175"/>
        <item x="124"/>
        <item x="387"/>
        <item x="78"/>
        <item x="344"/>
        <item x="95"/>
        <item x="212"/>
        <item x="84"/>
        <item x="104"/>
        <item x="319"/>
        <item x="96"/>
        <item x="274"/>
        <item x="60"/>
        <item x="3"/>
        <item x="103"/>
        <item x="152"/>
        <item x="26"/>
        <item x="121"/>
        <item x="383"/>
        <item x="49"/>
        <item x="372"/>
        <item x="20"/>
        <item x="268"/>
        <item x="341"/>
        <item x="33"/>
        <item x="111"/>
        <item x="180"/>
        <item x="15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0"/>
        <item x="1"/>
        <item t="default"/>
      </items>
    </pivotField>
    <pivotField showAll="0">
      <items count="6">
        <item x="1"/>
        <item x="3"/>
        <item x="2"/>
        <item x="4"/>
        <item x="0"/>
        <item t="default"/>
      </items>
    </pivotField>
    <pivotField showAll="0">
      <items count="21">
        <item x="2"/>
        <item x="4"/>
        <item x="7"/>
        <item x="3"/>
        <item x="15"/>
        <item x="13"/>
        <item x="18"/>
        <item x="9"/>
        <item x="12"/>
        <item x="17"/>
        <item x="11"/>
        <item x="8"/>
        <item x="16"/>
        <item x="14"/>
        <item x="0"/>
        <item x="10"/>
        <item x="5"/>
        <item x="19"/>
        <item x="6"/>
        <item x="1"/>
        <item t="default"/>
      </items>
    </pivotField>
    <pivotField showAll="0">
      <items count="8">
        <item x="0"/>
        <item x="2"/>
        <item x="3"/>
        <item x="6"/>
        <item x="1"/>
        <item x="5"/>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11">
    <i>
      <x v="200"/>
    </i>
    <i>
      <x v="287"/>
    </i>
    <i>
      <x v="73"/>
    </i>
    <i>
      <x v="309"/>
    </i>
    <i>
      <x v="334"/>
    </i>
    <i>
      <x v="94"/>
    </i>
    <i>
      <x v="64"/>
    </i>
    <i>
      <x v="176"/>
    </i>
    <i>
      <x v="206"/>
    </i>
    <i>
      <x v="56"/>
    </i>
    <i t="grand">
      <x/>
    </i>
  </rowItems>
  <colItems count="1">
    <i/>
  </colItems>
  <dataFields count="1">
    <dataField name="Sum of sales_amount" fld="14" baseField="0" baseItem="0" numFmtId="164"/>
  </dataFields>
  <formats count="2">
    <format dxfId="6">
      <pivotArea dataOnly="0" labelOnly="1" outline="0" axis="axisValues" fieldPosition="0"/>
    </format>
    <format dxfId="5">
      <pivotArea outline="0" fieldPosition="0">
        <references count="1">
          <reference field="4294967294" count="1">
            <x v="0"/>
          </reference>
        </references>
      </pivotArea>
    </format>
  </formats>
  <chartFormats count="2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200"/>
          </reference>
        </references>
      </pivotArea>
    </chartFormat>
    <chartFormat chart="2" format="2">
      <pivotArea type="data" outline="0" fieldPosition="0">
        <references count="2">
          <reference field="4294967294" count="1" selected="0">
            <x v="0"/>
          </reference>
          <reference field="3" count="1" selected="0">
            <x v="287"/>
          </reference>
        </references>
      </pivotArea>
    </chartFormat>
    <chartFormat chart="2" format="3">
      <pivotArea type="data" outline="0" fieldPosition="0">
        <references count="2">
          <reference field="4294967294" count="1" selected="0">
            <x v="0"/>
          </reference>
          <reference field="3" count="1" selected="0">
            <x v="73"/>
          </reference>
        </references>
      </pivotArea>
    </chartFormat>
    <chartFormat chart="2" format="4">
      <pivotArea type="data" outline="0" fieldPosition="0">
        <references count="2">
          <reference field="4294967294" count="1" selected="0">
            <x v="0"/>
          </reference>
          <reference field="3" count="1" selected="0">
            <x v="309"/>
          </reference>
        </references>
      </pivotArea>
    </chartFormat>
    <chartFormat chart="2" format="5">
      <pivotArea type="data" outline="0" fieldPosition="0">
        <references count="2">
          <reference field="4294967294" count="1" selected="0">
            <x v="0"/>
          </reference>
          <reference field="3" count="1" selected="0">
            <x v="334"/>
          </reference>
        </references>
      </pivotArea>
    </chartFormat>
    <chartFormat chart="2" format="6">
      <pivotArea type="data" outline="0" fieldPosition="0">
        <references count="2">
          <reference field="4294967294" count="1" selected="0">
            <x v="0"/>
          </reference>
          <reference field="3" count="1" selected="0">
            <x v="94"/>
          </reference>
        </references>
      </pivotArea>
    </chartFormat>
    <chartFormat chart="2" format="7">
      <pivotArea type="data" outline="0" fieldPosition="0">
        <references count="2">
          <reference field="4294967294" count="1" selected="0">
            <x v="0"/>
          </reference>
          <reference field="3" count="1" selected="0">
            <x v="64"/>
          </reference>
        </references>
      </pivotArea>
    </chartFormat>
    <chartFormat chart="2" format="8">
      <pivotArea type="data" outline="0" fieldPosition="0">
        <references count="2">
          <reference field="4294967294" count="1" selected="0">
            <x v="0"/>
          </reference>
          <reference field="3" count="1" selected="0">
            <x v="176"/>
          </reference>
        </references>
      </pivotArea>
    </chartFormat>
    <chartFormat chart="2" format="9">
      <pivotArea type="data" outline="0" fieldPosition="0">
        <references count="2">
          <reference field="4294967294" count="1" selected="0">
            <x v="0"/>
          </reference>
          <reference field="3" count="1" selected="0">
            <x v="206"/>
          </reference>
        </references>
      </pivotArea>
    </chartFormat>
    <chartFormat chart="2" format="10">
      <pivotArea type="data" outline="0" fieldPosition="0">
        <references count="2">
          <reference field="4294967294" count="1" selected="0">
            <x v="0"/>
          </reference>
          <reference field="3" count="1" selected="0">
            <x v="56"/>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3" count="1" selected="0">
            <x v="200"/>
          </reference>
        </references>
      </pivotArea>
    </chartFormat>
    <chartFormat chart="5" format="24">
      <pivotArea type="data" outline="0" fieldPosition="0">
        <references count="2">
          <reference field="4294967294" count="1" selected="0">
            <x v="0"/>
          </reference>
          <reference field="3" count="1" selected="0">
            <x v="287"/>
          </reference>
        </references>
      </pivotArea>
    </chartFormat>
    <chartFormat chart="5" format="25">
      <pivotArea type="data" outline="0" fieldPosition="0">
        <references count="2">
          <reference field="4294967294" count="1" selected="0">
            <x v="0"/>
          </reference>
          <reference field="3" count="1" selected="0">
            <x v="73"/>
          </reference>
        </references>
      </pivotArea>
    </chartFormat>
    <chartFormat chart="5" format="26">
      <pivotArea type="data" outline="0" fieldPosition="0">
        <references count="2">
          <reference field="4294967294" count="1" selected="0">
            <x v="0"/>
          </reference>
          <reference field="3" count="1" selected="0">
            <x v="309"/>
          </reference>
        </references>
      </pivotArea>
    </chartFormat>
    <chartFormat chart="5" format="27">
      <pivotArea type="data" outline="0" fieldPosition="0">
        <references count="2">
          <reference field="4294967294" count="1" selected="0">
            <x v="0"/>
          </reference>
          <reference field="3" count="1" selected="0">
            <x v="334"/>
          </reference>
        </references>
      </pivotArea>
    </chartFormat>
    <chartFormat chart="5" format="28">
      <pivotArea type="data" outline="0" fieldPosition="0">
        <references count="2">
          <reference field="4294967294" count="1" selected="0">
            <x v="0"/>
          </reference>
          <reference field="3" count="1" selected="0">
            <x v="94"/>
          </reference>
        </references>
      </pivotArea>
    </chartFormat>
    <chartFormat chart="5" format="29">
      <pivotArea type="data" outline="0" fieldPosition="0">
        <references count="2">
          <reference field="4294967294" count="1" selected="0">
            <x v="0"/>
          </reference>
          <reference field="3" count="1" selected="0">
            <x v="64"/>
          </reference>
        </references>
      </pivotArea>
    </chartFormat>
    <chartFormat chart="5" format="30">
      <pivotArea type="data" outline="0" fieldPosition="0">
        <references count="2">
          <reference field="4294967294" count="1" selected="0">
            <x v="0"/>
          </reference>
          <reference field="3" count="1" selected="0">
            <x v="176"/>
          </reference>
        </references>
      </pivotArea>
    </chartFormat>
    <chartFormat chart="5" format="31">
      <pivotArea type="data" outline="0" fieldPosition="0">
        <references count="2">
          <reference field="4294967294" count="1" selected="0">
            <x v="0"/>
          </reference>
          <reference field="3" count="1" selected="0">
            <x v="206"/>
          </reference>
        </references>
      </pivotArea>
    </chartFormat>
    <chartFormat chart="5" format="32">
      <pivotArea type="data" outline="0" fieldPosition="0">
        <references count="2">
          <reference field="4294967294" count="1" selected="0">
            <x v="0"/>
          </reference>
          <reference field="3" count="1" selected="0">
            <x v="5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13:H20" firstHeaderRow="1" firstDataRow="1" firstDataCol="1"/>
  <pivotFields count="22">
    <pivotField showAll="0"/>
    <pivotField numFmtId="14" showAll="0"/>
    <pivotField showAll="0"/>
    <pivotField showAll="0">
      <items count="401">
        <item x="384"/>
        <item x="213"/>
        <item x="303"/>
        <item x="109"/>
        <item x="301"/>
        <item x="366"/>
        <item x="181"/>
        <item x="294"/>
        <item x="348"/>
        <item x="99"/>
        <item x="211"/>
        <item x="330"/>
        <item x="248"/>
        <item x="42"/>
        <item x="230"/>
        <item x="381"/>
        <item x="208"/>
        <item x="290"/>
        <item x="293"/>
        <item x="131"/>
        <item x="391"/>
        <item x="107"/>
        <item x="147"/>
        <item x="47"/>
        <item x="43"/>
        <item x="262"/>
        <item x="342"/>
        <item x="396"/>
        <item x="271"/>
        <item x="31"/>
        <item x="375"/>
        <item x="184"/>
        <item x="6"/>
        <item x="34"/>
        <item x="255"/>
        <item x="399"/>
        <item x="123"/>
        <item x="5"/>
        <item x="177"/>
        <item x="394"/>
        <item x="178"/>
        <item x="232"/>
        <item x="276"/>
        <item x="77"/>
        <item x="317"/>
        <item x="149"/>
        <item x="351"/>
        <item x="257"/>
        <item x="137"/>
        <item x="266"/>
        <item x="333"/>
        <item x="194"/>
        <item x="71"/>
        <item x="162"/>
        <item x="172"/>
        <item x="190"/>
        <item x="324"/>
        <item x="275"/>
        <item x="85"/>
        <item x="68"/>
        <item x="210"/>
        <item x="380"/>
        <item x="397"/>
        <item x="203"/>
        <item x="146"/>
        <item x="378"/>
        <item x="44"/>
        <item x="360"/>
        <item x="254"/>
        <item x="296"/>
        <item x="206"/>
        <item x="28"/>
        <item x="23"/>
        <item x="345"/>
        <item x="81"/>
        <item x="138"/>
        <item x="46"/>
        <item x="199"/>
        <item x="217"/>
        <item x="55"/>
        <item x="277"/>
        <item x="218"/>
        <item x="75"/>
        <item x="279"/>
        <item x="284"/>
        <item x="114"/>
        <item x="395"/>
        <item x="169"/>
        <item x="289"/>
        <item x="373"/>
        <item x="339"/>
        <item x="335"/>
        <item x="193"/>
        <item x="16"/>
        <item x="236"/>
        <item x="150"/>
        <item x="4"/>
        <item x="300"/>
        <item x="367"/>
        <item x="161"/>
        <item x="286"/>
        <item x="127"/>
        <item x="310"/>
        <item x="48"/>
        <item x="171"/>
        <item x="243"/>
        <item x="130"/>
        <item x="117"/>
        <item x="143"/>
        <item x="242"/>
        <item x="352"/>
        <item x="39"/>
        <item x="374"/>
        <item x="19"/>
        <item x="59"/>
        <item x="379"/>
        <item x="393"/>
        <item x="318"/>
        <item x="376"/>
        <item x="69"/>
        <item x="323"/>
        <item x="79"/>
        <item x="361"/>
        <item x="56"/>
        <item x="292"/>
        <item x="24"/>
        <item x="325"/>
        <item x="315"/>
        <item x="316"/>
        <item x="358"/>
        <item x="204"/>
        <item x="252"/>
        <item x="264"/>
        <item x="346"/>
        <item x="249"/>
        <item x="86"/>
        <item x="273"/>
        <item x="153"/>
        <item x="157"/>
        <item x="272"/>
        <item x="238"/>
        <item x="231"/>
        <item x="359"/>
        <item x="94"/>
        <item x="309"/>
        <item x="151"/>
        <item x="269"/>
        <item x="229"/>
        <item x="128"/>
        <item x="259"/>
        <item x="307"/>
        <item x="163"/>
        <item x="17"/>
        <item x="18"/>
        <item x="102"/>
        <item x="237"/>
        <item x="133"/>
        <item x="214"/>
        <item x="82"/>
        <item x="27"/>
        <item x="302"/>
        <item x="389"/>
        <item x="32"/>
        <item x="158"/>
        <item x="50"/>
        <item x="93"/>
        <item x="112"/>
        <item x="220"/>
        <item x="29"/>
        <item x="110"/>
        <item x="7"/>
        <item x="62"/>
        <item x="201"/>
        <item x="70"/>
        <item x="140"/>
        <item x="260"/>
        <item x="283"/>
        <item x="370"/>
        <item x="51"/>
        <item x="166"/>
        <item x="12"/>
        <item x="14"/>
        <item x="234"/>
        <item x="388"/>
        <item x="167"/>
        <item x="270"/>
        <item x="80"/>
        <item x="320"/>
        <item x="221"/>
        <item x="328"/>
        <item x="9"/>
        <item x="66"/>
        <item x="58"/>
        <item x="295"/>
        <item x="363"/>
        <item x="30"/>
        <item x="265"/>
        <item x="291"/>
        <item x="297"/>
        <item x="187"/>
        <item x="106"/>
        <item x="179"/>
        <item x="314"/>
        <item x="126"/>
        <item x="222"/>
        <item x="207"/>
        <item x="100"/>
        <item x="87"/>
        <item x="219"/>
        <item x="45"/>
        <item x="159"/>
        <item x="392"/>
        <item x="299"/>
        <item x="338"/>
        <item x="240"/>
        <item x="122"/>
        <item x="53"/>
        <item x="298"/>
        <item x="160"/>
        <item x="362"/>
        <item x="120"/>
        <item x="349"/>
        <item x="281"/>
        <item x="306"/>
        <item x="154"/>
        <item x="88"/>
        <item x="186"/>
        <item x="142"/>
        <item x="129"/>
        <item x="125"/>
        <item x="64"/>
        <item x="304"/>
        <item x="278"/>
        <item x="377"/>
        <item x="113"/>
        <item x="205"/>
        <item x="91"/>
        <item x="1"/>
        <item x="245"/>
        <item x="11"/>
        <item x="357"/>
        <item x="224"/>
        <item x="223"/>
        <item x="287"/>
        <item x="116"/>
        <item x="337"/>
        <item x="38"/>
        <item x="189"/>
        <item x="251"/>
        <item x="209"/>
        <item x="139"/>
        <item x="183"/>
        <item x="332"/>
        <item x="119"/>
        <item x="368"/>
        <item x="2"/>
        <item x="215"/>
        <item x="83"/>
        <item x="57"/>
        <item x="101"/>
        <item x="241"/>
        <item x="135"/>
        <item x="67"/>
        <item x="63"/>
        <item x="8"/>
        <item x="263"/>
        <item x="327"/>
        <item x="15"/>
        <item x="108"/>
        <item x="355"/>
        <item x="233"/>
        <item x="250"/>
        <item x="200"/>
        <item x="336"/>
        <item x="398"/>
        <item x="354"/>
        <item x="369"/>
        <item x="21"/>
        <item x="216"/>
        <item x="61"/>
        <item x="226"/>
        <item x="145"/>
        <item x="256"/>
        <item x="182"/>
        <item x="41"/>
        <item x="308"/>
        <item x="197"/>
        <item x="326"/>
        <item x="198"/>
        <item x="340"/>
        <item x="173"/>
        <item x="22"/>
        <item x="353"/>
        <item x="148"/>
        <item x="343"/>
        <item x="90"/>
        <item x="247"/>
        <item x="174"/>
        <item x="334"/>
        <item x="35"/>
        <item x="225"/>
        <item x="371"/>
        <item x="170"/>
        <item x="356"/>
        <item x="305"/>
        <item x="331"/>
        <item x="365"/>
        <item x="329"/>
        <item x="98"/>
        <item x="235"/>
        <item x="282"/>
        <item x="37"/>
        <item x="134"/>
        <item x="97"/>
        <item x="246"/>
        <item x="390"/>
        <item x="73"/>
        <item x="382"/>
        <item x="188"/>
        <item x="228"/>
        <item x="239"/>
        <item x="10"/>
        <item x="141"/>
        <item x="311"/>
        <item x="115"/>
        <item x="52"/>
        <item x="40"/>
        <item x="164"/>
        <item x="322"/>
        <item x="76"/>
        <item x="168"/>
        <item x="195"/>
        <item x="321"/>
        <item x="385"/>
        <item x="176"/>
        <item x="13"/>
        <item x="25"/>
        <item x="156"/>
        <item x="261"/>
        <item x="0"/>
        <item x="244"/>
        <item x="202"/>
        <item x="386"/>
        <item x="136"/>
        <item x="89"/>
        <item x="253"/>
        <item x="347"/>
        <item x="165"/>
        <item x="36"/>
        <item x="196"/>
        <item x="105"/>
        <item x="313"/>
        <item x="258"/>
        <item x="74"/>
        <item x="118"/>
        <item x="54"/>
        <item x="227"/>
        <item x="312"/>
        <item x="288"/>
        <item x="185"/>
        <item x="280"/>
        <item x="191"/>
        <item x="285"/>
        <item x="144"/>
        <item x="72"/>
        <item x="92"/>
        <item x="65"/>
        <item x="364"/>
        <item x="132"/>
        <item x="192"/>
        <item x="267"/>
        <item x="350"/>
        <item x="175"/>
        <item x="124"/>
        <item x="387"/>
        <item x="78"/>
        <item x="344"/>
        <item x="95"/>
        <item x="212"/>
        <item x="84"/>
        <item x="104"/>
        <item x="319"/>
        <item x="96"/>
        <item x="274"/>
        <item x="60"/>
        <item x="3"/>
        <item x="103"/>
        <item x="152"/>
        <item x="26"/>
        <item x="121"/>
        <item x="383"/>
        <item x="49"/>
        <item x="372"/>
        <item x="20"/>
        <item x="268"/>
        <item x="341"/>
        <item x="33"/>
        <item x="111"/>
        <item x="180"/>
        <item x="155"/>
        <item t="default"/>
      </items>
    </pivotField>
    <pivotField showAll="0"/>
    <pivotField showAll="0"/>
    <pivotField showAll="0"/>
    <pivotField showAll="0">
      <items count="6">
        <item x="1"/>
        <item x="3"/>
        <item x="2"/>
        <item x="4"/>
        <item x="0"/>
        <item t="default"/>
      </items>
    </pivotField>
    <pivotField showAll="0">
      <items count="21">
        <item x="2"/>
        <item x="4"/>
        <item x="7"/>
        <item x="3"/>
        <item x="15"/>
        <item x="13"/>
        <item x="18"/>
        <item x="9"/>
        <item x="12"/>
        <item x="17"/>
        <item x="11"/>
        <item x="8"/>
        <item x="16"/>
        <item x="14"/>
        <item x="0"/>
        <item x="10"/>
        <item x="5"/>
        <item x="19"/>
        <item x="6"/>
        <item x="1"/>
        <item t="default"/>
      </items>
    </pivotField>
    <pivotField showAll="0">
      <items count="8">
        <item x="0"/>
        <item x="2"/>
        <item x="3"/>
        <item x="6"/>
        <item x="1"/>
        <item x="5"/>
        <item x="4"/>
        <item t="default"/>
      </items>
    </pivotField>
    <pivotField showAll="0"/>
    <pivotField showAll="0"/>
    <pivotField showAll="0"/>
    <pivotField showAll="0"/>
    <pivotField showAll="0"/>
    <pivotField showAll="0"/>
    <pivotField showAll="0"/>
    <pivotField axis="axisRow" dataField="1" showAll="0" sortType="descending">
      <items count="7">
        <item x="2"/>
        <item x="3"/>
        <item x="0"/>
        <item x="1"/>
        <item x="5"/>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7"/>
  </rowFields>
  <rowItems count="7">
    <i>
      <x v="5"/>
    </i>
    <i>
      <x v="1"/>
    </i>
    <i>
      <x v="2"/>
    </i>
    <i>
      <x/>
    </i>
    <i>
      <x v="3"/>
    </i>
    <i>
      <x v="4"/>
    </i>
    <i t="grand">
      <x/>
    </i>
  </rowItems>
  <colItems count="1">
    <i/>
  </colItems>
  <dataFields count="1">
    <dataField name="Count of payment_method" fld="17"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D3:E9" firstHeaderRow="1" firstDataRow="1" firstDataCol="1"/>
  <pivotFields count="22">
    <pivotField showAll="0"/>
    <pivotField numFmtId="14" showAll="0"/>
    <pivotField showAll="0"/>
    <pivotField showAll="0">
      <items count="401">
        <item x="384"/>
        <item x="213"/>
        <item x="303"/>
        <item x="109"/>
        <item x="301"/>
        <item x="366"/>
        <item x="181"/>
        <item x="294"/>
        <item x="348"/>
        <item x="99"/>
        <item x="211"/>
        <item x="330"/>
        <item x="248"/>
        <item x="42"/>
        <item x="230"/>
        <item x="381"/>
        <item x="208"/>
        <item x="290"/>
        <item x="293"/>
        <item x="131"/>
        <item x="391"/>
        <item x="107"/>
        <item x="147"/>
        <item x="47"/>
        <item x="43"/>
        <item x="262"/>
        <item x="342"/>
        <item x="396"/>
        <item x="271"/>
        <item x="31"/>
        <item x="375"/>
        <item x="184"/>
        <item x="6"/>
        <item x="34"/>
        <item x="255"/>
        <item x="399"/>
        <item x="123"/>
        <item x="5"/>
        <item x="177"/>
        <item x="394"/>
        <item x="178"/>
        <item x="232"/>
        <item x="276"/>
        <item x="77"/>
        <item x="317"/>
        <item x="149"/>
        <item x="351"/>
        <item x="257"/>
        <item x="137"/>
        <item x="266"/>
        <item x="333"/>
        <item x="194"/>
        <item x="71"/>
        <item x="162"/>
        <item x="172"/>
        <item x="190"/>
        <item x="324"/>
        <item x="275"/>
        <item x="85"/>
        <item x="68"/>
        <item x="210"/>
        <item x="380"/>
        <item x="397"/>
        <item x="203"/>
        <item x="146"/>
        <item x="378"/>
        <item x="44"/>
        <item x="360"/>
        <item x="254"/>
        <item x="296"/>
        <item x="206"/>
        <item x="28"/>
        <item x="23"/>
        <item x="345"/>
        <item x="81"/>
        <item x="138"/>
        <item x="46"/>
        <item x="199"/>
        <item x="217"/>
        <item x="55"/>
        <item x="277"/>
        <item x="218"/>
        <item x="75"/>
        <item x="279"/>
        <item x="284"/>
        <item x="114"/>
        <item x="395"/>
        <item x="169"/>
        <item x="289"/>
        <item x="373"/>
        <item x="339"/>
        <item x="335"/>
        <item x="193"/>
        <item x="16"/>
        <item x="236"/>
        <item x="150"/>
        <item x="4"/>
        <item x="300"/>
        <item x="367"/>
        <item x="161"/>
        <item x="286"/>
        <item x="127"/>
        <item x="310"/>
        <item x="48"/>
        <item x="171"/>
        <item x="243"/>
        <item x="130"/>
        <item x="117"/>
        <item x="143"/>
        <item x="242"/>
        <item x="352"/>
        <item x="39"/>
        <item x="374"/>
        <item x="19"/>
        <item x="59"/>
        <item x="379"/>
        <item x="393"/>
        <item x="318"/>
        <item x="376"/>
        <item x="69"/>
        <item x="323"/>
        <item x="79"/>
        <item x="361"/>
        <item x="56"/>
        <item x="292"/>
        <item x="24"/>
        <item x="325"/>
        <item x="315"/>
        <item x="316"/>
        <item x="358"/>
        <item x="204"/>
        <item x="252"/>
        <item x="264"/>
        <item x="346"/>
        <item x="249"/>
        <item x="86"/>
        <item x="273"/>
        <item x="153"/>
        <item x="157"/>
        <item x="272"/>
        <item x="238"/>
        <item x="231"/>
        <item x="359"/>
        <item x="94"/>
        <item x="309"/>
        <item x="151"/>
        <item x="269"/>
        <item x="229"/>
        <item x="128"/>
        <item x="259"/>
        <item x="307"/>
        <item x="163"/>
        <item x="17"/>
        <item x="18"/>
        <item x="102"/>
        <item x="237"/>
        <item x="133"/>
        <item x="214"/>
        <item x="82"/>
        <item x="27"/>
        <item x="302"/>
        <item x="389"/>
        <item x="32"/>
        <item x="158"/>
        <item x="50"/>
        <item x="93"/>
        <item x="112"/>
        <item x="220"/>
        <item x="29"/>
        <item x="110"/>
        <item x="7"/>
        <item x="62"/>
        <item x="201"/>
        <item x="70"/>
        <item x="140"/>
        <item x="260"/>
        <item x="283"/>
        <item x="370"/>
        <item x="51"/>
        <item x="166"/>
        <item x="12"/>
        <item x="14"/>
        <item x="234"/>
        <item x="388"/>
        <item x="167"/>
        <item x="270"/>
        <item x="80"/>
        <item x="320"/>
        <item x="221"/>
        <item x="328"/>
        <item x="9"/>
        <item x="66"/>
        <item x="58"/>
        <item x="295"/>
        <item x="363"/>
        <item x="30"/>
        <item x="265"/>
        <item x="291"/>
        <item x="297"/>
        <item x="187"/>
        <item x="106"/>
        <item x="179"/>
        <item x="314"/>
        <item x="126"/>
        <item x="222"/>
        <item x="207"/>
        <item x="100"/>
        <item x="87"/>
        <item x="219"/>
        <item x="45"/>
        <item x="159"/>
        <item x="392"/>
        <item x="299"/>
        <item x="338"/>
        <item x="240"/>
        <item x="122"/>
        <item x="53"/>
        <item x="298"/>
        <item x="160"/>
        <item x="362"/>
        <item x="120"/>
        <item x="349"/>
        <item x="281"/>
        <item x="306"/>
        <item x="154"/>
        <item x="88"/>
        <item x="186"/>
        <item x="142"/>
        <item x="129"/>
        <item x="125"/>
        <item x="64"/>
        <item x="304"/>
        <item x="278"/>
        <item x="377"/>
        <item x="113"/>
        <item x="205"/>
        <item x="91"/>
        <item x="1"/>
        <item x="245"/>
        <item x="11"/>
        <item x="357"/>
        <item x="224"/>
        <item x="223"/>
        <item x="287"/>
        <item x="116"/>
        <item x="337"/>
        <item x="38"/>
        <item x="189"/>
        <item x="251"/>
        <item x="209"/>
        <item x="139"/>
        <item x="183"/>
        <item x="332"/>
        <item x="119"/>
        <item x="368"/>
        <item x="2"/>
        <item x="215"/>
        <item x="83"/>
        <item x="57"/>
        <item x="101"/>
        <item x="241"/>
        <item x="135"/>
        <item x="67"/>
        <item x="63"/>
        <item x="8"/>
        <item x="263"/>
        <item x="327"/>
        <item x="15"/>
        <item x="108"/>
        <item x="355"/>
        <item x="233"/>
        <item x="250"/>
        <item x="200"/>
        <item x="336"/>
        <item x="398"/>
        <item x="354"/>
        <item x="369"/>
        <item x="21"/>
        <item x="216"/>
        <item x="61"/>
        <item x="226"/>
        <item x="145"/>
        <item x="256"/>
        <item x="182"/>
        <item x="41"/>
        <item x="308"/>
        <item x="197"/>
        <item x="326"/>
        <item x="198"/>
        <item x="340"/>
        <item x="173"/>
        <item x="22"/>
        <item x="353"/>
        <item x="148"/>
        <item x="343"/>
        <item x="90"/>
        <item x="247"/>
        <item x="174"/>
        <item x="334"/>
        <item x="35"/>
        <item x="225"/>
        <item x="371"/>
        <item x="170"/>
        <item x="356"/>
        <item x="305"/>
        <item x="331"/>
        <item x="365"/>
        <item x="329"/>
        <item x="98"/>
        <item x="235"/>
        <item x="282"/>
        <item x="37"/>
        <item x="134"/>
        <item x="97"/>
        <item x="246"/>
        <item x="390"/>
        <item x="73"/>
        <item x="382"/>
        <item x="188"/>
        <item x="228"/>
        <item x="239"/>
        <item x="10"/>
        <item x="141"/>
        <item x="311"/>
        <item x="115"/>
        <item x="52"/>
        <item x="40"/>
        <item x="164"/>
        <item x="322"/>
        <item x="76"/>
        <item x="168"/>
        <item x="195"/>
        <item x="321"/>
        <item x="385"/>
        <item x="176"/>
        <item x="13"/>
        <item x="25"/>
        <item x="156"/>
        <item x="261"/>
        <item x="0"/>
        <item x="244"/>
        <item x="202"/>
        <item x="386"/>
        <item x="136"/>
        <item x="89"/>
        <item x="253"/>
        <item x="347"/>
        <item x="165"/>
        <item x="36"/>
        <item x="196"/>
        <item x="105"/>
        <item x="313"/>
        <item x="258"/>
        <item x="74"/>
        <item x="118"/>
        <item x="54"/>
        <item x="227"/>
        <item x="312"/>
        <item x="288"/>
        <item x="185"/>
        <item x="280"/>
        <item x="191"/>
        <item x="285"/>
        <item x="144"/>
        <item x="72"/>
        <item x="92"/>
        <item x="65"/>
        <item x="364"/>
        <item x="132"/>
        <item x="192"/>
        <item x="267"/>
        <item x="350"/>
        <item x="175"/>
        <item x="124"/>
        <item x="387"/>
        <item x="78"/>
        <item x="344"/>
        <item x="95"/>
        <item x="212"/>
        <item x="84"/>
        <item x="104"/>
        <item x="319"/>
        <item x="96"/>
        <item x="274"/>
        <item x="60"/>
        <item x="3"/>
        <item x="103"/>
        <item x="152"/>
        <item x="26"/>
        <item x="121"/>
        <item x="383"/>
        <item x="49"/>
        <item x="372"/>
        <item x="20"/>
        <item x="268"/>
        <item x="341"/>
        <item x="33"/>
        <item x="111"/>
        <item x="180"/>
        <item x="155"/>
        <item t="default"/>
      </items>
    </pivotField>
    <pivotField showAll="0"/>
    <pivotField showAll="0"/>
    <pivotField showAll="0">
      <items count="4">
        <item x="2"/>
        <item x="0"/>
        <item x="1"/>
        <item t="default"/>
      </items>
    </pivotField>
    <pivotField axis="axisRow" showAll="0" sortType="descending">
      <items count="6">
        <item x="1"/>
        <item x="3"/>
        <item x="2"/>
        <item x="4"/>
        <item x="0"/>
        <item t="default"/>
      </items>
      <autoSortScope>
        <pivotArea dataOnly="0" outline="0" fieldPosition="0">
          <references count="1">
            <reference field="4294967294" count="1" selected="0">
              <x v="0"/>
            </reference>
          </references>
        </pivotArea>
      </autoSortScope>
    </pivotField>
    <pivotField showAll="0">
      <items count="21">
        <item x="2"/>
        <item x="4"/>
        <item x="7"/>
        <item x="3"/>
        <item x="15"/>
        <item x="13"/>
        <item x="18"/>
        <item x="9"/>
        <item x="12"/>
        <item x="17"/>
        <item x="11"/>
        <item x="8"/>
        <item x="16"/>
        <item x="14"/>
        <item x="0"/>
        <item x="10"/>
        <item x="5"/>
        <item x="19"/>
        <item x="6"/>
        <item x="1"/>
        <item t="default"/>
      </items>
    </pivotField>
    <pivotField showAll="0">
      <items count="8">
        <item x="0"/>
        <item x="2"/>
        <item x="3"/>
        <item x="6"/>
        <item x="1"/>
        <item x="5"/>
        <item x="4"/>
        <item t="default"/>
      </items>
    </pivotField>
    <pivotField showAll="0"/>
    <pivotField showAll="0"/>
    <pivotField showAll="0"/>
    <pivotField showAll="0"/>
    <pivotField dataField="1" showAll="0"/>
    <pivotField showAll="0"/>
    <pivotField showAll="0"/>
    <pivotField showAll="0"/>
    <pivotField showAll="0"/>
    <pivotField showAll="0"/>
    <pivotField showAll="0">
      <items count="6">
        <item x="2"/>
        <item x="0"/>
        <item x="4"/>
        <item x="1"/>
        <item x="3"/>
        <item t="default"/>
      </items>
    </pivotField>
    <pivotField showAll="0"/>
  </pivotFields>
  <rowFields count="1">
    <field x="7"/>
  </rowFields>
  <rowItems count="6">
    <i>
      <x v="3"/>
    </i>
    <i>
      <x v="2"/>
    </i>
    <i>
      <x v="4"/>
    </i>
    <i>
      <x v="1"/>
    </i>
    <i>
      <x/>
    </i>
    <i t="grand">
      <x/>
    </i>
  </rowItems>
  <colItems count="1">
    <i/>
  </colItems>
  <dataFields count="1">
    <dataField name="Sum of sales_amount" fld="14" baseField="0" baseItem="0" numFmtId="164"/>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3"/>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4"/>
          </reference>
        </references>
      </pivotArea>
    </chartFormat>
    <chartFormat chart="0" format="4">
      <pivotArea type="data" outline="0" fieldPosition="0">
        <references count="2">
          <reference field="4294967294" count="1" selected="0">
            <x v="0"/>
          </reference>
          <reference field="7" count="1" selected="0">
            <x v="1"/>
          </reference>
        </references>
      </pivotArea>
    </chartFormat>
    <chartFormat chart="0" format="5">
      <pivotArea type="data" outline="0" fieldPosition="0">
        <references count="2">
          <reference field="4294967294" count="1" selected="0">
            <x v="0"/>
          </reference>
          <reference field="7"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7" count="1" selected="0">
            <x v="3"/>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 chart="4" format="9">
      <pivotArea type="data" outline="0" fieldPosition="0">
        <references count="2">
          <reference field="4294967294" count="1" selected="0">
            <x v="0"/>
          </reference>
          <reference field="7" count="1" selected="0">
            <x v="4"/>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2">
          <reference field="4294967294" count="1" selected="0">
            <x v="0"/>
          </reference>
          <reference field="7"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7" count="1" selected="0">
            <x v="3"/>
          </reference>
        </references>
      </pivotArea>
    </chartFormat>
    <chartFormat chart="6" format="14">
      <pivotArea type="data" outline="0" fieldPosition="0">
        <references count="2">
          <reference field="4294967294" count="1" selected="0">
            <x v="0"/>
          </reference>
          <reference field="7" count="1" selected="0">
            <x v="2"/>
          </reference>
        </references>
      </pivotArea>
    </chartFormat>
    <chartFormat chart="6" format="15">
      <pivotArea type="data" outline="0" fieldPosition="0">
        <references count="2">
          <reference field="4294967294" count="1" selected="0">
            <x v="0"/>
          </reference>
          <reference field="7" count="1" selected="0">
            <x v="4"/>
          </reference>
        </references>
      </pivotArea>
    </chartFormat>
    <chartFormat chart="6" format="16">
      <pivotArea type="data" outline="0" fieldPosition="0">
        <references count="2">
          <reference field="4294967294" count="1" selected="0">
            <x v="0"/>
          </reference>
          <reference field="7" count="1" selected="0">
            <x v="1"/>
          </reference>
        </references>
      </pivotArea>
    </chartFormat>
    <chartFormat chart="6" format="17">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9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23:I65" firstHeaderRow="0" firstDataRow="1" firstDataCol="1"/>
  <pivotFields count="22">
    <pivotField showAll="0"/>
    <pivotField numFmtId="14" showAll="0"/>
    <pivotField showAll="0"/>
    <pivotField showAll="0">
      <items count="401">
        <item x="384"/>
        <item x="213"/>
        <item x="303"/>
        <item x="109"/>
        <item x="301"/>
        <item x="366"/>
        <item x="181"/>
        <item x="294"/>
        <item x="348"/>
        <item x="99"/>
        <item x="211"/>
        <item x="330"/>
        <item x="248"/>
        <item x="42"/>
        <item x="230"/>
        <item x="381"/>
        <item x="208"/>
        <item x="290"/>
        <item x="293"/>
        <item x="131"/>
        <item x="391"/>
        <item x="107"/>
        <item x="147"/>
        <item x="47"/>
        <item x="43"/>
        <item x="262"/>
        <item x="342"/>
        <item x="396"/>
        <item x="271"/>
        <item x="31"/>
        <item x="375"/>
        <item x="184"/>
        <item x="6"/>
        <item x="34"/>
        <item x="255"/>
        <item x="399"/>
        <item x="123"/>
        <item x="5"/>
        <item x="177"/>
        <item x="394"/>
        <item x="178"/>
        <item x="232"/>
        <item x="276"/>
        <item x="77"/>
        <item x="317"/>
        <item x="149"/>
        <item x="351"/>
        <item x="257"/>
        <item x="137"/>
        <item x="266"/>
        <item x="333"/>
        <item x="194"/>
        <item x="71"/>
        <item x="162"/>
        <item x="172"/>
        <item x="190"/>
        <item x="324"/>
        <item x="275"/>
        <item x="85"/>
        <item x="68"/>
        <item x="210"/>
        <item x="380"/>
        <item x="397"/>
        <item x="203"/>
        <item x="146"/>
        <item x="378"/>
        <item x="44"/>
        <item x="360"/>
        <item x="254"/>
        <item x="296"/>
        <item x="206"/>
        <item x="28"/>
        <item x="23"/>
        <item x="345"/>
        <item x="81"/>
        <item x="138"/>
        <item x="46"/>
        <item x="199"/>
        <item x="217"/>
        <item x="55"/>
        <item x="277"/>
        <item x="218"/>
        <item x="75"/>
        <item x="279"/>
        <item x="284"/>
        <item x="114"/>
        <item x="395"/>
        <item x="169"/>
        <item x="289"/>
        <item x="373"/>
        <item x="339"/>
        <item x="335"/>
        <item x="193"/>
        <item x="16"/>
        <item x="236"/>
        <item x="150"/>
        <item x="4"/>
        <item x="300"/>
        <item x="367"/>
        <item x="161"/>
        <item x="286"/>
        <item x="127"/>
        <item x="310"/>
        <item x="48"/>
        <item x="171"/>
        <item x="243"/>
        <item x="130"/>
        <item x="117"/>
        <item x="143"/>
        <item x="242"/>
        <item x="352"/>
        <item x="39"/>
        <item x="374"/>
        <item x="19"/>
        <item x="59"/>
        <item x="379"/>
        <item x="393"/>
        <item x="318"/>
        <item x="376"/>
        <item x="69"/>
        <item x="323"/>
        <item x="79"/>
        <item x="361"/>
        <item x="56"/>
        <item x="292"/>
        <item x="24"/>
        <item x="325"/>
        <item x="315"/>
        <item x="316"/>
        <item x="358"/>
        <item x="204"/>
        <item x="252"/>
        <item x="264"/>
        <item x="346"/>
        <item x="249"/>
        <item x="86"/>
        <item x="273"/>
        <item x="153"/>
        <item x="157"/>
        <item x="272"/>
        <item x="238"/>
        <item x="231"/>
        <item x="359"/>
        <item x="94"/>
        <item x="309"/>
        <item x="151"/>
        <item x="269"/>
        <item x="229"/>
        <item x="128"/>
        <item x="259"/>
        <item x="307"/>
        <item x="163"/>
        <item x="17"/>
        <item x="18"/>
        <item x="102"/>
        <item x="237"/>
        <item x="133"/>
        <item x="214"/>
        <item x="82"/>
        <item x="27"/>
        <item x="302"/>
        <item x="389"/>
        <item x="32"/>
        <item x="158"/>
        <item x="50"/>
        <item x="93"/>
        <item x="112"/>
        <item x="220"/>
        <item x="29"/>
        <item x="110"/>
        <item x="7"/>
        <item x="62"/>
        <item x="201"/>
        <item x="70"/>
        <item x="140"/>
        <item x="260"/>
        <item x="283"/>
        <item x="370"/>
        <item x="51"/>
        <item x="166"/>
        <item x="12"/>
        <item x="14"/>
        <item x="234"/>
        <item x="388"/>
        <item x="167"/>
        <item x="270"/>
        <item x="80"/>
        <item x="320"/>
        <item x="221"/>
        <item x="328"/>
        <item x="9"/>
        <item x="66"/>
        <item x="58"/>
        <item x="295"/>
        <item x="363"/>
        <item x="30"/>
        <item x="265"/>
        <item x="291"/>
        <item x="297"/>
        <item x="187"/>
        <item x="106"/>
        <item x="179"/>
        <item x="314"/>
        <item x="126"/>
        <item x="222"/>
        <item x="207"/>
        <item x="100"/>
        <item x="87"/>
        <item x="219"/>
        <item x="45"/>
        <item x="159"/>
        <item x="392"/>
        <item x="299"/>
        <item x="338"/>
        <item x="240"/>
        <item x="122"/>
        <item x="53"/>
        <item x="298"/>
        <item x="160"/>
        <item x="362"/>
        <item x="120"/>
        <item x="349"/>
        <item x="281"/>
        <item x="306"/>
        <item x="154"/>
        <item x="88"/>
        <item x="186"/>
        <item x="142"/>
        <item x="129"/>
        <item x="125"/>
        <item x="64"/>
        <item x="304"/>
        <item x="278"/>
        <item x="377"/>
        <item x="113"/>
        <item x="205"/>
        <item x="91"/>
        <item x="1"/>
        <item x="245"/>
        <item x="11"/>
        <item x="357"/>
        <item x="224"/>
        <item x="223"/>
        <item x="287"/>
        <item x="116"/>
        <item x="337"/>
        <item x="38"/>
        <item x="189"/>
        <item x="251"/>
        <item x="209"/>
        <item x="139"/>
        <item x="183"/>
        <item x="332"/>
        <item x="119"/>
        <item x="368"/>
        <item x="2"/>
        <item x="215"/>
        <item x="83"/>
        <item x="57"/>
        <item x="101"/>
        <item x="241"/>
        <item x="135"/>
        <item x="67"/>
        <item x="63"/>
        <item x="8"/>
        <item x="263"/>
        <item x="327"/>
        <item x="15"/>
        <item x="108"/>
        <item x="355"/>
        <item x="233"/>
        <item x="250"/>
        <item x="200"/>
        <item x="336"/>
        <item x="398"/>
        <item x="354"/>
        <item x="369"/>
        <item x="21"/>
        <item x="216"/>
        <item x="61"/>
        <item x="226"/>
        <item x="145"/>
        <item x="256"/>
        <item x="182"/>
        <item x="41"/>
        <item x="308"/>
        <item x="197"/>
        <item x="326"/>
        <item x="198"/>
        <item x="340"/>
        <item x="173"/>
        <item x="22"/>
        <item x="353"/>
        <item x="148"/>
        <item x="343"/>
        <item x="90"/>
        <item x="247"/>
        <item x="174"/>
        <item x="334"/>
        <item x="35"/>
        <item x="225"/>
        <item x="371"/>
        <item x="170"/>
        <item x="356"/>
        <item x="305"/>
        <item x="331"/>
        <item x="365"/>
        <item x="329"/>
        <item x="98"/>
        <item x="235"/>
        <item x="282"/>
        <item x="37"/>
        <item x="134"/>
        <item x="97"/>
        <item x="246"/>
        <item x="390"/>
        <item x="73"/>
        <item x="382"/>
        <item x="188"/>
        <item x="228"/>
        <item x="239"/>
        <item x="10"/>
        <item x="141"/>
        <item x="311"/>
        <item x="115"/>
        <item x="52"/>
        <item x="40"/>
        <item x="164"/>
        <item x="322"/>
        <item x="76"/>
        <item x="168"/>
        <item x="195"/>
        <item x="321"/>
        <item x="385"/>
        <item x="176"/>
        <item x="13"/>
        <item x="25"/>
        <item x="156"/>
        <item x="261"/>
        <item x="0"/>
        <item x="244"/>
        <item x="202"/>
        <item x="386"/>
        <item x="136"/>
        <item x="89"/>
        <item x="253"/>
        <item x="347"/>
        <item x="165"/>
        <item x="36"/>
        <item x="196"/>
        <item x="105"/>
        <item x="313"/>
        <item x="258"/>
        <item x="74"/>
        <item x="118"/>
        <item x="54"/>
        <item x="227"/>
        <item x="312"/>
        <item x="288"/>
        <item x="185"/>
        <item x="280"/>
        <item x="191"/>
        <item x="285"/>
        <item x="144"/>
        <item x="72"/>
        <item x="92"/>
        <item x="65"/>
        <item x="364"/>
        <item x="132"/>
        <item x="192"/>
        <item x="267"/>
        <item x="350"/>
        <item x="175"/>
        <item x="124"/>
        <item x="387"/>
        <item x="78"/>
        <item x="344"/>
        <item x="95"/>
        <item x="212"/>
        <item x="84"/>
        <item x="104"/>
        <item x="319"/>
        <item x="96"/>
        <item x="274"/>
        <item x="60"/>
        <item x="3"/>
        <item x="103"/>
        <item x="152"/>
        <item x="26"/>
        <item x="121"/>
        <item x="383"/>
        <item x="49"/>
        <item x="372"/>
        <item x="20"/>
        <item x="268"/>
        <item x="341"/>
        <item x="33"/>
        <item x="111"/>
        <item x="180"/>
        <item x="155"/>
        <item t="default"/>
      </items>
    </pivotField>
    <pivotField showAll="0"/>
    <pivotField showAll="0"/>
    <pivotField showAll="0"/>
    <pivotField showAll="0">
      <items count="6">
        <item x="1"/>
        <item x="3"/>
        <item x="2"/>
        <item x="4"/>
        <item x="0"/>
        <item t="default"/>
      </items>
    </pivotField>
    <pivotField showAll="0">
      <items count="21">
        <item x="2"/>
        <item x="4"/>
        <item x="7"/>
        <item x="3"/>
        <item x="15"/>
        <item x="13"/>
        <item x="18"/>
        <item x="9"/>
        <item x="12"/>
        <item x="17"/>
        <item x="11"/>
        <item x="8"/>
        <item x="16"/>
        <item x="14"/>
        <item x="0"/>
        <item x="10"/>
        <item x="5"/>
        <item x="19"/>
        <item x="6"/>
        <item x="1"/>
        <item t="default"/>
      </items>
    </pivotField>
    <pivotField showAll="0">
      <items count="8">
        <item x="0"/>
        <item x="2"/>
        <item x="3"/>
        <item x="6"/>
        <item x="1"/>
        <item x="5"/>
        <item x="4"/>
        <item t="default"/>
      </items>
    </pivotField>
    <pivotField showAll="0"/>
    <pivotField showAll="0"/>
    <pivotField showAll="0"/>
    <pivotField axis="axisRow" showAll="0">
      <items count="42">
        <item x="24"/>
        <item x="5"/>
        <item x="4"/>
        <item x="13"/>
        <item x="8"/>
        <item x="28"/>
        <item x="29"/>
        <item x="16"/>
        <item x="0"/>
        <item x="32"/>
        <item x="39"/>
        <item x="38"/>
        <item x="9"/>
        <item x="19"/>
        <item x="1"/>
        <item x="7"/>
        <item x="31"/>
        <item x="2"/>
        <item x="20"/>
        <item x="36"/>
        <item x="33"/>
        <item x="11"/>
        <item x="3"/>
        <item x="37"/>
        <item x="27"/>
        <item x="15"/>
        <item x="26"/>
        <item x="23"/>
        <item x="12"/>
        <item x="10"/>
        <item x="25"/>
        <item x="35"/>
        <item x="18"/>
        <item x="30"/>
        <item x="14"/>
        <item x="34"/>
        <item x="21"/>
        <item x="6"/>
        <item x="22"/>
        <item x="40"/>
        <item x="17"/>
        <item t="default"/>
      </items>
    </pivotField>
    <pivotField dataField="1" showAll="0"/>
    <pivotField dataField="1" showAll="0"/>
    <pivotField showAll="0"/>
    <pivotField showAll="0"/>
    <pivotField showAll="0"/>
    <pivotField showAll="0"/>
    <pivotField showAll="0"/>
    <pivotField showAll="0"/>
  </pivotFields>
  <rowFields count="1">
    <field x="13"/>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2"/>
  </colFields>
  <colItems count="2">
    <i>
      <x/>
    </i>
    <i i="1">
      <x v="1"/>
    </i>
  </colItems>
  <dataFields count="2">
    <dataField name="Average of sales_amount" fld="14" subtotal="average" baseField="0" baseItem="0" numFmtId="164"/>
    <dataField name="Average of profit" fld="15" subtotal="average"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B410979-BCA6-4889-B156-210338F059BC}" sourceName="region">
  <pivotTables>
    <pivotTable tabId="2" name="PivotTable2"/>
    <pivotTable tabId="2" name="PivotTable10"/>
    <pivotTable tabId="2" name="PivotTable1"/>
    <pivotTable tabId="2" name="PivotTable12"/>
    <pivotTable tabId="2" name="PivotTable3"/>
    <pivotTable tabId="2" name="PivotTable4"/>
    <pivotTable tabId="2" name="PivotTable5"/>
    <pivotTable tabId="2" name="PivotTable6"/>
    <pivotTable tabId="2" name="PivotTable7"/>
    <pivotTable tabId="2" name="PivotTable8"/>
    <pivotTable tabId="2" name="PivotTable9"/>
  </pivotTables>
  <data>
    <tabular pivotCacheId="1418210684">
      <items count="5">
        <i x="1" s="1"/>
        <i x="3"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F6F2538-E37A-4454-80E9-6AD30DBF8C63}" sourceName="product_category">
  <pivotTables>
    <pivotTable tabId="2" name="PivotTable3"/>
    <pivotTable tabId="2" name="PivotTable1"/>
    <pivotTable tabId="2" name="PivotTable10"/>
    <pivotTable tabId="2" name="PivotTable12"/>
    <pivotTable tabId="2" name="PivotTable2"/>
    <pivotTable tabId="2" name="PivotTable4"/>
    <pivotTable tabId="2" name="PivotTable5"/>
    <pivotTable tabId="2" name="PivotTable6"/>
    <pivotTable tabId="2" name="PivotTable7"/>
    <pivotTable tabId="2" name="PivotTable8"/>
    <pivotTable tabId="2" name="PivotTable9"/>
  </pivotTables>
  <data>
    <tabular pivotCacheId="1418210684">
      <items count="7">
        <i x="0" s="1"/>
        <i x="2" s="1"/>
        <i x="3" s="1"/>
        <i x="6" s="1"/>
        <i x="1"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670A60A-06BE-47BA-BFB3-A68167B651D5}" sourceName="city">
  <pivotTables>
    <pivotTable tabId="2" name="PivotTable4"/>
    <pivotTable tabId="2" name="PivotTable1"/>
    <pivotTable tabId="2" name="PivotTable10"/>
    <pivotTable tabId="2" name="PivotTable12"/>
    <pivotTable tabId="2" name="PivotTable2"/>
    <pivotTable tabId="2" name="PivotTable3"/>
    <pivotTable tabId="2" name="PivotTable5"/>
    <pivotTable tabId="2" name="PivotTable6"/>
    <pivotTable tabId="2" name="PivotTable7"/>
    <pivotTable tabId="2" name="PivotTable8"/>
    <pivotTable tabId="2" name="PivotTable9"/>
  </pivotTables>
  <data>
    <tabular pivotCacheId="1418210684">
      <items count="20">
        <i x="2" s="1"/>
        <i x="4" s="1"/>
        <i x="7" s="1"/>
        <i x="3" s="1"/>
        <i x="15" s="1"/>
        <i x="13" s="1"/>
        <i x="18" s="1"/>
        <i x="9" s="1"/>
        <i x="12" s="1"/>
        <i x="17" s="1"/>
        <i x="11" s="1"/>
        <i x="8" s="1"/>
        <i x="16" s="1"/>
        <i x="14" s="1"/>
        <i x="0" s="1"/>
        <i x="10" s="1"/>
        <i x="5" s="1"/>
        <i x="19" s="1"/>
        <i x="6"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2FE19833-11FF-4758-967A-EBD9C2D35449}" sourceName="customer_name">
  <pivotTables>
    <pivotTable tabId="2" name="PivotTable5"/>
    <pivotTable tabId="2" name="PivotTable1"/>
    <pivotTable tabId="2" name="PivotTable10"/>
    <pivotTable tabId="2" name="PivotTable12"/>
    <pivotTable tabId="2" name="PivotTable2"/>
    <pivotTable tabId="2" name="PivotTable3"/>
    <pivotTable tabId="2" name="PivotTable4"/>
    <pivotTable tabId="2" name="PivotTable6"/>
    <pivotTable tabId="2" name="PivotTable7"/>
    <pivotTable tabId="2" name="PivotTable8"/>
    <pivotTable tabId="2" name="PivotTable9"/>
  </pivotTables>
  <data>
    <tabular pivotCacheId="1418210684">
      <items count="400">
        <i x="384" s="1"/>
        <i x="213" s="1"/>
        <i x="303" s="1"/>
        <i x="109" s="1"/>
        <i x="301" s="1"/>
        <i x="366" s="1"/>
        <i x="181" s="1"/>
        <i x="294" s="1"/>
        <i x="348" s="1"/>
        <i x="99" s="1"/>
        <i x="211" s="1"/>
        <i x="330" s="1"/>
        <i x="248" s="1"/>
        <i x="42" s="1"/>
        <i x="230" s="1"/>
        <i x="381" s="1"/>
        <i x="208" s="1"/>
        <i x="290" s="1"/>
        <i x="293" s="1"/>
        <i x="131" s="1"/>
        <i x="391" s="1"/>
        <i x="107" s="1"/>
        <i x="147" s="1"/>
        <i x="47" s="1"/>
        <i x="43" s="1"/>
        <i x="262" s="1"/>
        <i x="342" s="1"/>
        <i x="396" s="1"/>
        <i x="271" s="1"/>
        <i x="31" s="1"/>
        <i x="375" s="1"/>
        <i x="184" s="1"/>
        <i x="6" s="1"/>
        <i x="34" s="1"/>
        <i x="255" s="1"/>
        <i x="399" s="1"/>
        <i x="123" s="1"/>
        <i x="5" s="1"/>
        <i x="177" s="1"/>
        <i x="394" s="1"/>
        <i x="178" s="1"/>
        <i x="232" s="1"/>
        <i x="276" s="1"/>
        <i x="77" s="1"/>
        <i x="317" s="1"/>
        <i x="149" s="1"/>
        <i x="351" s="1"/>
        <i x="257" s="1"/>
        <i x="137" s="1"/>
        <i x="266" s="1"/>
        <i x="333" s="1"/>
        <i x="194" s="1"/>
        <i x="71" s="1"/>
        <i x="162" s="1"/>
        <i x="172" s="1"/>
        <i x="190" s="1"/>
        <i x="324" s="1"/>
        <i x="275" s="1"/>
        <i x="85" s="1"/>
        <i x="68" s="1"/>
        <i x="210" s="1"/>
        <i x="380" s="1"/>
        <i x="397" s="1"/>
        <i x="203" s="1"/>
        <i x="146" s="1"/>
        <i x="378" s="1"/>
        <i x="44" s="1"/>
        <i x="360" s="1"/>
        <i x="254" s="1"/>
        <i x="296" s="1"/>
        <i x="206" s="1"/>
        <i x="28" s="1"/>
        <i x="23" s="1"/>
        <i x="345" s="1"/>
        <i x="81" s="1"/>
        <i x="138" s="1"/>
        <i x="46" s="1"/>
        <i x="199" s="1"/>
        <i x="217" s="1"/>
        <i x="55" s="1"/>
        <i x="277" s="1"/>
        <i x="218" s="1"/>
        <i x="75" s="1"/>
        <i x="279" s="1"/>
        <i x="284" s="1"/>
        <i x="114" s="1"/>
        <i x="395" s="1"/>
        <i x="169" s="1"/>
        <i x="289" s="1"/>
        <i x="373" s="1"/>
        <i x="339" s="1"/>
        <i x="335" s="1"/>
        <i x="193" s="1"/>
        <i x="16" s="1"/>
        <i x="236" s="1"/>
        <i x="150" s="1"/>
        <i x="4" s="1"/>
        <i x="300" s="1"/>
        <i x="367" s="1"/>
        <i x="161" s="1"/>
        <i x="286" s="1"/>
        <i x="127" s="1"/>
        <i x="310" s="1"/>
        <i x="48" s="1"/>
        <i x="171" s="1"/>
        <i x="243" s="1"/>
        <i x="130" s="1"/>
        <i x="117" s="1"/>
        <i x="143" s="1"/>
        <i x="242" s="1"/>
        <i x="352" s="1"/>
        <i x="39" s="1"/>
        <i x="374" s="1"/>
        <i x="19" s="1"/>
        <i x="59" s="1"/>
        <i x="379" s="1"/>
        <i x="393" s="1"/>
        <i x="318" s="1"/>
        <i x="376" s="1"/>
        <i x="69" s="1"/>
        <i x="323" s="1"/>
        <i x="79" s="1"/>
        <i x="361" s="1"/>
        <i x="56" s="1"/>
        <i x="292" s="1"/>
        <i x="24" s="1"/>
        <i x="325" s="1"/>
        <i x="315" s="1"/>
        <i x="316" s="1"/>
        <i x="358" s="1"/>
        <i x="204" s="1"/>
        <i x="252" s="1"/>
        <i x="264" s="1"/>
        <i x="346" s="1"/>
        <i x="249" s="1"/>
        <i x="86" s="1"/>
        <i x="273" s="1"/>
        <i x="153" s="1"/>
        <i x="157" s="1"/>
        <i x="272" s="1"/>
        <i x="238" s="1"/>
        <i x="231" s="1"/>
        <i x="359" s="1"/>
        <i x="94" s="1"/>
        <i x="309" s="1"/>
        <i x="151" s="1"/>
        <i x="269" s="1"/>
        <i x="229" s="1"/>
        <i x="128" s="1"/>
        <i x="259" s="1"/>
        <i x="307" s="1"/>
        <i x="163" s="1"/>
        <i x="17" s="1"/>
        <i x="18" s="1"/>
        <i x="102" s="1"/>
        <i x="237" s="1"/>
        <i x="133" s="1"/>
        <i x="214" s="1"/>
        <i x="82" s="1"/>
        <i x="27" s="1"/>
        <i x="302" s="1"/>
        <i x="389" s="1"/>
        <i x="32" s="1"/>
        <i x="158" s="1"/>
        <i x="50" s="1"/>
        <i x="93" s="1"/>
        <i x="112" s="1"/>
        <i x="220" s="1"/>
        <i x="29" s="1"/>
        <i x="110" s="1"/>
        <i x="7" s="1"/>
        <i x="62" s="1"/>
        <i x="201" s="1"/>
        <i x="70" s="1"/>
        <i x="140" s="1"/>
        <i x="260" s="1"/>
        <i x="283" s="1"/>
        <i x="370" s="1"/>
        <i x="51" s="1"/>
        <i x="166" s="1"/>
        <i x="12" s="1"/>
        <i x="14" s="1"/>
        <i x="234" s="1"/>
        <i x="388" s="1"/>
        <i x="167" s="1"/>
        <i x="270" s="1"/>
        <i x="80" s="1"/>
        <i x="320" s="1"/>
        <i x="221" s="1"/>
        <i x="328" s="1"/>
        <i x="9" s="1"/>
        <i x="66" s="1"/>
        <i x="58" s="1"/>
        <i x="295" s="1"/>
        <i x="363" s="1"/>
        <i x="30" s="1"/>
        <i x="265" s="1"/>
        <i x="291" s="1"/>
        <i x="297" s="1"/>
        <i x="187" s="1"/>
        <i x="106" s="1"/>
        <i x="179" s="1"/>
        <i x="314" s="1"/>
        <i x="126" s="1"/>
        <i x="222" s="1"/>
        <i x="207" s="1"/>
        <i x="100" s="1"/>
        <i x="87" s="1"/>
        <i x="219" s="1"/>
        <i x="45" s="1"/>
        <i x="159" s="1"/>
        <i x="392" s="1"/>
        <i x="299" s="1"/>
        <i x="338" s="1"/>
        <i x="240" s="1"/>
        <i x="122" s="1"/>
        <i x="53" s="1"/>
        <i x="298" s="1"/>
        <i x="160" s="1"/>
        <i x="362" s="1"/>
        <i x="120" s="1"/>
        <i x="349" s="1"/>
        <i x="281" s="1"/>
        <i x="306" s="1"/>
        <i x="154" s="1"/>
        <i x="88" s="1"/>
        <i x="186" s="1"/>
        <i x="142" s="1"/>
        <i x="129" s="1"/>
        <i x="125" s="1"/>
        <i x="64" s="1"/>
        <i x="304" s="1"/>
        <i x="278" s="1"/>
        <i x="377" s="1"/>
        <i x="113" s="1"/>
        <i x="205" s="1"/>
        <i x="91" s="1"/>
        <i x="1" s="1"/>
        <i x="245" s="1"/>
        <i x="11" s="1"/>
        <i x="357" s="1"/>
        <i x="224" s="1"/>
        <i x="223" s="1"/>
        <i x="287" s="1"/>
        <i x="116" s="1"/>
        <i x="337" s="1"/>
        <i x="38" s="1"/>
        <i x="189" s="1"/>
        <i x="251" s="1"/>
        <i x="209" s="1"/>
        <i x="139" s="1"/>
        <i x="183" s="1"/>
        <i x="332" s="1"/>
        <i x="119" s="1"/>
        <i x="368" s="1"/>
        <i x="2" s="1"/>
        <i x="215" s="1"/>
        <i x="83" s="1"/>
        <i x="57" s="1"/>
        <i x="101" s="1"/>
        <i x="241" s="1"/>
        <i x="135" s="1"/>
        <i x="67" s="1"/>
        <i x="63" s="1"/>
        <i x="8" s="1"/>
        <i x="263" s="1"/>
        <i x="327" s="1"/>
        <i x="15" s="1"/>
        <i x="108" s="1"/>
        <i x="355" s="1"/>
        <i x="233" s="1"/>
        <i x="250" s="1"/>
        <i x="200" s="1"/>
        <i x="336" s="1"/>
        <i x="398" s="1"/>
        <i x="354" s="1"/>
        <i x="369" s="1"/>
        <i x="21" s="1"/>
        <i x="216" s="1"/>
        <i x="61" s="1"/>
        <i x="226" s="1"/>
        <i x="145" s="1"/>
        <i x="256" s="1"/>
        <i x="182" s="1"/>
        <i x="41" s="1"/>
        <i x="308" s="1"/>
        <i x="197" s="1"/>
        <i x="326" s="1"/>
        <i x="198" s="1"/>
        <i x="340" s="1"/>
        <i x="173" s="1"/>
        <i x="22" s="1"/>
        <i x="353" s="1"/>
        <i x="148" s="1"/>
        <i x="343" s="1"/>
        <i x="90" s="1"/>
        <i x="247" s="1"/>
        <i x="174" s="1"/>
        <i x="334" s="1"/>
        <i x="35" s="1"/>
        <i x="225" s="1"/>
        <i x="371" s="1"/>
        <i x="170" s="1"/>
        <i x="356" s="1"/>
        <i x="305" s="1"/>
        <i x="331" s="1"/>
        <i x="365" s="1"/>
        <i x="329" s="1"/>
        <i x="98" s="1"/>
        <i x="235" s="1"/>
        <i x="282" s="1"/>
        <i x="37" s="1"/>
        <i x="134" s="1"/>
        <i x="97" s="1"/>
        <i x="246" s="1"/>
        <i x="390" s="1"/>
        <i x="73" s="1"/>
        <i x="382" s="1"/>
        <i x="188" s="1"/>
        <i x="228" s="1"/>
        <i x="239" s="1"/>
        <i x="10" s="1"/>
        <i x="141" s="1"/>
        <i x="311" s="1"/>
        <i x="115" s="1"/>
        <i x="52" s="1"/>
        <i x="40" s="1"/>
        <i x="164" s="1"/>
        <i x="322" s="1"/>
        <i x="76" s="1"/>
        <i x="168" s="1"/>
        <i x="195" s="1"/>
        <i x="321" s="1"/>
        <i x="385" s="1"/>
        <i x="176" s="1"/>
        <i x="13" s="1"/>
        <i x="25" s="1"/>
        <i x="156" s="1"/>
        <i x="261" s="1"/>
        <i x="0" s="1"/>
        <i x="244" s="1"/>
        <i x="202" s="1"/>
        <i x="386" s="1"/>
        <i x="136" s="1"/>
        <i x="89" s="1"/>
        <i x="253" s="1"/>
        <i x="347" s="1"/>
        <i x="165" s="1"/>
        <i x="36" s="1"/>
        <i x="196" s="1"/>
        <i x="105" s="1"/>
        <i x="313" s="1"/>
        <i x="258" s="1"/>
        <i x="74" s="1"/>
        <i x="118" s="1"/>
        <i x="54" s="1"/>
        <i x="227" s="1"/>
        <i x="312" s="1"/>
        <i x="288" s="1"/>
        <i x="185" s="1"/>
        <i x="280" s="1"/>
        <i x="191" s="1"/>
        <i x="285" s="1"/>
        <i x="144" s="1"/>
        <i x="72" s="1"/>
        <i x="92" s="1"/>
        <i x="65" s="1"/>
        <i x="364" s="1"/>
        <i x="132" s="1"/>
        <i x="192" s="1"/>
        <i x="267" s="1"/>
        <i x="350" s="1"/>
        <i x="175" s="1"/>
        <i x="124" s="1"/>
        <i x="387" s="1"/>
        <i x="78" s="1"/>
        <i x="344" s="1"/>
        <i x="95" s="1"/>
        <i x="212" s="1"/>
        <i x="84" s="1"/>
        <i x="104" s="1"/>
        <i x="319" s="1"/>
        <i x="96" s="1"/>
        <i x="274" s="1"/>
        <i x="60" s="1"/>
        <i x="3" s="1"/>
        <i x="103" s="1"/>
        <i x="152" s="1"/>
        <i x="26" s="1"/>
        <i x="121" s="1"/>
        <i x="383" s="1"/>
        <i x="49" s="1"/>
        <i x="372" s="1"/>
        <i x="20" s="1"/>
        <i x="268" s="1"/>
        <i x="341" s="1"/>
        <i x="33" s="1"/>
        <i x="111" s="1"/>
        <i x="180" s="1"/>
        <i x="15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E297284-CFEB-4B2D-890F-EAD8663BBC39}" cache="Slicer_region" caption="region" style="SlicerStyleDark1" rowHeight="365760"/>
  <slicer name="product_category 1" xr10:uid="{092058D0-705D-4328-96FF-8BFBAF4AA786}" cache="Slicer_product_category" caption="product_category" style="SlicerStyleDark1" rowHeight="241300"/>
  <slicer name="city 1" xr10:uid="{66724F04-1407-4234-B342-8266E6D82F49}" cache="Slicer_city" caption="city" style="SlicerStyleDark1" rowHeight="241300"/>
  <slicer name="customer_name 1" xr10:uid="{13158D9E-43E2-4D77-88EA-9FE4C2692310}" cache="Slicer_customer_name" caption="customer_name"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2C5B9A1-5E77-4366-9348-92ED490F58EE}" cache="Slicer_region" caption="region" columnCount="3" showCaption="0" style="SlicerStyleDark1" rowHeight="241300"/>
  <slicer name="product_category" xr10:uid="{4DC664CD-8012-41AA-A77C-F5BF05245425}" cache="Slicer_product_category" caption="product_category" rowHeight="241300"/>
  <slicer name="city" xr10:uid="{10C44416-BD2D-4C38-A62E-803DAE268CC7}" cache="Slicer_city" caption="city" rowHeight="241300"/>
  <slicer name="customer_name" xr10:uid="{BDC6D845-842D-4075-8214-39B429E4267B}" cache="Slicer_customer_name" caption="customer_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3144" totalsRowShown="0" headerRowBorderDxfId="2" headerRowCellStyle="Heading 1">
  <autoFilter ref="A1:V3144" xr:uid="{00000000-0009-0000-0100-000001000000}"/>
  <tableColumns count="22">
    <tableColumn id="1" xr3:uid="{00000000-0010-0000-0000-000001000000}" name="order_id"/>
    <tableColumn id="2" xr3:uid="{00000000-0010-0000-0000-000002000000}" name="order_date" dataDxfId="1"/>
    <tableColumn id="3" xr3:uid="{00000000-0010-0000-0000-000003000000}" name="customer_id"/>
    <tableColumn id="4" xr3:uid="{00000000-0010-0000-0000-000004000000}" name="customer_name"/>
    <tableColumn id="5" xr3:uid="{00000000-0010-0000-0000-000005000000}" name="age"/>
    <tableColumn id="22" xr3:uid="{00000000-0010-0000-0000-000016000000}" name="age_group" dataDxfId="0">
      <calculatedColumnFormula>IF(Table1[[#This Row],[age]]&lt;=25,"18-25",IF(Table1[[#This Row],[age]]&lt;=35,"26-35",IF(Table1[[#This Row],[age]]&lt;=50,"36-50","51+")))</calculatedColumnFormula>
    </tableColumn>
    <tableColumn id="6" xr3:uid="{00000000-0010-0000-0000-000006000000}" name="gender"/>
    <tableColumn id="7" xr3:uid="{00000000-0010-0000-0000-000007000000}" name="region"/>
    <tableColumn id="8" xr3:uid="{00000000-0010-0000-0000-000008000000}" name="city"/>
    <tableColumn id="9" xr3:uid="{00000000-0010-0000-0000-000009000000}" name="product_category"/>
    <tableColumn id="10" xr3:uid="{00000000-0010-0000-0000-00000A000000}" name="product_name"/>
    <tableColumn id="11" xr3:uid="{00000000-0010-0000-0000-00000B000000}" name="quantity"/>
    <tableColumn id="12" xr3:uid="{00000000-0010-0000-0000-00000C000000}" name="unit_price"/>
    <tableColumn id="13" xr3:uid="{00000000-0010-0000-0000-00000D000000}" name="discount_pct"/>
    <tableColumn id="14" xr3:uid="{00000000-0010-0000-0000-00000E000000}" name="sales_amount"/>
    <tableColumn id="15" xr3:uid="{00000000-0010-0000-0000-00000F000000}" name="profit"/>
    <tableColumn id="16" xr3:uid="{00000000-0010-0000-0000-000010000000}" name="shipping_cost"/>
    <tableColumn id="17" xr3:uid="{00000000-0010-0000-0000-000011000000}" name="payment_method"/>
    <tableColumn id="18" xr3:uid="{00000000-0010-0000-0000-000012000000}" name="customer_satisfaction"/>
    <tableColumn id="19" xr3:uid="{00000000-0010-0000-0000-000013000000}" name="return_flag"/>
    <tableColumn id="20" xr3:uid="{00000000-0010-0000-0000-000014000000}" name="order_status"/>
    <tableColumn id="21" xr3:uid="{00000000-0010-0000-0000-000015000000}" name="days_to_shi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43188-678F-4640-9F65-66ECCA39D066}">
  <dimension ref="A1"/>
  <sheetViews>
    <sheetView showGridLines="0" showRowColHeaders="0" tabSelected="1" zoomScaleNormal="100" workbookViewId="0">
      <selection activeCell="C73" sqref="C73"/>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I76"/>
  <sheetViews>
    <sheetView topLeftCell="A15" workbookViewId="0">
      <selection activeCell="F1" sqref="F1"/>
    </sheetView>
  </sheetViews>
  <sheetFormatPr defaultRowHeight="15" x14ac:dyDescent="0.25"/>
  <cols>
    <col min="1" max="1" width="13.140625" bestFit="1" customWidth="1"/>
    <col min="2" max="2" width="20.140625" bestFit="1" customWidth="1"/>
    <col min="3" max="3" width="12.5703125" bestFit="1" customWidth="1"/>
    <col min="4" max="4" width="13.140625" bestFit="1" customWidth="1"/>
    <col min="5" max="5" width="16.7109375" bestFit="1" customWidth="1"/>
    <col min="6" max="6" width="12.5703125" bestFit="1" customWidth="1"/>
    <col min="7" max="7" width="13.140625" bestFit="1" customWidth="1"/>
    <col min="8" max="8" width="23.7109375" bestFit="1" customWidth="1"/>
    <col min="9" max="9" width="16.140625" bestFit="1" customWidth="1"/>
  </cols>
  <sheetData>
    <row r="3" spans="1:8" x14ac:dyDescent="0.25">
      <c r="A3" t="s">
        <v>6760</v>
      </c>
      <c r="B3" t="s">
        <v>6761</v>
      </c>
      <c r="D3" s="15" t="s">
        <v>6762</v>
      </c>
      <c r="E3" t="s">
        <v>6760</v>
      </c>
      <c r="G3" s="15" t="s">
        <v>6762</v>
      </c>
      <c r="H3" t="s">
        <v>6760</v>
      </c>
    </row>
    <row r="4" spans="1:8" x14ac:dyDescent="0.25">
      <c r="A4" s="18">
        <v>189562720.07999966</v>
      </c>
      <c r="B4" s="18">
        <v>36340820.439999901</v>
      </c>
      <c r="D4" s="16" t="s">
        <v>80</v>
      </c>
      <c r="E4" s="18">
        <v>42174105.279999949</v>
      </c>
      <c r="G4" s="16" t="s">
        <v>115</v>
      </c>
      <c r="H4" s="18">
        <v>104715126.05999997</v>
      </c>
    </row>
    <row r="5" spans="1:8" x14ac:dyDescent="0.25">
      <c r="D5" s="16" t="s">
        <v>61</v>
      </c>
      <c r="E5" s="18">
        <v>42150474.169999987</v>
      </c>
      <c r="G5" s="16" t="s">
        <v>36</v>
      </c>
      <c r="H5" s="18">
        <v>42338863.779999994</v>
      </c>
    </row>
    <row r="6" spans="1:8" x14ac:dyDescent="0.25">
      <c r="D6" s="16" t="s">
        <v>25</v>
      </c>
      <c r="E6" s="18">
        <v>37820074.590000011</v>
      </c>
      <c r="G6" s="16" t="s">
        <v>101</v>
      </c>
      <c r="H6" s="18">
        <v>26526005.349999987</v>
      </c>
    </row>
    <row r="7" spans="1:8" x14ac:dyDescent="0.25">
      <c r="A7" s="15" t="s">
        <v>6762</v>
      </c>
      <c r="B7" t="s">
        <v>6760</v>
      </c>
      <c r="D7" s="16" t="s">
        <v>69</v>
      </c>
      <c r="E7" s="18">
        <v>36210983.54999999</v>
      </c>
      <c r="G7" s="16" t="s">
        <v>63</v>
      </c>
      <c r="H7" s="18">
        <v>9919485.5500000063</v>
      </c>
    </row>
    <row r="8" spans="1:8" x14ac:dyDescent="0.25">
      <c r="A8" s="16" t="s">
        <v>62</v>
      </c>
      <c r="B8" s="18">
        <v>17887172.960000016</v>
      </c>
      <c r="D8" s="16" t="s">
        <v>55</v>
      </c>
      <c r="E8" s="18">
        <v>31207082.490000036</v>
      </c>
      <c r="G8" s="16" t="s">
        <v>27</v>
      </c>
      <c r="H8" s="18">
        <v>2976249.8900000015</v>
      </c>
    </row>
    <row r="9" spans="1:8" x14ac:dyDescent="0.25">
      <c r="A9" s="16" t="s">
        <v>242</v>
      </c>
      <c r="B9" s="18">
        <v>16092409.790000003</v>
      </c>
      <c r="D9" s="16" t="s">
        <v>6755</v>
      </c>
      <c r="E9" s="18">
        <v>189562720.07999995</v>
      </c>
      <c r="G9" s="16" t="s">
        <v>47</v>
      </c>
      <c r="H9" s="18">
        <v>2378080.7500000005</v>
      </c>
    </row>
    <row r="10" spans="1:8" x14ac:dyDescent="0.25">
      <c r="A10" s="16" t="s">
        <v>26</v>
      </c>
      <c r="B10" s="18">
        <v>10725379.619999995</v>
      </c>
      <c r="G10" s="16" t="s">
        <v>106</v>
      </c>
      <c r="H10" s="18">
        <v>708908.70000000019</v>
      </c>
    </row>
    <row r="11" spans="1:8" x14ac:dyDescent="0.25">
      <c r="A11" s="16" t="s">
        <v>221</v>
      </c>
      <c r="B11" s="18">
        <v>10205912.049999997</v>
      </c>
      <c r="G11" s="16" t="s">
        <v>6755</v>
      </c>
      <c r="H11" s="18">
        <v>189562720.07999995</v>
      </c>
    </row>
    <row r="12" spans="1:8" x14ac:dyDescent="0.25">
      <c r="A12" s="16" t="s">
        <v>41</v>
      </c>
      <c r="B12" s="18">
        <v>9964580.1700000018</v>
      </c>
      <c r="D12" s="15" t="s">
        <v>6762</v>
      </c>
      <c r="E12" s="17" t="s">
        <v>6760</v>
      </c>
    </row>
    <row r="13" spans="1:8" x14ac:dyDescent="0.25">
      <c r="A13" s="16" t="s">
        <v>236</v>
      </c>
      <c r="B13" s="18">
        <v>9955325.6999999955</v>
      </c>
      <c r="D13" s="16" t="s">
        <v>459</v>
      </c>
      <c r="E13" s="18">
        <v>7957283.330000001</v>
      </c>
      <c r="G13" s="15" t="s">
        <v>6762</v>
      </c>
      <c r="H13" t="s">
        <v>6763</v>
      </c>
    </row>
    <row r="14" spans="1:8" x14ac:dyDescent="0.25">
      <c r="A14" s="16" t="s">
        <v>136</v>
      </c>
      <c r="B14" s="18">
        <v>9436006.6899999958</v>
      </c>
      <c r="D14" s="16" t="s">
        <v>1662</v>
      </c>
      <c r="E14" s="18">
        <v>2622213.61</v>
      </c>
      <c r="G14" s="16" t="s">
        <v>65</v>
      </c>
      <c r="H14" s="14">
        <v>570</v>
      </c>
    </row>
    <row r="15" spans="1:8" x14ac:dyDescent="0.25">
      <c r="A15" s="16" t="s">
        <v>91</v>
      </c>
      <c r="B15" s="18">
        <v>9247498.1599999983</v>
      </c>
      <c r="D15" s="16" t="s">
        <v>2008</v>
      </c>
      <c r="E15" s="18">
        <v>2613173.5300000007</v>
      </c>
      <c r="G15" s="16" t="s">
        <v>57</v>
      </c>
      <c r="H15" s="14">
        <v>556</v>
      </c>
    </row>
    <row r="16" spans="1:8" x14ac:dyDescent="0.25">
      <c r="A16" s="16" t="s">
        <v>181</v>
      </c>
      <c r="B16" s="18">
        <v>9218254.0000000056</v>
      </c>
      <c r="D16" s="16" t="s">
        <v>1066</v>
      </c>
      <c r="E16" s="18">
        <v>2031154.11</v>
      </c>
      <c r="G16" s="16" t="s">
        <v>29</v>
      </c>
      <c r="H16" s="14">
        <v>523</v>
      </c>
    </row>
    <row r="17" spans="1:9" x14ac:dyDescent="0.25">
      <c r="A17" s="16" t="s">
        <v>35</v>
      </c>
      <c r="B17" s="18">
        <v>9080556.6499999966</v>
      </c>
      <c r="D17" s="16" t="s">
        <v>737</v>
      </c>
      <c r="E17" s="18">
        <v>2023784.0000000002</v>
      </c>
      <c r="G17" s="16" t="s">
        <v>49</v>
      </c>
      <c r="H17" s="14">
        <v>513</v>
      </c>
    </row>
    <row r="18" spans="1:9" x14ac:dyDescent="0.25">
      <c r="A18" s="16" t="s">
        <v>114</v>
      </c>
      <c r="B18" s="18">
        <v>9075672.1799999997</v>
      </c>
      <c r="D18" s="16" t="s">
        <v>1069</v>
      </c>
      <c r="E18" s="18">
        <v>1694577.43</v>
      </c>
      <c r="G18" s="16" t="s">
        <v>43</v>
      </c>
      <c r="H18" s="14">
        <v>506</v>
      </c>
    </row>
    <row r="19" spans="1:9" x14ac:dyDescent="0.25">
      <c r="A19" s="16" t="s">
        <v>163</v>
      </c>
      <c r="B19" s="18">
        <v>8098094.7599999988</v>
      </c>
      <c r="D19" s="16" t="s">
        <v>618</v>
      </c>
      <c r="E19" s="18">
        <v>1679643.53</v>
      </c>
      <c r="G19" s="16" t="s">
        <v>92</v>
      </c>
      <c r="H19" s="14">
        <v>475</v>
      </c>
    </row>
    <row r="20" spans="1:9" x14ac:dyDescent="0.25">
      <c r="A20" s="16" t="s">
        <v>81</v>
      </c>
      <c r="B20" s="18">
        <v>8077383.7999999961</v>
      </c>
      <c r="D20" s="16" t="s">
        <v>1359</v>
      </c>
      <c r="E20" s="18">
        <v>1613930.31</v>
      </c>
      <c r="G20" s="16" t="s">
        <v>6755</v>
      </c>
      <c r="H20" s="14">
        <v>3143</v>
      </c>
    </row>
    <row r="21" spans="1:9" x14ac:dyDescent="0.25">
      <c r="A21" s="16" t="s">
        <v>97</v>
      </c>
      <c r="B21" s="18">
        <v>8055542.9999999972</v>
      </c>
      <c r="D21" s="16" t="s">
        <v>440</v>
      </c>
      <c r="E21" s="18">
        <v>1512960.9</v>
      </c>
    </row>
    <row r="22" spans="1:9" x14ac:dyDescent="0.25">
      <c r="A22" s="16" t="s">
        <v>298</v>
      </c>
      <c r="B22" s="18">
        <v>8049558.1499999994</v>
      </c>
      <c r="D22" s="16" t="s">
        <v>1654</v>
      </c>
      <c r="E22" s="18">
        <v>1500739.6500000001</v>
      </c>
    </row>
    <row r="23" spans="1:9" x14ac:dyDescent="0.25">
      <c r="A23" s="16" t="s">
        <v>86</v>
      </c>
      <c r="B23" s="18">
        <v>8048985.9899999993</v>
      </c>
      <c r="D23" s="16" t="s">
        <v>6755</v>
      </c>
      <c r="E23" s="18">
        <v>25249460.399999999</v>
      </c>
      <c r="G23" s="15" t="s">
        <v>6762</v>
      </c>
      <c r="H23" t="s">
        <v>6764</v>
      </c>
      <c r="I23" t="s">
        <v>6765</v>
      </c>
    </row>
    <row r="24" spans="1:9" x14ac:dyDescent="0.25">
      <c r="A24" s="16" t="s">
        <v>70</v>
      </c>
      <c r="B24" s="18">
        <v>7350810.8099999968</v>
      </c>
      <c r="G24" s="16">
        <v>0</v>
      </c>
      <c r="H24" s="18">
        <v>114335.63187500001</v>
      </c>
      <c r="I24" s="18">
        <v>18760.670000000002</v>
      </c>
    </row>
    <row r="25" spans="1:9" x14ac:dyDescent="0.25">
      <c r="A25" s="16" t="s">
        <v>75</v>
      </c>
      <c r="B25" s="18">
        <v>7298295.5899999989</v>
      </c>
      <c r="D25" s="15" t="s">
        <v>6762</v>
      </c>
      <c r="E25" t="s">
        <v>6769</v>
      </c>
      <c r="G25" s="16">
        <v>0.01</v>
      </c>
      <c r="H25" s="18">
        <v>56589.681038961047</v>
      </c>
      <c r="I25" s="18">
        <v>9854.1350649350661</v>
      </c>
    </row>
    <row r="26" spans="1:9" x14ac:dyDescent="0.25">
      <c r="A26" s="16" t="s">
        <v>141</v>
      </c>
      <c r="B26" s="18">
        <v>6917708.290000001</v>
      </c>
      <c r="D26" s="16" t="s">
        <v>6767</v>
      </c>
      <c r="E26" s="14">
        <v>2685</v>
      </c>
      <c r="G26" s="16">
        <v>0.02</v>
      </c>
      <c r="H26" s="18">
        <v>66471.706219512198</v>
      </c>
      <c r="I26" s="18">
        <v>10759.711829268294</v>
      </c>
    </row>
    <row r="27" spans="1:9" x14ac:dyDescent="0.25">
      <c r="A27" s="16" t="s">
        <v>56</v>
      </c>
      <c r="B27" s="18">
        <v>6777571.7200000025</v>
      </c>
      <c r="D27" s="16" t="s">
        <v>6768</v>
      </c>
      <c r="E27" s="14">
        <v>458</v>
      </c>
      <c r="G27" s="16">
        <v>0.03</v>
      </c>
      <c r="H27" s="18">
        <v>76301.471627906983</v>
      </c>
      <c r="I27" s="18">
        <v>20978.38546511628</v>
      </c>
    </row>
    <row r="28" spans="1:9" x14ac:dyDescent="0.25">
      <c r="A28" s="16" t="s">
        <v>6755</v>
      </c>
      <c r="B28" s="18">
        <v>189562720.08000004</v>
      </c>
      <c r="D28" s="16" t="s">
        <v>6755</v>
      </c>
      <c r="E28" s="14">
        <v>3143</v>
      </c>
      <c r="G28" s="16">
        <v>0.04</v>
      </c>
      <c r="H28" s="18">
        <v>60082.833333333314</v>
      </c>
      <c r="I28" s="18">
        <v>11876.916451612902</v>
      </c>
    </row>
    <row r="29" spans="1:9" x14ac:dyDescent="0.25">
      <c r="G29" s="16">
        <v>0.05</v>
      </c>
      <c r="H29" s="18">
        <v>62027.278874999996</v>
      </c>
      <c r="I29" s="18">
        <v>12544.417124999998</v>
      </c>
    </row>
    <row r="30" spans="1:9" x14ac:dyDescent="0.25">
      <c r="A30" s="5"/>
      <c r="B30" s="6"/>
      <c r="C30" s="7"/>
      <c r="G30" s="16">
        <v>0.06</v>
      </c>
      <c r="H30" s="18">
        <v>84999.413846153824</v>
      </c>
      <c r="I30" s="18">
        <v>14453.823846153853</v>
      </c>
    </row>
    <row r="31" spans="1:9" x14ac:dyDescent="0.25">
      <c r="A31" s="8"/>
      <c r="B31" s="9"/>
      <c r="C31" s="10"/>
      <c r="D31" s="15" t="s">
        <v>6762</v>
      </c>
      <c r="E31" t="s">
        <v>6760</v>
      </c>
      <c r="G31" s="16">
        <v>7.0000000000000007E-2</v>
      </c>
      <c r="H31" s="18">
        <v>48290.709870129853</v>
      </c>
      <c r="I31" s="18">
        <v>9071.2289610389598</v>
      </c>
    </row>
    <row r="32" spans="1:9" x14ac:dyDescent="0.25">
      <c r="A32" s="8"/>
      <c r="B32" s="9"/>
      <c r="C32" s="10"/>
      <c r="D32" s="16" t="s">
        <v>6773</v>
      </c>
      <c r="E32" s="19">
        <v>77543562.070000187</v>
      </c>
      <c r="G32" s="16">
        <v>0.08</v>
      </c>
      <c r="H32" s="18">
        <v>68846.612535211287</v>
      </c>
      <c r="I32" s="18">
        <v>11343.881830985913</v>
      </c>
    </row>
    <row r="33" spans="1:9" x14ac:dyDescent="0.25">
      <c r="A33" s="8"/>
      <c r="B33" s="9"/>
      <c r="C33" s="10"/>
      <c r="D33" s="16" t="s">
        <v>6772</v>
      </c>
      <c r="E33" s="19">
        <v>63579802.050000019</v>
      </c>
      <c r="G33" s="16">
        <v>0.09</v>
      </c>
      <c r="H33" s="18">
        <v>57340.007654321009</v>
      </c>
      <c r="I33" s="18">
        <v>9960.1412345679018</v>
      </c>
    </row>
    <row r="34" spans="1:9" x14ac:dyDescent="0.25">
      <c r="A34" s="8"/>
      <c r="B34" s="9"/>
      <c r="C34" s="10"/>
      <c r="D34" s="16" t="s">
        <v>6771</v>
      </c>
      <c r="E34" s="19">
        <v>30606360.190000024</v>
      </c>
      <c r="G34" s="16">
        <v>0.1</v>
      </c>
      <c r="H34" s="18">
        <v>59659.136545454567</v>
      </c>
      <c r="I34" s="18">
        <v>11817.056545454545</v>
      </c>
    </row>
    <row r="35" spans="1:9" x14ac:dyDescent="0.25">
      <c r="A35" s="8"/>
      <c r="B35" s="9"/>
      <c r="C35" s="10"/>
      <c r="D35" s="16" t="s">
        <v>6774</v>
      </c>
      <c r="E35" s="19">
        <v>17832995.770000007</v>
      </c>
      <c r="G35" s="16">
        <v>0.11</v>
      </c>
      <c r="H35" s="18">
        <v>92436.70790697675</v>
      </c>
      <c r="I35" s="18">
        <v>17696.364883720933</v>
      </c>
    </row>
    <row r="36" spans="1:9" x14ac:dyDescent="0.25">
      <c r="A36" s="8"/>
      <c r="B36" s="9"/>
      <c r="C36" s="10"/>
      <c r="D36" s="16" t="s">
        <v>6755</v>
      </c>
      <c r="E36" s="19">
        <v>189562720.08000025</v>
      </c>
      <c r="G36" s="16">
        <v>0.12</v>
      </c>
      <c r="H36" s="18">
        <v>67139.586790123474</v>
      </c>
      <c r="I36" s="18">
        <v>11416.302222222223</v>
      </c>
    </row>
    <row r="37" spans="1:9" x14ac:dyDescent="0.25">
      <c r="A37" s="8"/>
      <c r="B37" s="9"/>
      <c r="C37" s="10"/>
      <c r="G37" s="16">
        <v>0.13</v>
      </c>
      <c r="H37" s="18">
        <v>58094.554225352098</v>
      </c>
      <c r="I37" s="18">
        <v>10193.675070422532</v>
      </c>
    </row>
    <row r="38" spans="1:9" x14ac:dyDescent="0.25">
      <c r="A38" s="8"/>
      <c r="B38" s="9"/>
      <c r="C38" s="10"/>
      <c r="G38" s="16">
        <v>0.14000000000000001</v>
      </c>
      <c r="H38" s="18">
        <v>83596.756625000009</v>
      </c>
      <c r="I38" s="18">
        <v>15584.313874999998</v>
      </c>
    </row>
    <row r="39" spans="1:9" x14ac:dyDescent="0.25">
      <c r="A39" s="8"/>
      <c r="B39" s="9"/>
      <c r="C39" s="10"/>
      <c r="G39" s="16">
        <v>0.15</v>
      </c>
      <c r="H39" s="18">
        <v>60739.82039999999</v>
      </c>
      <c r="I39" s="18">
        <v>12067.948799999996</v>
      </c>
    </row>
    <row r="40" spans="1:9" x14ac:dyDescent="0.25">
      <c r="A40" s="8"/>
      <c r="B40" s="9"/>
      <c r="C40" s="10"/>
      <c r="G40" s="16">
        <v>0.16</v>
      </c>
      <c r="H40" s="18">
        <v>59662.69044117647</v>
      </c>
      <c r="I40" s="18">
        <v>10436.507941176471</v>
      </c>
    </row>
    <row r="41" spans="1:9" x14ac:dyDescent="0.25">
      <c r="A41" s="8"/>
      <c r="B41" s="9"/>
      <c r="C41" s="10"/>
      <c r="G41" s="16">
        <v>0.17</v>
      </c>
      <c r="H41" s="18">
        <v>63314.058933333319</v>
      </c>
      <c r="I41" s="18">
        <v>11759.213866666671</v>
      </c>
    </row>
    <row r="42" spans="1:9" x14ac:dyDescent="0.25">
      <c r="A42" s="8"/>
      <c r="B42" s="9"/>
      <c r="C42" s="10"/>
      <c r="G42" s="16">
        <v>0.18</v>
      </c>
      <c r="H42" s="18">
        <v>54013.684218749993</v>
      </c>
      <c r="I42" s="18">
        <v>11892.536250000001</v>
      </c>
    </row>
    <row r="43" spans="1:9" x14ac:dyDescent="0.25">
      <c r="A43" s="8"/>
      <c r="B43" s="9"/>
      <c r="C43" s="10"/>
      <c r="G43" s="16">
        <v>0.19</v>
      </c>
      <c r="H43" s="18">
        <v>67835.498243243201</v>
      </c>
      <c r="I43" s="18">
        <v>12917.790945945942</v>
      </c>
    </row>
    <row r="44" spans="1:9" x14ac:dyDescent="0.25">
      <c r="A44" s="8"/>
      <c r="B44" s="9"/>
      <c r="C44" s="10"/>
      <c r="G44" s="16">
        <v>0.2</v>
      </c>
      <c r="H44" s="18">
        <v>52292.223684210541</v>
      </c>
      <c r="I44" s="18">
        <v>10814.553157894738</v>
      </c>
    </row>
    <row r="45" spans="1:9" x14ac:dyDescent="0.25">
      <c r="A45" s="8"/>
      <c r="B45" s="9"/>
      <c r="C45" s="10"/>
      <c r="G45" s="16">
        <v>0.21</v>
      </c>
      <c r="H45" s="18">
        <v>57096.874606741585</v>
      </c>
      <c r="I45" s="18">
        <v>10557.487303370786</v>
      </c>
    </row>
    <row r="46" spans="1:9" x14ac:dyDescent="0.25">
      <c r="A46" s="8"/>
      <c r="B46" s="9"/>
      <c r="C46" s="10"/>
      <c r="G46" s="16">
        <v>0.22</v>
      </c>
      <c r="H46" s="18">
        <v>79205.655393258407</v>
      </c>
      <c r="I46" s="18">
        <v>14636.845280898877</v>
      </c>
    </row>
    <row r="47" spans="1:9" x14ac:dyDescent="0.25">
      <c r="A47" s="11"/>
      <c r="B47" s="12"/>
      <c r="C47" s="13"/>
      <c r="G47" s="16">
        <v>0.23</v>
      </c>
      <c r="H47" s="18">
        <v>53908.912371134</v>
      </c>
      <c r="I47" s="18">
        <v>10047.967628865978</v>
      </c>
    </row>
    <row r="48" spans="1:9" x14ac:dyDescent="0.25">
      <c r="G48" s="16">
        <v>0.24</v>
      </c>
      <c r="H48" s="18">
        <v>45054.507407407407</v>
      </c>
      <c r="I48" s="18">
        <v>8213.4037037037033</v>
      </c>
    </row>
    <row r="49" spans="7:9" x14ac:dyDescent="0.25">
      <c r="G49" s="16">
        <v>0.25</v>
      </c>
      <c r="H49" s="18">
        <v>43899.244810126576</v>
      </c>
      <c r="I49" s="18">
        <v>8966.1153164556981</v>
      </c>
    </row>
    <row r="50" spans="7:9" x14ac:dyDescent="0.25">
      <c r="G50" s="16">
        <v>0.26</v>
      </c>
      <c r="H50" s="18">
        <v>56735.491265822777</v>
      </c>
      <c r="I50" s="18">
        <v>9988.0611392405062</v>
      </c>
    </row>
    <row r="51" spans="7:9" x14ac:dyDescent="0.25">
      <c r="G51" s="16">
        <v>0.27</v>
      </c>
      <c r="H51" s="18">
        <v>62712.658923076946</v>
      </c>
      <c r="I51" s="18">
        <v>11668.352769230771</v>
      </c>
    </row>
    <row r="52" spans="7:9" x14ac:dyDescent="0.25">
      <c r="G52" s="16">
        <v>0.28000000000000003</v>
      </c>
      <c r="H52" s="18">
        <v>54866.519896907201</v>
      </c>
      <c r="I52" s="18">
        <v>9878.5242268041202</v>
      </c>
    </row>
    <row r="53" spans="7:9" x14ac:dyDescent="0.25">
      <c r="G53" s="16">
        <v>0.28999999999999998</v>
      </c>
      <c r="H53" s="18">
        <v>198754.45757575752</v>
      </c>
      <c r="I53" s="18">
        <v>39014.609999999986</v>
      </c>
    </row>
    <row r="54" spans="7:9" x14ac:dyDescent="0.25">
      <c r="G54" s="16">
        <v>0.3</v>
      </c>
      <c r="H54" s="18">
        <v>52816.893636363653</v>
      </c>
      <c r="I54" s="18">
        <v>10044.173181818185</v>
      </c>
    </row>
    <row r="55" spans="7:9" x14ac:dyDescent="0.25">
      <c r="G55" s="16">
        <v>0.31</v>
      </c>
      <c r="H55" s="18">
        <v>61237.212463768134</v>
      </c>
      <c r="I55" s="18">
        <v>20040.666376811598</v>
      </c>
    </row>
    <row r="56" spans="7:9" x14ac:dyDescent="0.25">
      <c r="G56" s="16">
        <v>0.32</v>
      </c>
      <c r="H56" s="18">
        <v>67310.059583333365</v>
      </c>
      <c r="I56" s="18">
        <v>10789.872499999998</v>
      </c>
    </row>
    <row r="57" spans="7:9" x14ac:dyDescent="0.25">
      <c r="G57" s="16">
        <v>0.33</v>
      </c>
      <c r="H57" s="18">
        <v>45893.839009900992</v>
      </c>
      <c r="I57" s="18">
        <v>8647.9207920792087</v>
      </c>
    </row>
    <row r="58" spans="7:9" x14ac:dyDescent="0.25">
      <c r="G58" s="16">
        <v>0.34</v>
      </c>
      <c r="H58" s="18">
        <v>32481.329625000006</v>
      </c>
      <c r="I58" s="18">
        <v>5820.4162500000011</v>
      </c>
    </row>
    <row r="59" spans="7:9" x14ac:dyDescent="0.25">
      <c r="G59" s="16">
        <v>0.35</v>
      </c>
      <c r="H59" s="18">
        <v>24599.065138888884</v>
      </c>
      <c r="I59" s="18">
        <v>5508.3556944444463</v>
      </c>
    </row>
    <row r="60" spans="7:9" x14ac:dyDescent="0.25">
      <c r="G60" s="16">
        <v>0.36</v>
      </c>
      <c r="H60" s="18">
        <v>34854.73910112361</v>
      </c>
      <c r="I60" s="18">
        <v>7099.2235955056194</v>
      </c>
    </row>
    <row r="61" spans="7:9" x14ac:dyDescent="0.25">
      <c r="G61" s="16">
        <v>0.37</v>
      </c>
      <c r="H61" s="18">
        <v>41992.726021505368</v>
      </c>
      <c r="I61" s="18">
        <v>8062.442258064516</v>
      </c>
    </row>
    <row r="62" spans="7:9" x14ac:dyDescent="0.25">
      <c r="G62" s="16">
        <v>0.38</v>
      </c>
      <c r="H62" s="18">
        <v>23299.618169014084</v>
      </c>
      <c r="I62" s="18">
        <v>3949.4314084507041</v>
      </c>
    </row>
    <row r="63" spans="7:9" x14ac:dyDescent="0.25">
      <c r="G63" s="16">
        <v>0.39</v>
      </c>
      <c r="H63" s="18">
        <v>34446.686823529402</v>
      </c>
      <c r="I63" s="18">
        <v>6215.7464705882348</v>
      </c>
    </row>
    <row r="64" spans="7:9" x14ac:dyDescent="0.25">
      <c r="G64" s="16">
        <v>0.4</v>
      </c>
      <c r="H64" s="18">
        <v>28817.78170731707</v>
      </c>
      <c r="I64" s="18">
        <v>5524.3539024390257</v>
      </c>
    </row>
    <row r="65" spans="4:9" x14ac:dyDescent="0.25">
      <c r="G65" s="16" t="s">
        <v>6755</v>
      </c>
      <c r="H65" s="18">
        <v>60312.669449570603</v>
      </c>
      <c r="I65" s="18">
        <v>11562.462755329279</v>
      </c>
    </row>
    <row r="70" spans="4:9" x14ac:dyDescent="0.25">
      <c r="D70" s="15" t="s">
        <v>6762</v>
      </c>
      <c r="E70" t="s">
        <v>6766</v>
      </c>
    </row>
    <row r="71" spans="4:9" x14ac:dyDescent="0.25">
      <c r="D71" s="16" t="s">
        <v>55</v>
      </c>
      <c r="E71" s="20">
        <v>2.9589743589743591</v>
      </c>
    </row>
    <row r="72" spans="4:9" x14ac:dyDescent="0.25">
      <c r="D72" s="16" t="s">
        <v>69</v>
      </c>
      <c r="E72" s="20">
        <v>3.0854838709677419</v>
      </c>
    </row>
    <row r="73" spans="4:9" x14ac:dyDescent="0.25">
      <c r="D73" s="16" t="s">
        <v>61</v>
      </c>
      <c r="E73" s="20">
        <v>3.0415999999999999</v>
      </c>
    </row>
    <row r="74" spans="4:9" x14ac:dyDescent="0.25">
      <c r="D74" s="16" t="s">
        <v>80</v>
      </c>
      <c r="E74" s="20">
        <v>3.0866141732283463</v>
      </c>
    </row>
    <row r="75" spans="4:9" x14ac:dyDescent="0.25">
      <c r="D75" s="16" t="s">
        <v>25</v>
      </c>
      <c r="E75" s="20">
        <v>2.9380530973451329</v>
      </c>
    </row>
    <row r="76" spans="4:9" x14ac:dyDescent="0.25">
      <c r="D76" s="16" t="s">
        <v>6755</v>
      </c>
      <c r="E76" s="20">
        <v>3.0216353802099905</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144"/>
  <sheetViews>
    <sheetView topLeftCell="S1" workbookViewId="0">
      <selection activeCell="Y15" sqref="Y15"/>
    </sheetView>
  </sheetViews>
  <sheetFormatPr defaultRowHeight="15" x14ac:dyDescent="0.25"/>
  <cols>
    <col min="1" max="1" width="13.42578125" customWidth="1"/>
    <col min="2" max="2" width="16.5703125" customWidth="1"/>
    <col min="3" max="3" width="18" customWidth="1"/>
    <col min="4" max="4" width="22.42578125" customWidth="1"/>
    <col min="7" max="7" width="11.42578125" customWidth="1"/>
    <col min="8" max="8" width="10.7109375" customWidth="1"/>
    <col min="10" max="10" width="24.140625" customWidth="1"/>
    <col min="11" max="11" width="20.7109375" customWidth="1"/>
    <col min="12" max="12" width="13.28515625" customWidth="1"/>
    <col min="13" max="13" width="15.28515625" customWidth="1"/>
    <col min="14" max="14" width="18.5703125" customWidth="1"/>
    <col min="15" max="15" width="19.85546875" customWidth="1"/>
    <col min="16" max="16" width="9.85546875" customWidth="1"/>
    <col min="17" max="17" width="19.5703125" customWidth="1"/>
    <col min="18" max="18" width="24.5703125" customWidth="1"/>
    <col min="19" max="19" width="29.42578125" customWidth="1"/>
    <col min="20" max="20" width="16.42578125" customWidth="1"/>
    <col min="21" max="21" width="18.42578125" customWidth="1"/>
    <col min="22" max="22" width="19" customWidth="1"/>
    <col min="25" max="25" width="16.28515625" bestFit="1" customWidth="1"/>
  </cols>
  <sheetData>
    <row r="1" spans="1:25" ht="20.25" thickBot="1" x14ac:dyDescent="0.35">
      <c r="A1" s="2" t="s">
        <v>0</v>
      </c>
      <c r="B1" s="3" t="s">
        <v>1</v>
      </c>
      <c r="C1" s="2" t="s">
        <v>2</v>
      </c>
      <c r="D1" s="2" t="s">
        <v>3</v>
      </c>
      <c r="E1" s="2" t="s">
        <v>4</v>
      </c>
      <c r="F1" s="2" t="s">
        <v>6770</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c r="Y1" s="4" t="s">
        <v>6755</v>
      </c>
    </row>
    <row r="2" spans="1:25" ht="15.75" thickTop="1" x14ac:dyDescent="0.25">
      <c r="A2" t="s">
        <v>21</v>
      </c>
      <c r="B2" s="1">
        <v>44789</v>
      </c>
      <c r="C2" t="s">
        <v>22</v>
      </c>
      <c r="D2" t="s">
        <v>23</v>
      </c>
      <c r="E2">
        <v>28</v>
      </c>
      <c r="F2" t="str">
        <f>IF(Table1[[#This Row],[age]]&lt;=25,"18-25",IF(Table1[[#This Row],[age]]&lt;=35,"26-35",IF(Table1[[#This Row],[age]]&lt;=50,"36-50","51+")))</f>
        <v>26-35</v>
      </c>
      <c r="G2" t="s">
        <v>24</v>
      </c>
      <c r="H2" t="s">
        <v>25</v>
      </c>
      <c r="I2" t="s">
        <v>26</v>
      </c>
      <c r="J2" t="s">
        <v>27</v>
      </c>
      <c r="K2" t="s">
        <v>28</v>
      </c>
      <c r="L2">
        <v>8</v>
      </c>
      <c r="M2">
        <v>858.66</v>
      </c>
      <c r="N2">
        <v>0.08</v>
      </c>
      <c r="O2">
        <v>9147.31</v>
      </c>
      <c r="P2">
        <v>5355.56</v>
      </c>
      <c r="Q2">
        <v>64.489999999999995</v>
      </c>
      <c r="R2" t="s">
        <v>29</v>
      </c>
      <c r="S2">
        <v>5</v>
      </c>
      <c r="T2" t="b">
        <v>0</v>
      </c>
      <c r="U2" t="s">
        <v>30</v>
      </c>
      <c r="V2">
        <v>2</v>
      </c>
      <c r="Y2" s="22">
        <f>SUM(O2:O3144)</f>
        <v>189562720.07999966</v>
      </c>
    </row>
    <row r="3" spans="1:25" x14ac:dyDescent="0.25">
      <c r="A3" t="s">
        <v>31</v>
      </c>
      <c r="B3" s="1">
        <v>44437</v>
      </c>
      <c r="C3" t="s">
        <v>32</v>
      </c>
      <c r="D3" t="s">
        <v>33</v>
      </c>
      <c r="E3">
        <v>41</v>
      </c>
      <c r="F3" t="str">
        <f>IF(Table1[[#This Row],[age]]&lt;=25,"18-25",IF(Table1[[#This Row],[age]]&lt;=35,"26-35",IF(Table1[[#This Row],[age]]&lt;=50,"36-50","51+")))</f>
        <v>36-50</v>
      </c>
      <c r="G3" t="s">
        <v>34</v>
      </c>
      <c r="H3" t="s">
        <v>25</v>
      </c>
      <c r="I3" t="s">
        <v>35</v>
      </c>
      <c r="J3" t="s">
        <v>36</v>
      </c>
      <c r="K3" t="s">
        <v>37</v>
      </c>
      <c r="L3">
        <v>4</v>
      </c>
      <c r="M3">
        <v>25941.32</v>
      </c>
      <c r="N3">
        <v>0.14000000000000001</v>
      </c>
      <c r="O3">
        <v>110156.97</v>
      </c>
      <c r="P3">
        <v>36956.51</v>
      </c>
      <c r="Q3">
        <v>67.650000000000006</v>
      </c>
      <c r="R3" t="s">
        <v>29</v>
      </c>
      <c r="S3">
        <v>4</v>
      </c>
      <c r="T3" t="b">
        <v>0</v>
      </c>
      <c r="U3" t="s">
        <v>30</v>
      </c>
      <c r="V3">
        <v>5</v>
      </c>
    </row>
    <row r="4" spans="1:25" x14ac:dyDescent="0.25">
      <c r="A4" t="s">
        <v>38</v>
      </c>
      <c r="B4" s="1">
        <v>44747</v>
      </c>
      <c r="C4" t="s">
        <v>39</v>
      </c>
      <c r="D4" t="s">
        <v>40</v>
      </c>
      <c r="E4">
        <v>29</v>
      </c>
      <c r="F4" t="str">
        <f>IF(Table1[[#This Row],[age]]&lt;=25,"18-25",IF(Table1[[#This Row],[age]]&lt;=35,"26-35",IF(Table1[[#This Row],[age]]&lt;=50,"36-50","51+")))</f>
        <v>26-35</v>
      </c>
      <c r="G4" t="s">
        <v>34</v>
      </c>
      <c r="H4" t="s">
        <v>25</v>
      </c>
      <c r="I4" t="s">
        <v>41</v>
      </c>
      <c r="J4" t="s">
        <v>36</v>
      </c>
      <c r="K4" t="s">
        <v>42</v>
      </c>
      <c r="L4">
        <v>9</v>
      </c>
      <c r="M4">
        <v>22071.919999999998</v>
      </c>
      <c r="N4">
        <v>0.17</v>
      </c>
      <c r="O4">
        <v>262066.11</v>
      </c>
      <c r="P4">
        <v>66644.990000000005</v>
      </c>
      <c r="Q4">
        <v>54.47</v>
      </c>
      <c r="R4" t="s">
        <v>43</v>
      </c>
      <c r="S4">
        <v>3</v>
      </c>
      <c r="T4" t="b">
        <v>0</v>
      </c>
      <c r="U4" t="s">
        <v>30</v>
      </c>
      <c r="V4">
        <v>4</v>
      </c>
    </row>
    <row r="5" spans="1:25" ht="20.25" thickBot="1" x14ac:dyDescent="0.35">
      <c r="A5" t="s">
        <v>44</v>
      </c>
      <c r="B5" s="1">
        <v>45331</v>
      </c>
      <c r="C5" t="s">
        <v>45</v>
      </c>
      <c r="D5" t="s">
        <v>46</v>
      </c>
      <c r="E5">
        <v>29</v>
      </c>
      <c r="F5" t="str">
        <f>IF(Table1[[#This Row],[age]]&lt;=25,"18-25",IF(Table1[[#This Row],[age]]&lt;=35,"26-35",IF(Table1[[#This Row],[age]]&lt;=50,"36-50","51+")))</f>
        <v>26-35</v>
      </c>
      <c r="G5" t="s">
        <v>24</v>
      </c>
      <c r="H5" t="s">
        <v>25</v>
      </c>
      <c r="I5" t="s">
        <v>35</v>
      </c>
      <c r="J5" t="s">
        <v>47</v>
      </c>
      <c r="K5" t="s">
        <v>48</v>
      </c>
      <c r="L5">
        <v>2</v>
      </c>
      <c r="M5">
        <v>949.5</v>
      </c>
      <c r="N5">
        <v>0.22</v>
      </c>
      <c r="O5">
        <v>2202.33</v>
      </c>
      <c r="P5">
        <v>964.66</v>
      </c>
      <c r="Q5">
        <v>62.42</v>
      </c>
      <c r="R5" t="s">
        <v>49</v>
      </c>
      <c r="S5">
        <v>2</v>
      </c>
      <c r="T5" t="b">
        <v>1</v>
      </c>
      <c r="U5" t="s">
        <v>50</v>
      </c>
      <c r="V5">
        <v>8</v>
      </c>
      <c r="Y5" s="2" t="s">
        <v>6756</v>
      </c>
    </row>
    <row r="6" spans="1:25" ht="15.75" thickTop="1" x14ac:dyDescent="0.25">
      <c r="A6" t="s">
        <v>51</v>
      </c>
      <c r="B6" s="1">
        <v>44467</v>
      </c>
      <c r="C6" t="s">
        <v>52</v>
      </c>
      <c r="D6" t="s">
        <v>53</v>
      </c>
      <c r="E6">
        <v>31</v>
      </c>
      <c r="F6" t="str">
        <f>IF(Table1[[#This Row],[age]]&lt;=25,"18-25",IF(Table1[[#This Row],[age]]&lt;=35,"26-35",IF(Table1[[#This Row],[age]]&lt;=50,"36-50","51+")))</f>
        <v>26-35</v>
      </c>
      <c r="G6" t="s">
        <v>54</v>
      </c>
      <c r="H6" t="s">
        <v>55</v>
      </c>
      <c r="I6" t="s">
        <v>56</v>
      </c>
      <c r="J6" t="s">
        <v>47</v>
      </c>
      <c r="K6" t="s">
        <v>48</v>
      </c>
      <c r="L6">
        <v>3</v>
      </c>
      <c r="M6">
        <v>329.03</v>
      </c>
      <c r="N6">
        <v>0.02</v>
      </c>
      <c r="O6">
        <v>994.87</v>
      </c>
      <c r="P6">
        <v>375.07</v>
      </c>
      <c r="Q6">
        <v>77.34</v>
      </c>
      <c r="R6" t="s">
        <v>57</v>
      </c>
      <c r="S6">
        <v>5</v>
      </c>
      <c r="T6" t="b">
        <v>1</v>
      </c>
      <c r="U6" t="s">
        <v>50</v>
      </c>
      <c r="V6">
        <v>10</v>
      </c>
      <c r="Y6" s="22">
        <f>SUM(P2:P3144)</f>
        <v>36340820.439999901</v>
      </c>
    </row>
    <row r="7" spans="1:25" x14ac:dyDescent="0.25">
      <c r="A7" t="s">
        <v>58</v>
      </c>
      <c r="B7" s="1">
        <v>45087</v>
      </c>
      <c r="C7" t="s">
        <v>59</v>
      </c>
      <c r="D7" t="s">
        <v>60</v>
      </c>
      <c r="E7">
        <v>43</v>
      </c>
      <c r="F7" t="str">
        <f>IF(Table1[[#This Row],[age]]&lt;=25,"18-25",IF(Table1[[#This Row],[age]]&lt;=35,"26-35",IF(Table1[[#This Row],[age]]&lt;=50,"36-50","51+")))</f>
        <v>36-50</v>
      </c>
      <c r="G7" t="s">
        <v>54</v>
      </c>
      <c r="H7" t="s">
        <v>61</v>
      </c>
      <c r="I7" t="s">
        <v>62</v>
      </c>
      <c r="J7" t="s">
        <v>63</v>
      </c>
      <c r="K7" t="s">
        <v>64</v>
      </c>
      <c r="L7">
        <v>1</v>
      </c>
      <c r="M7">
        <v>1356.6</v>
      </c>
      <c r="N7">
        <v>0.01</v>
      </c>
      <c r="O7">
        <v>2140.41</v>
      </c>
      <c r="P7">
        <v>717.27</v>
      </c>
      <c r="Q7">
        <v>82.68</v>
      </c>
      <c r="R7" t="s">
        <v>65</v>
      </c>
      <c r="S7">
        <v>1</v>
      </c>
      <c r="T7" t="b">
        <v>0</v>
      </c>
      <c r="U7" t="s">
        <v>30</v>
      </c>
      <c r="V7">
        <v>4</v>
      </c>
    </row>
    <row r="8" spans="1:25" ht="20.25" thickBot="1" x14ac:dyDescent="0.35">
      <c r="A8" t="s">
        <v>66</v>
      </c>
      <c r="B8" s="1">
        <v>44036</v>
      </c>
      <c r="C8" t="s">
        <v>67</v>
      </c>
      <c r="D8" t="s">
        <v>68</v>
      </c>
      <c r="E8">
        <v>44</v>
      </c>
      <c r="F8" t="str">
        <f>IF(Table1[[#This Row],[age]]&lt;=25,"18-25",IF(Table1[[#This Row],[age]]&lt;=35,"26-35",IF(Table1[[#This Row],[age]]&lt;=50,"36-50","51+")))</f>
        <v>36-50</v>
      </c>
      <c r="G8" t="s">
        <v>54</v>
      </c>
      <c r="H8" t="s">
        <v>69</v>
      </c>
      <c r="I8" t="s">
        <v>70</v>
      </c>
      <c r="J8" t="s">
        <v>47</v>
      </c>
      <c r="K8" t="s">
        <v>48</v>
      </c>
      <c r="L8">
        <v>8</v>
      </c>
      <c r="M8">
        <v>495.77</v>
      </c>
      <c r="N8">
        <v>0.37</v>
      </c>
      <c r="O8">
        <v>2828.82</v>
      </c>
      <c r="P8">
        <v>1338.88</v>
      </c>
      <c r="Q8">
        <v>84.5</v>
      </c>
      <c r="R8" t="s">
        <v>29</v>
      </c>
      <c r="S8">
        <v>1</v>
      </c>
      <c r="T8" t="b">
        <v>0</v>
      </c>
      <c r="U8" t="s">
        <v>71</v>
      </c>
      <c r="V8">
        <v>10</v>
      </c>
      <c r="Y8" s="2" t="s">
        <v>6757</v>
      </c>
    </row>
    <row r="9" spans="1:25" ht="15.75" thickTop="1" x14ac:dyDescent="0.25">
      <c r="A9" t="s">
        <v>72</v>
      </c>
      <c r="B9" s="1">
        <v>43986</v>
      </c>
      <c r="C9" t="s">
        <v>73</v>
      </c>
      <c r="D9" t="s">
        <v>74</v>
      </c>
      <c r="E9">
        <v>51</v>
      </c>
      <c r="F9" t="str">
        <f>IF(Table1[[#This Row],[age]]&lt;=25,"18-25",IF(Table1[[#This Row],[age]]&lt;=35,"26-35",IF(Table1[[#This Row],[age]]&lt;=50,"36-50","51+")))</f>
        <v>51+</v>
      </c>
      <c r="G9" t="s">
        <v>34</v>
      </c>
      <c r="H9" t="s">
        <v>55</v>
      </c>
      <c r="I9" t="s">
        <v>75</v>
      </c>
      <c r="J9" t="s">
        <v>36</v>
      </c>
      <c r="K9" t="s">
        <v>76</v>
      </c>
      <c r="L9">
        <v>3</v>
      </c>
      <c r="M9">
        <v>24460.799999999999</v>
      </c>
      <c r="N9">
        <v>0.15</v>
      </c>
      <c r="O9">
        <v>86997.39</v>
      </c>
      <c r="P9">
        <v>14762.22</v>
      </c>
      <c r="Q9">
        <v>60.11</v>
      </c>
      <c r="R9" t="s">
        <v>65</v>
      </c>
      <c r="S9">
        <v>1</v>
      </c>
      <c r="T9" t="b">
        <v>0</v>
      </c>
      <c r="U9" t="s">
        <v>30</v>
      </c>
      <c r="V9">
        <v>8</v>
      </c>
      <c r="Y9">
        <f>COUNTA(A2:A3144)</f>
        <v>3143</v>
      </c>
    </row>
    <row r="10" spans="1:25" x14ac:dyDescent="0.25">
      <c r="A10" t="s">
        <v>77</v>
      </c>
      <c r="B10" s="1">
        <v>44634</v>
      </c>
      <c r="C10" t="s">
        <v>78</v>
      </c>
      <c r="D10" t="s">
        <v>79</v>
      </c>
      <c r="E10">
        <v>26</v>
      </c>
      <c r="F10" t="str">
        <f>IF(Table1[[#This Row],[age]]&lt;=25,"18-25",IF(Table1[[#This Row],[age]]&lt;=35,"26-35",IF(Table1[[#This Row],[age]]&lt;=50,"36-50","51+")))</f>
        <v>26-35</v>
      </c>
      <c r="G10" t="s">
        <v>24</v>
      </c>
      <c r="H10" t="s">
        <v>80</v>
      </c>
      <c r="I10" t="s">
        <v>81</v>
      </c>
      <c r="J10" t="s">
        <v>63</v>
      </c>
      <c r="K10" t="s">
        <v>82</v>
      </c>
      <c r="L10">
        <v>10</v>
      </c>
      <c r="M10">
        <v>1706.05</v>
      </c>
      <c r="N10">
        <v>0.04</v>
      </c>
      <c r="O10">
        <v>17995.41</v>
      </c>
      <c r="P10">
        <v>6453.4</v>
      </c>
      <c r="Q10">
        <v>89.15</v>
      </c>
      <c r="R10" t="s">
        <v>65</v>
      </c>
      <c r="S10">
        <v>5</v>
      </c>
      <c r="T10" t="b">
        <v>0</v>
      </c>
      <c r="U10" t="s">
        <v>30</v>
      </c>
      <c r="V10">
        <v>4</v>
      </c>
    </row>
    <row r="11" spans="1:25" ht="20.25" thickBot="1" x14ac:dyDescent="0.35">
      <c r="A11" t="s">
        <v>83</v>
      </c>
      <c r="B11" s="1">
        <v>45643</v>
      </c>
      <c r="C11" t="s">
        <v>84</v>
      </c>
      <c r="D11" t="s">
        <v>85</v>
      </c>
      <c r="E11">
        <v>43</v>
      </c>
      <c r="F11" t="str">
        <f>IF(Table1[[#This Row],[age]]&lt;=25,"18-25",IF(Table1[[#This Row],[age]]&lt;=35,"26-35",IF(Table1[[#This Row],[age]]&lt;=50,"36-50","51+")))</f>
        <v>36-50</v>
      </c>
      <c r="G11" t="s">
        <v>24</v>
      </c>
      <c r="H11" t="s">
        <v>80</v>
      </c>
      <c r="I11" t="s">
        <v>86</v>
      </c>
      <c r="J11" t="s">
        <v>63</v>
      </c>
      <c r="K11" t="s">
        <v>87</v>
      </c>
      <c r="L11">
        <v>5</v>
      </c>
      <c r="M11">
        <v>3006.52</v>
      </c>
      <c r="N11">
        <v>0.12</v>
      </c>
      <c r="O11">
        <v>10622.32</v>
      </c>
      <c r="P11">
        <v>4837.79</v>
      </c>
      <c r="Q11">
        <v>75.97</v>
      </c>
      <c r="R11" t="s">
        <v>57</v>
      </c>
      <c r="S11">
        <v>1</v>
      </c>
      <c r="T11" t="b">
        <v>0</v>
      </c>
      <c r="U11" t="s">
        <v>30</v>
      </c>
      <c r="V11">
        <v>5</v>
      </c>
      <c r="Y11" s="2" t="s">
        <v>6758</v>
      </c>
    </row>
    <row r="12" spans="1:25" ht="15.75" thickTop="1" x14ac:dyDescent="0.25">
      <c r="A12" t="s">
        <v>88</v>
      </c>
      <c r="B12" s="1">
        <v>43849</v>
      </c>
      <c r="C12" t="s">
        <v>89</v>
      </c>
      <c r="D12" t="s">
        <v>90</v>
      </c>
      <c r="E12">
        <v>21</v>
      </c>
      <c r="F12" t="str">
        <f>IF(Table1[[#This Row],[age]]&lt;=25,"18-25",IF(Table1[[#This Row],[age]]&lt;=35,"26-35",IF(Table1[[#This Row],[age]]&lt;=50,"36-50","51+")))</f>
        <v>18-25</v>
      </c>
      <c r="G12" t="s">
        <v>34</v>
      </c>
      <c r="H12" t="s">
        <v>61</v>
      </c>
      <c r="I12" t="s">
        <v>91</v>
      </c>
      <c r="J12" t="s">
        <v>36</v>
      </c>
      <c r="K12" t="s">
        <v>37</v>
      </c>
      <c r="L12">
        <v>3</v>
      </c>
      <c r="M12">
        <v>34890.629999999997</v>
      </c>
      <c r="N12">
        <v>0.28999999999999998</v>
      </c>
      <c r="O12">
        <v>64727.53</v>
      </c>
      <c r="P12">
        <v>18067.63</v>
      </c>
      <c r="Q12">
        <v>40.97</v>
      </c>
      <c r="R12" t="s">
        <v>92</v>
      </c>
      <c r="S12">
        <v>5</v>
      </c>
      <c r="T12" t="b">
        <v>0</v>
      </c>
      <c r="U12" t="s">
        <v>93</v>
      </c>
      <c r="V12">
        <v>3</v>
      </c>
      <c r="Y12" s="21">
        <f>AVERAGE(S2:S3144)</f>
        <v>3.0216353802099905</v>
      </c>
    </row>
    <row r="13" spans="1:25" x14ac:dyDescent="0.25">
      <c r="A13" t="s">
        <v>94</v>
      </c>
      <c r="B13" s="1">
        <v>45636</v>
      </c>
      <c r="C13" t="s">
        <v>95</v>
      </c>
      <c r="D13" t="s">
        <v>96</v>
      </c>
      <c r="E13">
        <v>44</v>
      </c>
      <c r="F13" t="str">
        <f>IF(Table1[[#This Row],[age]]&lt;=25,"18-25",IF(Table1[[#This Row],[age]]&lt;=35,"26-35",IF(Table1[[#This Row],[age]]&lt;=50,"36-50","51+")))</f>
        <v>36-50</v>
      </c>
      <c r="G13" t="s">
        <v>54</v>
      </c>
      <c r="H13" t="s">
        <v>55</v>
      </c>
      <c r="I13" t="s">
        <v>97</v>
      </c>
      <c r="J13" t="s">
        <v>47</v>
      </c>
      <c r="K13" t="s">
        <v>48</v>
      </c>
      <c r="L13">
        <v>7</v>
      </c>
      <c r="M13">
        <v>612.70000000000005</v>
      </c>
      <c r="N13">
        <v>0.22</v>
      </c>
      <c r="O13">
        <v>3224.82</v>
      </c>
      <c r="P13">
        <v>991.03</v>
      </c>
      <c r="Q13">
        <v>55.8</v>
      </c>
      <c r="R13" t="s">
        <v>57</v>
      </c>
      <c r="S13">
        <v>5</v>
      </c>
      <c r="T13" t="b">
        <v>0</v>
      </c>
      <c r="U13" t="s">
        <v>30</v>
      </c>
      <c r="V13">
        <v>4</v>
      </c>
    </row>
    <row r="14" spans="1:25" ht="20.25" thickBot="1" x14ac:dyDescent="0.35">
      <c r="A14" t="s">
        <v>98</v>
      </c>
      <c r="B14" s="1">
        <v>45521</v>
      </c>
      <c r="C14" t="s">
        <v>99</v>
      </c>
      <c r="D14" t="s">
        <v>100</v>
      </c>
      <c r="E14">
        <v>31</v>
      </c>
      <c r="F14" t="str">
        <f>IF(Table1[[#This Row],[age]]&lt;=25,"18-25",IF(Table1[[#This Row],[age]]&lt;=35,"26-35",IF(Table1[[#This Row],[age]]&lt;=50,"36-50","51+")))</f>
        <v>26-35</v>
      </c>
      <c r="G14" t="s">
        <v>34</v>
      </c>
      <c r="H14" t="s">
        <v>25</v>
      </c>
      <c r="I14" t="s">
        <v>35</v>
      </c>
      <c r="J14" t="s">
        <v>101</v>
      </c>
      <c r="K14" t="s">
        <v>102</v>
      </c>
      <c r="L14">
        <v>9</v>
      </c>
      <c r="M14">
        <v>3000.32</v>
      </c>
      <c r="N14">
        <v>0.21</v>
      </c>
      <c r="O14">
        <v>29267.25</v>
      </c>
      <c r="P14">
        <v>6330.95</v>
      </c>
      <c r="Q14">
        <v>68.5</v>
      </c>
      <c r="R14" t="s">
        <v>65</v>
      </c>
      <c r="S14">
        <v>4</v>
      </c>
      <c r="T14" t="b">
        <v>0</v>
      </c>
      <c r="U14" t="s">
        <v>30</v>
      </c>
      <c r="V14">
        <v>9</v>
      </c>
      <c r="Y14" s="2" t="s">
        <v>6759</v>
      </c>
    </row>
    <row r="15" spans="1:25" ht="15.75" thickTop="1" x14ac:dyDescent="0.25">
      <c r="A15" t="s">
        <v>103</v>
      </c>
      <c r="B15" s="1">
        <v>44494</v>
      </c>
      <c r="C15" t="s">
        <v>104</v>
      </c>
      <c r="D15" t="s">
        <v>105</v>
      </c>
      <c r="E15">
        <v>31</v>
      </c>
      <c r="F15" t="str">
        <f>IF(Table1[[#This Row],[age]]&lt;=25,"18-25",IF(Table1[[#This Row],[age]]&lt;=35,"26-35",IF(Table1[[#This Row],[age]]&lt;=50,"36-50","51+")))</f>
        <v>26-35</v>
      </c>
      <c r="G15" t="s">
        <v>34</v>
      </c>
      <c r="H15" t="s">
        <v>25</v>
      </c>
      <c r="I15" t="s">
        <v>35</v>
      </c>
      <c r="J15" t="s">
        <v>106</v>
      </c>
      <c r="K15" t="s">
        <v>107</v>
      </c>
      <c r="L15">
        <v>2</v>
      </c>
      <c r="M15">
        <v>233.12</v>
      </c>
      <c r="N15">
        <v>0.28000000000000003</v>
      </c>
      <c r="O15">
        <v>322.86</v>
      </c>
      <c r="P15">
        <v>21.37</v>
      </c>
      <c r="Q15">
        <v>57.3</v>
      </c>
      <c r="R15" t="s">
        <v>49</v>
      </c>
      <c r="S15">
        <v>3</v>
      </c>
      <c r="T15" t="b">
        <v>0</v>
      </c>
      <c r="U15" t="s">
        <v>30</v>
      </c>
      <c r="V15">
        <v>7</v>
      </c>
      <c r="Y15" s="23">
        <f>COUNTIF(Table1[return_flag],TRUE)/COUNTA(Table1[order_id])</f>
        <v>0.1457206490614063</v>
      </c>
    </row>
    <row r="16" spans="1:25" x14ac:dyDescent="0.25">
      <c r="A16" t="s">
        <v>108</v>
      </c>
      <c r="B16" s="1">
        <v>45480</v>
      </c>
      <c r="C16" t="s">
        <v>109</v>
      </c>
      <c r="D16" t="s">
        <v>110</v>
      </c>
      <c r="E16">
        <v>35</v>
      </c>
      <c r="F16" t="str">
        <f>IF(Table1[[#This Row],[age]]&lt;=25,"18-25",IF(Table1[[#This Row],[age]]&lt;=35,"26-35",IF(Table1[[#This Row],[age]]&lt;=50,"36-50","51+")))</f>
        <v>26-35</v>
      </c>
      <c r="G16" t="s">
        <v>54</v>
      </c>
      <c r="H16" t="s">
        <v>55</v>
      </c>
      <c r="I16" t="s">
        <v>56</v>
      </c>
      <c r="J16" t="s">
        <v>63</v>
      </c>
      <c r="K16" t="s">
        <v>111</v>
      </c>
      <c r="L16">
        <v>2</v>
      </c>
      <c r="M16">
        <v>735.25</v>
      </c>
      <c r="N16">
        <v>0.03</v>
      </c>
      <c r="O16">
        <v>2477.7199999999998</v>
      </c>
      <c r="P16">
        <v>795.65</v>
      </c>
      <c r="Q16">
        <v>74.95</v>
      </c>
      <c r="R16" t="s">
        <v>65</v>
      </c>
      <c r="S16">
        <v>5</v>
      </c>
      <c r="T16" t="b">
        <v>0</v>
      </c>
      <c r="U16" t="s">
        <v>30</v>
      </c>
      <c r="V16">
        <v>8</v>
      </c>
    </row>
    <row r="17" spans="1:22" x14ac:dyDescent="0.25">
      <c r="A17" t="s">
        <v>112</v>
      </c>
      <c r="B17" s="1">
        <v>44405</v>
      </c>
      <c r="C17" t="s">
        <v>113</v>
      </c>
      <c r="D17" t="s">
        <v>79</v>
      </c>
      <c r="E17">
        <v>35</v>
      </c>
      <c r="F17" t="str">
        <f>IF(Table1[[#This Row],[age]]&lt;=25,"18-25",IF(Table1[[#This Row],[age]]&lt;=35,"26-35",IF(Table1[[#This Row],[age]]&lt;=50,"36-50","51+")))</f>
        <v>26-35</v>
      </c>
      <c r="G17" t="s">
        <v>24</v>
      </c>
      <c r="H17" t="s">
        <v>55</v>
      </c>
      <c r="I17" t="s">
        <v>114</v>
      </c>
      <c r="J17" t="s">
        <v>115</v>
      </c>
      <c r="K17" t="s">
        <v>116</v>
      </c>
      <c r="L17">
        <v>9</v>
      </c>
      <c r="M17">
        <v>63147.82</v>
      </c>
      <c r="N17">
        <v>0.14000000000000001</v>
      </c>
      <c r="O17">
        <v>671607.78</v>
      </c>
      <c r="P17">
        <v>86070.79</v>
      </c>
      <c r="Q17">
        <v>60.5</v>
      </c>
      <c r="R17" t="s">
        <v>49</v>
      </c>
      <c r="S17">
        <v>4</v>
      </c>
      <c r="T17" t="b">
        <v>1</v>
      </c>
      <c r="U17" t="s">
        <v>50</v>
      </c>
      <c r="V17">
        <v>3</v>
      </c>
    </row>
    <row r="18" spans="1:22" x14ac:dyDescent="0.25">
      <c r="A18" t="s">
        <v>117</v>
      </c>
      <c r="B18" s="1">
        <v>44013</v>
      </c>
      <c r="C18" t="s">
        <v>118</v>
      </c>
      <c r="D18" t="s">
        <v>119</v>
      </c>
      <c r="E18">
        <v>51</v>
      </c>
      <c r="F18" t="str">
        <f>IF(Table1[[#This Row],[age]]&lt;=25,"18-25",IF(Table1[[#This Row],[age]]&lt;=35,"26-35",IF(Table1[[#This Row],[age]]&lt;=50,"36-50","51+")))</f>
        <v>51+</v>
      </c>
      <c r="G18" t="s">
        <v>34</v>
      </c>
      <c r="H18" t="s">
        <v>25</v>
      </c>
      <c r="I18" t="s">
        <v>41</v>
      </c>
      <c r="J18" t="s">
        <v>47</v>
      </c>
      <c r="K18" t="s">
        <v>120</v>
      </c>
      <c r="L18">
        <v>8</v>
      </c>
      <c r="M18">
        <v>635.66</v>
      </c>
      <c r="N18">
        <v>0.34</v>
      </c>
      <c r="O18">
        <v>3704.84</v>
      </c>
      <c r="P18">
        <v>1269.07</v>
      </c>
      <c r="Q18">
        <v>67.010000000000005</v>
      </c>
      <c r="R18" t="s">
        <v>49</v>
      </c>
      <c r="S18">
        <v>1</v>
      </c>
      <c r="T18" t="b">
        <v>0</v>
      </c>
      <c r="U18" t="s">
        <v>30</v>
      </c>
      <c r="V18">
        <v>3</v>
      </c>
    </row>
    <row r="19" spans="1:22" x14ac:dyDescent="0.25">
      <c r="A19" t="s">
        <v>121</v>
      </c>
      <c r="B19" s="1">
        <v>44649</v>
      </c>
      <c r="C19" t="s">
        <v>122</v>
      </c>
      <c r="D19" t="s">
        <v>123</v>
      </c>
      <c r="E19">
        <v>28</v>
      </c>
      <c r="F19" t="str">
        <f>IF(Table1[[#This Row],[age]]&lt;=25,"18-25",IF(Table1[[#This Row],[age]]&lt;=35,"26-35",IF(Table1[[#This Row],[age]]&lt;=50,"36-50","51+")))</f>
        <v>26-35</v>
      </c>
      <c r="G19" t="s">
        <v>24</v>
      </c>
      <c r="H19" t="s">
        <v>80</v>
      </c>
      <c r="I19" t="s">
        <v>86</v>
      </c>
      <c r="J19" t="s">
        <v>101</v>
      </c>
      <c r="K19" t="s">
        <v>124</v>
      </c>
      <c r="L19">
        <v>7</v>
      </c>
      <c r="M19">
        <v>6478.95</v>
      </c>
      <c r="N19">
        <v>0.22</v>
      </c>
      <c r="O19">
        <v>43346.6</v>
      </c>
      <c r="P19">
        <v>8443.99</v>
      </c>
      <c r="Q19">
        <v>69.59</v>
      </c>
      <c r="R19" t="s">
        <v>43</v>
      </c>
      <c r="S19">
        <v>1</v>
      </c>
      <c r="T19" t="b">
        <v>0</v>
      </c>
      <c r="U19" t="s">
        <v>30</v>
      </c>
      <c r="V19">
        <v>2</v>
      </c>
    </row>
    <row r="20" spans="1:22" x14ac:dyDescent="0.25">
      <c r="A20" t="s">
        <v>125</v>
      </c>
      <c r="B20" s="1">
        <v>44995</v>
      </c>
      <c r="C20" t="s">
        <v>126</v>
      </c>
      <c r="D20" t="s">
        <v>127</v>
      </c>
      <c r="E20">
        <v>41</v>
      </c>
      <c r="F20" t="str">
        <f>IF(Table1[[#This Row],[age]]&lt;=25,"18-25",IF(Table1[[#This Row],[age]]&lt;=35,"26-35",IF(Table1[[#This Row],[age]]&lt;=50,"36-50","51+")))</f>
        <v>36-50</v>
      </c>
      <c r="G20" t="s">
        <v>24</v>
      </c>
      <c r="H20" t="s">
        <v>80</v>
      </c>
      <c r="I20" t="s">
        <v>86</v>
      </c>
      <c r="J20" t="s">
        <v>27</v>
      </c>
      <c r="K20" t="s">
        <v>128</v>
      </c>
      <c r="L20">
        <v>3</v>
      </c>
      <c r="M20">
        <v>1290.21</v>
      </c>
      <c r="N20">
        <v>0.12</v>
      </c>
      <c r="O20">
        <v>3690.09</v>
      </c>
      <c r="P20">
        <v>1777.76</v>
      </c>
      <c r="Q20">
        <v>64.97</v>
      </c>
      <c r="R20" t="s">
        <v>49</v>
      </c>
      <c r="S20">
        <v>3</v>
      </c>
      <c r="T20" t="b">
        <v>0</v>
      </c>
      <c r="U20" t="s">
        <v>30</v>
      </c>
      <c r="V20">
        <v>5</v>
      </c>
    </row>
    <row r="21" spans="1:22" x14ac:dyDescent="0.25">
      <c r="A21" t="s">
        <v>129</v>
      </c>
      <c r="B21" s="1">
        <v>44254</v>
      </c>
      <c r="C21" t="s">
        <v>130</v>
      </c>
      <c r="D21" t="s">
        <v>131</v>
      </c>
      <c r="E21">
        <v>29</v>
      </c>
      <c r="F21" t="str">
        <f>IF(Table1[[#This Row],[age]]&lt;=25,"18-25",IF(Table1[[#This Row],[age]]&lt;=35,"26-35",IF(Table1[[#This Row],[age]]&lt;=50,"36-50","51+")))</f>
        <v>26-35</v>
      </c>
      <c r="G21" t="s">
        <v>54</v>
      </c>
      <c r="H21" t="s">
        <v>55</v>
      </c>
      <c r="I21" t="s">
        <v>97</v>
      </c>
      <c r="J21" t="s">
        <v>36</v>
      </c>
      <c r="K21" t="s">
        <v>132</v>
      </c>
      <c r="L21">
        <v>1</v>
      </c>
      <c r="M21">
        <v>33537.06</v>
      </c>
      <c r="N21">
        <v>0.25</v>
      </c>
      <c r="O21">
        <v>24565.06</v>
      </c>
      <c r="P21">
        <v>5814.79</v>
      </c>
      <c r="Q21">
        <v>56.47</v>
      </c>
      <c r="R21" t="s">
        <v>29</v>
      </c>
      <c r="S21">
        <v>4</v>
      </c>
      <c r="T21" t="b">
        <v>0</v>
      </c>
      <c r="U21" t="s">
        <v>30</v>
      </c>
      <c r="V21">
        <v>2</v>
      </c>
    </row>
    <row r="22" spans="1:22" x14ac:dyDescent="0.25">
      <c r="A22" t="s">
        <v>133</v>
      </c>
      <c r="B22" s="1">
        <v>45314</v>
      </c>
      <c r="C22" t="s">
        <v>134</v>
      </c>
      <c r="D22" t="s">
        <v>135</v>
      </c>
      <c r="E22">
        <v>20</v>
      </c>
      <c r="F22" t="str">
        <f>IF(Table1[[#This Row],[age]]&lt;=25,"18-25",IF(Table1[[#This Row],[age]]&lt;=35,"26-35",IF(Table1[[#This Row],[age]]&lt;=50,"36-50","51+")))</f>
        <v>18-25</v>
      </c>
      <c r="G22" t="s">
        <v>24</v>
      </c>
      <c r="H22" t="s">
        <v>69</v>
      </c>
      <c r="I22" t="s">
        <v>136</v>
      </c>
      <c r="J22" t="s">
        <v>115</v>
      </c>
      <c r="K22" t="s">
        <v>137</v>
      </c>
      <c r="L22">
        <v>3</v>
      </c>
      <c r="M22">
        <v>64874.09</v>
      </c>
      <c r="N22">
        <v>0.02</v>
      </c>
      <c r="O22">
        <v>177754.39</v>
      </c>
      <c r="P22">
        <v>20320.939999999999</v>
      </c>
      <c r="Q22">
        <v>79.56</v>
      </c>
      <c r="R22" t="s">
        <v>65</v>
      </c>
      <c r="S22">
        <v>1</v>
      </c>
      <c r="T22" t="b">
        <v>0</v>
      </c>
      <c r="U22" t="s">
        <v>30</v>
      </c>
      <c r="V22">
        <v>7</v>
      </c>
    </row>
    <row r="23" spans="1:22" x14ac:dyDescent="0.25">
      <c r="A23" t="s">
        <v>138</v>
      </c>
      <c r="B23" s="1">
        <v>44506</v>
      </c>
      <c r="C23" t="s">
        <v>139</v>
      </c>
      <c r="D23" t="s">
        <v>140</v>
      </c>
      <c r="E23">
        <v>65</v>
      </c>
      <c r="F23" t="str">
        <f>IF(Table1[[#This Row],[age]]&lt;=25,"18-25",IF(Table1[[#This Row],[age]]&lt;=35,"26-35",IF(Table1[[#This Row],[age]]&lt;=50,"36-50","51+")))</f>
        <v>51+</v>
      </c>
      <c r="G23" t="s">
        <v>34</v>
      </c>
      <c r="H23" t="s">
        <v>61</v>
      </c>
      <c r="I23" t="s">
        <v>141</v>
      </c>
      <c r="J23" t="s">
        <v>47</v>
      </c>
      <c r="K23" t="s">
        <v>120</v>
      </c>
      <c r="L23">
        <v>4</v>
      </c>
      <c r="M23">
        <v>1350.95</v>
      </c>
      <c r="N23">
        <v>0.21</v>
      </c>
      <c r="O23">
        <v>3635.51</v>
      </c>
      <c r="P23">
        <v>1854.28</v>
      </c>
      <c r="Q23">
        <v>44.83</v>
      </c>
      <c r="R23" t="s">
        <v>57</v>
      </c>
      <c r="S23">
        <v>3</v>
      </c>
      <c r="T23" t="b">
        <v>0</v>
      </c>
      <c r="U23" t="s">
        <v>30</v>
      </c>
      <c r="V23">
        <v>2</v>
      </c>
    </row>
    <row r="24" spans="1:22" x14ac:dyDescent="0.25">
      <c r="A24" t="s">
        <v>142</v>
      </c>
      <c r="B24" s="1">
        <v>45587</v>
      </c>
      <c r="C24" t="s">
        <v>143</v>
      </c>
      <c r="D24" t="s">
        <v>144</v>
      </c>
      <c r="E24">
        <v>26</v>
      </c>
      <c r="F24" t="str">
        <f>IF(Table1[[#This Row],[age]]&lt;=25,"18-25",IF(Table1[[#This Row],[age]]&lt;=35,"26-35",IF(Table1[[#This Row],[age]]&lt;=50,"36-50","51+")))</f>
        <v>26-35</v>
      </c>
      <c r="G24" t="s">
        <v>34</v>
      </c>
      <c r="H24" t="s">
        <v>61</v>
      </c>
      <c r="I24" t="s">
        <v>62</v>
      </c>
      <c r="J24" t="s">
        <v>115</v>
      </c>
      <c r="K24" t="s">
        <v>145</v>
      </c>
      <c r="L24">
        <v>3</v>
      </c>
      <c r="M24">
        <v>68799.42</v>
      </c>
      <c r="N24">
        <v>7.0000000000000007E-2</v>
      </c>
      <c r="O24">
        <v>232621.97</v>
      </c>
      <c r="P24">
        <v>36091.769999999997</v>
      </c>
      <c r="Q24">
        <v>48.01</v>
      </c>
      <c r="R24" t="s">
        <v>65</v>
      </c>
      <c r="S24">
        <v>1</v>
      </c>
      <c r="T24" t="b">
        <v>0</v>
      </c>
      <c r="U24" t="s">
        <v>30</v>
      </c>
      <c r="V24">
        <v>7</v>
      </c>
    </row>
    <row r="25" spans="1:22" x14ac:dyDescent="0.25">
      <c r="A25" t="s">
        <v>146</v>
      </c>
      <c r="B25" s="1">
        <v>44943</v>
      </c>
      <c r="C25" t="s">
        <v>147</v>
      </c>
      <c r="D25" t="s">
        <v>148</v>
      </c>
      <c r="E25">
        <v>35</v>
      </c>
      <c r="F25" t="str">
        <f>IF(Table1[[#This Row],[age]]&lt;=25,"18-25",IF(Table1[[#This Row],[age]]&lt;=35,"26-35",IF(Table1[[#This Row],[age]]&lt;=50,"36-50","51+")))</f>
        <v>26-35</v>
      </c>
      <c r="G25" t="s">
        <v>24</v>
      </c>
      <c r="H25" t="s">
        <v>61</v>
      </c>
      <c r="I25" t="s">
        <v>62</v>
      </c>
      <c r="J25" t="s">
        <v>36</v>
      </c>
      <c r="K25" t="s">
        <v>37</v>
      </c>
      <c r="L25">
        <v>3</v>
      </c>
      <c r="M25">
        <v>31242.32</v>
      </c>
      <c r="N25">
        <v>0.01</v>
      </c>
      <c r="O25">
        <v>92924.36</v>
      </c>
      <c r="P25">
        <v>27403.47</v>
      </c>
      <c r="Q25">
        <v>52.73</v>
      </c>
      <c r="R25" t="s">
        <v>29</v>
      </c>
      <c r="S25">
        <v>3</v>
      </c>
      <c r="T25" t="b">
        <v>1</v>
      </c>
      <c r="U25" t="s">
        <v>50</v>
      </c>
      <c r="V25">
        <v>4</v>
      </c>
    </row>
    <row r="26" spans="1:22" x14ac:dyDescent="0.25">
      <c r="A26" t="s">
        <v>149</v>
      </c>
      <c r="B26" s="1">
        <v>45473</v>
      </c>
      <c r="C26" t="s">
        <v>150</v>
      </c>
      <c r="D26" t="s">
        <v>151</v>
      </c>
      <c r="E26">
        <v>27</v>
      </c>
      <c r="F26" t="str">
        <f>IF(Table1[[#This Row],[age]]&lt;=25,"18-25",IF(Table1[[#This Row],[age]]&lt;=35,"26-35",IF(Table1[[#This Row],[age]]&lt;=50,"36-50","51+")))</f>
        <v>26-35</v>
      </c>
      <c r="G26" t="s">
        <v>24</v>
      </c>
      <c r="H26" t="s">
        <v>80</v>
      </c>
      <c r="I26" t="s">
        <v>81</v>
      </c>
      <c r="J26" t="s">
        <v>63</v>
      </c>
      <c r="K26" t="s">
        <v>152</v>
      </c>
      <c r="L26">
        <v>3</v>
      </c>
      <c r="M26">
        <v>1621.83</v>
      </c>
      <c r="N26">
        <v>0.4</v>
      </c>
      <c r="O26">
        <v>4851.55</v>
      </c>
      <c r="P26">
        <v>1799.06</v>
      </c>
      <c r="Q26">
        <v>67.23</v>
      </c>
      <c r="R26" t="s">
        <v>57</v>
      </c>
      <c r="S26">
        <v>2</v>
      </c>
      <c r="T26" t="b">
        <v>0</v>
      </c>
      <c r="U26" t="s">
        <v>30</v>
      </c>
      <c r="V26">
        <v>4</v>
      </c>
    </row>
    <row r="27" spans="1:22" x14ac:dyDescent="0.25">
      <c r="A27" t="s">
        <v>153</v>
      </c>
      <c r="B27" s="1">
        <v>43840</v>
      </c>
      <c r="C27" t="s">
        <v>154</v>
      </c>
      <c r="D27" t="s">
        <v>155</v>
      </c>
      <c r="E27">
        <v>52</v>
      </c>
      <c r="F27" t="str">
        <f>IF(Table1[[#This Row],[age]]&lt;=25,"18-25",IF(Table1[[#This Row],[age]]&lt;=35,"26-35",IF(Table1[[#This Row],[age]]&lt;=50,"36-50","51+")))</f>
        <v>51+</v>
      </c>
      <c r="G27" t="s">
        <v>54</v>
      </c>
      <c r="H27" t="s">
        <v>25</v>
      </c>
      <c r="I27" t="s">
        <v>26</v>
      </c>
      <c r="J27" t="s">
        <v>47</v>
      </c>
      <c r="K27" t="s">
        <v>156</v>
      </c>
      <c r="L27">
        <v>10</v>
      </c>
      <c r="M27">
        <v>324.41000000000003</v>
      </c>
      <c r="N27">
        <v>0.32</v>
      </c>
      <c r="O27">
        <v>1810.18</v>
      </c>
      <c r="P27">
        <v>903.99</v>
      </c>
      <c r="Q27">
        <v>48.24</v>
      </c>
      <c r="R27" t="s">
        <v>65</v>
      </c>
      <c r="S27">
        <v>3</v>
      </c>
      <c r="T27" t="b">
        <v>0</v>
      </c>
      <c r="U27" t="s">
        <v>30</v>
      </c>
      <c r="V27">
        <v>4</v>
      </c>
    </row>
    <row r="28" spans="1:22" x14ac:dyDescent="0.25">
      <c r="A28" t="s">
        <v>157</v>
      </c>
      <c r="B28" s="1">
        <v>45077</v>
      </c>
      <c r="C28" t="s">
        <v>158</v>
      </c>
      <c r="D28" t="s">
        <v>159</v>
      </c>
      <c r="E28">
        <v>42</v>
      </c>
      <c r="F28" t="str">
        <f>IF(Table1[[#This Row],[age]]&lt;=25,"18-25",IF(Table1[[#This Row],[age]]&lt;=35,"26-35",IF(Table1[[#This Row],[age]]&lt;=50,"36-50","51+")))</f>
        <v>36-50</v>
      </c>
      <c r="G28" t="s">
        <v>54</v>
      </c>
      <c r="H28" t="s">
        <v>55</v>
      </c>
      <c r="I28" t="s">
        <v>114</v>
      </c>
      <c r="J28" t="s">
        <v>36</v>
      </c>
      <c r="K28" t="s">
        <v>76</v>
      </c>
      <c r="L28">
        <v>6</v>
      </c>
      <c r="M28">
        <v>20242.36</v>
      </c>
      <c r="N28">
        <v>0.04</v>
      </c>
      <c r="O28">
        <v>191398.26</v>
      </c>
      <c r="P28">
        <v>59116.34</v>
      </c>
      <c r="Q28">
        <v>83.75</v>
      </c>
      <c r="R28" t="s">
        <v>57</v>
      </c>
      <c r="S28">
        <v>2</v>
      </c>
      <c r="T28" t="b">
        <v>0</v>
      </c>
      <c r="U28" t="s">
        <v>30</v>
      </c>
      <c r="V28">
        <v>9</v>
      </c>
    </row>
    <row r="29" spans="1:22" x14ac:dyDescent="0.25">
      <c r="A29" t="s">
        <v>160</v>
      </c>
      <c r="B29" s="1">
        <v>44711</v>
      </c>
      <c r="C29" t="s">
        <v>161</v>
      </c>
      <c r="D29" t="s">
        <v>162</v>
      </c>
      <c r="E29">
        <v>40</v>
      </c>
      <c r="F29" t="str">
        <f>IF(Table1[[#This Row],[age]]&lt;=25,"18-25",IF(Table1[[#This Row],[age]]&lt;=35,"26-35",IF(Table1[[#This Row],[age]]&lt;=50,"36-50","51+")))</f>
        <v>36-50</v>
      </c>
      <c r="G29" t="s">
        <v>34</v>
      </c>
      <c r="H29" t="s">
        <v>61</v>
      </c>
      <c r="I29" t="s">
        <v>163</v>
      </c>
      <c r="J29" t="s">
        <v>101</v>
      </c>
      <c r="K29" t="s">
        <v>164</v>
      </c>
      <c r="L29">
        <v>9</v>
      </c>
      <c r="M29">
        <v>14422.23</v>
      </c>
      <c r="N29">
        <v>0.21</v>
      </c>
      <c r="O29">
        <v>145427.41</v>
      </c>
      <c r="P29">
        <v>40739.980000000003</v>
      </c>
      <c r="Q29">
        <v>58.92</v>
      </c>
      <c r="R29" t="s">
        <v>43</v>
      </c>
      <c r="S29">
        <v>5</v>
      </c>
      <c r="T29" t="b">
        <v>0</v>
      </c>
      <c r="U29" t="s">
        <v>30</v>
      </c>
      <c r="V29">
        <v>1</v>
      </c>
    </row>
    <row r="30" spans="1:22" x14ac:dyDescent="0.25">
      <c r="A30" t="s">
        <v>165</v>
      </c>
      <c r="B30" s="1">
        <v>45283</v>
      </c>
      <c r="C30" t="s">
        <v>166</v>
      </c>
      <c r="D30" t="s">
        <v>167</v>
      </c>
      <c r="E30">
        <v>34</v>
      </c>
      <c r="F30" t="str">
        <f>IF(Table1[[#This Row],[age]]&lt;=25,"18-25",IF(Table1[[#This Row],[age]]&lt;=35,"26-35",IF(Table1[[#This Row],[age]]&lt;=50,"36-50","51+")))</f>
        <v>26-35</v>
      </c>
      <c r="G30" t="s">
        <v>24</v>
      </c>
      <c r="H30" t="s">
        <v>69</v>
      </c>
      <c r="I30" t="s">
        <v>70</v>
      </c>
      <c r="J30" t="s">
        <v>27</v>
      </c>
      <c r="K30" t="s">
        <v>168</v>
      </c>
      <c r="L30">
        <v>5</v>
      </c>
      <c r="M30">
        <v>2497.1</v>
      </c>
      <c r="N30">
        <v>0.37</v>
      </c>
      <c r="O30">
        <v>6596.23</v>
      </c>
      <c r="P30">
        <v>2649.2</v>
      </c>
      <c r="Q30">
        <v>61.27</v>
      </c>
      <c r="R30" t="s">
        <v>49</v>
      </c>
      <c r="S30">
        <v>1</v>
      </c>
      <c r="T30" t="b">
        <v>0</v>
      </c>
      <c r="U30" t="s">
        <v>93</v>
      </c>
      <c r="V30">
        <v>5</v>
      </c>
    </row>
    <row r="31" spans="1:22" x14ac:dyDescent="0.25">
      <c r="A31" t="s">
        <v>169</v>
      </c>
      <c r="B31" s="1">
        <v>44822</v>
      </c>
      <c r="C31" t="s">
        <v>170</v>
      </c>
      <c r="D31" t="s">
        <v>171</v>
      </c>
      <c r="E31">
        <v>38</v>
      </c>
      <c r="F31" t="str">
        <f>IF(Table1[[#This Row],[age]]&lt;=25,"18-25",IF(Table1[[#This Row],[age]]&lt;=35,"26-35",IF(Table1[[#This Row],[age]]&lt;=50,"36-50","51+")))</f>
        <v>36-50</v>
      </c>
      <c r="G31" t="s">
        <v>34</v>
      </c>
      <c r="H31" t="s">
        <v>55</v>
      </c>
      <c r="I31" t="s">
        <v>75</v>
      </c>
      <c r="J31" t="s">
        <v>115</v>
      </c>
      <c r="K31" t="s">
        <v>145</v>
      </c>
      <c r="L31">
        <v>5</v>
      </c>
      <c r="M31">
        <v>11463.02</v>
      </c>
      <c r="N31">
        <v>0.34</v>
      </c>
      <c r="O31">
        <v>44107</v>
      </c>
      <c r="P31">
        <v>3355.55</v>
      </c>
      <c r="Q31">
        <v>36.32</v>
      </c>
      <c r="R31" t="s">
        <v>49</v>
      </c>
      <c r="S31">
        <v>5</v>
      </c>
      <c r="T31" t="b">
        <v>0</v>
      </c>
      <c r="U31" t="s">
        <v>30</v>
      </c>
      <c r="V31">
        <v>10</v>
      </c>
    </row>
    <row r="32" spans="1:22" x14ac:dyDescent="0.25">
      <c r="A32" t="s">
        <v>172</v>
      </c>
      <c r="B32" s="1">
        <v>45618</v>
      </c>
      <c r="C32" t="s">
        <v>173</v>
      </c>
      <c r="D32" t="s">
        <v>174</v>
      </c>
      <c r="E32">
        <v>57</v>
      </c>
      <c r="F32" t="str">
        <f>IF(Table1[[#This Row],[age]]&lt;=25,"18-25",IF(Table1[[#This Row],[age]]&lt;=35,"26-35",IF(Table1[[#This Row],[age]]&lt;=50,"36-50","51+")))</f>
        <v>51+</v>
      </c>
      <c r="G32" t="s">
        <v>54</v>
      </c>
      <c r="H32" t="s">
        <v>55</v>
      </c>
      <c r="I32" t="s">
        <v>114</v>
      </c>
      <c r="J32" t="s">
        <v>47</v>
      </c>
      <c r="K32" t="s">
        <v>120</v>
      </c>
      <c r="L32">
        <v>7</v>
      </c>
      <c r="M32">
        <v>785.67</v>
      </c>
      <c r="N32">
        <v>0.12</v>
      </c>
      <c r="O32">
        <v>4582.79</v>
      </c>
      <c r="P32">
        <v>2037.5</v>
      </c>
      <c r="Q32">
        <v>63.64</v>
      </c>
      <c r="R32" t="s">
        <v>57</v>
      </c>
      <c r="S32">
        <v>3</v>
      </c>
      <c r="T32" t="b">
        <v>0</v>
      </c>
      <c r="U32" t="s">
        <v>30</v>
      </c>
      <c r="V32">
        <v>2</v>
      </c>
    </row>
    <row r="33" spans="1:22" x14ac:dyDescent="0.25">
      <c r="A33" t="s">
        <v>175</v>
      </c>
      <c r="B33" s="1">
        <v>44151</v>
      </c>
      <c r="C33" t="s">
        <v>176</v>
      </c>
      <c r="D33" t="s">
        <v>177</v>
      </c>
      <c r="E33">
        <v>36</v>
      </c>
      <c r="F33" t="str">
        <f>IF(Table1[[#This Row],[age]]&lt;=25,"18-25",IF(Table1[[#This Row],[age]]&lt;=35,"26-35",IF(Table1[[#This Row],[age]]&lt;=50,"36-50","51+")))</f>
        <v>36-50</v>
      </c>
      <c r="G33" t="s">
        <v>54</v>
      </c>
      <c r="H33" t="s">
        <v>61</v>
      </c>
      <c r="I33" t="s">
        <v>163</v>
      </c>
      <c r="J33" t="s">
        <v>63</v>
      </c>
      <c r="K33" t="s">
        <v>152</v>
      </c>
      <c r="L33">
        <v>2</v>
      </c>
      <c r="M33">
        <v>1557.26</v>
      </c>
      <c r="N33">
        <v>0.13</v>
      </c>
      <c r="O33">
        <v>1859.03</v>
      </c>
      <c r="P33">
        <v>840.29</v>
      </c>
      <c r="Q33">
        <v>50.66</v>
      </c>
      <c r="R33" t="s">
        <v>43</v>
      </c>
      <c r="S33">
        <v>2</v>
      </c>
      <c r="T33" t="b">
        <v>0</v>
      </c>
      <c r="U33" t="s">
        <v>30</v>
      </c>
      <c r="V33">
        <v>10</v>
      </c>
    </row>
    <row r="34" spans="1:22" x14ac:dyDescent="0.25">
      <c r="A34" t="s">
        <v>178</v>
      </c>
      <c r="B34" s="1">
        <v>44656</v>
      </c>
      <c r="C34" t="s">
        <v>179</v>
      </c>
      <c r="D34" t="s">
        <v>180</v>
      </c>
      <c r="E34">
        <v>48</v>
      </c>
      <c r="F34" t="str">
        <f>IF(Table1[[#This Row],[age]]&lt;=25,"18-25",IF(Table1[[#This Row],[age]]&lt;=35,"26-35",IF(Table1[[#This Row],[age]]&lt;=50,"36-50","51+")))</f>
        <v>36-50</v>
      </c>
      <c r="G34" t="s">
        <v>24</v>
      </c>
      <c r="H34" t="s">
        <v>69</v>
      </c>
      <c r="I34" t="s">
        <v>181</v>
      </c>
      <c r="J34" t="s">
        <v>106</v>
      </c>
      <c r="K34" t="s">
        <v>107</v>
      </c>
      <c r="L34">
        <v>2</v>
      </c>
      <c r="M34">
        <v>393.55</v>
      </c>
      <c r="N34">
        <v>0.02</v>
      </c>
      <c r="O34">
        <v>1057.6500000000001</v>
      </c>
      <c r="P34">
        <v>87.14</v>
      </c>
      <c r="Q34">
        <v>87.03</v>
      </c>
      <c r="R34" t="s">
        <v>29</v>
      </c>
      <c r="S34">
        <v>1</v>
      </c>
      <c r="T34" t="b">
        <v>0</v>
      </c>
      <c r="U34" t="s">
        <v>30</v>
      </c>
      <c r="V34">
        <v>1</v>
      </c>
    </row>
    <row r="35" spans="1:22" x14ac:dyDescent="0.25">
      <c r="A35" t="s">
        <v>182</v>
      </c>
      <c r="B35" s="1">
        <v>44306</v>
      </c>
      <c r="C35" t="s">
        <v>183</v>
      </c>
      <c r="D35" t="s">
        <v>184</v>
      </c>
      <c r="E35">
        <v>34</v>
      </c>
      <c r="F35" t="str">
        <f>IF(Table1[[#This Row],[age]]&lt;=25,"18-25",IF(Table1[[#This Row],[age]]&lt;=35,"26-35",IF(Table1[[#This Row],[age]]&lt;=50,"36-50","51+")))</f>
        <v>26-35</v>
      </c>
      <c r="G35" t="s">
        <v>54</v>
      </c>
      <c r="H35" t="s">
        <v>61</v>
      </c>
      <c r="I35" t="s">
        <v>163</v>
      </c>
      <c r="J35" t="s">
        <v>101</v>
      </c>
      <c r="K35" t="s">
        <v>102</v>
      </c>
      <c r="L35">
        <v>5</v>
      </c>
      <c r="M35">
        <v>8244.31</v>
      </c>
      <c r="N35">
        <v>0.12</v>
      </c>
      <c r="O35">
        <v>49710.43</v>
      </c>
      <c r="P35">
        <v>13744.26</v>
      </c>
      <c r="Q35">
        <v>51.59</v>
      </c>
      <c r="R35" t="s">
        <v>49</v>
      </c>
      <c r="S35">
        <v>1</v>
      </c>
      <c r="T35" t="b">
        <v>0</v>
      </c>
      <c r="U35" t="s">
        <v>30</v>
      </c>
      <c r="V35">
        <v>4</v>
      </c>
    </row>
    <row r="36" spans="1:22" x14ac:dyDescent="0.25">
      <c r="A36" t="s">
        <v>185</v>
      </c>
      <c r="B36" s="1">
        <v>45143</v>
      </c>
      <c r="C36" t="s">
        <v>186</v>
      </c>
      <c r="D36" t="s">
        <v>187</v>
      </c>
      <c r="E36">
        <v>34</v>
      </c>
      <c r="F36" t="str">
        <f>IF(Table1[[#This Row],[age]]&lt;=25,"18-25",IF(Table1[[#This Row],[age]]&lt;=35,"26-35",IF(Table1[[#This Row],[age]]&lt;=50,"36-50","51+")))</f>
        <v>26-35</v>
      </c>
      <c r="G36" t="s">
        <v>34</v>
      </c>
      <c r="H36" t="s">
        <v>61</v>
      </c>
      <c r="I36" t="s">
        <v>62</v>
      </c>
      <c r="J36" t="s">
        <v>106</v>
      </c>
      <c r="K36" t="s">
        <v>188</v>
      </c>
      <c r="L36">
        <v>7</v>
      </c>
      <c r="M36">
        <v>315.62</v>
      </c>
      <c r="N36">
        <v>0.28000000000000003</v>
      </c>
      <c r="O36">
        <v>2026.01</v>
      </c>
      <c r="P36">
        <v>104.43</v>
      </c>
      <c r="Q36">
        <v>72.63</v>
      </c>
      <c r="R36" t="s">
        <v>57</v>
      </c>
      <c r="S36">
        <v>5</v>
      </c>
      <c r="T36" t="b">
        <v>0</v>
      </c>
      <c r="U36" t="s">
        <v>30</v>
      </c>
      <c r="V36">
        <v>7</v>
      </c>
    </row>
    <row r="37" spans="1:22" x14ac:dyDescent="0.25">
      <c r="A37" t="s">
        <v>189</v>
      </c>
      <c r="B37" s="1">
        <v>45063</v>
      </c>
      <c r="C37" t="s">
        <v>190</v>
      </c>
      <c r="D37" t="s">
        <v>191</v>
      </c>
      <c r="E37">
        <v>51</v>
      </c>
      <c r="F37" t="str">
        <f>IF(Table1[[#This Row],[age]]&lt;=25,"18-25",IF(Table1[[#This Row],[age]]&lt;=35,"26-35",IF(Table1[[#This Row],[age]]&lt;=50,"36-50","51+")))</f>
        <v>51+</v>
      </c>
      <c r="G37" t="s">
        <v>54</v>
      </c>
      <c r="H37" t="s">
        <v>25</v>
      </c>
      <c r="I37" t="s">
        <v>41</v>
      </c>
      <c r="J37" t="s">
        <v>27</v>
      </c>
      <c r="K37" t="s">
        <v>192</v>
      </c>
      <c r="L37">
        <v>1</v>
      </c>
      <c r="M37">
        <v>697.15</v>
      </c>
      <c r="N37">
        <v>0.18</v>
      </c>
      <c r="O37">
        <v>867.37</v>
      </c>
      <c r="P37">
        <v>335.66</v>
      </c>
      <c r="Q37">
        <v>48.84</v>
      </c>
      <c r="R37" t="s">
        <v>29</v>
      </c>
      <c r="S37">
        <v>3</v>
      </c>
      <c r="T37" t="b">
        <v>0</v>
      </c>
      <c r="U37" t="s">
        <v>193</v>
      </c>
      <c r="V37">
        <v>10</v>
      </c>
    </row>
    <row r="38" spans="1:22" x14ac:dyDescent="0.25">
      <c r="A38" t="s">
        <v>194</v>
      </c>
      <c r="B38" s="1">
        <v>44046</v>
      </c>
      <c r="C38" t="s">
        <v>195</v>
      </c>
      <c r="D38" t="s">
        <v>196</v>
      </c>
      <c r="E38">
        <v>34</v>
      </c>
      <c r="F38" t="str">
        <f>IF(Table1[[#This Row],[age]]&lt;=25,"18-25",IF(Table1[[#This Row],[age]]&lt;=35,"26-35",IF(Table1[[#This Row],[age]]&lt;=50,"36-50","51+")))</f>
        <v>26-35</v>
      </c>
      <c r="G38" t="s">
        <v>24</v>
      </c>
      <c r="H38" t="s">
        <v>55</v>
      </c>
      <c r="I38" t="s">
        <v>75</v>
      </c>
      <c r="J38" t="s">
        <v>115</v>
      </c>
      <c r="K38" t="s">
        <v>197</v>
      </c>
      <c r="L38">
        <v>2</v>
      </c>
      <c r="M38">
        <v>52363.15</v>
      </c>
      <c r="N38">
        <v>0.25</v>
      </c>
      <c r="O38">
        <v>89225.91</v>
      </c>
      <c r="P38">
        <v>14474.33</v>
      </c>
      <c r="Q38">
        <v>45.26</v>
      </c>
      <c r="R38" t="s">
        <v>92</v>
      </c>
      <c r="S38">
        <v>2</v>
      </c>
      <c r="T38" t="b">
        <v>0</v>
      </c>
      <c r="U38" t="s">
        <v>193</v>
      </c>
      <c r="V38">
        <v>9</v>
      </c>
    </row>
    <row r="39" spans="1:22" x14ac:dyDescent="0.25">
      <c r="A39" t="s">
        <v>198</v>
      </c>
      <c r="B39" s="1">
        <v>43986</v>
      </c>
      <c r="C39" t="s">
        <v>199</v>
      </c>
      <c r="D39" t="s">
        <v>200</v>
      </c>
      <c r="E39">
        <v>37</v>
      </c>
      <c r="F39" t="str">
        <f>IF(Table1[[#This Row],[age]]&lt;=25,"18-25",IF(Table1[[#This Row],[age]]&lt;=35,"26-35",IF(Table1[[#This Row],[age]]&lt;=50,"36-50","51+")))</f>
        <v>36-50</v>
      </c>
      <c r="G39" t="s">
        <v>24</v>
      </c>
      <c r="H39" t="s">
        <v>25</v>
      </c>
      <c r="I39" t="s">
        <v>35</v>
      </c>
      <c r="J39" t="s">
        <v>101</v>
      </c>
      <c r="K39" t="s">
        <v>102</v>
      </c>
      <c r="L39">
        <v>3</v>
      </c>
      <c r="M39">
        <v>2684.91</v>
      </c>
      <c r="N39">
        <v>0.15</v>
      </c>
      <c r="O39">
        <v>9541.81</v>
      </c>
      <c r="P39">
        <v>2543.29</v>
      </c>
      <c r="Q39">
        <v>67.28</v>
      </c>
      <c r="R39" t="s">
        <v>92</v>
      </c>
      <c r="S39">
        <v>2</v>
      </c>
      <c r="T39" t="b">
        <v>0</v>
      </c>
      <c r="U39" t="s">
        <v>30</v>
      </c>
      <c r="V39">
        <v>9</v>
      </c>
    </row>
    <row r="40" spans="1:22" x14ac:dyDescent="0.25">
      <c r="A40" t="s">
        <v>201</v>
      </c>
      <c r="B40" s="1">
        <v>45160</v>
      </c>
      <c r="C40" t="s">
        <v>202</v>
      </c>
      <c r="D40" t="s">
        <v>203</v>
      </c>
      <c r="E40">
        <v>42</v>
      </c>
      <c r="F40" t="str">
        <f>IF(Table1[[#This Row],[age]]&lt;=25,"18-25",IF(Table1[[#This Row],[age]]&lt;=35,"26-35",IF(Table1[[#This Row],[age]]&lt;=50,"36-50","51+")))</f>
        <v>36-50</v>
      </c>
      <c r="G40" t="s">
        <v>54</v>
      </c>
      <c r="H40" t="s">
        <v>61</v>
      </c>
      <c r="I40" t="s">
        <v>62</v>
      </c>
      <c r="J40" t="s">
        <v>47</v>
      </c>
      <c r="K40" t="s">
        <v>204</v>
      </c>
      <c r="L40">
        <v>4</v>
      </c>
      <c r="M40">
        <v>889.6</v>
      </c>
      <c r="N40">
        <v>0.36</v>
      </c>
      <c r="O40">
        <v>3597.1</v>
      </c>
      <c r="P40">
        <v>1076.9100000000001</v>
      </c>
      <c r="Q40">
        <v>58.16</v>
      </c>
      <c r="R40" t="s">
        <v>57</v>
      </c>
      <c r="S40">
        <v>3</v>
      </c>
      <c r="T40" t="b">
        <v>1</v>
      </c>
      <c r="U40" t="s">
        <v>50</v>
      </c>
      <c r="V40">
        <v>3</v>
      </c>
    </row>
    <row r="41" spans="1:22" x14ac:dyDescent="0.25">
      <c r="A41" t="s">
        <v>205</v>
      </c>
      <c r="B41" s="1">
        <v>43984</v>
      </c>
      <c r="C41" t="s">
        <v>206</v>
      </c>
      <c r="D41" t="s">
        <v>207</v>
      </c>
      <c r="E41">
        <v>41</v>
      </c>
      <c r="F41" t="str">
        <f>IF(Table1[[#This Row],[age]]&lt;=25,"18-25",IF(Table1[[#This Row],[age]]&lt;=35,"26-35",IF(Table1[[#This Row],[age]]&lt;=50,"36-50","51+")))</f>
        <v>36-50</v>
      </c>
      <c r="G41" t="s">
        <v>54</v>
      </c>
      <c r="H41" t="s">
        <v>55</v>
      </c>
      <c r="I41" t="s">
        <v>97</v>
      </c>
      <c r="J41" t="s">
        <v>63</v>
      </c>
      <c r="K41" t="s">
        <v>152</v>
      </c>
      <c r="L41">
        <v>2</v>
      </c>
      <c r="M41">
        <v>1548.43</v>
      </c>
      <c r="N41">
        <v>0.38</v>
      </c>
      <c r="O41">
        <v>2480.54</v>
      </c>
      <c r="P41">
        <v>866.5</v>
      </c>
      <c r="Q41">
        <v>49.01</v>
      </c>
      <c r="R41" t="s">
        <v>43</v>
      </c>
      <c r="S41">
        <v>1</v>
      </c>
      <c r="T41" t="b">
        <v>0</v>
      </c>
      <c r="U41" t="s">
        <v>30</v>
      </c>
      <c r="V41">
        <v>45</v>
      </c>
    </row>
    <row r="42" spans="1:22" x14ac:dyDescent="0.25">
      <c r="A42" t="s">
        <v>208</v>
      </c>
      <c r="B42" s="1">
        <v>45465</v>
      </c>
      <c r="C42" t="s">
        <v>209</v>
      </c>
      <c r="D42" t="s">
        <v>210</v>
      </c>
      <c r="E42">
        <v>42</v>
      </c>
      <c r="F42" t="str">
        <f>IF(Table1[[#This Row],[age]]&lt;=25,"18-25",IF(Table1[[#This Row],[age]]&lt;=35,"26-35",IF(Table1[[#This Row],[age]]&lt;=50,"36-50","51+")))</f>
        <v>36-50</v>
      </c>
      <c r="G42" t="s">
        <v>34</v>
      </c>
      <c r="H42" t="s">
        <v>25</v>
      </c>
      <c r="I42" t="s">
        <v>35</v>
      </c>
      <c r="J42" t="s">
        <v>47</v>
      </c>
      <c r="K42" t="s">
        <v>120</v>
      </c>
      <c r="L42">
        <v>1</v>
      </c>
      <c r="M42">
        <v>787.78</v>
      </c>
      <c r="N42">
        <v>0.15</v>
      </c>
      <c r="O42">
        <v>1146.29</v>
      </c>
      <c r="P42">
        <v>520.99</v>
      </c>
      <c r="Q42">
        <v>47.1</v>
      </c>
      <c r="R42" t="s">
        <v>57</v>
      </c>
      <c r="S42">
        <v>2</v>
      </c>
      <c r="T42" t="b">
        <v>0</v>
      </c>
      <c r="U42" t="s">
        <v>30</v>
      </c>
      <c r="V42">
        <v>9</v>
      </c>
    </row>
    <row r="43" spans="1:22" x14ac:dyDescent="0.25">
      <c r="A43" t="s">
        <v>211</v>
      </c>
      <c r="B43" s="1">
        <v>43873</v>
      </c>
      <c r="C43" t="s">
        <v>212</v>
      </c>
      <c r="D43" t="s">
        <v>213</v>
      </c>
      <c r="E43">
        <v>48</v>
      </c>
      <c r="F43" t="str">
        <f>IF(Table1[[#This Row],[age]]&lt;=25,"18-25",IF(Table1[[#This Row],[age]]&lt;=35,"26-35",IF(Table1[[#This Row],[age]]&lt;=50,"36-50","51+")))</f>
        <v>36-50</v>
      </c>
      <c r="G43" t="s">
        <v>54</v>
      </c>
      <c r="H43" t="s">
        <v>80</v>
      </c>
      <c r="I43" t="s">
        <v>86</v>
      </c>
      <c r="J43" t="s">
        <v>101</v>
      </c>
      <c r="K43" t="s">
        <v>214</v>
      </c>
      <c r="L43">
        <v>3</v>
      </c>
      <c r="M43">
        <v>6047.51</v>
      </c>
      <c r="N43">
        <v>0.08</v>
      </c>
      <c r="O43">
        <v>13365.94</v>
      </c>
      <c r="P43">
        <v>2741.49</v>
      </c>
      <c r="Q43">
        <v>36.15</v>
      </c>
      <c r="R43" t="s">
        <v>29</v>
      </c>
      <c r="S43">
        <v>4</v>
      </c>
      <c r="T43" t="b">
        <v>0</v>
      </c>
      <c r="U43" t="s">
        <v>30</v>
      </c>
      <c r="V43">
        <v>3</v>
      </c>
    </row>
    <row r="44" spans="1:22" x14ac:dyDescent="0.25">
      <c r="A44" t="s">
        <v>215</v>
      </c>
      <c r="B44" s="1">
        <v>43929</v>
      </c>
      <c r="C44" t="s">
        <v>216</v>
      </c>
      <c r="D44" t="s">
        <v>217</v>
      </c>
      <c r="E44">
        <v>37</v>
      </c>
      <c r="F44" t="str">
        <f>IF(Table1[[#This Row],[age]]&lt;=25,"18-25",IF(Table1[[#This Row],[age]]&lt;=35,"26-35",IF(Table1[[#This Row],[age]]&lt;=50,"36-50","51+")))</f>
        <v>36-50</v>
      </c>
      <c r="G44" t="s">
        <v>24</v>
      </c>
      <c r="H44" t="s">
        <v>55</v>
      </c>
      <c r="I44" t="s">
        <v>97</v>
      </c>
      <c r="J44" t="s">
        <v>101</v>
      </c>
      <c r="K44" t="s">
        <v>164</v>
      </c>
      <c r="L44">
        <v>1</v>
      </c>
      <c r="M44">
        <v>5935.12</v>
      </c>
      <c r="N44">
        <v>0.08</v>
      </c>
      <c r="O44">
        <v>6293.66</v>
      </c>
      <c r="P44">
        <v>1165.6300000000001</v>
      </c>
      <c r="Q44">
        <v>47.97</v>
      </c>
      <c r="R44" t="s">
        <v>57</v>
      </c>
      <c r="S44">
        <v>5</v>
      </c>
      <c r="T44" t="b">
        <v>0</v>
      </c>
      <c r="U44" t="s">
        <v>30</v>
      </c>
      <c r="V44">
        <v>7</v>
      </c>
    </row>
    <row r="45" spans="1:22" x14ac:dyDescent="0.25">
      <c r="A45" t="s">
        <v>218</v>
      </c>
      <c r="B45" s="1">
        <v>44272</v>
      </c>
      <c r="C45" t="s">
        <v>219</v>
      </c>
      <c r="D45" t="s">
        <v>220</v>
      </c>
      <c r="E45">
        <v>22</v>
      </c>
      <c r="F45" t="str">
        <f>IF(Table1[[#This Row],[age]]&lt;=25,"18-25",IF(Table1[[#This Row],[age]]&lt;=35,"26-35",IF(Table1[[#This Row],[age]]&lt;=50,"36-50","51+")))</f>
        <v>18-25</v>
      </c>
      <c r="G45" t="s">
        <v>34</v>
      </c>
      <c r="H45" t="s">
        <v>69</v>
      </c>
      <c r="I45" t="s">
        <v>221</v>
      </c>
      <c r="J45" t="s">
        <v>115</v>
      </c>
      <c r="K45" t="s">
        <v>116</v>
      </c>
      <c r="L45">
        <v>4</v>
      </c>
      <c r="M45">
        <v>11157.11</v>
      </c>
      <c r="N45">
        <v>0.38</v>
      </c>
      <c r="O45">
        <v>32774.69</v>
      </c>
      <c r="P45">
        <v>3797.24</v>
      </c>
      <c r="Q45">
        <v>55.14</v>
      </c>
      <c r="R45" t="s">
        <v>57</v>
      </c>
      <c r="S45">
        <v>1</v>
      </c>
      <c r="T45" t="b">
        <v>1</v>
      </c>
      <c r="U45" t="s">
        <v>50</v>
      </c>
      <c r="V45">
        <v>8</v>
      </c>
    </row>
    <row r="46" spans="1:22" x14ac:dyDescent="0.25">
      <c r="A46" t="s">
        <v>222</v>
      </c>
      <c r="B46" s="1">
        <v>44432</v>
      </c>
      <c r="C46" t="s">
        <v>223</v>
      </c>
      <c r="D46" t="s">
        <v>224</v>
      </c>
      <c r="E46">
        <v>32</v>
      </c>
      <c r="F46" t="str">
        <f>IF(Table1[[#This Row],[age]]&lt;=25,"18-25",IF(Table1[[#This Row],[age]]&lt;=35,"26-35",IF(Table1[[#This Row],[age]]&lt;=50,"36-50","51+")))</f>
        <v>26-35</v>
      </c>
      <c r="G46" t="s">
        <v>24</v>
      </c>
      <c r="H46" t="s">
        <v>61</v>
      </c>
      <c r="I46" t="s">
        <v>141</v>
      </c>
      <c r="J46" t="s">
        <v>63</v>
      </c>
      <c r="K46" t="s">
        <v>87</v>
      </c>
      <c r="L46">
        <v>5</v>
      </c>
      <c r="M46">
        <v>1008.19</v>
      </c>
      <c r="N46">
        <v>0.27</v>
      </c>
      <c r="O46">
        <v>4205.92</v>
      </c>
      <c r="P46">
        <v>1377.84</v>
      </c>
      <c r="Q46">
        <v>53.22</v>
      </c>
      <c r="R46" t="s">
        <v>65</v>
      </c>
      <c r="S46">
        <v>1</v>
      </c>
      <c r="T46" t="b">
        <v>0</v>
      </c>
      <c r="U46" t="s">
        <v>30</v>
      </c>
      <c r="V46">
        <v>4</v>
      </c>
    </row>
    <row r="47" spans="1:22" x14ac:dyDescent="0.25">
      <c r="A47" t="s">
        <v>225</v>
      </c>
      <c r="B47" s="1">
        <v>45204</v>
      </c>
      <c r="C47" t="s">
        <v>226</v>
      </c>
      <c r="D47" t="s">
        <v>227</v>
      </c>
      <c r="E47">
        <v>45</v>
      </c>
      <c r="F47" t="str">
        <f>IF(Table1[[#This Row],[age]]&lt;=25,"18-25",IF(Table1[[#This Row],[age]]&lt;=35,"26-35",IF(Table1[[#This Row],[age]]&lt;=50,"36-50","51+")))</f>
        <v>36-50</v>
      </c>
      <c r="G47" t="s">
        <v>34</v>
      </c>
      <c r="H47" t="s">
        <v>55</v>
      </c>
      <c r="I47" t="s">
        <v>75</v>
      </c>
      <c r="J47" t="s">
        <v>36</v>
      </c>
      <c r="K47" t="s">
        <v>37</v>
      </c>
      <c r="L47">
        <v>2</v>
      </c>
      <c r="M47">
        <v>7616.64</v>
      </c>
      <c r="N47">
        <v>0.34</v>
      </c>
      <c r="O47">
        <v>11304.13</v>
      </c>
      <c r="P47">
        <v>3661.21</v>
      </c>
      <c r="Q47">
        <v>29.23</v>
      </c>
      <c r="R47" t="s">
        <v>92</v>
      </c>
      <c r="S47">
        <v>4</v>
      </c>
      <c r="T47" t="b">
        <v>0</v>
      </c>
      <c r="U47" t="s">
        <v>30</v>
      </c>
      <c r="V47">
        <v>1</v>
      </c>
    </row>
    <row r="48" spans="1:22" x14ac:dyDescent="0.25">
      <c r="A48" t="s">
        <v>228</v>
      </c>
      <c r="B48" s="1">
        <v>44739</v>
      </c>
      <c r="C48" t="s">
        <v>229</v>
      </c>
      <c r="D48" t="s">
        <v>177</v>
      </c>
      <c r="E48">
        <v>21</v>
      </c>
      <c r="F48" t="str">
        <f>IF(Table1[[#This Row],[age]]&lt;=25,"18-25",IF(Table1[[#This Row],[age]]&lt;=35,"26-35",IF(Table1[[#This Row],[age]]&lt;=50,"36-50","51+")))</f>
        <v>18-25</v>
      </c>
      <c r="G48" t="s">
        <v>34</v>
      </c>
      <c r="H48" t="s">
        <v>80</v>
      </c>
      <c r="I48" t="s">
        <v>81</v>
      </c>
      <c r="J48" t="s">
        <v>36</v>
      </c>
      <c r="K48" t="s">
        <v>230</v>
      </c>
      <c r="L48">
        <v>8</v>
      </c>
      <c r="M48">
        <v>3549.62</v>
      </c>
      <c r="N48">
        <v>0.22</v>
      </c>
      <c r="O48">
        <v>30702.91</v>
      </c>
      <c r="P48">
        <v>10062.41</v>
      </c>
      <c r="Q48">
        <v>77.819999999999993</v>
      </c>
      <c r="R48" t="s">
        <v>43</v>
      </c>
      <c r="S48">
        <v>5</v>
      </c>
      <c r="T48" t="b">
        <v>1</v>
      </c>
      <c r="U48" t="s">
        <v>50</v>
      </c>
      <c r="V48">
        <v>5</v>
      </c>
    </row>
    <row r="49" spans="1:22" x14ac:dyDescent="0.25">
      <c r="A49" t="s">
        <v>231</v>
      </c>
      <c r="B49" s="1">
        <v>44808</v>
      </c>
      <c r="C49" t="s">
        <v>232</v>
      </c>
      <c r="D49" t="s">
        <v>127</v>
      </c>
      <c r="E49">
        <v>21</v>
      </c>
      <c r="F49" t="str">
        <f>IF(Table1[[#This Row],[age]]&lt;=25,"18-25",IF(Table1[[#This Row],[age]]&lt;=35,"26-35",IF(Table1[[#This Row],[age]]&lt;=50,"36-50","51+")))</f>
        <v>18-25</v>
      </c>
      <c r="G49" t="s">
        <v>54</v>
      </c>
      <c r="H49" t="s">
        <v>69</v>
      </c>
      <c r="I49" t="s">
        <v>136</v>
      </c>
      <c r="J49" t="s">
        <v>115</v>
      </c>
      <c r="K49" t="s">
        <v>137</v>
      </c>
      <c r="L49">
        <v>4</v>
      </c>
      <c r="M49">
        <v>41499.339999999997</v>
      </c>
      <c r="N49">
        <v>0</v>
      </c>
      <c r="O49">
        <v>175476.12</v>
      </c>
      <c r="P49">
        <v>19809.16</v>
      </c>
      <c r="Q49">
        <v>73.44</v>
      </c>
      <c r="R49" t="s">
        <v>29</v>
      </c>
      <c r="S49">
        <v>4</v>
      </c>
      <c r="T49" t="b">
        <v>0</v>
      </c>
      <c r="U49" t="s">
        <v>93</v>
      </c>
      <c r="V49">
        <v>1</v>
      </c>
    </row>
    <row r="50" spans="1:22" x14ac:dyDescent="0.25">
      <c r="A50" t="s">
        <v>233</v>
      </c>
      <c r="B50" s="1">
        <v>43833</v>
      </c>
      <c r="C50" t="s">
        <v>234</v>
      </c>
      <c r="D50" t="s">
        <v>235</v>
      </c>
      <c r="E50">
        <v>23</v>
      </c>
      <c r="F50" t="str">
        <f>IF(Table1[[#This Row],[age]]&lt;=25,"18-25",IF(Table1[[#This Row],[age]]&lt;=35,"26-35",IF(Table1[[#This Row],[age]]&lt;=50,"36-50","51+")))</f>
        <v>18-25</v>
      </c>
      <c r="G50" t="s">
        <v>54</v>
      </c>
      <c r="H50" t="s">
        <v>80</v>
      </c>
      <c r="I50" t="s">
        <v>236</v>
      </c>
      <c r="J50" t="s">
        <v>36</v>
      </c>
      <c r="K50" t="s">
        <v>37</v>
      </c>
      <c r="L50">
        <v>8</v>
      </c>
      <c r="M50">
        <v>22523.15</v>
      </c>
      <c r="N50">
        <v>0.34</v>
      </c>
      <c r="O50">
        <v>95036.79</v>
      </c>
      <c r="P50">
        <v>29818.97</v>
      </c>
      <c r="Q50">
        <v>65.72</v>
      </c>
      <c r="R50" t="s">
        <v>43</v>
      </c>
      <c r="S50">
        <v>2</v>
      </c>
      <c r="T50" t="b">
        <v>0</v>
      </c>
      <c r="U50" t="s">
        <v>30</v>
      </c>
      <c r="V50">
        <v>5</v>
      </c>
    </row>
    <row r="51" spans="1:22" x14ac:dyDescent="0.25">
      <c r="A51" t="s">
        <v>237</v>
      </c>
      <c r="B51" s="1">
        <v>45079</v>
      </c>
      <c r="C51" t="s">
        <v>238</v>
      </c>
      <c r="D51" t="s">
        <v>60</v>
      </c>
      <c r="E51">
        <v>34</v>
      </c>
      <c r="F51" t="str">
        <f>IF(Table1[[#This Row],[age]]&lt;=25,"18-25",IF(Table1[[#This Row],[age]]&lt;=35,"26-35",IF(Table1[[#This Row],[age]]&lt;=50,"36-50","51+")))</f>
        <v>26-35</v>
      </c>
      <c r="G51" t="s">
        <v>54</v>
      </c>
      <c r="H51" t="s">
        <v>25</v>
      </c>
      <c r="I51" t="s">
        <v>35</v>
      </c>
      <c r="J51" t="s">
        <v>36</v>
      </c>
      <c r="K51" t="s">
        <v>76</v>
      </c>
      <c r="L51">
        <v>3</v>
      </c>
      <c r="M51">
        <v>31229.73</v>
      </c>
      <c r="N51">
        <v>0.32</v>
      </c>
      <c r="O51">
        <v>100210.97</v>
      </c>
      <c r="P51">
        <v>34252.99</v>
      </c>
      <c r="Q51">
        <v>53.79</v>
      </c>
      <c r="R51" t="s">
        <v>43</v>
      </c>
      <c r="S51">
        <v>5</v>
      </c>
      <c r="T51" t="b">
        <v>0</v>
      </c>
      <c r="U51" t="s">
        <v>193</v>
      </c>
      <c r="V51">
        <v>3</v>
      </c>
    </row>
    <row r="52" spans="1:22" x14ac:dyDescent="0.25">
      <c r="A52" t="s">
        <v>239</v>
      </c>
      <c r="B52" s="1">
        <v>44794</v>
      </c>
      <c r="C52" t="s">
        <v>240</v>
      </c>
      <c r="D52" t="s">
        <v>241</v>
      </c>
      <c r="E52">
        <v>49</v>
      </c>
      <c r="F52" t="str">
        <f>IF(Table1[[#This Row],[age]]&lt;=25,"18-25",IF(Table1[[#This Row],[age]]&lt;=35,"26-35",IF(Table1[[#This Row],[age]]&lt;=50,"36-50","51+")))</f>
        <v>36-50</v>
      </c>
      <c r="G52" t="s">
        <v>54</v>
      </c>
      <c r="H52" t="s">
        <v>80</v>
      </c>
      <c r="I52" t="s">
        <v>242</v>
      </c>
      <c r="J52" t="s">
        <v>36</v>
      </c>
      <c r="K52" t="s">
        <v>243</v>
      </c>
      <c r="L52">
        <v>3</v>
      </c>
      <c r="M52">
        <v>25395.64</v>
      </c>
      <c r="N52">
        <v>0.3</v>
      </c>
      <c r="O52">
        <v>82667.820000000007</v>
      </c>
      <c r="P52">
        <v>28762.52</v>
      </c>
      <c r="Q52">
        <v>86.28</v>
      </c>
      <c r="R52" t="s">
        <v>65</v>
      </c>
      <c r="S52">
        <v>4</v>
      </c>
      <c r="T52" t="b">
        <v>0</v>
      </c>
      <c r="U52" t="s">
        <v>30</v>
      </c>
      <c r="V52">
        <v>5</v>
      </c>
    </row>
    <row r="53" spans="1:22" x14ac:dyDescent="0.25">
      <c r="A53" t="s">
        <v>244</v>
      </c>
      <c r="B53" s="1">
        <v>44308</v>
      </c>
      <c r="C53" t="s">
        <v>245</v>
      </c>
      <c r="D53" t="s">
        <v>246</v>
      </c>
      <c r="E53">
        <v>27</v>
      </c>
      <c r="F53" t="str">
        <f>IF(Table1[[#This Row],[age]]&lt;=25,"18-25",IF(Table1[[#This Row],[age]]&lt;=35,"26-35",IF(Table1[[#This Row],[age]]&lt;=50,"36-50","51+")))</f>
        <v>26-35</v>
      </c>
      <c r="G53" t="s">
        <v>24</v>
      </c>
      <c r="H53" t="s">
        <v>61</v>
      </c>
      <c r="I53" t="s">
        <v>141</v>
      </c>
      <c r="J53" t="s">
        <v>106</v>
      </c>
      <c r="K53" t="s">
        <v>247</v>
      </c>
      <c r="L53">
        <v>3</v>
      </c>
      <c r="M53">
        <v>457.68</v>
      </c>
      <c r="N53">
        <v>0.26</v>
      </c>
      <c r="O53">
        <v>1159.07</v>
      </c>
      <c r="P53">
        <v>84.35</v>
      </c>
      <c r="Q53">
        <v>72.86</v>
      </c>
      <c r="R53" t="s">
        <v>49</v>
      </c>
      <c r="S53">
        <v>3</v>
      </c>
      <c r="T53" t="b">
        <v>0</v>
      </c>
      <c r="U53" t="s">
        <v>30</v>
      </c>
      <c r="V53">
        <v>2</v>
      </c>
    </row>
    <row r="54" spans="1:22" x14ac:dyDescent="0.25">
      <c r="A54" t="s">
        <v>248</v>
      </c>
      <c r="B54" s="1">
        <v>45084</v>
      </c>
      <c r="C54" t="s">
        <v>249</v>
      </c>
      <c r="D54" t="s">
        <v>250</v>
      </c>
      <c r="E54">
        <v>31</v>
      </c>
      <c r="F54" t="str">
        <f>IF(Table1[[#This Row],[age]]&lt;=25,"18-25",IF(Table1[[#This Row],[age]]&lt;=35,"26-35",IF(Table1[[#This Row],[age]]&lt;=50,"36-50","51+")))</f>
        <v>26-35</v>
      </c>
      <c r="G54" t="s">
        <v>54</v>
      </c>
      <c r="H54" t="s">
        <v>80</v>
      </c>
      <c r="I54" t="s">
        <v>242</v>
      </c>
      <c r="J54" t="s">
        <v>47</v>
      </c>
      <c r="K54" t="s">
        <v>48</v>
      </c>
      <c r="L54">
        <v>1</v>
      </c>
      <c r="M54">
        <v>715.84</v>
      </c>
      <c r="N54">
        <v>0.24</v>
      </c>
      <c r="O54">
        <v>937.54</v>
      </c>
      <c r="P54">
        <v>470.99</v>
      </c>
      <c r="Q54">
        <v>59.5</v>
      </c>
      <c r="R54" t="s">
        <v>57</v>
      </c>
      <c r="S54">
        <v>2</v>
      </c>
      <c r="T54" t="b">
        <v>0</v>
      </c>
      <c r="U54" t="s">
        <v>30</v>
      </c>
      <c r="V54">
        <v>4</v>
      </c>
    </row>
    <row r="55" spans="1:22" x14ac:dyDescent="0.25">
      <c r="A55" t="s">
        <v>251</v>
      </c>
      <c r="B55" s="1">
        <v>44003</v>
      </c>
      <c r="C55" t="s">
        <v>252</v>
      </c>
      <c r="D55" t="s">
        <v>253</v>
      </c>
      <c r="E55">
        <v>37</v>
      </c>
      <c r="F55" t="str">
        <f>IF(Table1[[#This Row],[age]]&lt;=25,"18-25",IF(Table1[[#This Row],[age]]&lt;=35,"26-35",IF(Table1[[#This Row],[age]]&lt;=50,"36-50","51+")))</f>
        <v>36-50</v>
      </c>
      <c r="G55" t="s">
        <v>34</v>
      </c>
      <c r="H55" t="s">
        <v>80</v>
      </c>
      <c r="I55" t="s">
        <v>242</v>
      </c>
      <c r="J55" t="s">
        <v>115</v>
      </c>
      <c r="K55" t="s">
        <v>137</v>
      </c>
      <c r="L55">
        <v>5</v>
      </c>
      <c r="M55">
        <v>28892.57</v>
      </c>
      <c r="N55">
        <v>7.0000000000000007E-2</v>
      </c>
      <c r="O55">
        <v>205453.46</v>
      </c>
      <c r="P55">
        <v>25286.68</v>
      </c>
      <c r="Q55">
        <v>84.72</v>
      </c>
      <c r="R55" t="s">
        <v>29</v>
      </c>
      <c r="S55">
        <v>5</v>
      </c>
      <c r="T55" t="b">
        <v>0</v>
      </c>
      <c r="U55" t="s">
        <v>30</v>
      </c>
      <c r="V55">
        <v>6</v>
      </c>
    </row>
    <row r="56" spans="1:22" x14ac:dyDescent="0.25">
      <c r="A56" t="s">
        <v>254</v>
      </c>
      <c r="B56" s="1">
        <v>44606</v>
      </c>
      <c r="C56" t="s">
        <v>255</v>
      </c>
      <c r="D56" t="s">
        <v>256</v>
      </c>
      <c r="E56">
        <v>27</v>
      </c>
      <c r="F56" t="str">
        <f>IF(Table1[[#This Row],[age]]&lt;=25,"18-25",IF(Table1[[#This Row],[age]]&lt;=35,"26-35",IF(Table1[[#This Row],[age]]&lt;=50,"36-50","51+")))</f>
        <v>26-35</v>
      </c>
      <c r="G56" t="s">
        <v>24</v>
      </c>
      <c r="H56" t="s">
        <v>61</v>
      </c>
      <c r="I56" t="s">
        <v>163</v>
      </c>
      <c r="J56" t="s">
        <v>36</v>
      </c>
      <c r="K56" t="s">
        <v>76</v>
      </c>
      <c r="L56">
        <v>9</v>
      </c>
      <c r="M56">
        <v>14001.85</v>
      </c>
      <c r="N56">
        <v>0.05</v>
      </c>
      <c r="O56">
        <v>118164.26</v>
      </c>
      <c r="P56">
        <v>40660.47</v>
      </c>
      <c r="Q56">
        <v>55.44</v>
      </c>
      <c r="R56" t="s">
        <v>65</v>
      </c>
      <c r="S56">
        <v>1</v>
      </c>
      <c r="T56" t="b">
        <v>1</v>
      </c>
      <c r="U56" t="s">
        <v>50</v>
      </c>
      <c r="V56">
        <v>1</v>
      </c>
    </row>
    <row r="57" spans="1:22" x14ac:dyDescent="0.25">
      <c r="A57" t="s">
        <v>257</v>
      </c>
      <c r="B57" s="1">
        <v>45568</v>
      </c>
      <c r="C57" t="s">
        <v>258</v>
      </c>
      <c r="D57" t="s">
        <v>259</v>
      </c>
      <c r="E57">
        <v>34</v>
      </c>
      <c r="F57" t="str">
        <f>IF(Table1[[#This Row],[age]]&lt;=25,"18-25",IF(Table1[[#This Row],[age]]&lt;=35,"26-35",IF(Table1[[#This Row],[age]]&lt;=50,"36-50","51+")))</f>
        <v>26-35</v>
      </c>
      <c r="G57" t="s">
        <v>24</v>
      </c>
      <c r="H57" t="s">
        <v>69</v>
      </c>
      <c r="I57" t="s">
        <v>221</v>
      </c>
      <c r="J57" t="s">
        <v>101</v>
      </c>
      <c r="K57" t="s">
        <v>164</v>
      </c>
      <c r="L57">
        <v>2</v>
      </c>
      <c r="M57">
        <v>2854.89</v>
      </c>
      <c r="N57">
        <v>0.06</v>
      </c>
      <c r="O57">
        <v>6360.16</v>
      </c>
      <c r="P57">
        <v>1203.75</v>
      </c>
      <c r="Q57">
        <v>86.84</v>
      </c>
      <c r="R57" t="s">
        <v>65</v>
      </c>
      <c r="S57">
        <v>3</v>
      </c>
      <c r="T57" t="b">
        <v>0</v>
      </c>
      <c r="U57" t="s">
        <v>30</v>
      </c>
      <c r="V57">
        <v>9</v>
      </c>
    </row>
    <row r="58" spans="1:22" x14ac:dyDescent="0.25">
      <c r="A58" t="s">
        <v>260</v>
      </c>
      <c r="B58" s="1">
        <v>44115</v>
      </c>
      <c r="C58" t="s">
        <v>261</v>
      </c>
      <c r="D58" t="s">
        <v>262</v>
      </c>
      <c r="E58">
        <v>22</v>
      </c>
      <c r="F58" t="str">
        <f>IF(Table1[[#This Row],[age]]&lt;=25,"18-25",IF(Table1[[#This Row],[age]]&lt;=35,"26-35",IF(Table1[[#This Row],[age]]&lt;=50,"36-50","51+")))</f>
        <v>18-25</v>
      </c>
      <c r="G58" t="s">
        <v>54</v>
      </c>
      <c r="H58" t="s">
        <v>25</v>
      </c>
      <c r="I58" t="s">
        <v>35</v>
      </c>
      <c r="J58" t="s">
        <v>36</v>
      </c>
      <c r="K58" t="s">
        <v>132</v>
      </c>
      <c r="L58">
        <v>7</v>
      </c>
      <c r="M58">
        <v>34455.919999999998</v>
      </c>
      <c r="N58">
        <v>0.28000000000000003</v>
      </c>
      <c r="O58">
        <v>149044.85999999999</v>
      </c>
      <c r="P58">
        <v>39164.43</v>
      </c>
      <c r="Q58">
        <v>54.2</v>
      </c>
      <c r="R58" t="s">
        <v>29</v>
      </c>
      <c r="S58">
        <v>3</v>
      </c>
      <c r="T58" t="b">
        <v>0</v>
      </c>
      <c r="U58" t="s">
        <v>30</v>
      </c>
      <c r="V58">
        <v>7</v>
      </c>
    </row>
    <row r="59" spans="1:22" x14ac:dyDescent="0.25">
      <c r="A59" t="s">
        <v>263</v>
      </c>
      <c r="B59" s="1">
        <v>44589</v>
      </c>
      <c r="C59" t="s">
        <v>264</v>
      </c>
      <c r="D59" t="s">
        <v>265</v>
      </c>
      <c r="E59">
        <v>42</v>
      </c>
      <c r="F59" t="str">
        <f>IF(Table1[[#This Row],[age]]&lt;=25,"18-25",IF(Table1[[#This Row],[age]]&lt;=35,"26-35",IF(Table1[[#This Row],[age]]&lt;=50,"36-50","51+")))</f>
        <v>36-50</v>
      </c>
      <c r="G59" t="s">
        <v>24</v>
      </c>
      <c r="H59" t="s">
        <v>61</v>
      </c>
      <c r="I59" t="s">
        <v>62</v>
      </c>
      <c r="J59" t="s">
        <v>101</v>
      </c>
      <c r="K59" t="s">
        <v>164</v>
      </c>
      <c r="L59">
        <v>10</v>
      </c>
      <c r="M59">
        <v>6054.48</v>
      </c>
      <c r="N59">
        <v>0.06</v>
      </c>
      <c r="O59">
        <v>48184.42</v>
      </c>
      <c r="P59">
        <v>9832.73</v>
      </c>
      <c r="Q59">
        <v>59.24</v>
      </c>
      <c r="R59" t="s">
        <v>57</v>
      </c>
      <c r="S59">
        <v>1</v>
      </c>
      <c r="T59" t="b">
        <v>1</v>
      </c>
      <c r="U59" t="s">
        <v>50</v>
      </c>
      <c r="V59">
        <v>6</v>
      </c>
    </row>
    <row r="60" spans="1:22" x14ac:dyDescent="0.25">
      <c r="A60" t="s">
        <v>266</v>
      </c>
      <c r="B60" s="1">
        <v>44440</v>
      </c>
      <c r="C60" t="s">
        <v>267</v>
      </c>
      <c r="D60" t="s">
        <v>268</v>
      </c>
      <c r="E60">
        <v>42</v>
      </c>
      <c r="F60" t="str">
        <f>IF(Table1[[#This Row],[age]]&lt;=25,"18-25",IF(Table1[[#This Row],[age]]&lt;=35,"26-35",IF(Table1[[#This Row],[age]]&lt;=50,"36-50","51+")))</f>
        <v>36-50</v>
      </c>
      <c r="G60" t="s">
        <v>24</v>
      </c>
      <c r="H60" t="s">
        <v>80</v>
      </c>
      <c r="I60" t="s">
        <v>236</v>
      </c>
      <c r="J60" t="s">
        <v>36</v>
      </c>
      <c r="K60" t="s">
        <v>230</v>
      </c>
      <c r="L60">
        <v>10</v>
      </c>
      <c r="M60">
        <v>8753.1200000000008</v>
      </c>
      <c r="N60">
        <v>0.28000000000000003</v>
      </c>
      <c r="O60">
        <v>73335.009999999995</v>
      </c>
      <c r="P60">
        <v>17930.25</v>
      </c>
      <c r="Q60">
        <v>87.75</v>
      </c>
      <c r="R60" t="s">
        <v>43</v>
      </c>
      <c r="S60">
        <v>5</v>
      </c>
      <c r="T60" t="b">
        <v>0</v>
      </c>
      <c r="U60" t="s">
        <v>30</v>
      </c>
      <c r="V60">
        <v>8</v>
      </c>
    </row>
    <row r="61" spans="1:22" x14ac:dyDescent="0.25">
      <c r="A61" t="s">
        <v>269</v>
      </c>
      <c r="B61" s="1">
        <v>44866</v>
      </c>
      <c r="C61" t="s">
        <v>270</v>
      </c>
      <c r="D61" t="s">
        <v>271</v>
      </c>
      <c r="E61">
        <v>29</v>
      </c>
      <c r="F61" t="str">
        <f>IF(Table1[[#This Row],[age]]&lt;=25,"18-25",IF(Table1[[#This Row],[age]]&lt;=35,"26-35",IF(Table1[[#This Row],[age]]&lt;=50,"36-50","51+")))</f>
        <v>26-35</v>
      </c>
      <c r="G61" t="s">
        <v>24</v>
      </c>
      <c r="H61" t="s">
        <v>55</v>
      </c>
      <c r="I61" t="s">
        <v>114</v>
      </c>
      <c r="J61" t="s">
        <v>47</v>
      </c>
      <c r="K61" t="s">
        <v>272</v>
      </c>
      <c r="L61">
        <v>4</v>
      </c>
      <c r="M61">
        <v>1320.32</v>
      </c>
      <c r="N61">
        <v>0.01</v>
      </c>
      <c r="O61">
        <v>4535.42</v>
      </c>
      <c r="P61">
        <v>950.65</v>
      </c>
      <c r="Q61">
        <v>39.090000000000003</v>
      </c>
      <c r="R61" t="s">
        <v>29</v>
      </c>
      <c r="S61">
        <v>3</v>
      </c>
      <c r="T61" t="b">
        <v>0</v>
      </c>
      <c r="U61" t="s">
        <v>30</v>
      </c>
      <c r="V61">
        <v>5</v>
      </c>
    </row>
    <row r="62" spans="1:22" x14ac:dyDescent="0.25">
      <c r="A62" t="s">
        <v>273</v>
      </c>
      <c r="B62" s="1">
        <v>44165</v>
      </c>
      <c r="C62" t="s">
        <v>274</v>
      </c>
      <c r="D62" t="s">
        <v>275</v>
      </c>
      <c r="E62">
        <v>33</v>
      </c>
      <c r="F62" t="str">
        <f>IF(Table1[[#This Row],[age]]&lt;=25,"18-25",IF(Table1[[#This Row],[age]]&lt;=35,"26-35",IF(Table1[[#This Row],[age]]&lt;=50,"36-50","51+")))</f>
        <v>26-35</v>
      </c>
      <c r="G62" t="s">
        <v>54</v>
      </c>
      <c r="H62" t="s">
        <v>25</v>
      </c>
      <c r="I62" t="s">
        <v>35</v>
      </c>
      <c r="J62" t="s">
        <v>47</v>
      </c>
      <c r="K62" t="s">
        <v>156</v>
      </c>
      <c r="L62">
        <v>8</v>
      </c>
      <c r="M62">
        <v>707.31</v>
      </c>
      <c r="N62">
        <v>0.15</v>
      </c>
      <c r="O62">
        <v>3730.16</v>
      </c>
      <c r="P62">
        <v>1635.73</v>
      </c>
      <c r="Q62">
        <v>65.92</v>
      </c>
      <c r="R62" t="s">
        <v>92</v>
      </c>
      <c r="S62">
        <v>4</v>
      </c>
      <c r="T62" t="b">
        <v>0</v>
      </c>
      <c r="U62" t="s">
        <v>30</v>
      </c>
      <c r="V62">
        <v>9</v>
      </c>
    </row>
    <row r="63" spans="1:22" x14ac:dyDescent="0.25">
      <c r="A63" t="s">
        <v>276</v>
      </c>
      <c r="B63" s="1">
        <v>44457</v>
      </c>
      <c r="C63" t="s">
        <v>277</v>
      </c>
      <c r="D63" t="s">
        <v>278</v>
      </c>
      <c r="E63">
        <v>42</v>
      </c>
      <c r="F63" t="str">
        <f>IF(Table1[[#This Row],[age]]&lt;=25,"18-25",IF(Table1[[#This Row],[age]]&lt;=35,"26-35",IF(Table1[[#This Row],[age]]&lt;=50,"36-50","51+")))</f>
        <v>36-50</v>
      </c>
      <c r="G63" t="s">
        <v>34</v>
      </c>
      <c r="H63" t="s">
        <v>69</v>
      </c>
      <c r="I63" t="s">
        <v>221</v>
      </c>
      <c r="J63" t="s">
        <v>101</v>
      </c>
      <c r="K63" t="s">
        <v>124</v>
      </c>
      <c r="L63">
        <v>8</v>
      </c>
      <c r="M63">
        <v>12223.45</v>
      </c>
      <c r="N63">
        <v>0.4</v>
      </c>
      <c r="O63">
        <v>62483.59</v>
      </c>
      <c r="P63">
        <v>10563.05</v>
      </c>
      <c r="Q63">
        <v>68.510000000000005</v>
      </c>
      <c r="R63" t="s">
        <v>92</v>
      </c>
      <c r="S63">
        <v>4</v>
      </c>
      <c r="T63" t="b">
        <v>0</v>
      </c>
      <c r="U63" t="s">
        <v>30</v>
      </c>
      <c r="V63">
        <v>7</v>
      </c>
    </row>
    <row r="64" spans="1:22" x14ac:dyDescent="0.25">
      <c r="A64" t="s">
        <v>279</v>
      </c>
      <c r="B64" s="1">
        <v>44885</v>
      </c>
      <c r="C64" t="s">
        <v>280</v>
      </c>
      <c r="D64" t="s">
        <v>281</v>
      </c>
      <c r="E64">
        <v>45</v>
      </c>
      <c r="F64" t="str">
        <f>IF(Table1[[#This Row],[age]]&lt;=25,"18-25",IF(Table1[[#This Row],[age]]&lt;=35,"26-35",IF(Table1[[#This Row],[age]]&lt;=50,"36-50","51+")))</f>
        <v>36-50</v>
      </c>
      <c r="G64" t="s">
        <v>34</v>
      </c>
      <c r="H64" t="s">
        <v>25</v>
      </c>
      <c r="I64" t="s">
        <v>35</v>
      </c>
      <c r="J64" t="s">
        <v>115</v>
      </c>
      <c r="K64" t="s">
        <v>197</v>
      </c>
      <c r="L64">
        <v>4</v>
      </c>
      <c r="M64">
        <v>73017.83</v>
      </c>
      <c r="N64">
        <v>0.22</v>
      </c>
      <c r="O64">
        <v>192150.99</v>
      </c>
      <c r="P64">
        <v>23288.67</v>
      </c>
      <c r="Q64">
        <v>32.14</v>
      </c>
      <c r="R64" t="s">
        <v>57</v>
      </c>
      <c r="S64">
        <v>3</v>
      </c>
      <c r="T64" t="b">
        <v>0</v>
      </c>
      <c r="U64" t="s">
        <v>30</v>
      </c>
      <c r="V64">
        <v>8</v>
      </c>
    </row>
    <row r="65" spans="1:22" x14ac:dyDescent="0.25">
      <c r="A65" t="s">
        <v>282</v>
      </c>
      <c r="B65" s="1">
        <v>43897</v>
      </c>
      <c r="C65" t="s">
        <v>283</v>
      </c>
      <c r="D65" t="s">
        <v>284</v>
      </c>
      <c r="E65">
        <v>35</v>
      </c>
      <c r="F65" t="str">
        <f>IF(Table1[[#This Row],[age]]&lt;=25,"18-25",IF(Table1[[#This Row],[age]]&lt;=35,"26-35",IF(Table1[[#This Row],[age]]&lt;=50,"36-50","51+")))</f>
        <v>26-35</v>
      </c>
      <c r="G65" t="s">
        <v>54</v>
      </c>
      <c r="H65" t="s">
        <v>69</v>
      </c>
      <c r="I65" t="s">
        <v>181</v>
      </c>
      <c r="J65" t="s">
        <v>36</v>
      </c>
      <c r="K65" t="s">
        <v>230</v>
      </c>
      <c r="L65">
        <v>8</v>
      </c>
      <c r="M65">
        <v>25624.31</v>
      </c>
      <c r="N65">
        <v>0.12</v>
      </c>
      <c r="O65">
        <v>188109.47</v>
      </c>
      <c r="P65">
        <v>45753.79</v>
      </c>
      <c r="Q65">
        <v>65.63</v>
      </c>
      <c r="R65" t="s">
        <v>57</v>
      </c>
      <c r="S65">
        <v>1</v>
      </c>
      <c r="T65" t="b">
        <v>0</v>
      </c>
      <c r="U65" t="s">
        <v>30</v>
      </c>
      <c r="V65">
        <v>3</v>
      </c>
    </row>
    <row r="66" spans="1:22" x14ac:dyDescent="0.25">
      <c r="A66" t="s">
        <v>285</v>
      </c>
      <c r="B66" s="1">
        <v>44221</v>
      </c>
      <c r="C66" t="s">
        <v>286</v>
      </c>
      <c r="D66" t="s">
        <v>287</v>
      </c>
      <c r="E66">
        <v>49</v>
      </c>
      <c r="F66" t="str">
        <f>IF(Table1[[#This Row],[age]]&lt;=25,"18-25",IF(Table1[[#This Row],[age]]&lt;=35,"26-35",IF(Table1[[#This Row],[age]]&lt;=50,"36-50","51+")))</f>
        <v>36-50</v>
      </c>
      <c r="G66" t="s">
        <v>24</v>
      </c>
      <c r="H66" t="s">
        <v>55</v>
      </c>
      <c r="I66" t="s">
        <v>97</v>
      </c>
      <c r="J66" t="s">
        <v>27</v>
      </c>
      <c r="K66" t="s">
        <v>128</v>
      </c>
      <c r="L66">
        <v>4</v>
      </c>
      <c r="M66">
        <v>521.44000000000005</v>
      </c>
      <c r="N66">
        <v>0.14000000000000001</v>
      </c>
      <c r="O66">
        <v>1538.13</v>
      </c>
      <c r="P66">
        <v>492.45</v>
      </c>
      <c r="Q66">
        <v>50.42</v>
      </c>
      <c r="R66" t="s">
        <v>65</v>
      </c>
      <c r="S66">
        <v>1</v>
      </c>
      <c r="T66" t="b">
        <v>0</v>
      </c>
      <c r="U66" t="s">
        <v>193</v>
      </c>
      <c r="V66">
        <v>10</v>
      </c>
    </row>
    <row r="67" spans="1:22" x14ac:dyDescent="0.25">
      <c r="A67" t="s">
        <v>288</v>
      </c>
      <c r="B67" s="1">
        <v>45306</v>
      </c>
      <c r="C67" t="s">
        <v>289</v>
      </c>
      <c r="D67" t="s">
        <v>46</v>
      </c>
      <c r="E67">
        <v>41</v>
      </c>
      <c r="F67" t="str">
        <f>IF(Table1[[#This Row],[age]]&lt;=25,"18-25",IF(Table1[[#This Row],[age]]&lt;=35,"26-35",IF(Table1[[#This Row],[age]]&lt;=50,"36-50","51+")))</f>
        <v>36-50</v>
      </c>
      <c r="G67" t="s">
        <v>34</v>
      </c>
      <c r="H67" t="s">
        <v>55</v>
      </c>
      <c r="I67" t="s">
        <v>75</v>
      </c>
      <c r="J67" t="s">
        <v>63</v>
      </c>
      <c r="K67" t="s">
        <v>64</v>
      </c>
      <c r="L67">
        <v>6</v>
      </c>
      <c r="M67">
        <v>3871.22</v>
      </c>
      <c r="N67">
        <v>0.33</v>
      </c>
      <c r="O67">
        <v>16031.48</v>
      </c>
      <c r="P67">
        <v>5072.13</v>
      </c>
      <c r="Q67">
        <v>43.12</v>
      </c>
      <c r="R67" t="s">
        <v>29</v>
      </c>
      <c r="S67">
        <v>4</v>
      </c>
      <c r="T67" t="b">
        <v>0</v>
      </c>
      <c r="U67" t="s">
        <v>30</v>
      </c>
      <c r="V67">
        <v>3</v>
      </c>
    </row>
    <row r="68" spans="1:22" x14ac:dyDescent="0.25">
      <c r="A68" t="s">
        <v>290</v>
      </c>
      <c r="B68" s="1">
        <v>45070</v>
      </c>
      <c r="C68" t="s">
        <v>291</v>
      </c>
      <c r="D68" t="s">
        <v>292</v>
      </c>
      <c r="E68">
        <v>24</v>
      </c>
      <c r="F68" t="str">
        <f>IF(Table1[[#This Row],[age]]&lt;=25,"18-25",IF(Table1[[#This Row],[age]]&lt;=35,"26-35",IF(Table1[[#This Row],[age]]&lt;=50,"36-50","51+")))</f>
        <v>18-25</v>
      </c>
      <c r="G68" t="s">
        <v>34</v>
      </c>
      <c r="H68" t="s">
        <v>25</v>
      </c>
      <c r="I68" t="s">
        <v>26</v>
      </c>
      <c r="J68" t="s">
        <v>47</v>
      </c>
      <c r="K68" t="s">
        <v>48</v>
      </c>
      <c r="L68">
        <v>8</v>
      </c>
      <c r="M68">
        <v>579.77</v>
      </c>
      <c r="N68">
        <v>0.36</v>
      </c>
      <c r="O68">
        <v>3954.73</v>
      </c>
      <c r="P68">
        <v>2230.94</v>
      </c>
      <c r="Q68">
        <v>42.6</v>
      </c>
      <c r="R68" t="s">
        <v>29</v>
      </c>
      <c r="S68">
        <v>3</v>
      </c>
      <c r="T68" t="b">
        <v>0</v>
      </c>
      <c r="U68" t="s">
        <v>30</v>
      </c>
      <c r="V68">
        <v>7</v>
      </c>
    </row>
    <row r="69" spans="1:22" x14ac:dyDescent="0.25">
      <c r="A69" t="s">
        <v>293</v>
      </c>
      <c r="B69" s="1">
        <v>44290</v>
      </c>
      <c r="C69" t="s">
        <v>294</v>
      </c>
      <c r="D69" t="s">
        <v>85</v>
      </c>
      <c r="E69">
        <v>26</v>
      </c>
      <c r="F69" t="str">
        <f>IF(Table1[[#This Row],[age]]&lt;=25,"18-25",IF(Table1[[#This Row],[age]]&lt;=35,"26-35",IF(Table1[[#This Row],[age]]&lt;=50,"36-50","51+")))</f>
        <v>26-35</v>
      </c>
      <c r="G69" t="s">
        <v>24</v>
      </c>
      <c r="H69" t="s">
        <v>61</v>
      </c>
      <c r="I69" t="s">
        <v>62</v>
      </c>
      <c r="J69" t="s">
        <v>106</v>
      </c>
      <c r="K69" t="s">
        <v>107</v>
      </c>
      <c r="L69">
        <v>1</v>
      </c>
      <c r="M69">
        <v>116.68</v>
      </c>
      <c r="N69">
        <v>0.06</v>
      </c>
      <c r="O69">
        <v>118.23</v>
      </c>
      <c r="P69">
        <v>9.75</v>
      </c>
      <c r="Q69">
        <v>47.55</v>
      </c>
      <c r="R69" t="s">
        <v>57</v>
      </c>
      <c r="S69">
        <v>1</v>
      </c>
      <c r="T69" t="b">
        <v>0</v>
      </c>
      <c r="U69" t="s">
        <v>30</v>
      </c>
      <c r="V69">
        <v>8</v>
      </c>
    </row>
    <row r="70" spans="1:22" x14ac:dyDescent="0.25">
      <c r="A70" t="s">
        <v>295</v>
      </c>
      <c r="B70" s="1">
        <v>44322</v>
      </c>
      <c r="C70" t="s">
        <v>296</v>
      </c>
      <c r="D70" t="s">
        <v>297</v>
      </c>
      <c r="E70">
        <v>33</v>
      </c>
      <c r="F70" t="str">
        <f>IF(Table1[[#This Row],[age]]&lt;=25,"18-25",IF(Table1[[#This Row],[age]]&lt;=35,"26-35",IF(Table1[[#This Row],[age]]&lt;=50,"36-50","51+")))</f>
        <v>26-35</v>
      </c>
      <c r="G70" t="s">
        <v>34</v>
      </c>
      <c r="H70" t="s">
        <v>25</v>
      </c>
      <c r="I70" t="s">
        <v>298</v>
      </c>
      <c r="J70" t="s">
        <v>47</v>
      </c>
      <c r="K70" t="s">
        <v>272</v>
      </c>
      <c r="L70">
        <v>7</v>
      </c>
      <c r="M70">
        <v>1042.98</v>
      </c>
      <c r="N70">
        <v>0.3</v>
      </c>
      <c r="O70">
        <v>7120.16</v>
      </c>
      <c r="P70">
        <v>2589.16</v>
      </c>
      <c r="Q70">
        <v>61.15</v>
      </c>
      <c r="R70" t="s">
        <v>29</v>
      </c>
      <c r="S70">
        <v>2</v>
      </c>
      <c r="T70" t="b">
        <v>1</v>
      </c>
      <c r="U70" t="s">
        <v>50</v>
      </c>
      <c r="V70">
        <v>4</v>
      </c>
    </row>
    <row r="71" spans="1:22" x14ac:dyDescent="0.25">
      <c r="A71" t="s">
        <v>299</v>
      </c>
      <c r="B71" s="1">
        <v>45032</v>
      </c>
      <c r="C71" t="s">
        <v>300</v>
      </c>
      <c r="D71" t="s">
        <v>301</v>
      </c>
      <c r="E71">
        <v>36</v>
      </c>
      <c r="F71" t="str">
        <f>IF(Table1[[#This Row],[age]]&lt;=25,"18-25",IF(Table1[[#This Row],[age]]&lt;=35,"26-35",IF(Table1[[#This Row],[age]]&lt;=50,"36-50","51+")))</f>
        <v>36-50</v>
      </c>
      <c r="G71" t="s">
        <v>24</v>
      </c>
      <c r="H71" t="s">
        <v>25</v>
      </c>
      <c r="I71" t="s">
        <v>35</v>
      </c>
      <c r="J71" t="s">
        <v>115</v>
      </c>
      <c r="K71" t="s">
        <v>116</v>
      </c>
      <c r="L71">
        <v>8</v>
      </c>
      <c r="M71">
        <v>27632.84</v>
      </c>
      <c r="N71">
        <v>0.08</v>
      </c>
      <c r="O71">
        <v>295286.40999999997</v>
      </c>
      <c r="P71">
        <v>33436.120000000003</v>
      </c>
      <c r="Q71">
        <v>20.29</v>
      </c>
      <c r="R71" t="s">
        <v>92</v>
      </c>
      <c r="S71">
        <v>3</v>
      </c>
      <c r="T71" t="b">
        <v>0</v>
      </c>
      <c r="U71" t="s">
        <v>30</v>
      </c>
      <c r="V71">
        <v>7</v>
      </c>
    </row>
    <row r="72" spans="1:22" x14ac:dyDescent="0.25">
      <c r="A72" t="s">
        <v>302</v>
      </c>
      <c r="B72" s="1">
        <v>44324</v>
      </c>
      <c r="C72" t="s">
        <v>303</v>
      </c>
      <c r="D72" t="s">
        <v>304</v>
      </c>
      <c r="E72">
        <v>37</v>
      </c>
      <c r="F72" t="str">
        <f>IF(Table1[[#This Row],[age]]&lt;=25,"18-25",IF(Table1[[#This Row],[age]]&lt;=35,"26-35",IF(Table1[[#This Row],[age]]&lt;=50,"36-50","51+")))</f>
        <v>36-50</v>
      </c>
      <c r="G72" t="s">
        <v>34</v>
      </c>
      <c r="H72" t="s">
        <v>25</v>
      </c>
      <c r="I72" t="s">
        <v>26</v>
      </c>
      <c r="J72" t="s">
        <v>101</v>
      </c>
      <c r="K72" t="s">
        <v>214</v>
      </c>
      <c r="L72">
        <v>7</v>
      </c>
      <c r="M72">
        <v>11542.97</v>
      </c>
      <c r="N72">
        <v>0.16</v>
      </c>
      <c r="O72">
        <v>97177.38</v>
      </c>
      <c r="P72">
        <v>24424.83</v>
      </c>
      <c r="Q72">
        <v>53.27</v>
      </c>
      <c r="R72" t="s">
        <v>43</v>
      </c>
      <c r="S72">
        <v>1</v>
      </c>
      <c r="T72" t="b">
        <v>1</v>
      </c>
      <c r="U72" t="s">
        <v>50</v>
      </c>
      <c r="V72">
        <v>7</v>
      </c>
    </row>
    <row r="73" spans="1:22" x14ac:dyDescent="0.25">
      <c r="A73" t="s">
        <v>305</v>
      </c>
      <c r="B73" s="1">
        <v>44045</v>
      </c>
      <c r="C73" t="s">
        <v>306</v>
      </c>
      <c r="D73" t="s">
        <v>307</v>
      </c>
      <c r="E73">
        <v>34</v>
      </c>
      <c r="F73" t="str">
        <f>IF(Table1[[#This Row],[age]]&lt;=25,"18-25",IF(Table1[[#This Row],[age]]&lt;=35,"26-35",IF(Table1[[#This Row],[age]]&lt;=50,"36-50","51+")))</f>
        <v>26-35</v>
      </c>
      <c r="G73" t="s">
        <v>34</v>
      </c>
      <c r="H73" t="s">
        <v>25</v>
      </c>
      <c r="I73" t="s">
        <v>298</v>
      </c>
      <c r="J73" t="s">
        <v>47</v>
      </c>
      <c r="K73" t="s">
        <v>156</v>
      </c>
      <c r="L73">
        <v>8</v>
      </c>
      <c r="M73">
        <v>1325.02</v>
      </c>
      <c r="N73">
        <v>0.09</v>
      </c>
      <c r="O73">
        <v>8717.89</v>
      </c>
      <c r="P73">
        <v>3265.49</v>
      </c>
      <c r="Q73">
        <v>41.67</v>
      </c>
      <c r="R73" t="s">
        <v>29</v>
      </c>
      <c r="S73">
        <v>2</v>
      </c>
      <c r="T73" t="b">
        <v>0</v>
      </c>
      <c r="U73" t="s">
        <v>71</v>
      </c>
      <c r="V73">
        <v>5</v>
      </c>
    </row>
    <row r="74" spans="1:22" x14ac:dyDescent="0.25">
      <c r="A74" t="s">
        <v>308</v>
      </c>
      <c r="B74" s="1">
        <v>45078</v>
      </c>
      <c r="C74" t="s">
        <v>309</v>
      </c>
      <c r="D74" t="s">
        <v>310</v>
      </c>
      <c r="E74">
        <v>34</v>
      </c>
      <c r="F74" t="str">
        <f>IF(Table1[[#This Row],[age]]&lt;=25,"18-25",IF(Table1[[#This Row],[age]]&lt;=35,"26-35",IF(Table1[[#This Row],[age]]&lt;=50,"36-50","51+")))</f>
        <v>26-35</v>
      </c>
      <c r="G74" t="s">
        <v>24</v>
      </c>
      <c r="H74" t="s">
        <v>69</v>
      </c>
      <c r="I74" t="s">
        <v>136</v>
      </c>
      <c r="J74" t="s">
        <v>101</v>
      </c>
      <c r="K74" t="s">
        <v>102</v>
      </c>
      <c r="L74">
        <v>6</v>
      </c>
      <c r="M74">
        <v>5611.57</v>
      </c>
      <c r="N74">
        <v>0.2</v>
      </c>
      <c r="O74">
        <v>37888.42</v>
      </c>
      <c r="P74">
        <v>6107.6</v>
      </c>
      <c r="Q74">
        <v>97.42</v>
      </c>
      <c r="R74" t="s">
        <v>57</v>
      </c>
      <c r="S74">
        <v>5</v>
      </c>
      <c r="T74" t="b">
        <v>0</v>
      </c>
      <c r="U74" t="s">
        <v>30</v>
      </c>
      <c r="V74">
        <v>2</v>
      </c>
    </row>
    <row r="75" spans="1:22" x14ac:dyDescent="0.25">
      <c r="A75" t="s">
        <v>311</v>
      </c>
      <c r="B75" s="1">
        <v>45276</v>
      </c>
      <c r="C75" t="s">
        <v>312</v>
      </c>
      <c r="D75" t="s">
        <v>313</v>
      </c>
      <c r="E75">
        <v>45</v>
      </c>
      <c r="F75" t="str">
        <f>IF(Table1[[#This Row],[age]]&lt;=25,"18-25",IF(Table1[[#This Row],[age]]&lt;=35,"26-35",IF(Table1[[#This Row],[age]]&lt;=50,"36-50","51+")))</f>
        <v>36-50</v>
      </c>
      <c r="G75" t="s">
        <v>54</v>
      </c>
      <c r="H75" t="s">
        <v>55</v>
      </c>
      <c r="I75" t="s">
        <v>75</v>
      </c>
      <c r="J75" t="s">
        <v>106</v>
      </c>
      <c r="K75" t="s">
        <v>314</v>
      </c>
      <c r="L75">
        <v>9</v>
      </c>
      <c r="M75">
        <v>312.52999999999997</v>
      </c>
      <c r="N75">
        <v>0.35</v>
      </c>
      <c r="O75">
        <v>1437</v>
      </c>
      <c r="P75">
        <v>155.72999999999999</v>
      </c>
      <c r="Q75">
        <v>48.28</v>
      </c>
      <c r="R75" t="s">
        <v>49</v>
      </c>
      <c r="S75">
        <v>4</v>
      </c>
      <c r="T75" t="b">
        <v>0</v>
      </c>
      <c r="U75" t="s">
        <v>93</v>
      </c>
      <c r="V75">
        <v>5</v>
      </c>
    </row>
    <row r="76" spans="1:22" x14ac:dyDescent="0.25">
      <c r="A76" t="s">
        <v>315</v>
      </c>
      <c r="B76" s="1">
        <v>45647</v>
      </c>
      <c r="C76" t="s">
        <v>316</v>
      </c>
      <c r="D76" t="s">
        <v>317</v>
      </c>
      <c r="E76">
        <v>49</v>
      </c>
      <c r="F76" t="str">
        <f>IF(Table1[[#This Row],[age]]&lt;=25,"18-25",IF(Table1[[#This Row],[age]]&lt;=35,"26-35",IF(Table1[[#This Row],[age]]&lt;=50,"36-50","51+")))</f>
        <v>36-50</v>
      </c>
      <c r="G76" t="s">
        <v>54</v>
      </c>
      <c r="H76" t="s">
        <v>80</v>
      </c>
      <c r="I76" t="s">
        <v>81</v>
      </c>
      <c r="J76" t="s">
        <v>101</v>
      </c>
      <c r="K76" t="s">
        <v>318</v>
      </c>
      <c r="L76">
        <v>2</v>
      </c>
      <c r="M76">
        <v>13057.02</v>
      </c>
      <c r="N76">
        <v>0.35</v>
      </c>
      <c r="O76">
        <v>14206.67</v>
      </c>
      <c r="P76">
        <v>3578.76</v>
      </c>
      <c r="Q76">
        <v>69.31</v>
      </c>
      <c r="R76" t="s">
        <v>57</v>
      </c>
      <c r="S76">
        <v>5</v>
      </c>
      <c r="T76" t="b">
        <v>0</v>
      </c>
      <c r="U76" t="s">
        <v>30</v>
      </c>
      <c r="V76">
        <v>10</v>
      </c>
    </row>
    <row r="77" spans="1:22" x14ac:dyDescent="0.25">
      <c r="A77" t="s">
        <v>319</v>
      </c>
      <c r="B77" s="1">
        <v>45047</v>
      </c>
      <c r="C77" t="s">
        <v>320</v>
      </c>
      <c r="D77" t="s">
        <v>321</v>
      </c>
      <c r="E77">
        <v>31</v>
      </c>
      <c r="F77" t="str">
        <f>IF(Table1[[#This Row],[age]]&lt;=25,"18-25",IF(Table1[[#This Row],[age]]&lt;=35,"26-35",IF(Table1[[#This Row],[age]]&lt;=50,"36-50","51+")))</f>
        <v>26-35</v>
      </c>
      <c r="G77" t="s">
        <v>24</v>
      </c>
      <c r="H77" t="s">
        <v>80</v>
      </c>
      <c r="I77" t="s">
        <v>236</v>
      </c>
      <c r="J77" t="s">
        <v>63</v>
      </c>
      <c r="K77" t="s">
        <v>64</v>
      </c>
      <c r="L77">
        <v>7</v>
      </c>
      <c r="M77">
        <v>3482.32</v>
      </c>
      <c r="N77">
        <v>0.35</v>
      </c>
      <c r="O77">
        <v>26908.32</v>
      </c>
      <c r="P77">
        <v>8716.81</v>
      </c>
      <c r="Q77">
        <v>68.92</v>
      </c>
      <c r="R77" t="s">
        <v>65</v>
      </c>
      <c r="S77">
        <v>4</v>
      </c>
      <c r="T77" t="b">
        <v>0</v>
      </c>
      <c r="U77" t="s">
        <v>30</v>
      </c>
      <c r="V77">
        <v>7</v>
      </c>
    </row>
    <row r="78" spans="1:22" x14ac:dyDescent="0.25">
      <c r="A78" t="s">
        <v>322</v>
      </c>
      <c r="B78" s="1">
        <v>44244</v>
      </c>
      <c r="C78" t="s">
        <v>323</v>
      </c>
      <c r="D78" t="s">
        <v>324</v>
      </c>
      <c r="E78">
        <v>48</v>
      </c>
      <c r="F78" t="str">
        <f>IF(Table1[[#This Row],[age]]&lt;=25,"18-25",IF(Table1[[#This Row],[age]]&lt;=35,"26-35",IF(Table1[[#This Row],[age]]&lt;=50,"36-50","51+")))</f>
        <v>36-50</v>
      </c>
      <c r="G78" t="s">
        <v>24</v>
      </c>
      <c r="H78" t="s">
        <v>55</v>
      </c>
      <c r="I78" t="s">
        <v>114</v>
      </c>
      <c r="J78" t="s">
        <v>101</v>
      </c>
      <c r="K78" t="s">
        <v>214</v>
      </c>
      <c r="L78">
        <v>3</v>
      </c>
      <c r="M78">
        <v>11359.59</v>
      </c>
      <c r="N78">
        <v>0.01</v>
      </c>
      <c r="O78">
        <v>30752.81</v>
      </c>
      <c r="P78">
        <v>7374.96</v>
      </c>
      <c r="Q78">
        <v>41.65</v>
      </c>
      <c r="R78" t="s">
        <v>29</v>
      </c>
      <c r="S78">
        <v>1</v>
      </c>
      <c r="T78" t="b">
        <v>0</v>
      </c>
      <c r="U78" t="s">
        <v>30</v>
      </c>
      <c r="V78">
        <v>8</v>
      </c>
    </row>
    <row r="79" spans="1:22" x14ac:dyDescent="0.25">
      <c r="A79" t="s">
        <v>325</v>
      </c>
      <c r="B79" s="1">
        <v>44175</v>
      </c>
      <c r="C79" t="s">
        <v>326</v>
      </c>
      <c r="D79" t="s">
        <v>327</v>
      </c>
      <c r="E79">
        <v>28</v>
      </c>
      <c r="F79" t="str">
        <f>IF(Table1[[#This Row],[age]]&lt;=25,"18-25",IF(Table1[[#This Row],[age]]&lt;=35,"26-35",IF(Table1[[#This Row],[age]]&lt;=50,"36-50","51+")))</f>
        <v>26-35</v>
      </c>
      <c r="G79" t="s">
        <v>34</v>
      </c>
      <c r="H79" t="s">
        <v>55</v>
      </c>
      <c r="I79" t="s">
        <v>97</v>
      </c>
      <c r="J79" t="s">
        <v>101</v>
      </c>
      <c r="K79" t="s">
        <v>164</v>
      </c>
      <c r="L79">
        <v>5</v>
      </c>
      <c r="M79">
        <v>5242.7700000000004</v>
      </c>
      <c r="N79">
        <v>0.31</v>
      </c>
      <c r="O79">
        <v>13993.35</v>
      </c>
      <c r="P79">
        <v>2992.91</v>
      </c>
      <c r="Q79">
        <v>74.58</v>
      </c>
      <c r="R79" t="s">
        <v>43</v>
      </c>
      <c r="S79">
        <v>1</v>
      </c>
      <c r="T79" t="b">
        <v>1</v>
      </c>
      <c r="U79" t="s">
        <v>50</v>
      </c>
      <c r="V79">
        <v>5</v>
      </c>
    </row>
    <row r="80" spans="1:22" x14ac:dyDescent="0.25">
      <c r="A80" t="s">
        <v>328</v>
      </c>
      <c r="B80" s="1">
        <v>44193</v>
      </c>
      <c r="C80" t="s">
        <v>329</v>
      </c>
      <c r="D80" t="s">
        <v>330</v>
      </c>
      <c r="E80">
        <v>37</v>
      </c>
      <c r="F80" t="str">
        <f>IF(Table1[[#This Row],[age]]&lt;=25,"18-25",IF(Table1[[#This Row],[age]]&lt;=35,"26-35",IF(Table1[[#This Row],[age]]&lt;=50,"36-50","51+")))</f>
        <v>36-50</v>
      </c>
      <c r="G80" t="s">
        <v>34</v>
      </c>
      <c r="H80" t="s">
        <v>80</v>
      </c>
      <c r="I80" t="s">
        <v>81</v>
      </c>
      <c r="J80" t="s">
        <v>106</v>
      </c>
      <c r="K80" t="s">
        <v>331</v>
      </c>
      <c r="L80">
        <v>8</v>
      </c>
      <c r="M80">
        <v>491.76</v>
      </c>
      <c r="N80">
        <v>0.08</v>
      </c>
      <c r="O80">
        <v>2780.1</v>
      </c>
      <c r="P80">
        <v>223.65</v>
      </c>
      <c r="Q80">
        <v>61.84</v>
      </c>
      <c r="R80" t="s">
        <v>65</v>
      </c>
      <c r="S80">
        <v>2</v>
      </c>
      <c r="T80" t="b">
        <v>0</v>
      </c>
      <c r="U80" t="s">
        <v>30</v>
      </c>
      <c r="V80">
        <v>4</v>
      </c>
    </row>
    <row r="81" spans="1:22" x14ac:dyDescent="0.25">
      <c r="A81" t="s">
        <v>332</v>
      </c>
      <c r="B81" s="1">
        <v>44667</v>
      </c>
      <c r="C81" t="s">
        <v>333</v>
      </c>
      <c r="D81" t="s">
        <v>334</v>
      </c>
      <c r="E81">
        <v>42</v>
      </c>
      <c r="F81" t="str">
        <f>IF(Table1[[#This Row],[age]]&lt;=25,"18-25",IF(Table1[[#This Row],[age]]&lt;=35,"26-35",IF(Table1[[#This Row],[age]]&lt;=50,"36-50","51+")))</f>
        <v>36-50</v>
      </c>
      <c r="G81" t="s">
        <v>24</v>
      </c>
      <c r="H81" t="s">
        <v>69</v>
      </c>
      <c r="I81" t="s">
        <v>181</v>
      </c>
      <c r="J81" t="s">
        <v>27</v>
      </c>
      <c r="K81" t="s">
        <v>335</v>
      </c>
      <c r="L81">
        <v>7</v>
      </c>
      <c r="M81">
        <v>2235.02</v>
      </c>
      <c r="N81">
        <v>0.37</v>
      </c>
      <c r="O81">
        <v>11756.21</v>
      </c>
      <c r="P81">
        <v>7295.66</v>
      </c>
      <c r="Q81">
        <v>68.83</v>
      </c>
      <c r="R81" t="s">
        <v>65</v>
      </c>
      <c r="S81">
        <v>1</v>
      </c>
      <c r="T81" t="b">
        <v>1</v>
      </c>
      <c r="U81" t="s">
        <v>50</v>
      </c>
      <c r="V81">
        <v>8</v>
      </c>
    </row>
    <row r="82" spans="1:22" x14ac:dyDescent="0.25">
      <c r="A82" t="s">
        <v>336</v>
      </c>
      <c r="B82" s="1">
        <v>45616</v>
      </c>
      <c r="C82" t="s">
        <v>337</v>
      </c>
      <c r="D82" t="s">
        <v>338</v>
      </c>
      <c r="E82">
        <v>27</v>
      </c>
      <c r="F82" t="str">
        <f>IF(Table1[[#This Row],[age]]&lt;=25,"18-25",IF(Table1[[#This Row],[age]]&lt;=35,"26-35",IF(Table1[[#This Row],[age]]&lt;=50,"36-50","51+")))</f>
        <v>26-35</v>
      </c>
      <c r="G82" t="s">
        <v>34</v>
      </c>
      <c r="H82" t="s">
        <v>69</v>
      </c>
      <c r="I82" t="s">
        <v>136</v>
      </c>
      <c r="J82" t="s">
        <v>47</v>
      </c>
      <c r="K82" t="s">
        <v>120</v>
      </c>
      <c r="L82">
        <v>9</v>
      </c>
      <c r="M82">
        <v>1324.57</v>
      </c>
      <c r="N82">
        <v>0.38</v>
      </c>
      <c r="O82">
        <v>7683.45</v>
      </c>
      <c r="P82">
        <v>2086.59</v>
      </c>
      <c r="Q82">
        <v>82.14</v>
      </c>
      <c r="R82" t="s">
        <v>65</v>
      </c>
      <c r="S82">
        <v>4</v>
      </c>
      <c r="T82" t="b">
        <v>0</v>
      </c>
      <c r="U82" t="s">
        <v>30</v>
      </c>
      <c r="V82">
        <v>4</v>
      </c>
    </row>
    <row r="83" spans="1:22" x14ac:dyDescent="0.25">
      <c r="A83" t="s">
        <v>339</v>
      </c>
      <c r="B83" s="1">
        <v>44796</v>
      </c>
      <c r="C83" t="s">
        <v>340</v>
      </c>
      <c r="D83" t="s">
        <v>184</v>
      </c>
      <c r="E83">
        <v>34</v>
      </c>
      <c r="F83" t="str">
        <f>IF(Table1[[#This Row],[age]]&lt;=25,"18-25",IF(Table1[[#This Row],[age]]&lt;=35,"26-35",IF(Table1[[#This Row],[age]]&lt;=50,"36-50","51+")))</f>
        <v>26-35</v>
      </c>
      <c r="G83" t="s">
        <v>24</v>
      </c>
      <c r="H83" t="s">
        <v>69</v>
      </c>
      <c r="I83" t="s">
        <v>221</v>
      </c>
      <c r="J83" t="s">
        <v>115</v>
      </c>
      <c r="K83" t="s">
        <v>137</v>
      </c>
      <c r="L83">
        <v>6</v>
      </c>
      <c r="M83">
        <v>45624.04</v>
      </c>
      <c r="N83">
        <v>0.24</v>
      </c>
      <c r="O83">
        <v>274607.48</v>
      </c>
      <c r="P83">
        <v>23542.83</v>
      </c>
      <c r="Q83">
        <v>97.97</v>
      </c>
      <c r="R83" t="s">
        <v>65</v>
      </c>
      <c r="S83">
        <v>4</v>
      </c>
      <c r="T83" t="b">
        <v>0</v>
      </c>
      <c r="U83" t="s">
        <v>30</v>
      </c>
      <c r="V83">
        <v>7</v>
      </c>
    </row>
    <row r="84" spans="1:22" x14ac:dyDescent="0.25">
      <c r="A84" t="s">
        <v>341</v>
      </c>
      <c r="B84" s="1">
        <v>45065</v>
      </c>
      <c r="C84" t="s">
        <v>342</v>
      </c>
      <c r="D84" t="s">
        <v>343</v>
      </c>
      <c r="E84">
        <v>37</v>
      </c>
      <c r="F84" t="str">
        <f>IF(Table1[[#This Row],[age]]&lt;=25,"18-25",IF(Table1[[#This Row],[age]]&lt;=35,"26-35",IF(Table1[[#This Row],[age]]&lt;=50,"36-50","51+")))</f>
        <v>36-50</v>
      </c>
      <c r="G84" t="s">
        <v>54</v>
      </c>
      <c r="H84" t="s">
        <v>55</v>
      </c>
      <c r="I84" t="s">
        <v>56</v>
      </c>
      <c r="J84" t="s">
        <v>36</v>
      </c>
      <c r="K84" t="s">
        <v>132</v>
      </c>
      <c r="L84">
        <v>10</v>
      </c>
      <c r="M84">
        <v>7630.7</v>
      </c>
      <c r="N84">
        <v>0.21</v>
      </c>
      <c r="O84">
        <v>99978.26</v>
      </c>
      <c r="P84">
        <v>21558.18</v>
      </c>
      <c r="Q84">
        <v>46.42</v>
      </c>
      <c r="R84" t="s">
        <v>49</v>
      </c>
      <c r="S84">
        <v>5</v>
      </c>
      <c r="T84" t="b">
        <v>0</v>
      </c>
      <c r="U84" t="s">
        <v>71</v>
      </c>
      <c r="V84">
        <v>8</v>
      </c>
    </row>
    <row r="85" spans="1:22" x14ac:dyDescent="0.25">
      <c r="A85" t="s">
        <v>344</v>
      </c>
      <c r="B85" s="1">
        <v>44009</v>
      </c>
      <c r="C85" t="s">
        <v>345</v>
      </c>
      <c r="D85" t="s">
        <v>346</v>
      </c>
      <c r="E85">
        <v>46</v>
      </c>
      <c r="F85" t="str">
        <f>IF(Table1[[#This Row],[age]]&lt;=25,"18-25",IF(Table1[[#This Row],[age]]&lt;=35,"26-35",IF(Table1[[#This Row],[age]]&lt;=50,"36-50","51+")))</f>
        <v>36-50</v>
      </c>
      <c r="G85" t="s">
        <v>54</v>
      </c>
      <c r="H85" t="s">
        <v>69</v>
      </c>
      <c r="I85" t="s">
        <v>181</v>
      </c>
      <c r="J85" t="s">
        <v>101</v>
      </c>
      <c r="K85" t="s">
        <v>124</v>
      </c>
      <c r="L85">
        <v>1</v>
      </c>
      <c r="M85">
        <v>4889.3</v>
      </c>
      <c r="N85">
        <v>0.16</v>
      </c>
      <c r="O85">
        <v>5849.95</v>
      </c>
      <c r="P85">
        <v>1406.77</v>
      </c>
      <c r="Q85">
        <v>63.96</v>
      </c>
      <c r="R85" t="s">
        <v>92</v>
      </c>
      <c r="S85">
        <v>1</v>
      </c>
      <c r="T85" t="b">
        <v>0</v>
      </c>
      <c r="U85" t="s">
        <v>30</v>
      </c>
      <c r="V85">
        <v>6</v>
      </c>
    </row>
    <row r="86" spans="1:22" x14ac:dyDescent="0.25">
      <c r="A86" t="s">
        <v>347</v>
      </c>
      <c r="B86" s="1">
        <v>44064</v>
      </c>
      <c r="C86" t="s">
        <v>348</v>
      </c>
      <c r="D86" t="s">
        <v>349</v>
      </c>
      <c r="E86">
        <v>56</v>
      </c>
      <c r="F86" t="str">
        <f>IF(Table1[[#This Row],[age]]&lt;=25,"18-25",IF(Table1[[#This Row],[age]]&lt;=35,"26-35",IF(Table1[[#This Row],[age]]&lt;=50,"36-50","51+")))</f>
        <v>51+</v>
      </c>
      <c r="G86" t="s">
        <v>24</v>
      </c>
      <c r="H86" t="s">
        <v>69</v>
      </c>
      <c r="I86" t="s">
        <v>181</v>
      </c>
      <c r="J86" t="s">
        <v>63</v>
      </c>
      <c r="K86" t="s">
        <v>82</v>
      </c>
      <c r="L86">
        <v>5</v>
      </c>
      <c r="M86">
        <v>2614.79</v>
      </c>
      <c r="N86">
        <v>0.12</v>
      </c>
      <c r="O86">
        <v>12884.93</v>
      </c>
      <c r="P86">
        <v>2796.07</v>
      </c>
      <c r="Q86">
        <v>55.45</v>
      </c>
      <c r="R86" t="s">
        <v>57</v>
      </c>
      <c r="S86">
        <v>4</v>
      </c>
      <c r="T86" t="b">
        <v>1</v>
      </c>
      <c r="U86" t="s">
        <v>50</v>
      </c>
      <c r="V86">
        <v>9</v>
      </c>
    </row>
    <row r="87" spans="1:22" x14ac:dyDescent="0.25">
      <c r="A87" t="s">
        <v>350</v>
      </c>
      <c r="B87" s="1">
        <v>43948</v>
      </c>
      <c r="C87" t="s">
        <v>351</v>
      </c>
      <c r="D87" t="s">
        <v>352</v>
      </c>
      <c r="E87">
        <v>32</v>
      </c>
      <c r="F87" t="str">
        <f>IF(Table1[[#This Row],[age]]&lt;=25,"18-25",IF(Table1[[#This Row],[age]]&lt;=35,"26-35",IF(Table1[[#This Row],[age]]&lt;=50,"36-50","51+")))</f>
        <v>26-35</v>
      </c>
      <c r="G87" t="s">
        <v>54</v>
      </c>
      <c r="H87" t="s">
        <v>25</v>
      </c>
      <c r="I87" t="s">
        <v>26</v>
      </c>
      <c r="J87" t="s">
        <v>47</v>
      </c>
      <c r="K87" t="s">
        <v>156</v>
      </c>
      <c r="L87">
        <v>7</v>
      </c>
      <c r="M87">
        <v>257.18</v>
      </c>
      <c r="N87">
        <v>0.28999999999999998</v>
      </c>
      <c r="O87">
        <v>1452.88</v>
      </c>
      <c r="P87">
        <v>604.80999999999995</v>
      </c>
      <c r="Q87">
        <v>60.36</v>
      </c>
      <c r="R87" t="s">
        <v>57</v>
      </c>
      <c r="S87">
        <v>1</v>
      </c>
      <c r="T87" t="b">
        <v>0</v>
      </c>
      <c r="U87" t="s">
        <v>71</v>
      </c>
      <c r="V87">
        <v>5</v>
      </c>
    </row>
    <row r="88" spans="1:22" x14ac:dyDescent="0.25">
      <c r="A88" t="s">
        <v>353</v>
      </c>
      <c r="B88" s="1">
        <v>44260</v>
      </c>
      <c r="C88" t="s">
        <v>354</v>
      </c>
      <c r="D88" t="s">
        <v>281</v>
      </c>
      <c r="E88">
        <v>47</v>
      </c>
      <c r="F88" t="str">
        <f>IF(Table1[[#This Row],[age]]&lt;=25,"18-25",IF(Table1[[#This Row],[age]]&lt;=35,"26-35",IF(Table1[[#This Row],[age]]&lt;=50,"36-50","51+")))</f>
        <v>36-50</v>
      </c>
      <c r="G88" t="s">
        <v>54</v>
      </c>
      <c r="H88" t="s">
        <v>61</v>
      </c>
      <c r="I88" t="s">
        <v>62</v>
      </c>
      <c r="J88" t="s">
        <v>36</v>
      </c>
      <c r="K88" t="s">
        <v>243</v>
      </c>
      <c r="L88">
        <v>6</v>
      </c>
      <c r="M88">
        <v>29194.28</v>
      </c>
      <c r="N88">
        <v>0.36</v>
      </c>
      <c r="O88">
        <v>144911.63</v>
      </c>
      <c r="P88">
        <v>54404.2</v>
      </c>
      <c r="Q88">
        <v>64.14</v>
      </c>
      <c r="R88" t="s">
        <v>57</v>
      </c>
      <c r="S88">
        <v>3</v>
      </c>
      <c r="T88" t="b">
        <v>0</v>
      </c>
      <c r="U88" t="s">
        <v>30</v>
      </c>
      <c r="V88">
        <v>9</v>
      </c>
    </row>
    <row r="89" spans="1:22" x14ac:dyDescent="0.25">
      <c r="A89" t="s">
        <v>355</v>
      </c>
      <c r="B89" s="1">
        <v>45591</v>
      </c>
      <c r="C89" t="s">
        <v>356</v>
      </c>
      <c r="D89" t="s">
        <v>131</v>
      </c>
      <c r="E89">
        <v>42</v>
      </c>
      <c r="F89" t="str">
        <f>IF(Table1[[#This Row],[age]]&lt;=25,"18-25",IF(Table1[[#This Row],[age]]&lt;=35,"26-35",IF(Table1[[#This Row],[age]]&lt;=50,"36-50","51+")))</f>
        <v>36-50</v>
      </c>
      <c r="G89" t="s">
        <v>34</v>
      </c>
      <c r="H89" t="s">
        <v>25</v>
      </c>
      <c r="I89" t="s">
        <v>41</v>
      </c>
      <c r="J89" t="s">
        <v>36</v>
      </c>
      <c r="K89" t="s">
        <v>37</v>
      </c>
      <c r="L89">
        <v>4</v>
      </c>
      <c r="M89">
        <v>10887.68</v>
      </c>
      <c r="N89">
        <v>0.14000000000000001</v>
      </c>
      <c r="O89">
        <v>46926.73</v>
      </c>
      <c r="P89">
        <v>14349.22</v>
      </c>
      <c r="Q89">
        <v>57.18</v>
      </c>
      <c r="R89" t="s">
        <v>43</v>
      </c>
      <c r="S89">
        <v>3</v>
      </c>
      <c r="T89" t="b">
        <v>0</v>
      </c>
      <c r="U89" t="s">
        <v>30</v>
      </c>
      <c r="V89">
        <v>6</v>
      </c>
    </row>
    <row r="90" spans="1:22" x14ac:dyDescent="0.25">
      <c r="A90" t="s">
        <v>357</v>
      </c>
      <c r="B90" s="1">
        <v>44713</v>
      </c>
      <c r="C90" t="s">
        <v>358</v>
      </c>
      <c r="D90" t="s">
        <v>174</v>
      </c>
      <c r="E90">
        <v>36</v>
      </c>
      <c r="F90" t="str">
        <f>IF(Table1[[#This Row],[age]]&lt;=25,"18-25",IF(Table1[[#This Row],[age]]&lt;=35,"26-35",IF(Table1[[#This Row],[age]]&lt;=50,"36-50","51+")))</f>
        <v>36-50</v>
      </c>
      <c r="G90" t="s">
        <v>24</v>
      </c>
      <c r="H90" t="s">
        <v>61</v>
      </c>
      <c r="I90" t="s">
        <v>141</v>
      </c>
      <c r="J90" t="s">
        <v>63</v>
      </c>
      <c r="K90" t="s">
        <v>64</v>
      </c>
      <c r="L90">
        <v>5</v>
      </c>
      <c r="M90">
        <v>451.03</v>
      </c>
      <c r="N90">
        <v>0.19</v>
      </c>
      <c r="O90">
        <v>2632.07</v>
      </c>
      <c r="P90">
        <v>1165.8900000000001</v>
      </c>
      <c r="Q90">
        <v>23.32</v>
      </c>
      <c r="R90" t="s">
        <v>92</v>
      </c>
      <c r="S90">
        <v>5</v>
      </c>
      <c r="T90" t="b">
        <v>0</v>
      </c>
      <c r="U90" t="s">
        <v>30</v>
      </c>
      <c r="V90">
        <v>10</v>
      </c>
    </row>
    <row r="91" spans="1:22" x14ac:dyDescent="0.25">
      <c r="A91" t="s">
        <v>359</v>
      </c>
      <c r="B91" s="1">
        <v>44539</v>
      </c>
      <c r="C91" t="s">
        <v>360</v>
      </c>
      <c r="D91" t="s">
        <v>361</v>
      </c>
      <c r="E91">
        <v>36</v>
      </c>
      <c r="F91" t="str">
        <f>IF(Table1[[#This Row],[age]]&lt;=25,"18-25",IF(Table1[[#This Row],[age]]&lt;=35,"26-35",IF(Table1[[#This Row],[age]]&lt;=50,"36-50","51+")))</f>
        <v>36-50</v>
      </c>
      <c r="G91" t="s">
        <v>54</v>
      </c>
      <c r="H91" t="s">
        <v>61</v>
      </c>
      <c r="I91" t="s">
        <v>91</v>
      </c>
      <c r="J91" t="s">
        <v>47</v>
      </c>
      <c r="K91" t="s">
        <v>48</v>
      </c>
      <c r="L91">
        <v>3</v>
      </c>
      <c r="M91">
        <v>586.88</v>
      </c>
      <c r="N91">
        <v>0.33</v>
      </c>
      <c r="O91">
        <v>916.67</v>
      </c>
      <c r="P91">
        <v>373.51</v>
      </c>
      <c r="Q91">
        <v>36.450000000000003</v>
      </c>
      <c r="R91" t="s">
        <v>43</v>
      </c>
      <c r="S91">
        <v>4</v>
      </c>
      <c r="T91" t="b">
        <v>0</v>
      </c>
      <c r="U91" t="s">
        <v>30</v>
      </c>
      <c r="V91">
        <v>1</v>
      </c>
    </row>
    <row r="92" spans="1:22" x14ac:dyDescent="0.25">
      <c r="A92" t="s">
        <v>362</v>
      </c>
      <c r="B92" s="1">
        <v>44295</v>
      </c>
      <c r="C92" t="s">
        <v>363</v>
      </c>
      <c r="D92" t="s">
        <v>364</v>
      </c>
      <c r="E92">
        <v>24</v>
      </c>
      <c r="F92" t="str">
        <f>IF(Table1[[#This Row],[age]]&lt;=25,"18-25",IF(Table1[[#This Row],[age]]&lt;=35,"26-35",IF(Table1[[#This Row],[age]]&lt;=50,"36-50","51+")))</f>
        <v>18-25</v>
      </c>
      <c r="G92" t="s">
        <v>34</v>
      </c>
      <c r="H92" t="s">
        <v>80</v>
      </c>
      <c r="I92" t="s">
        <v>242</v>
      </c>
      <c r="J92" t="s">
        <v>101</v>
      </c>
      <c r="K92" t="s">
        <v>102</v>
      </c>
      <c r="L92">
        <v>10</v>
      </c>
      <c r="M92">
        <v>6806.6</v>
      </c>
      <c r="N92">
        <v>0.36</v>
      </c>
      <c r="O92">
        <v>39614.949999999997</v>
      </c>
      <c r="P92">
        <v>7458.02</v>
      </c>
      <c r="Q92">
        <v>66.290000000000006</v>
      </c>
      <c r="R92" t="s">
        <v>57</v>
      </c>
      <c r="S92">
        <v>5</v>
      </c>
      <c r="T92" t="b">
        <v>0</v>
      </c>
      <c r="U92" t="s">
        <v>30</v>
      </c>
      <c r="V92">
        <v>7</v>
      </c>
    </row>
    <row r="93" spans="1:22" x14ac:dyDescent="0.25">
      <c r="A93" t="s">
        <v>365</v>
      </c>
      <c r="B93" s="1">
        <v>44703</v>
      </c>
      <c r="C93" t="s">
        <v>366</v>
      </c>
      <c r="D93" t="s">
        <v>367</v>
      </c>
      <c r="E93">
        <v>22</v>
      </c>
      <c r="F93" t="str">
        <f>IF(Table1[[#This Row],[age]]&lt;=25,"18-25",IF(Table1[[#This Row],[age]]&lt;=35,"26-35",IF(Table1[[#This Row],[age]]&lt;=50,"36-50","51+")))</f>
        <v>18-25</v>
      </c>
      <c r="G93" t="s">
        <v>24</v>
      </c>
      <c r="H93" t="s">
        <v>25</v>
      </c>
      <c r="I93" t="s">
        <v>41</v>
      </c>
      <c r="J93" t="s">
        <v>115</v>
      </c>
      <c r="K93" t="s">
        <v>137</v>
      </c>
      <c r="L93">
        <v>2</v>
      </c>
      <c r="M93">
        <v>72469.02</v>
      </c>
      <c r="N93">
        <v>0.38</v>
      </c>
      <c r="O93">
        <v>127833.79</v>
      </c>
      <c r="P93">
        <v>12280.09</v>
      </c>
      <c r="Q93">
        <v>49.21</v>
      </c>
      <c r="R93" t="s">
        <v>92</v>
      </c>
      <c r="S93">
        <v>4</v>
      </c>
      <c r="T93" t="b">
        <v>0</v>
      </c>
      <c r="U93" t="s">
        <v>71</v>
      </c>
      <c r="V93">
        <v>1</v>
      </c>
    </row>
    <row r="94" spans="1:22" x14ac:dyDescent="0.25">
      <c r="A94" t="s">
        <v>368</v>
      </c>
      <c r="B94" s="1">
        <v>45297</v>
      </c>
      <c r="C94" t="s">
        <v>369</v>
      </c>
      <c r="D94" t="s">
        <v>370</v>
      </c>
      <c r="E94">
        <v>20</v>
      </c>
      <c r="F94" t="str">
        <f>IF(Table1[[#This Row],[age]]&lt;=25,"18-25",IF(Table1[[#This Row],[age]]&lt;=35,"26-35",IF(Table1[[#This Row],[age]]&lt;=50,"36-50","51+")))</f>
        <v>18-25</v>
      </c>
      <c r="G94" t="s">
        <v>34</v>
      </c>
      <c r="H94" t="s">
        <v>25</v>
      </c>
      <c r="I94" t="s">
        <v>298</v>
      </c>
      <c r="J94" t="s">
        <v>115</v>
      </c>
      <c r="K94" t="s">
        <v>116</v>
      </c>
      <c r="L94">
        <v>3</v>
      </c>
      <c r="M94">
        <v>42514.99</v>
      </c>
      <c r="N94">
        <v>0.06</v>
      </c>
      <c r="O94">
        <v>111205.03</v>
      </c>
      <c r="P94">
        <v>13533.76</v>
      </c>
      <c r="Q94">
        <v>59.07</v>
      </c>
      <c r="R94" t="s">
        <v>43</v>
      </c>
      <c r="S94">
        <v>5</v>
      </c>
      <c r="T94" t="b">
        <v>0</v>
      </c>
      <c r="U94" t="s">
        <v>71</v>
      </c>
      <c r="V94">
        <v>5</v>
      </c>
    </row>
    <row r="95" spans="1:22" x14ac:dyDescent="0.25">
      <c r="A95" t="s">
        <v>371</v>
      </c>
      <c r="B95" s="1">
        <v>44672</v>
      </c>
      <c r="C95" t="s">
        <v>372</v>
      </c>
      <c r="D95" t="s">
        <v>171</v>
      </c>
      <c r="E95">
        <v>35</v>
      </c>
      <c r="F95" t="str">
        <f>IF(Table1[[#This Row],[age]]&lt;=25,"18-25",IF(Table1[[#This Row],[age]]&lt;=35,"26-35",IF(Table1[[#This Row],[age]]&lt;=50,"36-50","51+")))</f>
        <v>26-35</v>
      </c>
      <c r="G95" t="s">
        <v>54</v>
      </c>
      <c r="H95" t="s">
        <v>25</v>
      </c>
      <c r="I95" t="s">
        <v>298</v>
      </c>
      <c r="J95" t="s">
        <v>47</v>
      </c>
      <c r="K95" t="s">
        <v>156</v>
      </c>
      <c r="L95">
        <v>5</v>
      </c>
      <c r="M95">
        <v>540.77</v>
      </c>
      <c r="N95">
        <v>0.28000000000000003</v>
      </c>
      <c r="O95">
        <v>2814.83</v>
      </c>
      <c r="P95">
        <v>1625.95</v>
      </c>
      <c r="Q95">
        <v>54.23</v>
      </c>
      <c r="R95" t="s">
        <v>43</v>
      </c>
      <c r="S95">
        <v>5</v>
      </c>
      <c r="T95" t="b">
        <v>0</v>
      </c>
      <c r="U95" t="s">
        <v>30</v>
      </c>
      <c r="V95">
        <v>7</v>
      </c>
    </row>
    <row r="96" spans="1:22" x14ac:dyDescent="0.25">
      <c r="A96" t="s">
        <v>373</v>
      </c>
      <c r="B96" s="1">
        <v>44018</v>
      </c>
      <c r="C96" t="s">
        <v>374</v>
      </c>
      <c r="D96" t="s">
        <v>375</v>
      </c>
      <c r="E96">
        <v>35</v>
      </c>
      <c r="F96" t="str">
        <f>IF(Table1[[#This Row],[age]]&lt;=25,"18-25",IF(Table1[[#This Row],[age]]&lt;=35,"26-35",IF(Table1[[#This Row],[age]]&lt;=50,"36-50","51+")))</f>
        <v>26-35</v>
      </c>
      <c r="G96" t="s">
        <v>34</v>
      </c>
      <c r="H96" t="s">
        <v>80</v>
      </c>
      <c r="I96" t="s">
        <v>81</v>
      </c>
      <c r="J96" t="s">
        <v>63</v>
      </c>
      <c r="K96" t="s">
        <v>87</v>
      </c>
      <c r="L96">
        <v>2</v>
      </c>
      <c r="M96">
        <v>539.35</v>
      </c>
      <c r="N96">
        <v>0.23</v>
      </c>
      <c r="O96">
        <v>1124.22</v>
      </c>
      <c r="P96">
        <v>289.25</v>
      </c>
      <c r="Q96">
        <v>64.959999999999994</v>
      </c>
      <c r="R96" t="s">
        <v>49</v>
      </c>
      <c r="S96">
        <v>5</v>
      </c>
      <c r="T96" t="b">
        <v>0</v>
      </c>
      <c r="U96" t="s">
        <v>30</v>
      </c>
      <c r="V96">
        <v>8</v>
      </c>
    </row>
    <row r="97" spans="1:22" x14ac:dyDescent="0.25">
      <c r="A97" t="s">
        <v>376</v>
      </c>
      <c r="B97" s="1">
        <v>44914</v>
      </c>
      <c r="C97" t="s">
        <v>377</v>
      </c>
      <c r="D97" t="s">
        <v>378</v>
      </c>
      <c r="E97">
        <v>19</v>
      </c>
      <c r="F97" t="str">
        <f>IF(Table1[[#This Row],[age]]&lt;=25,"18-25",IF(Table1[[#This Row],[age]]&lt;=35,"26-35",IF(Table1[[#This Row],[age]]&lt;=50,"36-50","51+")))</f>
        <v>18-25</v>
      </c>
      <c r="G97" t="s">
        <v>24</v>
      </c>
      <c r="H97" t="s">
        <v>69</v>
      </c>
      <c r="I97" t="s">
        <v>221</v>
      </c>
      <c r="J97" t="s">
        <v>36</v>
      </c>
      <c r="K97" t="s">
        <v>132</v>
      </c>
      <c r="L97">
        <v>5</v>
      </c>
      <c r="M97">
        <v>29767.34</v>
      </c>
      <c r="N97">
        <v>0.16</v>
      </c>
      <c r="O97">
        <v>92126.76</v>
      </c>
      <c r="P97">
        <v>24089.4</v>
      </c>
      <c r="Q97">
        <v>72.23</v>
      </c>
      <c r="R97" t="s">
        <v>49</v>
      </c>
      <c r="S97">
        <v>3</v>
      </c>
      <c r="T97" t="b">
        <v>0</v>
      </c>
      <c r="U97" t="s">
        <v>71</v>
      </c>
      <c r="V97">
        <v>6</v>
      </c>
    </row>
    <row r="98" spans="1:22" x14ac:dyDescent="0.25">
      <c r="A98" t="s">
        <v>379</v>
      </c>
      <c r="B98" s="1">
        <v>45200</v>
      </c>
      <c r="C98" t="s">
        <v>380</v>
      </c>
      <c r="D98" t="s">
        <v>381</v>
      </c>
      <c r="E98">
        <v>29</v>
      </c>
      <c r="F98" t="str">
        <f>IF(Table1[[#This Row],[age]]&lt;=25,"18-25",IF(Table1[[#This Row],[age]]&lt;=35,"26-35",IF(Table1[[#This Row],[age]]&lt;=50,"36-50","51+")))</f>
        <v>26-35</v>
      </c>
      <c r="G98" t="s">
        <v>24</v>
      </c>
      <c r="H98" t="s">
        <v>61</v>
      </c>
      <c r="I98" t="s">
        <v>141</v>
      </c>
      <c r="J98" t="s">
        <v>101</v>
      </c>
      <c r="K98" t="s">
        <v>124</v>
      </c>
      <c r="L98">
        <v>3</v>
      </c>
      <c r="M98">
        <v>14810.59</v>
      </c>
      <c r="N98">
        <v>0.08</v>
      </c>
      <c r="O98">
        <v>44578.62</v>
      </c>
      <c r="P98">
        <v>10260.620000000001</v>
      </c>
      <c r="Q98">
        <v>65.69</v>
      </c>
      <c r="R98" t="s">
        <v>49</v>
      </c>
      <c r="S98">
        <v>3</v>
      </c>
      <c r="T98" t="b">
        <v>0</v>
      </c>
      <c r="U98" t="s">
        <v>30</v>
      </c>
      <c r="V98">
        <v>5</v>
      </c>
    </row>
    <row r="99" spans="1:22" x14ac:dyDescent="0.25">
      <c r="A99" t="s">
        <v>382</v>
      </c>
      <c r="B99" s="1">
        <v>45557</v>
      </c>
      <c r="C99" t="s">
        <v>383</v>
      </c>
      <c r="D99" t="s">
        <v>384</v>
      </c>
      <c r="E99">
        <v>36</v>
      </c>
      <c r="F99" t="str">
        <f>IF(Table1[[#This Row],[age]]&lt;=25,"18-25",IF(Table1[[#This Row],[age]]&lt;=35,"26-35",IF(Table1[[#This Row],[age]]&lt;=50,"36-50","51+")))</f>
        <v>36-50</v>
      </c>
      <c r="G99" t="s">
        <v>24</v>
      </c>
      <c r="H99" t="s">
        <v>69</v>
      </c>
      <c r="I99" t="s">
        <v>181</v>
      </c>
      <c r="J99" t="s">
        <v>27</v>
      </c>
      <c r="K99" t="s">
        <v>28</v>
      </c>
      <c r="L99">
        <v>4</v>
      </c>
      <c r="M99">
        <v>2333.1</v>
      </c>
      <c r="N99">
        <v>0.22</v>
      </c>
      <c r="O99">
        <v>11296.75</v>
      </c>
      <c r="P99">
        <v>4828.37</v>
      </c>
      <c r="Q99">
        <v>72.08</v>
      </c>
      <c r="R99" t="s">
        <v>65</v>
      </c>
      <c r="S99">
        <v>3</v>
      </c>
      <c r="T99" t="b">
        <v>1</v>
      </c>
      <c r="U99" t="s">
        <v>50</v>
      </c>
      <c r="V99">
        <v>10</v>
      </c>
    </row>
    <row r="100" spans="1:22" x14ac:dyDescent="0.25">
      <c r="A100" t="s">
        <v>385</v>
      </c>
      <c r="B100" s="1">
        <v>44926</v>
      </c>
      <c r="C100" t="s">
        <v>386</v>
      </c>
      <c r="D100" t="s">
        <v>387</v>
      </c>
      <c r="E100">
        <v>26</v>
      </c>
      <c r="F100" t="str">
        <f>IF(Table1[[#This Row],[age]]&lt;=25,"18-25",IF(Table1[[#This Row],[age]]&lt;=35,"26-35",IF(Table1[[#This Row],[age]]&lt;=50,"36-50","51+")))</f>
        <v>26-35</v>
      </c>
      <c r="G100" t="s">
        <v>24</v>
      </c>
      <c r="H100" t="s">
        <v>25</v>
      </c>
      <c r="I100" t="s">
        <v>298</v>
      </c>
      <c r="J100" t="s">
        <v>47</v>
      </c>
      <c r="K100" t="s">
        <v>272</v>
      </c>
      <c r="L100">
        <v>3</v>
      </c>
      <c r="M100">
        <v>1379.58</v>
      </c>
      <c r="N100">
        <v>0.06</v>
      </c>
      <c r="O100">
        <v>3040.53</v>
      </c>
      <c r="P100">
        <v>976.28</v>
      </c>
      <c r="Q100">
        <v>64.67</v>
      </c>
      <c r="R100" t="s">
        <v>92</v>
      </c>
      <c r="S100">
        <v>4</v>
      </c>
      <c r="T100" t="b">
        <v>0</v>
      </c>
      <c r="U100" t="s">
        <v>93</v>
      </c>
      <c r="V100">
        <v>4</v>
      </c>
    </row>
    <row r="101" spans="1:22" x14ac:dyDescent="0.25">
      <c r="A101" t="s">
        <v>388</v>
      </c>
      <c r="B101" s="1">
        <v>44850</v>
      </c>
      <c r="C101" t="s">
        <v>389</v>
      </c>
      <c r="D101" t="s">
        <v>131</v>
      </c>
      <c r="E101">
        <v>36</v>
      </c>
      <c r="F101" t="str">
        <f>IF(Table1[[#This Row],[age]]&lt;=25,"18-25",IF(Table1[[#This Row],[age]]&lt;=35,"26-35",IF(Table1[[#This Row],[age]]&lt;=50,"36-50","51+")))</f>
        <v>36-50</v>
      </c>
      <c r="G101" t="s">
        <v>24</v>
      </c>
      <c r="H101" t="s">
        <v>80</v>
      </c>
      <c r="I101" t="s">
        <v>242</v>
      </c>
      <c r="J101" t="s">
        <v>36</v>
      </c>
      <c r="K101" t="s">
        <v>243</v>
      </c>
      <c r="L101">
        <v>8</v>
      </c>
      <c r="M101">
        <v>33543.43</v>
      </c>
      <c r="N101">
        <v>0.22</v>
      </c>
      <c r="O101">
        <v>218733.7</v>
      </c>
      <c r="P101">
        <v>59861.82</v>
      </c>
      <c r="Q101">
        <v>56.8</v>
      </c>
      <c r="R101" t="s">
        <v>43</v>
      </c>
      <c r="S101">
        <v>2</v>
      </c>
      <c r="T101" t="b">
        <v>0</v>
      </c>
      <c r="U101" t="s">
        <v>30</v>
      </c>
      <c r="V101">
        <v>8</v>
      </c>
    </row>
    <row r="102" spans="1:22" x14ac:dyDescent="0.25">
      <c r="A102" t="s">
        <v>390</v>
      </c>
      <c r="B102" s="1">
        <v>45401</v>
      </c>
      <c r="C102" t="s">
        <v>391</v>
      </c>
      <c r="D102" t="s">
        <v>392</v>
      </c>
      <c r="E102">
        <v>31</v>
      </c>
      <c r="F102" t="str">
        <f>IF(Table1[[#This Row],[age]]&lt;=25,"18-25",IF(Table1[[#This Row],[age]]&lt;=35,"26-35",IF(Table1[[#This Row],[age]]&lt;=50,"36-50","51+")))</f>
        <v>26-35</v>
      </c>
      <c r="G102" t="s">
        <v>54</v>
      </c>
      <c r="H102" t="s">
        <v>80</v>
      </c>
      <c r="I102" t="s">
        <v>81</v>
      </c>
      <c r="J102" t="s">
        <v>27</v>
      </c>
      <c r="K102" t="s">
        <v>335</v>
      </c>
      <c r="L102">
        <v>6</v>
      </c>
      <c r="M102">
        <v>1423.12</v>
      </c>
      <c r="N102">
        <v>0.11</v>
      </c>
      <c r="O102">
        <v>10606.52</v>
      </c>
      <c r="P102">
        <v>4315.91</v>
      </c>
      <c r="Q102">
        <v>75.2</v>
      </c>
      <c r="R102" t="s">
        <v>49</v>
      </c>
      <c r="S102">
        <v>4</v>
      </c>
      <c r="T102" t="b">
        <v>1</v>
      </c>
      <c r="U102" t="s">
        <v>50</v>
      </c>
      <c r="V102">
        <v>4</v>
      </c>
    </row>
    <row r="103" spans="1:22" x14ac:dyDescent="0.25">
      <c r="A103" t="s">
        <v>393</v>
      </c>
      <c r="B103" s="1">
        <v>44655</v>
      </c>
      <c r="C103" t="s">
        <v>394</v>
      </c>
      <c r="D103" t="s">
        <v>180</v>
      </c>
      <c r="E103">
        <v>26</v>
      </c>
      <c r="F103" t="str">
        <f>IF(Table1[[#This Row],[age]]&lt;=25,"18-25",IF(Table1[[#This Row],[age]]&lt;=35,"26-35",IF(Table1[[#This Row],[age]]&lt;=50,"36-50","51+")))</f>
        <v>26-35</v>
      </c>
      <c r="G103" t="s">
        <v>54</v>
      </c>
      <c r="H103" t="s">
        <v>69</v>
      </c>
      <c r="I103" t="s">
        <v>221</v>
      </c>
      <c r="J103" t="s">
        <v>115</v>
      </c>
      <c r="K103" t="s">
        <v>145</v>
      </c>
      <c r="L103">
        <v>8</v>
      </c>
      <c r="M103">
        <v>64439.74</v>
      </c>
      <c r="N103">
        <v>0.23</v>
      </c>
      <c r="O103">
        <v>542100.67000000004</v>
      </c>
      <c r="P103">
        <v>80671.009999999995</v>
      </c>
      <c r="Q103">
        <v>103.41</v>
      </c>
      <c r="R103" t="s">
        <v>29</v>
      </c>
      <c r="S103">
        <v>1</v>
      </c>
      <c r="T103" t="b">
        <v>0</v>
      </c>
      <c r="U103" t="s">
        <v>30</v>
      </c>
      <c r="V103">
        <v>3</v>
      </c>
    </row>
    <row r="104" spans="1:22" x14ac:dyDescent="0.25">
      <c r="A104" t="s">
        <v>395</v>
      </c>
      <c r="B104" s="1">
        <v>44231</v>
      </c>
      <c r="C104" t="s">
        <v>396</v>
      </c>
      <c r="D104" t="s">
        <v>397</v>
      </c>
      <c r="E104">
        <v>49</v>
      </c>
      <c r="F104" t="str">
        <f>IF(Table1[[#This Row],[age]]&lt;=25,"18-25",IF(Table1[[#This Row],[age]]&lt;=35,"26-35",IF(Table1[[#This Row],[age]]&lt;=50,"36-50","51+")))</f>
        <v>36-50</v>
      </c>
      <c r="G104" t="s">
        <v>24</v>
      </c>
      <c r="H104" t="s">
        <v>80</v>
      </c>
      <c r="I104" t="s">
        <v>242</v>
      </c>
      <c r="J104" t="s">
        <v>115</v>
      </c>
      <c r="K104" t="s">
        <v>398</v>
      </c>
      <c r="L104">
        <v>10</v>
      </c>
      <c r="M104">
        <v>72812.39</v>
      </c>
      <c r="N104">
        <v>0.28999999999999998</v>
      </c>
      <c r="O104">
        <v>520084.41</v>
      </c>
      <c r="P104">
        <v>94437.03</v>
      </c>
      <c r="Q104">
        <v>76.77</v>
      </c>
      <c r="R104" t="s">
        <v>92</v>
      </c>
      <c r="S104">
        <v>2</v>
      </c>
      <c r="T104" t="b">
        <v>1</v>
      </c>
      <c r="U104" t="s">
        <v>50</v>
      </c>
      <c r="V104">
        <v>10</v>
      </c>
    </row>
    <row r="105" spans="1:22" x14ac:dyDescent="0.25">
      <c r="A105" t="s">
        <v>399</v>
      </c>
      <c r="B105" s="1">
        <v>45030</v>
      </c>
      <c r="C105" t="s">
        <v>400</v>
      </c>
      <c r="D105" t="s">
        <v>401</v>
      </c>
      <c r="E105">
        <v>47</v>
      </c>
      <c r="F105" t="str">
        <f>IF(Table1[[#This Row],[age]]&lt;=25,"18-25",IF(Table1[[#This Row],[age]]&lt;=35,"26-35",IF(Table1[[#This Row],[age]]&lt;=50,"36-50","51+")))</f>
        <v>36-50</v>
      </c>
      <c r="G105" t="s">
        <v>24</v>
      </c>
      <c r="H105" t="s">
        <v>69</v>
      </c>
      <c r="I105" t="s">
        <v>221</v>
      </c>
      <c r="J105" t="s">
        <v>27</v>
      </c>
      <c r="K105" t="s">
        <v>28</v>
      </c>
      <c r="L105">
        <v>8</v>
      </c>
      <c r="M105">
        <v>415.72</v>
      </c>
      <c r="N105">
        <v>0.01</v>
      </c>
      <c r="O105">
        <v>4769.26</v>
      </c>
      <c r="P105">
        <v>1796.21</v>
      </c>
      <c r="Q105">
        <v>54.55</v>
      </c>
      <c r="R105" t="s">
        <v>43</v>
      </c>
      <c r="S105">
        <v>3</v>
      </c>
      <c r="T105" t="b">
        <v>0</v>
      </c>
      <c r="U105" t="s">
        <v>30</v>
      </c>
      <c r="V105">
        <v>5</v>
      </c>
    </row>
    <row r="106" spans="1:22" x14ac:dyDescent="0.25">
      <c r="A106" t="s">
        <v>402</v>
      </c>
      <c r="B106" s="1">
        <v>44095</v>
      </c>
      <c r="C106" t="s">
        <v>403</v>
      </c>
      <c r="D106" t="s">
        <v>404</v>
      </c>
      <c r="E106">
        <v>33</v>
      </c>
      <c r="F106" t="str">
        <f>IF(Table1[[#This Row],[age]]&lt;=25,"18-25",IF(Table1[[#This Row],[age]]&lt;=35,"26-35",IF(Table1[[#This Row],[age]]&lt;=50,"36-50","51+")))</f>
        <v>26-35</v>
      </c>
      <c r="G106" t="s">
        <v>54</v>
      </c>
      <c r="H106" t="s">
        <v>80</v>
      </c>
      <c r="I106" t="s">
        <v>236</v>
      </c>
      <c r="J106" t="s">
        <v>106</v>
      </c>
      <c r="K106" t="s">
        <v>314</v>
      </c>
      <c r="L106">
        <v>1</v>
      </c>
      <c r="M106">
        <v>389.24</v>
      </c>
      <c r="N106">
        <v>0.23</v>
      </c>
      <c r="O106">
        <v>313.86</v>
      </c>
      <c r="P106">
        <v>22.71</v>
      </c>
      <c r="Q106">
        <v>66.8</v>
      </c>
      <c r="R106" t="s">
        <v>92</v>
      </c>
      <c r="S106">
        <v>5</v>
      </c>
      <c r="T106" t="b">
        <v>0</v>
      </c>
      <c r="U106" t="s">
        <v>30</v>
      </c>
      <c r="V106">
        <v>10</v>
      </c>
    </row>
    <row r="107" spans="1:22" x14ac:dyDescent="0.25">
      <c r="A107" t="s">
        <v>405</v>
      </c>
      <c r="B107" s="1">
        <v>45330</v>
      </c>
      <c r="C107" t="s">
        <v>406</v>
      </c>
      <c r="D107" t="s">
        <v>407</v>
      </c>
      <c r="E107">
        <v>38</v>
      </c>
      <c r="F107" t="str">
        <f>IF(Table1[[#This Row],[age]]&lt;=25,"18-25",IF(Table1[[#This Row],[age]]&lt;=35,"26-35",IF(Table1[[#This Row],[age]]&lt;=50,"36-50","51+")))</f>
        <v>36-50</v>
      </c>
      <c r="G107" t="s">
        <v>24</v>
      </c>
      <c r="H107" t="s">
        <v>69</v>
      </c>
      <c r="I107" t="s">
        <v>221</v>
      </c>
      <c r="J107" t="s">
        <v>115</v>
      </c>
      <c r="K107" t="s">
        <v>398</v>
      </c>
      <c r="L107">
        <v>4</v>
      </c>
      <c r="M107">
        <v>15346.11</v>
      </c>
      <c r="N107">
        <v>0.06</v>
      </c>
      <c r="O107">
        <v>67060.7</v>
      </c>
      <c r="P107">
        <v>9998.89</v>
      </c>
      <c r="Q107">
        <v>93.55</v>
      </c>
      <c r="R107" t="s">
        <v>49</v>
      </c>
      <c r="S107">
        <v>2</v>
      </c>
      <c r="T107" t="b">
        <v>0</v>
      </c>
      <c r="U107" t="s">
        <v>30</v>
      </c>
      <c r="V107">
        <v>6</v>
      </c>
    </row>
    <row r="108" spans="1:22" x14ac:dyDescent="0.25">
      <c r="A108" t="s">
        <v>408</v>
      </c>
      <c r="B108" s="1">
        <v>44297</v>
      </c>
      <c r="C108" t="s">
        <v>409</v>
      </c>
      <c r="D108" t="s">
        <v>404</v>
      </c>
      <c r="E108">
        <v>26</v>
      </c>
      <c r="F108" t="str">
        <f>IF(Table1[[#This Row],[age]]&lt;=25,"18-25",IF(Table1[[#This Row],[age]]&lt;=35,"26-35",IF(Table1[[#This Row],[age]]&lt;=50,"36-50","51+")))</f>
        <v>26-35</v>
      </c>
      <c r="G108" t="s">
        <v>24</v>
      </c>
      <c r="H108" t="s">
        <v>80</v>
      </c>
      <c r="I108" t="s">
        <v>81</v>
      </c>
      <c r="J108" t="s">
        <v>47</v>
      </c>
      <c r="K108" t="s">
        <v>204</v>
      </c>
      <c r="L108">
        <v>9</v>
      </c>
      <c r="M108">
        <v>816.35</v>
      </c>
      <c r="N108">
        <v>0.12</v>
      </c>
      <c r="O108">
        <v>7711.33</v>
      </c>
      <c r="P108">
        <v>3255</v>
      </c>
      <c r="Q108">
        <v>81.14</v>
      </c>
      <c r="R108" t="s">
        <v>65</v>
      </c>
      <c r="S108">
        <v>5</v>
      </c>
      <c r="T108" t="b">
        <v>1</v>
      </c>
      <c r="U108" t="s">
        <v>50</v>
      </c>
      <c r="V108">
        <v>3</v>
      </c>
    </row>
    <row r="109" spans="1:22" x14ac:dyDescent="0.25">
      <c r="A109" t="s">
        <v>410</v>
      </c>
      <c r="B109" s="1">
        <v>45217</v>
      </c>
      <c r="C109" t="s">
        <v>411</v>
      </c>
      <c r="D109" t="s">
        <v>412</v>
      </c>
      <c r="E109">
        <v>40</v>
      </c>
      <c r="F109" t="str">
        <f>IF(Table1[[#This Row],[age]]&lt;=25,"18-25",IF(Table1[[#This Row],[age]]&lt;=35,"26-35",IF(Table1[[#This Row],[age]]&lt;=50,"36-50","51+")))</f>
        <v>36-50</v>
      </c>
      <c r="G109" t="s">
        <v>24</v>
      </c>
      <c r="H109" t="s">
        <v>69</v>
      </c>
      <c r="I109" t="s">
        <v>181</v>
      </c>
      <c r="J109" t="s">
        <v>101</v>
      </c>
      <c r="K109" t="s">
        <v>318</v>
      </c>
      <c r="L109">
        <v>7</v>
      </c>
      <c r="M109">
        <v>12597.24</v>
      </c>
      <c r="N109">
        <v>0.11</v>
      </c>
      <c r="O109">
        <v>77124.12</v>
      </c>
      <c r="P109">
        <v>20197.939999999999</v>
      </c>
      <c r="Q109">
        <v>79.69</v>
      </c>
      <c r="R109" t="s">
        <v>92</v>
      </c>
      <c r="S109">
        <v>4</v>
      </c>
      <c r="T109" t="b">
        <v>0</v>
      </c>
      <c r="U109" t="s">
        <v>30</v>
      </c>
      <c r="V109">
        <v>8</v>
      </c>
    </row>
    <row r="110" spans="1:22" x14ac:dyDescent="0.25">
      <c r="A110" t="s">
        <v>413</v>
      </c>
      <c r="B110" s="1">
        <v>44047</v>
      </c>
      <c r="C110" t="s">
        <v>414</v>
      </c>
      <c r="D110" t="s">
        <v>415</v>
      </c>
      <c r="E110">
        <v>40</v>
      </c>
      <c r="F110" t="str">
        <f>IF(Table1[[#This Row],[age]]&lt;=25,"18-25",IF(Table1[[#This Row],[age]]&lt;=35,"26-35",IF(Table1[[#This Row],[age]]&lt;=50,"36-50","51+")))</f>
        <v>36-50</v>
      </c>
      <c r="G110" t="s">
        <v>24</v>
      </c>
      <c r="H110" t="s">
        <v>80</v>
      </c>
      <c r="I110" t="s">
        <v>242</v>
      </c>
      <c r="J110" t="s">
        <v>36</v>
      </c>
      <c r="K110" t="s">
        <v>76</v>
      </c>
      <c r="L110">
        <v>5</v>
      </c>
      <c r="M110">
        <v>12250.19</v>
      </c>
      <c r="N110">
        <v>0.32</v>
      </c>
      <c r="O110">
        <v>45443.23</v>
      </c>
      <c r="P110">
        <v>11573.16</v>
      </c>
      <c r="Q110">
        <v>71.75</v>
      </c>
      <c r="R110" t="s">
        <v>43</v>
      </c>
      <c r="S110">
        <v>3</v>
      </c>
      <c r="T110" t="b">
        <v>0</v>
      </c>
      <c r="U110" t="s">
        <v>30</v>
      </c>
      <c r="V110">
        <v>6</v>
      </c>
    </row>
    <row r="111" spans="1:22" x14ac:dyDescent="0.25">
      <c r="A111" t="s">
        <v>416</v>
      </c>
      <c r="B111" s="1">
        <v>44124</v>
      </c>
      <c r="C111" t="s">
        <v>417</v>
      </c>
      <c r="D111" t="s">
        <v>148</v>
      </c>
      <c r="E111">
        <v>22</v>
      </c>
      <c r="F111" t="str">
        <f>IF(Table1[[#This Row],[age]]&lt;=25,"18-25",IF(Table1[[#This Row],[age]]&lt;=35,"26-35",IF(Table1[[#This Row],[age]]&lt;=50,"36-50","51+")))</f>
        <v>18-25</v>
      </c>
      <c r="G111" t="s">
        <v>54</v>
      </c>
      <c r="H111" t="s">
        <v>55</v>
      </c>
      <c r="I111" t="s">
        <v>97</v>
      </c>
      <c r="J111" t="s">
        <v>47</v>
      </c>
      <c r="K111" t="s">
        <v>272</v>
      </c>
      <c r="L111">
        <v>3</v>
      </c>
      <c r="M111">
        <v>835.42</v>
      </c>
      <c r="N111">
        <v>0.33</v>
      </c>
      <c r="O111">
        <v>1423.3</v>
      </c>
      <c r="P111">
        <v>458.44</v>
      </c>
      <c r="Q111">
        <v>55.32</v>
      </c>
      <c r="R111" t="s">
        <v>49</v>
      </c>
      <c r="S111">
        <v>5</v>
      </c>
      <c r="T111" t="b">
        <v>0</v>
      </c>
      <c r="U111" t="s">
        <v>30</v>
      </c>
      <c r="V111">
        <v>1</v>
      </c>
    </row>
    <row r="112" spans="1:22" x14ac:dyDescent="0.25">
      <c r="A112" t="s">
        <v>418</v>
      </c>
      <c r="B112" s="1">
        <v>44491</v>
      </c>
      <c r="C112" t="s">
        <v>419</v>
      </c>
      <c r="D112" t="s">
        <v>420</v>
      </c>
      <c r="E112">
        <v>53</v>
      </c>
      <c r="F112" t="str">
        <f>IF(Table1[[#This Row],[age]]&lt;=25,"18-25",IF(Table1[[#This Row],[age]]&lt;=35,"26-35",IF(Table1[[#This Row],[age]]&lt;=50,"36-50","51+")))</f>
        <v>51+</v>
      </c>
      <c r="G112" t="s">
        <v>34</v>
      </c>
      <c r="H112" t="s">
        <v>80</v>
      </c>
      <c r="I112" t="s">
        <v>242</v>
      </c>
      <c r="J112" t="s">
        <v>115</v>
      </c>
      <c r="K112" t="s">
        <v>137</v>
      </c>
      <c r="L112">
        <v>9</v>
      </c>
      <c r="M112">
        <v>62284.37</v>
      </c>
      <c r="N112">
        <v>0.36</v>
      </c>
      <c r="O112">
        <v>295233.56</v>
      </c>
      <c r="P112">
        <v>40519.72</v>
      </c>
      <c r="Q112">
        <v>81.150000000000006</v>
      </c>
      <c r="R112" t="s">
        <v>57</v>
      </c>
      <c r="S112">
        <v>3</v>
      </c>
      <c r="T112" t="b">
        <v>0</v>
      </c>
      <c r="U112" t="s">
        <v>30</v>
      </c>
      <c r="V112">
        <v>8</v>
      </c>
    </row>
    <row r="113" spans="1:22" x14ac:dyDescent="0.25">
      <c r="A113" t="s">
        <v>421</v>
      </c>
      <c r="B113" s="1">
        <v>45475</v>
      </c>
      <c r="C113" t="s">
        <v>422</v>
      </c>
      <c r="D113" t="s">
        <v>423</v>
      </c>
      <c r="E113">
        <v>56</v>
      </c>
      <c r="F113" t="str">
        <f>IF(Table1[[#This Row],[age]]&lt;=25,"18-25",IF(Table1[[#This Row],[age]]&lt;=35,"26-35",IF(Table1[[#This Row],[age]]&lt;=50,"36-50","51+")))</f>
        <v>51+</v>
      </c>
      <c r="G113" t="s">
        <v>34</v>
      </c>
      <c r="H113" t="s">
        <v>61</v>
      </c>
      <c r="I113" t="s">
        <v>163</v>
      </c>
      <c r="J113" t="s">
        <v>47</v>
      </c>
      <c r="K113" t="s">
        <v>204</v>
      </c>
      <c r="L113">
        <v>2</v>
      </c>
      <c r="M113">
        <v>493.07</v>
      </c>
      <c r="N113">
        <v>0.4</v>
      </c>
      <c r="O113">
        <v>1034.25</v>
      </c>
      <c r="P113">
        <v>466.16</v>
      </c>
      <c r="Q113">
        <v>79.959999999999994</v>
      </c>
      <c r="R113" t="s">
        <v>92</v>
      </c>
      <c r="S113">
        <v>5</v>
      </c>
      <c r="T113" t="b">
        <v>0</v>
      </c>
      <c r="U113" t="s">
        <v>30</v>
      </c>
      <c r="V113">
        <v>5</v>
      </c>
    </row>
    <row r="114" spans="1:22" x14ac:dyDescent="0.25">
      <c r="A114" t="s">
        <v>424</v>
      </c>
      <c r="B114" s="1">
        <v>44250</v>
      </c>
      <c r="C114" t="s">
        <v>425</v>
      </c>
      <c r="D114" t="s">
        <v>304</v>
      </c>
      <c r="E114">
        <v>37</v>
      </c>
      <c r="F114" t="str">
        <f>IF(Table1[[#This Row],[age]]&lt;=25,"18-25",IF(Table1[[#This Row],[age]]&lt;=35,"26-35",IF(Table1[[#This Row],[age]]&lt;=50,"36-50","51+")))</f>
        <v>36-50</v>
      </c>
      <c r="G114" t="s">
        <v>54</v>
      </c>
      <c r="H114" t="s">
        <v>80</v>
      </c>
      <c r="I114" t="s">
        <v>236</v>
      </c>
      <c r="J114" t="s">
        <v>63</v>
      </c>
      <c r="K114" t="s">
        <v>82</v>
      </c>
      <c r="L114">
        <v>2</v>
      </c>
      <c r="M114">
        <v>2323.11</v>
      </c>
      <c r="N114">
        <v>0.1</v>
      </c>
      <c r="O114">
        <v>3708.79</v>
      </c>
      <c r="P114">
        <v>1138.78</v>
      </c>
      <c r="Q114">
        <v>85.32</v>
      </c>
      <c r="R114" t="s">
        <v>92</v>
      </c>
      <c r="S114">
        <v>2</v>
      </c>
      <c r="T114" t="b">
        <v>0</v>
      </c>
      <c r="U114" t="s">
        <v>30</v>
      </c>
      <c r="V114">
        <v>7</v>
      </c>
    </row>
    <row r="115" spans="1:22" x14ac:dyDescent="0.25">
      <c r="A115" t="s">
        <v>426</v>
      </c>
      <c r="B115" s="1">
        <v>44154</v>
      </c>
      <c r="C115" t="s">
        <v>427</v>
      </c>
      <c r="D115" t="s">
        <v>297</v>
      </c>
      <c r="E115">
        <v>51</v>
      </c>
      <c r="F115" t="str">
        <f>IF(Table1[[#This Row],[age]]&lt;=25,"18-25",IF(Table1[[#This Row],[age]]&lt;=35,"26-35",IF(Table1[[#This Row],[age]]&lt;=50,"36-50","51+")))</f>
        <v>51+</v>
      </c>
      <c r="G115" t="s">
        <v>54</v>
      </c>
      <c r="H115" t="s">
        <v>69</v>
      </c>
      <c r="I115" t="s">
        <v>181</v>
      </c>
      <c r="J115" t="s">
        <v>47</v>
      </c>
      <c r="K115" t="s">
        <v>204</v>
      </c>
      <c r="L115">
        <v>10</v>
      </c>
      <c r="M115">
        <v>331.1</v>
      </c>
      <c r="N115">
        <v>0.39</v>
      </c>
      <c r="O115">
        <v>1477.96</v>
      </c>
      <c r="P115">
        <v>435.14</v>
      </c>
      <c r="Q115">
        <v>84.94</v>
      </c>
      <c r="R115" t="s">
        <v>49</v>
      </c>
      <c r="S115">
        <v>5</v>
      </c>
      <c r="T115" t="b">
        <v>0</v>
      </c>
      <c r="U115" t="s">
        <v>30</v>
      </c>
      <c r="V115">
        <v>7</v>
      </c>
    </row>
    <row r="116" spans="1:22" x14ac:dyDescent="0.25">
      <c r="A116" t="s">
        <v>428</v>
      </c>
      <c r="B116" s="1">
        <v>45558</v>
      </c>
      <c r="C116" t="s">
        <v>429</v>
      </c>
      <c r="D116" t="s">
        <v>430</v>
      </c>
      <c r="E116">
        <v>38</v>
      </c>
      <c r="F116" t="str">
        <f>IF(Table1[[#This Row],[age]]&lt;=25,"18-25",IF(Table1[[#This Row],[age]]&lt;=35,"26-35",IF(Table1[[#This Row],[age]]&lt;=50,"36-50","51+")))</f>
        <v>36-50</v>
      </c>
      <c r="G116" t="s">
        <v>24</v>
      </c>
      <c r="H116" t="s">
        <v>55</v>
      </c>
      <c r="I116" t="s">
        <v>114</v>
      </c>
      <c r="J116" t="s">
        <v>106</v>
      </c>
      <c r="K116" t="s">
        <v>331</v>
      </c>
      <c r="L116">
        <v>5</v>
      </c>
      <c r="M116">
        <v>195.29</v>
      </c>
      <c r="N116">
        <v>0.16</v>
      </c>
      <c r="O116">
        <v>1055.0999999999999</v>
      </c>
      <c r="P116">
        <v>81.38</v>
      </c>
      <c r="Q116">
        <v>32.28</v>
      </c>
      <c r="R116" t="s">
        <v>57</v>
      </c>
      <c r="S116">
        <v>3</v>
      </c>
      <c r="T116" t="b">
        <v>0</v>
      </c>
      <c r="U116" t="s">
        <v>71</v>
      </c>
      <c r="V116">
        <v>5</v>
      </c>
    </row>
    <row r="117" spans="1:22" x14ac:dyDescent="0.25">
      <c r="A117" t="s">
        <v>431</v>
      </c>
      <c r="B117" s="1">
        <v>44520</v>
      </c>
      <c r="C117" t="s">
        <v>432</v>
      </c>
      <c r="D117" t="s">
        <v>433</v>
      </c>
      <c r="E117">
        <v>47</v>
      </c>
      <c r="F117" t="str">
        <f>IF(Table1[[#This Row],[age]]&lt;=25,"18-25",IF(Table1[[#This Row],[age]]&lt;=35,"26-35",IF(Table1[[#This Row],[age]]&lt;=50,"36-50","51+")))</f>
        <v>36-50</v>
      </c>
      <c r="G117" t="s">
        <v>24</v>
      </c>
      <c r="H117" t="s">
        <v>25</v>
      </c>
      <c r="I117" t="s">
        <v>35</v>
      </c>
      <c r="J117" t="s">
        <v>63</v>
      </c>
      <c r="K117" t="s">
        <v>434</v>
      </c>
      <c r="L117">
        <v>10</v>
      </c>
      <c r="M117">
        <v>1224.47</v>
      </c>
      <c r="N117">
        <v>0.4</v>
      </c>
      <c r="O117">
        <v>5546.22</v>
      </c>
      <c r="P117">
        <v>2019.44</v>
      </c>
      <c r="Q117">
        <v>52.99</v>
      </c>
      <c r="R117" t="s">
        <v>29</v>
      </c>
      <c r="S117">
        <v>1</v>
      </c>
      <c r="T117" t="b">
        <v>0</v>
      </c>
      <c r="U117" t="s">
        <v>30</v>
      </c>
      <c r="V117">
        <v>6</v>
      </c>
    </row>
    <row r="118" spans="1:22" x14ac:dyDescent="0.25">
      <c r="A118" t="s">
        <v>435</v>
      </c>
      <c r="B118" s="1">
        <v>45291</v>
      </c>
      <c r="C118" t="s">
        <v>436</v>
      </c>
      <c r="D118" t="s">
        <v>437</v>
      </c>
      <c r="E118">
        <v>43</v>
      </c>
      <c r="F118" t="str">
        <f>IF(Table1[[#This Row],[age]]&lt;=25,"18-25",IF(Table1[[#This Row],[age]]&lt;=35,"26-35",IF(Table1[[#This Row],[age]]&lt;=50,"36-50","51+")))</f>
        <v>36-50</v>
      </c>
      <c r="G118" t="s">
        <v>34</v>
      </c>
      <c r="H118" t="s">
        <v>80</v>
      </c>
      <c r="I118" t="s">
        <v>236</v>
      </c>
      <c r="J118" t="s">
        <v>27</v>
      </c>
      <c r="K118" t="s">
        <v>192</v>
      </c>
      <c r="L118">
        <v>7</v>
      </c>
      <c r="M118">
        <v>1828.2</v>
      </c>
      <c r="N118">
        <v>0.21</v>
      </c>
      <c r="O118">
        <v>9118.6299999999992</v>
      </c>
      <c r="P118">
        <v>3919.89</v>
      </c>
      <c r="Q118">
        <v>72.63</v>
      </c>
      <c r="R118" t="s">
        <v>57</v>
      </c>
      <c r="S118">
        <v>4</v>
      </c>
      <c r="T118" t="b">
        <v>0</v>
      </c>
      <c r="U118" t="s">
        <v>30</v>
      </c>
      <c r="V118">
        <v>1</v>
      </c>
    </row>
    <row r="119" spans="1:22" x14ac:dyDescent="0.25">
      <c r="A119" t="s">
        <v>438</v>
      </c>
      <c r="B119" s="1">
        <v>43952</v>
      </c>
      <c r="C119" t="s">
        <v>439</v>
      </c>
      <c r="D119" t="s">
        <v>440</v>
      </c>
      <c r="E119">
        <v>34</v>
      </c>
      <c r="F119" t="str">
        <f>IF(Table1[[#This Row],[age]]&lt;=25,"18-25",IF(Table1[[#This Row],[age]]&lt;=35,"26-35",IF(Table1[[#This Row],[age]]&lt;=50,"36-50","51+")))</f>
        <v>26-35</v>
      </c>
      <c r="G119" t="s">
        <v>34</v>
      </c>
      <c r="H119" t="s">
        <v>25</v>
      </c>
      <c r="I119" t="s">
        <v>298</v>
      </c>
      <c r="J119" t="s">
        <v>115</v>
      </c>
      <c r="K119" t="s">
        <v>116</v>
      </c>
      <c r="L119">
        <v>8</v>
      </c>
      <c r="M119">
        <v>74156.479999999996</v>
      </c>
      <c r="N119">
        <v>0.02</v>
      </c>
      <c r="O119">
        <v>789939.57</v>
      </c>
      <c r="P119">
        <v>58250.48</v>
      </c>
      <c r="Q119">
        <v>75.8</v>
      </c>
      <c r="R119" t="s">
        <v>57</v>
      </c>
      <c r="S119">
        <v>5</v>
      </c>
      <c r="T119" t="b">
        <v>0</v>
      </c>
      <c r="U119" t="s">
        <v>30</v>
      </c>
      <c r="V119">
        <v>2</v>
      </c>
    </row>
    <row r="120" spans="1:22" x14ac:dyDescent="0.25">
      <c r="A120" t="s">
        <v>441</v>
      </c>
      <c r="B120" s="1">
        <v>45494</v>
      </c>
      <c r="C120" t="s">
        <v>442</v>
      </c>
      <c r="D120" t="s">
        <v>443</v>
      </c>
      <c r="E120">
        <v>52</v>
      </c>
      <c r="F120" t="str">
        <f>IF(Table1[[#This Row],[age]]&lt;=25,"18-25",IF(Table1[[#This Row],[age]]&lt;=35,"26-35",IF(Table1[[#This Row],[age]]&lt;=50,"36-50","51+")))</f>
        <v>51+</v>
      </c>
      <c r="G120" t="s">
        <v>54</v>
      </c>
      <c r="H120" t="s">
        <v>55</v>
      </c>
      <c r="I120" t="s">
        <v>114</v>
      </c>
      <c r="J120" t="s">
        <v>106</v>
      </c>
      <c r="K120" t="s">
        <v>188</v>
      </c>
      <c r="L120">
        <v>6</v>
      </c>
      <c r="M120">
        <v>462.8</v>
      </c>
      <c r="N120">
        <v>0.2</v>
      </c>
      <c r="O120">
        <v>3702.45</v>
      </c>
      <c r="P120">
        <v>265.27999999999997</v>
      </c>
      <c r="Q120">
        <v>81.010000000000005</v>
      </c>
      <c r="R120" t="s">
        <v>49</v>
      </c>
      <c r="S120">
        <v>4</v>
      </c>
      <c r="T120" t="b">
        <v>0</v>
      </c>
      <c r="U120" t="s">
        <v>30</v>
      </c>
      <c r="V120">
        <v>7</v>
      </c>
    </row>
    <row r="121" spans="1:22" x14ac:dyDescent="0.25">
      <c r="A121" t="s">
        <v>444</v>
      </c>
      <c r="B121" s="1">
        <v>44520</v>
      </c>
      <c r="C121" t="s">
        <v>445</v>
      </c>
      <c r="D121" t="s">
        <v>446</v>
      </c>
      <c r="E121">
        <v>28</v>
      </c>
      <c r="F121" t="str">
        <f>IF(Table1[[#This Row],[age]]&lt;=25,"18-25",IF(Table1[[#This Row],[age]]&lt;=35,"26-35",IF(Table1[[#This Row],[age]]&lt;=50,"36-50","51+")))</f>
        <v>26-35</v>
      </c>
      <c r="G121" t="s">
        <v>24</v>
      </c>
      <c r="H121" t="s">
        <v>61</v>
      </c>
      <c r="I121" t="s">
        <v>91</v>
      </c>
      <c r="J121" t="s">
        <v>63</v>
      </c>
      <c r="K121" t="s">
        <v>152</v>
      </c>
      <c r="L121">
        <v>9</v>
      </c>
      <c r="M121">
        <v>577.16</v>
      </c>
      <c r="N121">
        <v>0.35</v>
      </c>
      <c r="O121">
        <v>2706.28</v>
      </c>
      <c r="P121">
        <v>896.42</v>
      </c>
      <c r="Q121">
        <v>45.41</v>
      </c>
      <c r="R121" t="s">
        <v>65</v>
      </c>
      <c r="S121">
        <v>3</v>
      </c>
      <c r="T121" t="b">
        <v>1</v>
      </c>
      <c r="U121" t="s">
        <v>50</v>
      </c>
      <c r="V121">
        <v>2</v>
      </c>
    </row>
    <row r="122" spans="1:22" x14ac:dyDescent="0.25">
      <c r="A122" t="s">
        <v>447</v>
      </c>
      <c r="B122" s="1">
        <v>45168</v>
      </c>
      <c r="C122" t="s">
        <v>448</v>
      </c>
      <c r="D122" t="s">
        <v>449</v>
      </c>
      <c r="E122">
        <v>42</v>
      </c>
      <c r="F122" t="str">
        <f>IF(Table1[[#This Row],[age]]&lt;=25,"18-25",IF(Table1[[#This Row],[age]]&lt;=35,"26-35",IF(Table1[[#This Row],[age]]&lt;=50,"36-50","51+")))</f>
        <v>36-50</v>
      </c>
      <c r="G122" t="s">
        <v>24</v>
      </c>
      <c r="H122" t="s">
        <v>80</v>
      </c>
      <c r="I122" t="s">
        <v>86</v>
      </c>
      <c r="J122" t="s">
        <v>36</v>
      </c>
      <c r="K122" t="s">
        <v>42</v>
      </c>
      <c r="L122">
        <v>6</v>
      </c>
      <c r="M122">
        <v>21712.77</v>
      </c>
      <c r="N122">
        <v>0.14000000000000001</v>
      </c>
      <c r="O122">
        <v>157859.91</v>
      </c>
      <c r="P122">
        <v>48496.37</v>
      </c>
      <c r="Q122">
        <v>62.68</v>
      </c>
      <c r="R122" t="s">
        <v>43</v>
      </c>
      <c r="S122">
        <v>2</v>
      </c>
      <c r="T122" t="b">
        <v>0</v>
      </c>
      <c r="U122" t="s">
        <v>71</v>
      </c>
      <c r="V122">
        <v>9</v>
      </c>
    </row>
    <row r="123" spans="1:22" x14ac:dyDescent="0.25">
      <c r="A123" t="s">
        <v>450</v>
      </c>
      <c r="B123" s="1">
        <v>44773</v>
      </c>
      <c r="C123" t="s">
        <v>451</v>
      </c>
      <c r="D123" t="s">
        <v>452</v>
      </c>
      <c r="E123">
        <v>47</v>
      </c>
      <c r="F123" t="str">
        <f>IF(Table1[[#This Row],[age]]&lt;=25,"18-25",IF(Table1[[#This Row],[age]]&lt;=35,"26-35",IF(Table1[[#This Row],[age]]&lt;=50,"36-50","51+")))</f>
        <v>36-50</v>
      </c>
      <c r="G123" t="s">
        <v>34</v>
      </c>
      <c r="H123" t="s">
        <v>69</v>
      </c>
      <c r="I123" t="s">
        <v>70</v>
      </c>
      <c r="J123" t="s">
        <v>63</v>
      </c>
      <c r="K123" t="s">
        <v>64</v>
      </c>
      <c r="L123">
        <v>2</v>
      </c>
      <c r="M123">
        <v>3551.33</v>
      </c>
      <c r="N123">
        <v>0.03</v>
      </c>
      <c r="O123">
        <v>9440.7800000000007</v>
      </c>
      <c r="P123">
        <v>3804.23</v>
      </c>
      <c r="Q123">
        <v>97.74</v>
      </c>
      <c r="R123" t="s">
        <v>92</v>
      </c>
      <c r="S123">
        <v>3</v>
      </c>
      <c r="T123" t="b">
        <v>0</v>
      </c>
      <c r="U123" t="s">
        <v>30</v>
      </c>
      <c r="V123">
        <v>8</v>
      </c>
    </row>
    <row r="124" spans="1:22" x14ac:dyDescent="0.25">
      <c r="A124" t="s">
        <v>453</v>
      </c>
      <c r="B124" s="1">
        <v>44561</v>
      </c>
      <c r="C124" t="s">
        <v>454</v>
      </c>
      <c r="D124" t="s">
        <v>455</v>
      </c>
      <c r="E124">
        <v>58</v>
      </c>
      <c r="F124" t="str">
        <f>IF(Table1[[#This Row],[age]]&lt;=25,"18-25",IF(Table1[[#This Row],[age]]&lt;=35,"26-35",IF(Table1[[#This Row],[age]]&lt;=50,"36-50","51+")))</f>
        <v>51+</v>
      </c>
      <c r="G124" t="s">
        <v>24</v>
      </c>
      <c r="H124" t="s">
        <v>25</v>
      </c>
      <c r="I124" t="s">
        <v>26</v>
      </c>
      <c r="J124" t="s">
        <v>101</v>
      </c>
      <c r="K124" t="s">
        <v>456</v>
      </c>
      <c r="L124">
        <v>3</v>
      </c>
      <c r="M124">
        <v>726.67</v>
      </c>
      <c r="N124">
        <v>0.34</v>
      </c>
      <c r="O124">
        <v>1042.72</v>
      </c>
      <c r="P124">
        <v>281.95</v>
      </c>
      <c r="Q124">
        <v>34.18</v>
      </c>
      <c r="R124" t="s">
        <v>49</v>
      </c>
      <c r="S124">
        <v>1</v>
      </c>
      <c r="T124" t="b">
        <v>0</v>
      </c>
      <c r="U124" t="s">
        <v>93</v>
      </c>
      <c r="V124">
        <v>9</v>
      </c>
    </row>
    <row r="125" spans="1:22" x14ac:dyDescent="0.25">
      <c r="A125" t="s">
        <v>457</v>
      </c>
      <c r="B125" s="1">
        <v>45518</v>
      </c>
      <c r="C125" t="s">
        <v>458</v>
      </c>
      <c r="D125" t="s">
        <v>459</v>
      </c>
      <c r="E125">
        <v>48</v>
      </c>
      <c r="F125" t="str">
        <f>IF(Table1[[#This Row],[age]]&lt;=25,"18-25",IF(Table1[[#This Row],[age]]&lt;=35,"26-35",IF(Table1[[#This Row],[age]]&lt;=50,"36-50","51+")))</f>
        <v>36-50</v>
      </c>
      <c r="G125" t="s">
        <v>34</v>
      </c>
      <c r="H125" t="s">
        <v>55</v>
      </c>
      <c r="I125" t="s">
        <v>114</v>
      </c>
      <c r="J125" t="s">
        <v>47</v>
      </c>
      <c r="K125" t="s">
        <v>48</v>
      </c>
      <c r="L125">
        <v>6</v>
      </c>
      <c r="M125">
        <v>797.16</v>
      </c>
      <c r="N125">
        <v>0.34</v>
      </c>
      <c r="O125">
        <v>4735.21</v>
      </c>
      <c r="P125">
        <v>1174.5899999999999</v>
      </c>
      <c r="Q125">
        <v>15.7</v>
      </c>
      <c r="R125" t="s">
        <v>49</v>
      </c>
      <c r="S125">
        <v>4</v>
      </c>
      <c r="T125" t="b">
        <v>0</v>
      </c>
      <c r="U125" t="s">
        <v>93</v>
      </c>
      <c r="V125">
        <v>2</v>
      </c>
    </row>
    <row r="126" spans="1:22" x14ac:dyDescent="0.25">
      <c r="A126" t="s">
        <v>460</v>
      </c>
      <c r="B126" s="1">
        <v>43954</v>
      </c>
      <c r="C126" t="s">
        <v>461</v>
      </c>
      <c r="D126" t="s">
        <v>213</v>
      </c>
      <c r="E126">
        <v>26</v>
      </c>
      <c r="F126" t="str">
        <f>IF(Table1[[#This Row],[age]]&lt;=25,"18-25",IF(Table1[[#This Row],[age]]&lt;=35,"26-35",IF(Table1[[#This Row],[age]]&lt;=50,"36-50","51+")))</f>
        <v>26-35</v>
      </c>
      <c r="G126" t="s">
        <v>24</v>
      </c>
      <c r="H126" t="s">
        <v>61</v>
      </c>
      <c r="I126" t="s">
        <v>163</v>
      </c>
      <c r="J126" t="s">
        <v>47</v>
      </c>
      <c r="K126" t="s">
        <v>272</v>
      </c>
      <c r="L126">
        <v>10</v>
      </c>
      <c r="M126">
        <v>1346.41</v>
      </c>
      <c r="N126">
        <v>0.24</v>
      </c>
      <c r="O126">
        <v>12502.33</v>
      </c>
      <c r="P126">
        <v>5924.88</v>
      </c>
      <c r="Q126">
        <v>55.15</v>
      </c>
      <c r="R126" t="s">
        <v>65</v>
      </c>
      <c r="S126">
        <v>1</v>
      </c>
      <c r="T126" t="b">
        <v>0</v>
      </c>
      <c r="U126" t="s">
        <v>193</v>
      </c>
      <c r="V126">
        <v>2</v>
      </c>
    </row>
    <row r="127" spans="1:22" x14ac:dyDescent="0.25">
      <c r="A127" t="s">
        <v>462</v>
      </c>
      <c r="B127" s="1">
        <v>45458</v>
      </c>
      <c r="C127" t="s">
        <v>463</v>
      </c>
      <c r="D127" t="s">
        <v>281</v>
      </c>
      <c r="E127">
        <v>31</v>
      </c>
      <c r="F127" t="str">
        <f>IF(Table1[[#This Row],[age]]&lt;=25,"18-25",IF(Table1[[#This Row],[age]]&lt;=35,"26-35",IF(Table1[[#This Row],[age]]&lt;=50,"36-50","51+")))</f>
        <v>26-35</v>
      </c>
      <c r="G127" t="s">
        <v>54</v>
      </c>
      <c r="H127" t="s">
        <v>61</v>
      </c>
      <c r="I127" t="s">
        <v>141</v>
      </c>
      <c r="J127" t="s">
        <v>63</v>
      </c>
      <c r="K127" t="s">
        <v>152</v>
      </c>
      <c r="L127">
        <v>10</v>
      </c>
      <c r="M127">
        <v>1828.09</v>
      </c>
      <c r="N127">
        <v>0.4</v>
      </c>
      <c r="O127">
        <v>18651.13</v>
      </c>
      <c r="P127">
        <v>4543.72</v>
      </c>
      <c r="Q127">
        <v>54.66</v>
      </c>
      <c r="R127" t="s">
        <v>65</v>
      </c>
      <c r="S127">
        <v>5</v>
      </c>
      <c r="T127" t="b">
        <v>0</v>
      </c>
      <c r="U127" t="s">
        <v>30</v>
      </c>
      <c r="V127">
        <v>10</v>
      </c>
    </row>
    <row r="128" spans="1:22" x14ac:dyDescent="0.25">
      <c r="A128" t="s">
        <v>464</v>
      </c>
      <c r="B128" s="1">
        <v>45019</v>
      </c>
      <c r="C128" t="s">
        <v>465</v>
      </c>
      <c r="D128" t="s">
        <v>387</v>
      </c>
      <c r="E128">
        <v>30</v>
      </c>
      <c r="F128" t="str">
        <f>IF(Table1[[#This Row],[age]]&lt;=25,"18-25",IF(Table1[[#This Row],[age]]&lt;=35,"26-35",IF(Table1[[#This Row],[age]]&lt;=50,"36-50","51+")))</f>
        <v>26-35</v>
      </c>
      <c r="G128" t="s">
        <v>34</v>
      </c>
      <c r="H128" t="s">
        <v>69</v>
      </c>
      <c r="I128" t="s">
        <v>181</v>
      </c>
      <c r="J128" t="s">
        <v>47</v>
      </c>
      <c r="K128" t="s">
        <v>272</v>
      </c>
      <c r="L128">
        <v>10</v>
      </c>
      <c r="M128">
        <v>1221.02</v>
      </c>
      <c r="N128">
        <v>0.17</v>
      </c>
      <c r="O128">
        <v>15191.82</v>
      </c>
      <c r="P128">
        <v>5083.3</v>
      </c>
      <c r="Q128">
        <v>86.46</v>
      </c>
      <c r="R128" t="s">
        <v>43</v>
      </c>
      <c r="S128">
        <v>5</v>
      </c>
      <c r="T128" t="b">
        <v>0</v>
      </c>
      <c r="U128" t="s">
        <v>193</v>
      </c>
      <c r="V128">
        <v>4</v>
      </c>
    </row>
    <row r="129" spans="1:22" x14ac:dyDescent="0.25">
      <c r="A129" t="s">
        <v>466</v>
      </c>
      <c r="B129" s="1">
        <v>45077</v>
      </c>
      <c r="C129" t="s">
        <v>467</v>
      </c>
      <c r="D129" t="s">
        <v>468</v>
      </c>
      <c r="E129">
        <v>58</v>
      </c>
      <c r="F129" t="str">
        <f>IF(Table1[[#This Row],[age]]&lt;=25,"18-25",IF(Table1[[#This Row],[age]]&lt;=35,"26-35",IF(Table1[[#This Row],[age]]&lt;=50,"36-50","51+")))</f>
        <v>51+</v>
      </c>
      <c r="G129" t="s">
        <v>54</v>
      </c>
      <c r="H129" t="s">
        <v>80</v>
      </c>
      <c r="I129" t="s">
        <v>236</v>
      </c>
      <c r="J129" t="s">
        <v>115</v>
      </c>
      <c r="K129" t="s">
        <v>137</v>
      </c>
      <c r="L129">
        <v>5</v>
      </c>
      <c r="M129">
        <v>26851.1</v>
      </c>
      <c r="N129">
        <v>0.03</v>
      </c>
      <c r="O129">
        <v>218111.79</v>
      </c>
      <c r="P129">
        <v>24902.1</v>
      </c>
      <c r="Q129">
        <v>72.55</v>
      </c>
      <c r="R129" t="s">
        <v>65</v>
      </c>
      <c r="S129">
        <v>2</v>
      </c>
      <c r="T129" t="b">
        <v>0</v>
      </c>
      <c r="U129" t="s">
        <v>30</v>
      </c>
      <c r="V129">
        <v>2</v>
      </c>
    </row>
    <row r="130" spans="1:22" x14ac:dyDescent="0.25">
      <c r="A130" t="s">
        <v>469</v>
      </c>
      <c r="B130" s="1">
        <v>44144</v>
      </c>
      <c r="C130" t="s">
        <v>470</v>
      </c>
      <c r="D130" t="s">
        <v>471</v>
      </c>
      <c r="E130">
        <v>31</v>
      </c>
      <c r="F130" t="str">
        <f>IF(Table1[[#This Row],[age]]&lt;=25,"18-25",IF(Table1[[#This Row],[age]]&lt;=35,"26-35",IF(Table1[[#This Row],[age]]&lt;=50,"36-50","51+")))</f>
        <v>26-35</v>
      </c>
      <c r="G130" t="s">
        <v>24</v>
      </c>
      <c r="H130" t="s">
        <v>61</v>
      </c>
      <c r="I130" t="s">
        <v>91</v>
      </c>
      <c r="J130" t="s">
        <v>27</v>
      </c>
      <c r="K130" t="s">
        <v>128</v>
      </c>
      <c r="L130">
        <v>10</v>
      </c>
      <c r="M130">
        <v>1973.78</v>
      </c>
      <c r="N130">
        <v>7.0000000000000007E-2</v>
      </c>
      <c r="O130">
        <v>14584.96</v>
      </c>
      <c r="P130">
        <v>5325.39</v>
      </c>
      <c r="Q130">
        <v>34.79</v>
      </c>
      <c r="R130" t="s">
        <v>57</v>
      </c>
      <c r="S130">
        <v>4</v>
      </c>
      <c r="T130" t="b">
        <v>0</v>
      </c>
      <c r="U130" t="s">
        <v>30</v>
      </c>
      <c r="V130">
        <v>8</v>
      </c>
    </row>
    <row r="131" spans="1:22" x14ac:dyDescent="0.25">
      <c r="A131" t="s">
        <v>472</v>
      </c>
      <c r="B131" s="1">
        <v>45107</v>
      </c>
      <c r="C131" t="s">
        <v>473</v>
      </c>
      <c r="D131" t="s">
        <v>474</v>
      </c>
      <c r="E131">
        <v>28</v>
      </c>
      <c r="F131" t="str">
        <f>IF(Table1[[#This Row],[age]]&lt;=25,"18-25",IF(Table1[[#This Row],[age]]&lt;=35,"26-35",IF(Table1[[#This Row],[age]]&lt;=50,"36-50","51+")))</f>
        <v>26-35</v>
      </c>
      <c r="G131" t="s">
        <v>34</v>
      </c>
      <c r="H131" t="s">
        <v>69</v>
      </c>
      <c r="I131" t="s">
        <v>136</v>
      </c>
      <c r="J131" t="s">
        <v>36</v>
      </c>
      <c r="K131" t="s">
        <v>42</v>
      </c>
      <c r="L131">
        <v>9</v>
      </c>
      <c r="M131">
        <v>12800.64</v>
      </c>
      <c r="N131">
        <v>0.3</v>
      </c>
      <c r="O131">
        <v>120310.49</v>
      </c>
      <c r="P131">
        <v>28867.05</v>
      </c>
      <c r="Q131">
        <v>77.17</v>
      </c>
      <c r="R131" t="s">
        <v>49</v>
      </c>
      <c r="S131">
        <v>5</v>
      </c>
      <c r="T131" t="b">
        <v>0</v>
      </c>
      <c r="U131" t="s">
        <v>30</v>
      </c>
      <c r="V131">
        <v>7</v>
      </c>
    </row>
    <row r="132" spans="1:22" x14ac:dyDescent="0.25">
      <c r="A132" t="s">
        <v>475</v>
      </c>
      <c r="B132" s="1">
        <v>44048</v>
      </c>
      <c r="C132" t="s">
        <v>476</v>
      </c>
      <c r="D132" t="s">
        <v>477</v>
      </c>
      <c r="E132">
        <v>43</v>
      </c>
      <c r="F132" t="str">
        <f>IF(Table1[[#This Row],[age]]&lt;=25,"18-25",IF(Table1[[#This Row],[age]]&lt;=35,"26-35",IF(Table1[[#This Row],[age]]&lt;=50,"36-50","51+")))</f>
        <v>36-50</v>
      </c>
      <c r="G132" t="s">
        <v>34</v>
      </c>
      <c r="H132" t="s">
        <v>61</v>
      </c>
      <c r="I132" t="s">
        <v>91</v>
      </c>
      <c r="J132" t="s">
        <v>115</v>
      </c>
      <c r="K132" t="s">
        <v>116</v>
      </c>
      <c r="L132">
        <v>5</v>
      </c>
      <c r="M132">
        <v>16919.29</v>
      </c>
      <c r="N132">
        <v>0.06</v>
      </c>
      <c r="O132">
        <v>117489.88</v>
      </c>
      <c r="P132">
        <v>14930.93</v>
      </c>
      <c r="Q132">
        <v>59.99</v>
      </c>
      <c r="R132" t="s">
        <v>65</v>
      </c>
      <c r="S132">
        <v>5</v>
      </c>
      <c r="T132" t="b">
        <v>1</v>
      </c>
      <c r="U132" t="s">
        <v>50</v>
      </c>
      <c r="V132">
        <v>10</v>
      </c>
    </row>
    <row r="133" spans="1:22" x14ac:dyDescent="0.25">
      <c r="A133" t="s">
        <v>478</v>
      </c>
      <c r="B133" s="1">
        <v>45100</v>
      </c>
      <c r="C133" t="s">
        <v>479</v>
      </c>
      <c r="D133" t="s">
        <v>227</v>
      </c>
      <c r="E133">
        <v>36</v>
      </c>
      <c r="F133" t="str">
        <f>IF(Table1[[#This Row],[age]]&lt;=25,"18-25",IF(Table1[[#This Row],[age]]&lt;=35,"26-35",IF(Table1[[#This Row],[age]]&lt;=50,"36-50","51+")))</f>
        <v>36-50</v>
      </c>
      <c r="G133" t="s">
        <v>34</v>
      </c>
      <c r="H133" t="s">
        <v>25</v>
      </c>
      <c r="I133" t="s">
        <v>35</v>
      </c>
      <c r="J133" t="s">
        <v>27</v>
      </c>
      <c r="K133" t="s">
        <v>480</v>
      </c>
      <c r="L133">
        <v>8</v>
      </c>
      <c r="M133">
        <v>1976.85</v>
      </c>
      <c r="N133">
        <v>0.3</v>
      </c>
      <c r="O133">
        <v>17609.099999999999</v>
      </c>
      <c r="P133">
        <v>8544.51</v>
      </c>
      <c r="Q133">
        <v>81.44</v>
      </c>
      <c r="R133" t="s">
        <v>29</v>
      </c>
      <c r="S133">
        <v>4</v>
      </c>
      <c r="T133" t="b">
        <v>0</v>
      </c>
      <c r="U133" t="s">
        <v>30</v>
      </c>
      <c r="V133">
        <v>6</v>
      </c>
    </row>
    <row r="134" spans="1:22" x14ac:dyDescent="0.25">
      <c r="A134" t="s">
        <v>481</v>
      </c>
      <c r="B134" s="1">
        <v>44065</v>
      </c>
      <c r="C134" t="s">
        <v>482</v>
      </c>
      <c r="D134" t="s">
        <v>262</v>
      </c>
      <c r="E134">
        <v>29</v>
      </c>
      <c r="F134" t="str">
        <f>IF(Table1[[#This Row],[age]]&lt;=25,"18-25",IF(Table1[[#This Row],[age]]&lt;=35,"26-35",IF(Table1[[#This Row],[age]]&lt;=50,"36-50","51+")))</f>
        <v>26-35</v>
      </c>
      <c r="G134" t="s">
        <v>24</v>
      </c>
      <c r="H134" t="s">
        <v>69</v>
      </c>
      <c r="I134" t="s">
        <v>70</v>
      </c>
      <c r="J134" t="s">
        <v>27</v>
      </c>
      <c r="K134" t="s">
        <v>192</v>
      </c>
      <c r="L134">
        <v>1</v>
      </c>
      <c r="M134">
        <v>357.7</v>
      </c>
      <c r="N134">
        <v>0.24</v>
      </c>
      <c r="O134">
        <v>286.61</v>
      </c>
      <c r="P134">
        <v>137.44999999999999</v>
      </c>
      <c r="Q134">
        <v>95.23</v>
      </c>
      <c r="R134" t="s">
        <v>57</v>
      </c>
      <c r="S134">
        <v>3</v>
      </c>
      <c r="T134" t="b">
        <v>0</v>
      </c>
      <c r="U134" t="s">
        <v>30</v>
      </c>
      <c r="V134">
        <v>1</v>
      </c>
    </row>
    <row r="135" spans="1:22" x14ac:dyDescent="0.25">
      <c r="A135" t="s">
        <v>483</v>
      </c>
      <c r="B135" s="1">
        <v>44680</v>
      </c>
      <c r="C135" t="s">
        <v>484</v>
      </c>
      <c r="D135" t="s">
        <v>485</v>
      </c>
      <c r="E135">
        <v>28</v>
      </c>
      <c r="F135" t="str">
        <f>IF(Table1[[#This Row],[age]]&lt;=25,"18-25",IF(Table1[[#This Row],[age]]&lt;=35,"26-35",IF(Table1[[#This Row],[age]]&lt;=50,"36-50","51+")))</f>
        <v>26-35</v>
      </c>
      <c r="G135" t="s">
        <v>24</v>
      </c>
      <c r="H135" t="s">
        <v>25</v>
      </c>
      <c r="I135" t="s">
        <v>26</v>
      </c>
      <c r="J135" t="s">
        <v>106</v>
      </c>
      <c r="K135" t="s">
        <v>188</v>
      </c>
      <c r="L135">
        <v>10</v>
      </c>
      <c r="M135">
        <v>321.33999999999997</v>
      </c>
      <c r="N135">
        <v>0.16</v>
      </c>
      <c r="O135">
        <v>4232.71</v>
      </c>
      <c r="P135">
        <v>408.89</v>
      </c>
      <c r="Q135">
        <v>47.89</v>
      </c>
      <c r="R135" t="s">
        <v>57</v>
      </c>
      <c r="S135">
        <v>1</v>
      </c>
      <c r="T135" t="b">
        <v>0</v>
      </c>
      <c r="U135" t="s">
        <v>30</v>
      </c>
      <c r="V135">
        <v>9</v>
      </c>
    </row>
    <row r="136" spans="1:22" x14ac:dyDescent="0.25">
      <c r="A136" t="s">
        <v>486</v>
      </c>
      <c r="B136" s="1">
        <v>45560</v>
      </c>
      <c r="C136" t="s">
        <v>487</v>
      </c>
      <c r="D136" t="s">
        <v>85</v>
      </c>
      <c r="E136">
        <v>27</v>
      </c>
      <c r="F136" t="str">
        <f>IF(Table1[[#This Row],[age]]&lt;=25,"18-25",IF(Table1[[#This Row],[age]]&lt;=35,"26-35",IF(Table1[[#This Row],[age]]&lt;=50,"36-50","51+")))</f>
        <v>26-35</v>
      </c>
      <c r="G136" t="s">
        <v>34</v>
      </c>
      <c r="H136" t="s">
        <v>61</v>
      </c>
      <c r="I136" t="s">
        <v>62</v>
      </c>
      <c r="J136" t="s">
        <v>63</v>
      </c>
      <c r="K136" t="s">
        <v>82</v>
      </c>
      <c r="L136">
        <v>1</v>
      </c>
      <c r="M136">
        <v>2472.06</v>
      </c>
      <c r="N136">
        <v>0.23</v>
      </c>
      <c r="O136">
        <v>2559.11</v>
      </c>
      <c r="P136">
        <v>756.36</v>
      </c>
      <c r="Q136">
        <v>57.21</v>
      </c>
      <c r="R136" t="s">
        <v>92</v>
      </c>
      <c r="S136">
        <v>5</v>
      </c>
      <c r="T136" t="b">
        <v>0</v>
      </c>
      <c r="U136" t="s">
        <v>30</v>
      </c>
      <c r="V136">
        <v>10</v>
      </c>
    </row>
    <row r="137" spans="1:22" x14ac:dyDescent="0.25">
      <c r="A137" t="s">
        <v>488</v>
      </c>
      <c r="B137" s="1">
        <v>45075</v>
      </c>
      <c r="C137" t="s">
        <v>489</v>
      </c>
      <c r="D137" t="s">
        <v>490</v>
      </c>
      <c r="E137">
        <v>28</v>
      </c>
      <c r="F137" t="str">
        <f>IF(Table1[[#This Row],[age]]&lt;=25,"18-25",IF(Table1[[#This Row],[age]]&lt;=35,"26-35",IF(Table1[[#This Row],[age]]&lt;=50,"36-50","51+")))</f>
        <v>26-35</v>
      </c>
      <c r="G137" t="s">
        <v>54</v>
      </c>
      <c r="H137" t="s">
        <v>61</v>
      </c>
      <c r="I137" t="s">
        <v>141</v>
      </c>
      <c r="J137" t="s">
        <v>36</v>
      </c>
      <c r="K137" t="s">
        <v>42</v>
      </c>
      <c r="L137">
        <v>4</v>
      </c>
      <c r="M137">
        <v>25915.33</v>
      </c>
      <c r="N137">
        <v>0.11</v>
      </c>
      <c r="O137">
        <v>132743.41</v>
      </c>
      <c r="P137">
        <v>29427.55</v>
      </c>
      <c r="Q137">
        <v>58.32</v>
      </c>
      <c r="R137" t="s">
        <v>29</v>
      </c>
      <c r="S137">
        <v>5</v>
      </c>
      <c r="T137" t="b">
        <v>0</v>
      </c>
      <c r="U137" t="s">
        <v>30</v>
      </c>
      <c r="V137">
        <v>10</v>
      </c>
    </row>
    <row r="138" spans="1:22" x14ac:dyDescent="0.25">
      <c r="A138" t="s">
        <v>491</v>
      </c>
      <c r="B138" s="1">
        <v>44004</v>
      </c>
      <c r="C138" t="s">
        <v>492</v>
      </c>
      <c r="D138" t="s">
        <v>493</v>
      </c>
      <c r="E138">
        <v>32</v>
      </c>
      <c r="F138" t="str">
        <f>IF(Table1[[#This Row],[age]]&lt;=25,"18-25",IF(Table1[[#This Row],[age]]&lt;=35,"26-35",IF(Table1[[#This Row],[age]]&lt;=50,"36-50","51+")))</f>
        <v>26-35</v>
      </c>
      <c r="G138" t="s">
        <v>34</v>
      </c>
      <c r="H138" t="s">
        <v>61</v>
      </c>
      <c r="I138" t="s">
        <v>91</v>
      </c>
      <c r="J138" t="s">
        <v>63</v>
      </c>
      <c r="K138" t="s">
        <v>111</v>
      </c>
      <c r="L138">
        <v>7</v>
      </c>
      <c r="M138">
        <v>2701.8</v>
      </c>
      <c r="N138">
        <v>0.09</v>
      </c>
      <c r="O138">
        <v>22364.16</v>
      </c>
      <c r="P138">
        <v>8609.23</v>
      </c>
      <c r="Q138">
        <v>56.32</v>
      </c>
      <c r="R138" t="s">
        <v>49</v>
      </c>
      <c r="S138">
        <v>5</v>
      </c>
      <c r="T138" t="b">
        <v>1</v>
      </c>
      <c r="U138" t="s">
        <v>50</v>
      </c>
      <c r="V138">
        <v>2</v>
      </c>
    </row>
    <row r="139" spans="1:22" x14ac:dyDescent="0.25">
      <c r="A139" t="s">
        <v>494</v>
      </c>
      <c r="B139" s="1">
        <v>45462</v>
      </c>
      <c r="C139" t="s">
        <v>495</v>
      </c>
      <c r="D139" t="s">
        <v>496</v>
      </c>
      <c r="E139">
        <v>28</v>
      </c>
      <c r="F139" t="str">
        <f>IF(Table1[[#This Row],[age]]&lt;=25,"18-25",IF(Table1[[#This Row],[age]]&lt;=35,"26-35",IF(Table1[[#This Row],[age]]&lt;=50,"36-50","51+")))</f>
        <v>26-35</v>
      </c>
      <c r="G139" t="s">
        <v>34</v>
      </c>
      <c r="H139" t="s">
        <v>69</v>
      </c>
      <c r="I139" t="s">
        <v>221</v>
      </c>
      <c r="J139" t="s">
        <v>63</v>
      </c>
      <c r="K139" t="s">
        <v>87</v>
      </c>
      <c r="L139">
        <v>4</v>
      </c>
      <c r="M139">
        <v>2577.39</v>
      </c>
      <c r="N139">
        <v>0.11</v>
      </c>
      <c r="O139">
        <v>15407.9</v>
      </c>
      <c r="P139">
        <v>5412.09</v>
      </c>
      <c r="Q139">
        <v>58.52</v>
      </c>
      <c r="R139" t="s">
        <v>65</v>
      </c>
      <c r="S139">
        <v>2</v>
      </c>
      <c r="T139" t="b">
        <v>0</v>
      </c>
      <c r="U139" t="s">
        <v>30</v>
      </c>
      <c r="V139">
        <v>1</v>
      </c>
    </row>
    <row r="140" spans="1:22" x14ac:dyDescent="0.25">
      <c r="A140" t="s">
        <v>497</v>
      </c>
      <c r="B140" s="1">
        <v>45203</v>
      </c>
      <c r="C140" t="s">
        <v>498</v>
      </c>
      <c r="D140" t="s">
        <v>499</v>
      </c>
      <c r="E140">
        <v>45</v>
      </c>
      <c r="F140" t="str">
        <f>IF(Table1[[#This Row],[age]]&lt;=25,"18-25",IF(Table1[[#This Row],[age]]&lt;=35,"26-35",IF(Table1[[#This Row],[age]]&lt;=50,"36-50","51+")))</f>
        <v>36-50</v>
      </c>
      <c r="G140" t="s">
        <v>24</v>
      </c>
      <c r="H140" t="s">
        <v>25</v>
      </c>
      <c r="I140" t="s">
        <v>35</v>
      </c>
      <c r="J140" t="s">
        <v>106</v>
      </c>
      <c r="K140" t="s">
        <v>247</v>
      </c>
      <c r="L140">
        <v>4</v>
      </c>
      <c r="M140">
        <v>309.85000000000002</v>
      </c>
      <c r="N140">
        <v>0.04</v>
      </c>
      <c r="O140">
        <v>1375.7</v>
      </c>
      <c r="P140">
        <v>128.93</v>
      </c>
      <c r="Q140">
        <v>73.63</v>
      </c>
      <c r="R140" t="s">
        <v>65</v>
      </c>
      <c r="S140">
        <v>4</v>
      </c>
      <c r="T140" t="b">
        <v>1</v>
      </c>
      <c r="U140" t="s">
        <v>50</v>
      </c>
      <c r="V140">
        <v>5</v>
      </c>
    </row>
    <row r="141" spans="1:22" x14ac:dyDescent="0.25">
      <c r="A141" t="s">
        <v>500</v>
      </c>
      <c r="B141" s="1">
        <v>44171</v>
      </c>
      <c r="C141" t="s">
        <v>501</v>
      </c>
      <c r="D141" t="s">
        <v>502</v>
      </c>
      <c r="E141">
        <v>33</v>
      </c>
      <c r="F141" t="str">
        <f>IF(Table1[[#This Row],[age]]&lt;=25,"18-25",IF(Table1[[#This Row],[age]]&lt;=35,"26-35",IF(Table1[[#This Row],[age]]&lt;=50,"36-50","51+")))</f>
        <v>26-35</v>
      </c>
      <c r="G141" t="s">
        <v>34</v>
      </c>
      <c r="H141" t="s">
        <v>55</v>
      </c>
      <c r="I141" t="s">
        <v>97</v>
      </c>
      <c r="J141" t="s">
        <v>63</v>
      </c>
      <c r="K141" t="s">
        <v>82</v>
      </c>
      <c r="L141">
        <v>8</v>
      </c>
      <c r="M141">
        <v>2574.11</v>
      </c>
      <c r="N141">
        <v>0.12</v>
      </c>
      <c r="O141">
        <v>12273.11</v>
      </c>
      <c r="P141">
        <v>5629.65</v>
      </c>
      <c r="Q141">
        <v>67.94</v>
      </c>
      <c r="R141" t="s">
        <v>57</v>
      </c>
      <c r="S141">
        <v>5</v>
      </c>
      <c r="T141" t="b">
        <v>1</v>
      </c>
      <c r="U141" t="s">
        <v>50</v>
      </c>
      <c r="V141">
        <v>10</v>
      </c>
    </row>
    <row r="142" spans="1:22" x14ac:dyDescent="0.25">
      <c r="A142" t="s">
        <v>503</v>
      </c>
      <c r="B142" s="1">
        <v>43851</v>
      </c>
      <c r="C142" t="s">
        <v>504</v>
      </c>
      <c r="D142" t="s">
        <v>505</v>
      </c>
      <c r="E142">
        <v>33</v>
      </c>
      <c r="F142" t="str">
        <f>IF(Table1[[#This Row],[age]]&lt;=25,"18-25",IF(Table1[[#This Row],[age]]&lt;=35,"26-35",IF(Table1[[#This Row],[age]]&lt;=50,"36-50","51+")))</f>
        <v>26-35</v>
      </c>
      <c r="G142" t="s">
        <v>34</v>
      </c>
      <c r="H142" t="s">
        <v>69</v>
      </c>
      <c r="I142" t="s">
        <v>136</v>
      </c>
      <c r="J142" t="s">
        <v>27</v>
      </c>
      <c r="K142" t="s">
        <v>192</v>
      </c>
      <c r="L142">
        <v>9</v>
      </c>
      <c r="M142">
        <v>1931.61</v>
      </c>
      <c r="N142">
        <v>0.35</v>
      </c>
      <c r="O142">
        <v>10532.18</v>
      </c>
      <c r="P142">
        <v>5257.88</v>
      </c>
      <c r="Q142">
        <v>98.73</v>
      </c>
      <c r="R142" t="s">
        <v>92</v>
      </c>
      <c r="S142">
        <v>5</v>
      </c>
      <c r="T142" t="b">
        <v>0</v>
      </c>
      <c r="U142" t="s">
        <v>30</v>
      </c>
      <c r="V142">
        <v>3</v>
      </c>
    </row>
    <row r="143" spans="1:22" x14ac:dyDescent="0.25">
      <c r="A143" t="s">
        <v>506</v>
      </c>
      <c r="B143" s="1">
        <v>44470</v>
      </c>
      <c r="C143" t="s">
        <v>507</v>
      </c>
      <c r="D143" t="s">
        <v>224</v>
      </c>
      <c r="E143">
        <v>52</v>
      </c>
      <c r="F143" t="str">
        <f>IF(Table1[[#This Row],[age]]&lt;=25,"18-25",IF(Table1[[#This Row],[age]]&lt;=35,"26-35",IF(Table1[[#This Row],[age]]&lt;=50,"36-50","51+")))</f>
        <v>51+</v>
      </c>
      <c r="G143" t="s">
        <v>24</v>
      </c>
      <c r="H143" t="s">
        <v>55</v>
      </c>
      <c r="I143" t="s">
        <v>75</v>
      </c>
      <c r="J143" t="s">
        <v>101</v>
      </c>
      <c r="K143" t="s">
        <v>214</v>
      </c>
      <c r="L143">
        <v>3</v>
      </c>
      <c r="M143">
        <v>13585.06</v>
      </c>
      <c r="N143">
        <v>0.33</v>
      </c>
      <c r="O143">
        <v>26055.86</v>
      </c>
      <c r="P143">
        <v>5488.23</v>
      </c>
      <c r="Q143">
        <v>62.01</v>
      </c>
      <c r="R143" t="s">
        <v>43</v>
      </c>
      <c r="S143">
        <v>5</v>
      </c>
      <c r="T143" t="b">
        <v>0</v>
      </c>
      <c r="U143" t="s">
        <v>71</v>
      </c>
      <c r="V143">
        <v>2</v>
      </c>
    </row>
    <row r="144" spans="1:22" x14ac:dyDescent="0.25">
      <c r="A144" t="s">
        <v>508</v>
      </c>
      <c r="B144" s="1">
        <v>44862</v>
      </c>
      <c r="C144" t="s">
        <v>509</v>
      </c>
      <c r="D144" t="s">
        <v>510</v>
      </c>
      <c r="E144">
        <v>48</v>
      </c>
      <c r="F144" t="str">
        <f>IF(Table1[[#This Row],[age]]&lt;=25,"18-25",IF(Table1[[#This Row],[age]]&lt;=35,"26-35",IF(Table1[[#This Row],[age]]&lt;=50,"36-50","51+")))</f>
        <v>36-50</v>
      </c>
      <c r="G144" t="s">
        <v>54</v>
      </c>
      <c r="H144" t="s">
        <v>25</v>
      </c>
      <c r="I144" t="s">
        <v>298</v>
      </c>
      <c r="J144" t="s">
        <v>101</v>
      </c>
      <c r="K144" t="s">
        <v>318</v>
      </c>
      <c r="L144">
        <v>1</v>
      </c>
      <c r="M144">
        <v>14172.12</v>
      </c>
      <c r="N144">
        <v>0.14000000000000001</v>
      </c>
      <c r="O144">
        <v>12312.75</v>
      </c>
      <c r="P144">
        <v>2055.13</v>
      </c>
      <c r="Q144">
        <v>79.52</v>
      </c>
      <c r="R144" t="s">
        <v>43</v>
      </c>
      <c r="S144">
        <v>5</v>
      </c>
      <c r="T144" t="b">
        <v>0</v>
      </c>
      <c r="U144" t="s">
        <v>30</v>
      </c>
      <c r="V144">
        <v>6</v>
      </c>
    </row>
    <row r="145" spans="1:22" x14ac:dyDescent="0.25">
      <c r="A145" t="s">
        <v>511</v>
      </c>
      <c r="B145" s="1">
        <v>44099</v>
      </c>
      <c r="C145" t="s">
        <v>512</v>
      </c>
      <c r="D145" t="s">
        <v>513</v>
      </c>
      <c r="E145">
        <v>53</v>
      </c>
      <c r="F145" t="str">
        <f>IF(Table1[[#This Row],[age]]&lt;=25,"18-25",IF(Table1[[#This Row],[age]]&lt;=35,"26-35",IF(Table1[[#This Row],[age]]&lt;=50,"36-50","51+")))</f>
        <v>51+</v>
      </c>
      <c r="G145" t="s">
        <v>24</v>
      </c>
      <c r="H145" t="s">
        <v>80</v>
      </c>
      <c r="I145" t="s">
        <v>86</v>
      </c>
      <c r="J145" t="s">
        <v>47</v>
      </c>
      <c r="K145" t="s">
        <v>272</v>
      </c>
      <c r="L145">
        <v>7</v>
      </c>
      <c r="M145">
        <v>298.01</v>
      </c>
      <c r="N145">
        <v>0.2</v>
      </c>
      <c r="O145">
        <v>1735.77</v>
      </c>
      <c r="P145">
        <v>683.51</v>
      </c>
      <c r="Q145">
        <v>71.67</v>
      </c>
      <c r="R145" t="s">
        <v>43</v>
      </c>
      <c r="S145">
        <v>2</v>
      </c>
      <c r="T145" t="b">
        <v>1</v>
      </c>
      <c r="U145" t="s">
        <v>50</v>
      </c>
      <c r="V145">
        <v>2</v>
      </c>
    </row>
    <row r="146" spans="1:22" x14ac:dyDescent="0.25">
      <c r="A146" t="s">
        <v>514</v>
      </c>
      <c r="B146" s="1">
        <v>43978</v>
      </c>
      <c r="C146" t="s">
        <v>515</v>
      </c>
      <c r="D146" t="s">
        <v>516</v>
      </c>
      <c r="E146">
        <v>28</v>
      </c>
      <c r="F146" t="str">
        <f>IF(Table1[[#This Row],[age]]&lt;=25,"18-25",IF(Table1[[#This Row],[age]]&lt;=35,"26-35",IF(Table1[[#This Row],[age]]&lt;=50,"36-50","51+")))</f>
        <v>26-35</v>
      </c>
      <c r="G146" t="s">
        <v>34</v>
      </c>
      <c r="H146" t="s">
        <v>25</v>
      </c>
      <c r="I146" t="s">
        <v>298</v>
      </c>
      <c r="J146" t="s">
        <v>36</v>
      </c>
      <c r="K146" t="s">
        <v>76</v>
      </c>
      <c r="L146">
        <v>10</v>
      </c>
      <c r="M146">
        <v>2690.93</v>
      </c>
      <c r="N146">
        <v>0.35</v>
      </c>
      <c r="O146">
        <v>23373.24</v>
      </c>
      <c r="P146">
        <v>7410.64</v>
      </c>
      <c r="Q146">
        <v>43.86</v>
      </c>
      <c r="R146" t="s">
        <v>65</v>
      </c>
      <c r="S146">
        <v>4</v>
      </c>
      <c r="T146" t="b">
        <v>1</v>
      </c>
      <c r="U146" t="s">
        <v>50</v>
      </c>
      <c r="V146">
        <v>4</v>
      </c>
    </row>
    <row r="147" spans="1:22" x14ac:dyDescent="0.25">
      <c r="A147" t="s">
        <v>517</v>
      </c>
      <c r="B147" s="1">
        <v>44414</v>
      </c>
      <c r="C147" t="s">
        <v>518</v>
      </c>
      <c r="D147" t="s">
        <v>519</v>
      </c>
      <c r="E147">
        <v>21</v>
      </c>
      <c r="F147" t="str">
        <f>IF(Table1[[#This Row],[age]]&lt;=25,"18-25",IF(Table1[[#This Row],[age]]&lt;=35,"26-35",IF(Table1[[#This Row],[age]]&lt;=50,"36-50","51+")))</f>
        <v>18-25</v>
      </c>
      <c r="G147" t="s">
        <v>54</v>
      </c>
      <c r="H147" t="s">
        <v>25</v>
      </c>
      <c r="I147" t="s">
        <v>35</v>
      </c>
      <c r="J147" t="s">
        <v>27</v>
      </c>
      <c r="K147" t="s">
        <v>192</v>
      </c>
      <c r="L147">
        <v>3</v>
      </c>
      <c r="M147">
        <v>1302.9000000000001</v>
      </c>
      <c r="N147">
        <v>0.23</v>
      </c>
      <c r="O147">
        <v>4258.29</v>
      </c>
      <c r="P147">
        <v>1724.59</v>
      </c>
      <c r="Q147">
        <v>82.26</v>
      </c>
      <c r="R147" t="s">
        <v>65</v>
      </c>
      <c r="S147">
        <v>2</v>
      </c>
      <c r="T147" t="b">
        <v>0</v>
      </c>
      <c r="U147" t="s">
        <v>71</v>
      </c>
      <c r="V147">
        <v>5</v>
      </c>
    </row>
    <row r="148" spans="1:22" x14ac:dyDescent="0.25">
      <c r="A148" t="s">
        <v>520</v>
      </c>
      <c r="B148" s="1">
        <v>45300</v>
      </c>
      <c r="C148" t="s">
        <v>521</v>
      </c>
      <c r="D148" t="s">
        <v>522</v>
      </c>
      <c r="E148">
        <v>26</v>
      </c>
      <c r="F148" t="str">
        <f>IF(Table1[[#This Row],[age]]&lt;=25,"18-25",IF(Table1[[#This Row],[age]]&lt;=35,"26-35",IF(Table1[[#This Row],[age]]&lt;=50,"36-50","51+")))</f>
        <v>26-35</v>
      </c>
      <c r="G148" t="s">
        <v>24</v>
      </c>
      <c r="H148" t="s">
        <v>61</v>
      </c>
      <c r="I148" t="s">
        <v>163</v>
      </c>
      <c r="J148" t="s">
        <v>115</v>
      </c>
      <c r="K148" t="s">
        <v>398</v>
      </c>
      <c r="L148">
        <v>4</v>
      </c>
      <c r="M148">
        <v>13215.16</v>
      </c>
      <c r="N148">
        <v>0.15</v>
      </c>
      <c r="O148">
        <v>41177.25</v>
      </c>
      <c r="P148">
        <v>3874.92</v>
      </c>
      <c r="Q148">
        <v>36.17</v>
      </c>
      <c r="R148" t="s">
        <v>92</v>
      </c>
      <c r="S148">
        <v>2</v>
      </c>
      <c r="T148" t="b">
        <v>0</v>
      </c>
      <c r="U148" t="s">
        <v>30</v>
      </c>
      <c r="V148">
        <v>3</v>
      </c>
    </row>
    <row r="149" spans="1:22" x14ac:dyDescent="0.25">
      <c r="A149" t="s">
        <v>523</v>
      </c>
      <c r="B149" s="1">
        <v>45346</v>
      </c>
      <c r="C149" t="s">
        <v>524</v>
      </c>
      <c r="D149" t="s">
        <v>324</v>
      </c>
      <c r="E149">
        <v>28</v>
      </c>
      <c r="F149" t="str">
        <f>IF(Table1[[#This Row],[age]]&lt;=25,"18-25",IF(Table1[[#This Row],[age]]&lt;=35,"26-35",IF(Table1[[#This Row],[age]]&lt;=50,"36-50","51+")))</f>
        <v>26-35</v>
      </c>
      <c r="G149" t="s">
        <v>54</v>
      </c>
      <c r="H149" t="s">
        <v>69</v>
      </c>
      <c r="I149" t="s">
        <v>136</v>
      </c>
      <c r="J149" t="s">
        <v>63</v>
      </c>
      <c r="K149" t="s">
        <v>64</v>
      </c>
      <c r="L149">
        <v>5</v>
      </c>
      <c r="M149">
        <v>3018.53</v>
      </c>
      <c r="N149">
        <v>0.26</v>
      </c>
      <c r="O149">
        <v>13152.75</v>
      </c>
      <c r="P149">
        <v>5208.9399999999996</v>
      </c>
      <c r="Q149">
        <v>73.33</v>
      </c>
      <c r="R149" t="s">
        <v>57</v>
      </c>
      <c r="S149">
        <v>1</v>
      </c>
      <c r="T149" t="b">
        <v>0</v>
      </c>
      <c r="U149" t="s">
        <v>93</v>
      </c>
      <c r="V149">
        <v>4</v>
      </c>
    </row>
    <row r="150" spans="1:22" x14ac:dyDescent="0.25">
      <c r="A150" t="s">
        <v>525</v>
      </c>
      <c r="B150" s="1">
        <v>45212</v>
      </c>
      <c r="C150" t="s">
        <v>526</v>
      </c>
      <c r="D150" t="s">
        <v>527</v>
      </c>
      <c r="E150">
        <v>37</v>
      </c>
      <c r="F150" t="str">
        <f>IF(Table1[[#This Row],[age]]&lt;=25,"18-25",IF(Table1[[#This Row],[age]]&lt;=35,"26-35",IF(Table1[[#This Row],[age]]&lt;=50,"36-50","51+")))</f>
        <v>36-50</v>
      </c>
      <c r="G150" t="s">
        <v>24</v>
      </c>
      <c r="H150" t="s">
        <v>80</v>
      </c>
      <c r="I150" t="s">
        <v>236</v>
      </c>
      <c r="J150" t="s">
        <v>27</v>
      </c>
      <c r="K150" t="s">
        <v>480</v>
      </c>
      <c r="L150">
        <v>4</v>
      </c>
      <c r="M150">
        <v>817.47</v>
      </c>
      <c r="N150">
        <v>0.24</v>
      </c>
      <c r="O150">
        <v>2848.99</v>
      </c>
      <c r="P150">
        <v>1431.62</v>
      </c>
      <c r="Q150">
        <v>61.6</v>
      </c>
      <c r="R150" t="s">
        <v>29</v>
      </c>
      <c r="S150">
        <v>5</v>
      </c>
      <c r="T150" t="b">
        <v>0</v>
      </c>
      <c r="U150" t="s">
        <v>71</v>
      </c>
      <c r="V150">
        <v>2</v>
      </c>
    </row>
    <row r="151" spans="1:22" x14ac:dyDescent="0.25">
      <c r="A151" t="s">
        <v>528</v>
      </c>
      <c r="B151" s="1">
        <v>43912</v>
      </c>
      <c r="C151" t="s">
        <v>529</v>
      </c>
      <c r="D151" t="s">
        <v>530</v>
      </c>
      <c r="E151">
        <v>19</v>
      </c>
      <c r="F151" t="str">
        <f>IF(Table1[[#This Row],[age]]&lt;=25,"18-25",IF(Table1[[#This Row],[age]]&lt;=35,"26-35",IF(Table1[[#This Row],[age]]&lt;=50,"36-50","51+")))</f>
        <v>18-25</v>
      </c>
      <c r="G151" t="s">
        <v>34</v>
      </c>
      <c r="H151" t="s">
        <v>55</v>
      </c>
      <c r="I151" t="s">
        <v>75</v>
      </c>
      <c r="J151" t="s">
        <v>27</v>
      </c>
      <c r="K151" t="s">
        <v>28</v>
      </c>
      <c r="L151">
        <v>9</v>
      </c>
      <c r="M151">
        <v>646.01</v>
      </c>
      <c r="N151">
        <v>0.38</v>
      </c>
      <c r="O151">
        <v>3807.56</v>
      </c>
      <c r="P151">
        <v>1281.8399999999999</v>
      </c>
      <c r="Q151">
        <v>51.72</v>
      </c>
      <c r="R151" t="s">
        <v>57</v>
      </c>
      <c r="S151">
        <v>2</v>
      </c>
      <c r="T151" t="b">
        <v>0</v>
      </c>
      <c r="U151" t="s">
        <v>193</v>
      </c>
      <c r="V151">
        <v>3</v>
      </c>
    </row>
    <row r="152" spans="1:22" x14ac:dyDescent="0.25">
      <c r="A152" t="s">
        <v>531</v>
      </c>
      <c r="B152" s="1">
        <v>45034</v>
      </c>
      <c r="C152" t="s">
        <v>532</v>
      </c>
      <c r="D152" t="s">
        <v>533</v>
      </c>
      <c r="E152">
        <v>32</v>
      </c>
      <c r="F152" t="str">
        <f>IF(Table1[[#This Row],[age]]&lt;=25,"18-25",IF(Table1[[#This Row],[age]]&lt;=35,"26-35",IF(Table1[[#This Row],[age]]&lt;=50,"36-50","51+")))</f>
        <v>26-35</v>
      </c>
      <c r="G152" t="s">
        <v>54</v>
      </c>
      <c r="H152" t="s">
        <v>69</v>
      </c>
      <c r="I152" t="s">
        <v>181</v>
      </c>
      <c r="J152" t="s">
        <v>27</v>
      </c>
      <c r="K152" t="s">
        <v>168</v>
      </c>
      <c r="L152">
        <v>1</v>
      </c>
      <c r="M152">
        <v>588.9</v>
      </c>
      <c r="N152">
        <v>0.03</v>
      </c>
      <c r="O152">
        <v>804.15</v>
      </c>
      <c r="P152">
        <v>359.5</v>
      </c>
      <c r="Q152">
        <v>76.290000000000006</v>
      </c>
      <c r="R152" t="s">
        <v>92</v>
      </c>
      <c r="S152">
        <v>5</v>
      </c>
      <c r="T152" t="b">
        <v>0</v>
      </c>
      <c r="U152" t="s">
        <v>30</v>
      </c>
      <c r="V152">
        <v>5</v>
      </c>
    </row>
    <row r="153" spans="1:22" x14ac:dyDescent="0.25">
      <c r="A153" t="s">
        <v>534</v>
      </c>
      <c r="B153" s="1">
        <v>44383</v>
      </c>
      <c r="C153" t="s">
        <v>535</v>
      </c>
      <c r="D153" t="s">
        <v>536</v>
      </c>
      <c r="E153">
        <v>40</v>
      </c>
      <c r="F153" t="str">
        <f>IF(Table1[[#This Row],[age]]&lt;=25,"18-25",IF(Table1[[#This Row],[age]]&lt;=35,"26-35",IF(Table1[[#This Row],[age]]&lt;=50,"36-50","51+")))</f>
        <v>36-50</v>
      </c>
      <c r="G153" t="s">
        <v>24</v>
      </c>
      <c r="H153" t="s">
        <v>55</v>
      </c>
      <c r="I153" t="s">
        <v>56</v>
      </c>
      <c r="J153" t="s">
        <v>63</v>
      </c>
      <c r="K153" t="s">
        <v>111</v>
      </c>
      <c r="L153">
        <v>6</v>
      </c>
      <c r="M153">
        <v>3032.93</v>
      </c>
      <c r="N153">
        <v>0.08</v>
      </c>
      <c r="O153">
        <v>25322.69</v>
      </c>
      <c r="P153">
        <v>10654.04</v>
      </c>
      <c r="Q153">
        <v>27.7</v>
      </c>
      <c r="R153" t="s">
        <v>43</v>
      </c>
      <c r="S153">
        <v>1</v>
      </c>
      <c r="T153" t="b">
        <v>0</v>
      </c>
      <c r="U153" t="s">
        <v>30</v>
      </c>
      <c r="V153">
        <v>4</v>
      </c>
    </row>
    <row r="154" spans="1:22" x14ac:dyDescent="0.25">
      <c r="A154" t="s">
        <v>537</v>
      </c>
      <c r="B154" s="1">
        <v>45248</v>
      </c>
      <c r="C154" t="s">
        <v>538</v>
      </c>
      <c r="D154" t="s">
        <v>539</v>
      </c>
      <c r="E154">
        <v>34</v>
      </c>
      <c r="F154" t="str">
        <f>IF(Table1[[#This Row],[age]]&lt;=25,"18-25",IF(Table1[[#This Row],[age]]&lt;=35,"26-35",IF(Table1[[#This Row],[age]]&lt;=50,"36-50","51+")))</f>
        <v>26-35</v>
      </c>
      <c r="G154" t="s">
        <v>54</v>
      </c>
      <c r="H154" t="s">
        <v>25</v>
      </c>
      <c r="I154" t="s">
        <v>35</v>
      </c>
      <c r="J154" t="s">
        <v>101</v>
      </c>
      <c r="K154" t="s">
        <v>456</v>
      </c>
      <c r="L154">
        <v>3</v>
      </c>
      <c r="M154">
        <v>14108.02</v>
      </c>
      <c r="N154">
        <v>0.12</v>
      </c>
      <c r="O154">
        <v>36649.85</v>
      </c>
      <c r="P154">
        <v>6203.2</v>
      </c>
      <c r="Q154">
        <v>56.58</v>
      </c>
      <c r="R154" t="s">
        <v>43</v>
      </c>
      <c r="S154">
        <v>2</v>
      </c>
      <c r="T154" t="b">
        <v>0</v>
      </c>
      <c r="U154" t="s">
        <v>30</v>
      </c>
      <c r="V154">
        <v>10</v>
      </c>
    </row>
    <row r="155" spans="1:22" x14ac:dyDescent="0.25">
      <c r="A155" t="s">
        <v>540</v>
      </c>
      <c r="B155" s="1">
        <v>45238</v>
      </c>
      <c r="C155" t="s">
        <v>541</v>
      </c>
      <c r="D155" t="s">
        <v>542</v>
      </c>
      <c r="E155">
        <v>26</v>
      </c>
      <c r="F155" t="str">
        <f>IF(Table1[[#This Row],[age]]&lt;=25,"18-25",IF(Table1[[#This Row],[age]]&lt;=35,"26-35",IF(Table1[[#This Row],[age]]&lt;=50,"36-50","51+")))</f>
        <v>26-35</v>
      </c>
      <c r="G155" t="s">
        <v>54</v>
      </c>
      <c r="H155" t="s">
        <v>80</v>
      </c>
      <c r="I155" t="s">
        <v>242</v>
      </c>
      <c r="J155" t="s">
        <v>106</v>
      </c>
      <c r="K155" t="s">
        <v>107</v>
      </c>
      <c r="L155">
        <v>9</v>
      </c>
      <c r="M155">
        <v>165.39</v>
      </c>
      <c r="N155">
        <v>0.22</v>
      </c>
      <c r="O155">
        <v>1080.19</v>
      </c>
      <c r="P155">
        <v>98.81</v>
      </c>
      <c r="Q155">
        <v>71.09</v>
      </c>
      <c r="R155" t="s">
        <v>49</v>
      </c>
      <c r="S155">
        <v>3</v>
      </c>
      <c r="T155" t="b">
        <v>0</v>
      </c>
      <c r="U155" t="s">
        <v>30</v>
      </c>
      <c r="V155">
        <v>6</v>
      </c>
    </row>
    <row r="156" spans="1:22" x14ac:dyDescent="0.25">
      <c r="A156" t="s">
        <v>543</v>
      </c>
      <c r="B156" s="1">
        <v>44716</v>
      </c>
      <c r="C156" t="s">
        <v>544</v>
      </c>
      <c r="D156" t="s">
        <v>148</v>
      </c>
      <c r="E156">
        <v>40</v>
      </c>
      <c r="F156" t="str">
        <f>IF(Table1[[#This Row],[age]]&lt;=25,"18-25",IF(Table1[[#This Row],[age]]&lt;=35,"26-35",IF(Table1[[#This Row],[age]]&lt;=50,"36-50","51+")))</f>
        <v>36-50</v>
      </c>
      <c r="G156" t="s">
        <v>34</v>
      </c>
      <c r="H156" t="s">
        <v>69</v>
      </c>
      <c r="I156" t="s">
        <v>181</v>
      </c>
      <c r="J156" t="s">
        <v>115</v>
      </c>
      <c r="K156" t="s">
        <v>545</v>
      </c>
      <c r="L156">
        <v>7</v>
      </c>
      <c r="M156">
        <v>21000.78</v>
      </c>
      <c r="N156">
        <v>0.3</v>
      </c>
      <c r="O156">
        <v>174189.34</v>
      </c>
      <c r="P156">
        <v>24923.4</v>
      </c>
      <c r="Q156">
        <v>115.73</v>
      </c>
      <c r="R156" t="s">
        <v>65</v>
      </c>
      <c r="S156">
        <v>5</v>
      </c>
      <c r="T156" t="b">
        <v>0</v>
      </c>
      <c r="U156" t="s">
        <v>30</v>
      </c>
      <c r="V156">
        <v>6</v>
      </c>
    </row>
    <row r="157" spans="1:22" x14ac:dyDescent="0.25">
      <c r="A157" t="s">
        <v>546</v>
      </c>
      <c r="B157" s="1">
        <v>44869</v>
      </c>
      <c r="C157" t="s">
        <v>547</v>
      </c>
      <c r="D157" t="s">
        <v>548</v>
      </c>
      <c r="E157">
        <v>33</v>
      </c>
      <c r="F157" t="str">
        <f>IF(Table1[[#This Row],[age]]&lt;=25,"18-25",IF(Table1[[#This Row],[age]]&lt;=35,"26-35",IF(Table1[[#This Row],[age]]&lt;=50,"36-50","51+")))</f>
        <v>26-35</v>
      </c>
      <c r="G157" t="s">
        <v>54</v>
      </c>
      <c r="H157" t="s">
        <v>25</v>
      </c>
      <c r="I157" t="s">
        <v>41</v>
      </c>
      <c r="J157" t="s">
        <v>63</v>
      </c>
      <c r="K157" t="s">
        <v>64</v>
      </c>
      <c r="L157">
        <v>7</v>
      </c>
      <c r="M157">
        <v>525.25</v>
      </c>
      <c r="N157">
        <v>0.03</v>
      </c>
      <c r="O157">
        <v>3229.98</v>
      </c>
      <c r="P157">
        <v>1218.3900000000001</v>
      </c>
      <c r="Q157">
        <v>48.82</v>
      </c>
      <c r="R157" t="s">
        <v>65</v>
      </c>
      <c r="S157">
        <v>4</v>
      </c>
      <c r="T157" t="b">
        <v>0</v>
      </c>
      <c r="U157" t="s">
        <v>30</v>
      </c>
      <c r="V157">
        <v>8</v>
      </c>
    </row>
    <row r="158" spans="1:22" x14ac:dyDescent="0.25">
      <c r="A158" t="s">
        <v>549</v>
      </c>
      <c r="B158" s="1">
        <v>45117</v>
      </c>
      <c r="C158" t="s">
        <v>550</v>
      </c>
      <c r="D158" t="s">
        <v>551</v>
      </c>
      <c r="E158">
        <v>37</v>
      </c>
      <c r="F158" t="str">
        <f>IF(Table1[[#This Row],[age]]&lt;=25,"18-25",IF(Table1[[#This Row],[age]]&lt;=35,"26-35",IF(Table1[[#This Row],[age]]&lt;=50,"36-50","51+")))</f>
        <v>36-50</v>
      </c>
      <c r="G158" t="s">
        <v>24</v>
      </c>
      <c r="H158" t="s">
        <v>25</v>
      </c>
      <c r="I158" t="s">
        <v>298</v>
      </c>
      <c r="J158" t="s">
        <v>27</v>
      </c>
      <c r="K158" t="s">
        <v>168</v>
      </c>
      <c r="L158">
        <v>9</v>
      </c>
      <c r="M158">
        <v>108.24</v>
      </c>
      <c r="N158">
        <v>0.18</v>
      </c>
      <c r="O158">
        <v>1201.96</v>
      </c>
      <c r="P158">
        <v>569.48</v>
      </c>
      <c r="Q158">
        <v>55.36</v>
      </c>
      <c r="R158" t="s">
        <v>65</v>
      </c>
      <c r="S158">
        <v>4</v>
      </c>
      <c r="T158" t="b">
        <v>0</v>
      </c>
      <c r="U158" t="s">
        <v>30</v>
      </c>
      <c r="V158">
        <v>5</v>
      </c>
    </row>
    <row r="159" spans="1:22" x14ac:dyDescent="0.25">
      <c r="A159" t="s">
        <v>552</v>
      </c>
      <c r="B159" s="1">
        <v>45406</v>
      </c>
      <c r="C159" t="s">
        <v>553</v>
      </c>
      <c r="D159" t="s">
        <v>407</v>
      </c>
      <c r="E159">
        <v>39</v>
      </c>
      <c r="F159" t="str">
        <f>IF(Table1[[#This Row],[age]]&lt;=25,"18-25",IF(Table1[[#This Row],[age]]&lt;=35,"26-35",IF(Table1[[#This Row],[age]]&lt;=50,"36-50","51+")))</f>
        <v>36-50</v>
      </c>
      <c r="G159" t="s">
        <v>34</v>
      </c>
      <c r="H159" t="s">
        <v>80</v>
      </c>
      <c r="I159" t="s">
        <v>236</v>
      </c>
      <c r="J159" t="s">
        <v>115</v>
      </c>
      <c r="K159" t="s">
        <v>398</v>
      </c>
      <c r="L159">
        <v>7</v>
      </c>
      <c r="M159">
        <v>45364.52</v>
      </c>
      <c r="N159">
        <v>0.08</v>
      </c>
      <c r="O159">
        <v>465179.21</v>
      </c>
      <c r="P159">
        <v>56612.46</v>
      </c>
      <c r="Q159">
        <v>59.16</v>
      </c>
      <c r="R159" t="s">
        <v>43</v>
      </c>
      <c r="S159">
        <v>1</v>
      </c>
      <c r="T159" t="b">
        <v>1</v>
      </c>
      <c r="U159" t="s">
        <v>50</v>
      </c>
      <c r="V159">
        <v>8</v>
      </c>
    </row>
    <row r="160" spans="1:22" x14ac:dyDescent="0.25">
      <c r="A160" t="s">
        <v>554</v>
      </c>
      <c r="B160" s="1">
        <v>43920</v>
      </c>
      <c r="C160" t="s">
        <v>555</v>
      </c>
      <c r="D160" t="s">
        <v>556</v>
      </c>
      <c r="E160">
        <v>23</v>
      </c>
      <c r="F160" t="str">
        <f>IF(Table1[[#This Row],[age]]&lt;=25,"18-25",IF(Table1[[#This Row],[age]]&lt;=35,"26-35",IF(Table1[[#This Row],[age]]&lt;=50,"36-50","51+")))</f>
        <v>18-25</v>
      </c>
      <c r="G160" t="s">
        <v>54</v>
      </c>
      <c r="H160" t="s">
        <v>25</v>
      </c>
      <c r="I160" t="s">
        <v>26</v>
      </c>
      <c r="J160" t="s">
        <v>101</v>
      </c>
      <c r="K160" t="s">
        <v>214</v>
      </c>
      <c r="L160">
        <v>5</v>
      </c>
      <c r="M160">
        <v>9009.65</v>
      </c>
      <c r="N160">
        <v>0.08</v>
      </c>
      <c r="O160">
        <v>44971.39</v>
      </c>
      <c r="P160">
        <v>10004.34</v>
      </c>
      <c r="Q160">
        <v>58.16</v>
      </c>
      <c r="R160" t="s">
        <v>43</v>
      </c>
      <c r="S160">
        <v>3</v>
      </c>
      <c r="T160" t="b">
        <v>0</v>
      </c>
      <c r="U160" t="s">
        <v>30</v>
      </c>
      <c r="V160">
        <v>4</v>
      </c>
    </row>
    <row r="161" spans="1:22" x14ac:dyDescent="0.25">
      <c r="A161" t="s">
        <v>557</v>
      </c>
      <c r="B161" s="1">
        <v>45590</v>
      </c>
      <c r="C161" t="s">
        <v>558</v>
      </c>
      <c r="D161" t="s">
        <v>235</v>
      </c>
      <c r="E161">
        <v>28</v>
      </c>
      <c r="F161" t="str">
        <f>IF(Table1[[#This Row],[age]]&lt;=25,"18-25",IF(Table1[[#This Row],[age]]&lt;=35,"26-35",IF(Table1[[#This Row],[age]]&lt;=50,"36-50","51+")))</f>
        <v>26-35</v>
      </c>
      <c r="G161" t="s">
        <v>54</v>
      </c>
      <c r="H161" t="s">
        <v>55</v>
      </c>
      <c r="I161" t="s">
        <v>75</v>
      </c>
      <c r="J161" t="s">
        <v>115</v>
      </c>
      <c r="K161" t="s">
        <v>137</v>
      </c>
      <c r="L161">
        <v>3</v>
      </c>
      <c r="M161">
        <v>9261.39</v>
      </c>
      <c r="N161">
        <v>0.24</v>
      </c>
      <c r="O161">
        <v>25255.17</v>
      </c>
      <c r="P161">
        <v>3570.94</v>
      </c>
      <c r="Q161">
        <v>42.63</v>
      </c>
      <c r="R161" t="s">
        <v>43</v>
      </c>
      <c r="S161">
        <v>3</v>
      </c>
      <c r="T161" t="b">
        <v>0</v>
      </c>
      <c r="U161" t="s">
        <v>71</v>
      </c>
      <c r="V161">
        <v>4</v>
      </c>
    </row>
    <row r="162" spans="1:22" x14ac:dyDescent="0.25">
      <c r="A162" t="s">
        <v>559</v>
      </c>
      <c r="B162" s="1">
        <v>45024</v>
      </c>
      <c r="C162" t="s">
        <v>560</v>
      </c>
      <c r="D162" t="s">
        <v>561</v>
      </c>
      <c r="E162">
        <v>49</v>
      </c>
      <c r="F162" t="str">
        <f>IF(Table1[[#This Row],[age]]&lt;=25,"18-25",IF(Table1[[#This Row],[age]]&lt;=35,"26-35",IF(Table1[[#This Row],[age]]&lt;=50,"36-50","51+")))</f>
        <v>36-50</v>
      </c>
      <c r="G162" t="s">
        <v>24</v>
      </c>
      <c r="H162" t="s">
        <v>25</v>
      </c>
      <c r="I162" t="s">
        <v>41</v>
      </c>
      <c r="J162" t="s">
        <v>101</v>
      </c>
      <c r="K162" t="s">
        <v>318</v>
      </c>
      <c r="L162">
        <v>4</v>
      </c>
      <c r="M162">
        <v>2360.4</v>
      </c>
      <c r="N162">
        <v>0.36</v>
      </c>
      <c r="O162">
        <v>9045.1299999999992</v>
      </c>
      <c r="P162">
        <v>1640.8</v>
      </c>
      <c r="Q162">
        <v>46.73</v>
      </c>
      <c r="R162" t="s">
        <v>57</v>
      </c>
      <c r="S162">
        <v>2</v>
      </c>
      <c r="T162" t="b">
        <v>0</v>
      </c>
      <c r="U162" t="s">
        <v>30</v>
      </c>
      <c r="V162">
        <v>2</v>
      </c>
    </row>
    <row r="163" spans="1:22" x14ac:dyDescent="0.25">
      <c r="A163" t="s">
        <v>562</v>
      </c>
      <c r="B163" s="1">
        <v>44229</v>
      </c>
      <c r="C163" t="s">
        <v>563</v>
      </c>
      <c r="D163" t="s">
        <v>564</v>
      </c>
      <c r="E163">
        <v>48</v>
      </c>
      <c r="F163" t="str">
        <f>IF(Table1[[#This Row],[age]]&lt;=25,"18-25",IF(Table1[[#This Row],[age]]&lt;=35,"26-35",IF(Table1[[#This Row],[age]]&lt;=50,"36-50","51+")))</f>
        <v>36-50</v>
      </c>
      <c r="G163" t="s">
        <v>24</v>
      </c>
      <c r="H163" t="s">
        <v>69</v>
      </c>
      <c r="I163" t="s">
        <v>181</v>
      </c>
      <c r="J163" t="s">
        <v>106</v>
      </c>
      <c r="K163" t="s">
        <v>331</v>
      </c>
      <c r="L163">
        <v>7</v>
      </c>
      <c r="M163">
        <v>474.48</v>
      </c>
      <c r="N163">
        <v>0.26</v>
      </c>
      <c r="O163">
        <v>2258.19</v>
      </c>
      <c r="P163">
        <v>189.8</v>
      </c>
      <c r="Q163">
        <v>40.18</v>
      </c>
      <c r="R163" t="s">
        <v>29</v>
      </c>
      <c r="S163">
        <v>1</v>
      </c>
      <c r="T163" t="b">
        <v>1</v>
      </c>
      <c r="U163" t="s">
        <v>50</v>
      </c>
      <c r="V163">
        <v>2</v>
      </c>
    </row>
    <row r="164" spans="1:22" x14ac:dyDescent="0.25">
      <c r="A164" t="s">
        <v>565</v>
      </c>
      <c r="B164" s="1">
        <v>44172</v>
      </c>
      <c r="C164" t="s">
        <v>566</v>
      </c>
      <c r="D164" t="s">
        <v>567</v>
      </c>
      <c r="E164">
        <v>32</v>
      </c>
      <c r="F164" t="str">
        <f>IF(Table1[[#This Row],[age]]&lt;=25,"18-25",IF(Table1[[#This Row],[age]]&lt;=35,"26-35",IF(Table1[[#This Row],[age]]&lt;=50,"36-50","51+")))</f>
        <v>26-35</v>
      </c>
      <c r="G164" t="s">
        <v>24</v>
      </c>
      <c r="H164" t="s">
        <v>61</v>
      </c>
      <c r="I164" t="s">
        <v>62</v>
      </c>
      <c r="J164" t="s">
        <v>47</v>
      </c>
      <c r="K164" t="s">
        <v>156</v>
      </c>
      <c r="L164">
        <v>999</v>
      </c>
      <c r="M164">
        <v>403.63</v>
      </c>
      <c r="N164">
        <v>0.15</v>
      </c>
      <c r="O164">
        <v>203951.5</v>
      </c>
      <c r="P164">
        <v>80603.27</v>
      </c>
      <c r="Q164">
        <v>48.7</v>
      </c>
      <c r="R164" t="s">
        <v>43</v>
      </c>
      <c r="S164">
        <v>5</v>
      </c>
      <c r="T164" t="b">
        <v>0</v>
      </c>
      <c r="U164" t="s">
        <v>30</v>
      </c>
      <c r="V164">
        <v>1</v>
      </c>
    </row>
    <row r="165" spans="1:22" x14ac:dyDescent="0.25">
      <c r="A165" t="s">
        <v>568</v>
      </c>
      <c r="B165" s="1">
        <v>44624</v>
      </c>
      <c r="C165" t="s">
        <v>569</v>
      </c>
      <c r="D165" t="s">
        <v>542</v>
      </c>
      <c r="E165">
        <v>51</v>
      </c>
      <c r="F165" t="str">
        <f>IF(Table1[[#This Row],[age]]&lt;=25,"18-25",IF(Table1[[#This Row],[age]]&lt;=35,"26-35",IF(Table1[[#This Row],[age]]&lt;=50,"36-50","51+")))</f>
        <v>51+</v>
      </c>
      <c r="G165" t="s">
        <v>24</v>
      </c>
      <c r="H165" t="s">
        <v>55</v>
      </c>
      <c r="I165" t="s">
        <v>114</v>
      </c>
      <c r="J165" t="s">
        <v>27</v>
      </c>
      <c r="K165" t="s">
        <v>168</v>
      </c>
      <c r="L165">
        <v>6</v>
      </c>
      <c r="M165">
        <v>153.84</v>
      </c>
      <c r="N165">
        <v>0.09</v>
      </c>
      <c r="O165">
        <v>1006.96</v>
      </c>
      <c r="P165">
        <v>616.53</v>
      </c>
      <c r="Q165">
        <v>54.61</v>
      </c>
      <c r="R165" t="s">
        <v>29</v>
      </c>
      <c r="S165">
        <v>3</v>
      </c>
      <c r="T165" t="b">
        <v>0</v>
      </c>
      <c r="U165" t="s">
        <v>30</v>
      </c>
      <c r="V165">
        <v>9</v>
      </c>
    </row>
    <row r="166" spans="1:22" x14ac:dyDescent="0.25">
      <c r="A166" t="s">
        <v>570</v>
      </c>
      <c r="B166" s="1">
        <v>43946</v>
      </c>
      <c r="C166" t="s">
        <v>571</v>
      </c>
      <c r="D166" t="s">
        <v>572</v>
      </c>
      <c r="E166">
        <v>24</v>
      </c>
      <c r="F166" t="str">
        <f>IF(Table1[[#This Row],[age]]&lt;=25,"18-25",IF(Table1[[#This Row],[age]]&lt;=35,"26-35",IF(Table1[[#This Row],[age]]&lt;=50,"36-50","51+")))</f>
        <v>18-25</v>
      </c>
      <c r="G166" t="s">
        <v>24</v>
      </c>
      <c r="H166" t="s">
        <v>25</v>
      </c>
      <c r="I166" t="s">
        <v>35</v>
      </c>
      <c r="J166" t="s">
        <v>36</v>
      </c>
      <c r="K166" t="s">
        <v>76</v>
      </c>
      <c r="L166">
        <v>2</v>
      </c>
      <c r="M166">
        <v>3582.55</v>
      </c>
      <c r="N166">
        <v>0.08</v>
      </c>
      <c r="O166">
        <v>8506.99</v>
      </c>
      <c r="P166">
        <v>2610.08</v>
      </c>
      <c r="Q166">
        <v>54.88</v>
      </c>
      <c r="R166" t="s">
        <v>29</v>
      </c>
      <c r="S166">
        <v>3</v>
      </c>
      <c r="T166" t="b">
        <v>0</v>
      </c>
      <c r="U166" t="s">
        <v>30</v>
      </c>
      <c r="V166">
        <v>7</v>
      </c>
    </row>
    <row r="167" spans="1:22" x14ac:dyDescent="0.25">
      <c r="A167" t="s">
        <v>573</v>
      </c>
      <c r="B167" s="1">
        <v>45603</v>
      </c>
      <c r="C167" t="s">
        <v>574</v>
      </c>
      <c r="D167" t="s">
        <v>564</v>
      </c>
      <c r="E167">
        <v>57</v>
      </c>
      <c r="F167" t="str">
        <f>IF(Table1[[#This Row],[age]]&lt;=25,"18-25",IF(Table1[[#This Row],[age]]&lt;=35,"26-35",IF(Table1[[#This Row],[age]]&lt;=50,"36-50","51+")))</f>
        <v>51+</v>
      </c>
      <c r="G167" t="s">
        <v>34</v>
      </c>
      <c r="H167" t="s">
        <v>25</v>
      </c>
      <c r="I167" t="s">
        <v>41</v>
      </c>
      <c r="J167" t="s">
        <v>115</v>
      </c>
      <c r="K167" t="s">
        <v>197</v>
      </c>
      <c r="L167">
        <v>9</v>
      </c>
      <c r="M167">
        <v>70570.87</v>
      </c>
      <c r="N167">
        <v>0.27</v>
      </c>
      <c r="O167">
        <v>436166.56</v>
      </c>
      <c r="P167">
        <v>54481.93</v>
      </c>
      <c r="Q167">
        <v>66.680000000000007</v>
      </c>
      <c r="R167" t="s">
        <v>29</v>
      </c>
      <c r="S167">
        <v>2</v>
      </c>
      <c r="T167" t="b">
        <v>0</v>
      </c>
      <c r="U167" t="s">
        <v>30</v>
      </c>
      <c r="V167">
        <v>3</v>
      </c>
    </row>
    <row r="168" spans="1:22" x14ac:dyDescent="0.25">
      <c r="A168" t="s">
        <v>575</v>
      </c>
      <c r="B168" s="1">
        <v>44585</v>
      </c>
      <c r="C168" t="s">
        <v>576</v>
      </c>
      <c r="D168" t="s">
        <v>577</v>
      </c>
      <c r="E168">
        <v>66</v>
      </c>
      <c r="F168" t="str">
        <f>IF(Table1[[#This Row],[age]]&lt;=25,"18-25",IF(Table1[[#This Row],[age]]&lt;=35,"26-35",IF(Table1[[#This Row],[age]]&lt;=50,"36-50","51+")))</f>
        <v>51+</v>
      </c>
      <c r="G168" t="s">
        <v>34</v>
      </c>
      <c r="H168" t="s">
        <v>61</v>
      </c>
      <c r="I168" t="s">
        <v>91</v>
      </c>
      <c r="J168" t="s">
        <v>27</v>
      </c>
      <c r="K168" t="s">
        <v>192</v>
      </c>
      <c r="L168">
        <v>9</v>
      </c>
      <c r="M168">
        <v>265.25</v>
      </c>
      <c r="N168">
        <v>0.18</v>
      </c>
      <c r="O168">
        <v>1737.45</v>
      </c>
      <c r="P168">
        <v>685.06</v>
      </c>
      <c r="Q168">
        <v>28.69</v>
      </c>
      <c r="R168" t="s">
        <v>57</v>
      </c>
      <c r="S168">
        <v>2</v>
      </c>
      <c r="T168" t="b">
        <v>0</v>
      </c>
      <c r="U168" t="s">
        <v>30</v>
      </c>
      <c r="V168">
        <v>5</v>
      </c>
    </row>
    <row r="169" spans="1:22" x14ac:dyDescent="0.25">
      <c r="A169" t="s">
        <v>578</v>
      </c>
      <c r="B169" s="1">
        <v>44913</v>
      </c>
      <c r="C169" t="s">
        <v>579</v>
      </c>
      <c r="D169" t="s">
        <v>580</v>
      </c>
      <c r="E169">
        <v>22</v>
      </c>
      <c r="F169" t="str">
        <f>IF(Table1[[#This Row],[age]]&lt;=25,"18-25",IF(Table1[[#This Row],[age]]&lt;=35,"26-35",IF(Table1[[#This Row],[age]]&lt;=50,"36-50","51+")))</f>
        <v>18-25</v>
      </c>
      <c r="G169" t="s">
        <v>54</v>
      </c>
      <c r="H169" t="s">
        <v>80</v>
      </c>
      <c r="I169" t="s">
        <v>81</v>
      </c>
      <c r="J169" t="s">
        <v>106</v>
      </c>
      <c r="K169" t="s">
        <v>188</v>
      </c>
      <c r="L169">
        <v>7</v>
      </c>
      <c r="M169">
        <v>56.3</v>
      </c>
      <c r="N169">
        <v>0.16</v>
      </c>
      <c r="O169">
        <v>219.23</v>
      </c>
      <c r="P169">
        <v>17.73</v>
      </c>
      <c r="Q169">
        <v>83.47</v>
      </c>
      <c r="R169" t="s">
        <v>92</v>
      </c>
      <c r="S169">
        <v>4</v>
      </c>
      <c r="T169" t="b">
        <v>1</v>
      </c>
      <c r="U169" t="s">
        <v>50</v>
      </c>
      <c r="V169">
        <v>6</v>
      </c>
    </row>
    <row r="170" spans="1:22" x14ac:dyDescent="0.25">
      <c r="A170" t="s">
        <v>581</v>
      </c>
      <c r="B170" s="1">
        <v>44919</v>
      </c>
      <c r="C170" t="s">
        <v>582</v>
      </c>
      <c r="D170" t="s">
        <v>583</v>
      </c>
      <c r="E170">
        <v>27</v>
      </c>
      <c r="F170" t="str">
        <f>IF(Table1[[#This Row],[age]]&lt;=25,"18-25",IF(Table1[[#This Row],[age]]&lt;=35,"26-35",IF(Table1[[#This Row],[age]]&lt;=50,"36-50","51+")))</f>
        <v>26-35</v>
      </c>
      <c r="G170" t="s">
        <v>24</v>
      </c>
      <c r="H170" t="s">
        <v>69</v>
      </c>
      <c r="I170" t="s">
        <v>221</v>
      </c>
      <c r="J170" t="s">
        <v>36</v>
      </c>
      <c r="K170" t="s">
        <v>76</v>
      </c>
      <c r="L170">
        <v>1</v>
      </c>
      <c r="M170">
        <v>21949.11</v>
      </c>
      <c r="N170">
        <v>0.11</v>
      </c>
      <c r="O170">
        <v>16420.47</v>
      </c>
      <c r="P170">
        <v>5291.08</v>
      </c>
      <c r="Q170">
        <v>87.46</v>
      </c>
      <c r="R170" t="s">
        <v>43</v>
      </c>
      <c r="S170">
        <v>1</v>
      </c>
      <c r="T170" t="b">
        <v>0</v>
      </c>
      <c r="U170" t="s">
        <v>30</v>
      </c>
      <c r="V170">
        <v>2</v>
      </c>
    </row>
    <row r="171" spans="1:22" x14ac:dyDescent="0.25">
      <c r="A171" t="s">
        <v>584</v>
      </c>
      <c r="B171" s="1">
        <v>44657</v>
      </c>
      <c r="C171" t="s">
        <v>585</v>
      </c>
      <c r="D171" t="s">
        <v>510</v>
      </c>
      <c r="E171">
        <v>30</v>
      </c>
      <c r="F171" t="str">
        <f>IF(Table1[[#This Row],[age]]&lt;=25,"18-25",IF(Table1[[#This Row],[age]]&lt;=35,"26-35",IF(Table1[[#This Row],[age]]&lt;=50,"36-50","51+")))</f>
        <v>26-35</v>
      </c>
      <c r="G171" t="s">
        <v>24</v>
      </c>
      <c r="H171" t="s">
        <v>61</v>
      </c>
      <c r="I171" t="s">
        <v>62</v>
      </c>
      <c r="J171" t="s">
        <v>101</v>
      </c>
      <c r="K171" t="s">
        <v>124</v>
      </c>
      <c r="L171">
        <v>10</v>
      </c>
      <c r="M171">
        <v>8393.4</v>
      </c>
      <c r="N171">
        <v>0.27</v>
      </c>
      <c r="O171">
        <v>79799.460000000006</v>
      </c>
      <c r="P171">
        <v>13093.99</v>
      </c>
      <c r="Q171">
        <v>54.18</v>
      </c>
      <c r="R171" t="s">
        <v>92</v>
      </c>
      <c r="S171">
        <v>2</v>
      </c>
      <c r="T171" t="b">
        <v>0</v>
      </c>
      <c r="U171" t="s">
        <v>30</v>
      </c>
      <c r="V171">
        <v>8</v>
      </c>
    </row>
    <row r="172" spans="1:22" x14ac:dyDescent="0.25">
      <c r="A172" t="s">
        <v>586</v>
      </c>
      <c r="B172" s="1">
        <v>44387</v>
      </c>
      <c r="C172" t="s">
        <v>587</v>
      </c>
      <c r="D172" t="s">
        <v>588</v>
      </c>
      <c r="E172">
        <v>33</v>
      </c>
      <c r="F172" t="str">
        <f>IF(Table1[[#This Row],[age]]&lt;=25,"18-25",IF(Table1[[#This Row],[age]]&lt;=35,"26-35",IF(Table1[[#This Row],[age]]&lt;=50,"36-50","51+")))</f>
        <v>26-35</v>
      </c>
      <c r="G172" t="s">
        <v>54</v>
      </c>
      <c r="H172" t="s">
        <v>80</v>
      </c>
      <c r="I172" t="s">
        <v>236</v>
      </c>
      <c r="J172" t="s">
        <v>63</v>
      </c>
      <c r="K172" t="s">
        <v>87</v>
      </c>
      <c r="L172">
        <v>6</v>
      </c>
      <c r="M172">
        <v>2619.38</v>
      </c>
      <c r="N172">
        <v>0.24</v>
      </c>
      <c r="O172">
        <v>15863.82</v>
      </c>
      <c r="P172">
        <v>5048.54</v>
      </c>
      <c r="Q172">
        <v>23.2</v>
      </c>
      <c r="R172" t="s">
        <v>43</v>
      </c>
      <c r="S172">
        <v>2</v>
      </c>
      <c r="T172" t="b">
        <v>0</v>
      </c>
      <c r="U172" t="s">
        <v>30</v>
      </c>
      <c r="V172">
        <v>4</v>
      </c>
    </row>
    <row r="173" spans="1:22" x14ac:dyDescent="0.25">
      <c r="A173" t="s">
        <v>589</v>
      </c>
      <c r="B173" s="1">
        <v>44172</v>
      </c>
      <c r="C173" t="s">
        <v>590</v>
      </c>
      <c r="D173" t="s">
        <v>591</v>
      </c>
      <c r="E173">
        <v>26</v>
      </c>
      <c r="F173" t="str">
        <f>IF(Table1[[#This Row],[age]]&lt;=25,"18-25",IF(Table1[[#This Row],[age]]&lt;=35,"26-35",IF(Table1[[#This Row],[age]]&lt;=50,"36-50","51+")))</f>
        <v>26-35</v>
      </c>
      <c r="G173" t="s">
        <v>24</v>
      </c>
      <c r="H173" t="s">
        <v>25</v>
      </c>
      <c r="I173" t="s">
        <v>35</v>
      </c>
      <c r="J173" t="s">
        <v>101</v>
      </c>
      <c r="K173" t="s">
        <v>164</v>
      </c>
      <c r="L173">
        <v>8</v>
      </c>
      <c r="M173">
        <v>4670.6000000000004</v>
      </c>
      <c r="N173">
        <v>0.27</v>
      </c>
      <c r="O173">
        <v>19375.099999999999</v>
      </c>
      <c r="P173">
        <v>2879.15</v>
      </c>
      <c r="Q173">
        <v>51.67</v>
      </c>
      <c r="R173" t="s">
        <v>57</v>
      </c>
      <c r="S173">
        <v>4</v>
      </c>
      <c r="T173" t="b">
        <v>0</v>
      </c>
      <c r="U173" t="s">
        <v>30</v>
      </c>
      <c r="V173">
        <v>4</v>
      </c>
    </row>
    <row r="174" spans="1:22" x14ac:dyDescent="0.25">
      <c r="A174" t="s">
        <v>592</v>
      </c>
      <c r="B174" s="1">
        <v>43844</v>
      </c>
      <c r="C174" t="s">
        <v>593</v>
      </c>
      <c r="D174" t="s">
        <v>352</v>
      </c>
      <c r="E174">
        <v>20</v>
      </c>
      <c r="F174" t="str">
        <f>IF(Table1[[#This Row],[age]]&lt;=25,"18-25",IF(Table1[[#This Row],[age]]&lt;=35,"26-35",IF(Table1[[#This Row],[age]]&lt;=50,"36-50","51+")))</f>
        <v>18-25</v>
      </c>
      <c r="G174" t="s">
        <v>24</v>
      </c>
      <c r="H174" t="s">
        <v>69</v>
      </c>
      <c r="I174" t="s">
        <v>221</v>
      </c>
      <c r="J174" t="s">
        <v>47</v>
      </c>
      <c r="K174" t="s">
        <v>204</v>
      </c>
      <c r="L174">
        <v>1</v>
      </c>
      <c r="M174">
        <v>1172.06</v>
      </c>
      <c r="N174">
        <v>0.18</v>
      </c>
      <c r="O174">
        <v>613.66</v>
      </c>
      <c r="P174">
        <v>243.99</v>
      </c>
      <c r="Q174">
        <v>62.05</v>
      </c>
      <c r="R174" t="s">
        <v>49</v>
      </c>
      <c r="S174">
        <v>4</v>
      </c>
      <c r="T174" t="b">
        <v>0</v>
      </c>
      <c r="U174" t="s">
        <v>30</v>
      </c>
      <c r="V174">
        <v>1</v>
      </c>
    </row>
    <row r="175" spans="1:22" x14ac:dyDescent="0.25">
      <c r="A175" t="s">
        <v>594</v>
      </c>
      <c r="B175" s="1">
        <v>44284</v>
      </c>
      <c r="C175" t="s">
        <v>595</v>
      </c>
      <c r="D175" t="s">
        <v>596</v>
      </c>
      <c r="E175">
        <v>31</v>
      </c>
      <c r="F175" t="str">
        <f>IF(Table1[[#This Row],[age]]&lt;=25,"18-25",IF(Table1[[#This Row],[age]]&lt;=35,"26-35",IF(Table1[[#This Row],[age]]&lt;=50,"36-50","51+")))</f>
        <v>26-35</v>
      </c>
      <c r="G175" t="s">
        <v>24</v>
      </c>
      <c r="H175" t="s">
        <v>80</v>
      </c>
      <c r="I175" t="s">
        <v>242</v>
      </c>
      <c r="J175" t="s">
        <v>115</v>
      </c>
      <c r="K175" t="s">
        <v>398</v>
      </c>
      <c r="L175">
        <v>4</v>
      </c>
      <c r="M175">
        <v>70635.62</v>
      </c>
      <c r="N175">
        <v>0.32</v>
      </c>
      <c r="O175">
        <v>207766.8</v>
      </c>
      <c r="P175">
        <v>19874.73</v>
      </c>
      <c r="Q175">
        <v>73.83</v>
      </c>
      <c r="R175" t="s">
        <v>65</v>
      </c>
      <c r="S175">
        <v>2</v>
      </c>
      <c r="T175" t="b">
        <v>0</v>
      </c>
      <c r="U175" t="s">
        <v>193</v>
      </c>
      <c r="V175">
        <v>1</v>
      </c>
    </row>
    <row r="176" spans="1:22" x14ac:dyDescent="0.25">
      <c r="A176" t="s">
        <v>597</v>
      </c>
      <c r="B176" s="1">
        <v>44022</v>
      </c>
      <c r="C176" t="s">
        <v>598</v>
      </c>
      <c r="D176" t="s">
        <v>599</v>
      </c>
      <c r="E176">
        <v>43</v>
      </c>
      <c r="F176" t="str">
        <f>IF(Table1[[#This Row],[age]]&lt;=25,"18-25",IF(Table1[[#This Row],[age]]&lt;=35,"26-35",IF(Table1[[#This Row],[age]]&lt;=50,"36-50","51+")))</f>
        <v>36-50</v>
      </c>
      <c r="G176" t="s">
        <v>54</v>
      </c>
      <c r="H176" t="s">
        <v>25</v>
      </c>
      <c r="I176" t="s">
        <v>298</v>
      </c>
      <c r="J176" t="s">
        <v>47</v>
      </c>
      <c r="K176" t="s">
        <v>600</v>
      </c>
      <c r="L176">
        <v>2</v>
      </c>
      <c r="M176">
        <v>449.62</v>
      </c>
      <c r="N176">
        <v>0.4</v>
      </c>
      <c r="O176">
        <v>661.09</v>
      </c>
      <c r="P176">
        <v>247.72</v>
      </c>
      <c r="Q176">
        <v>68.849999999999994</v>
      </c>
      <c r="R176" t="s">
        <v>29</v>
      </c>
      <c r="S176">
        <v>1</v>
      </c>
      <c r="T176" t="b">
        <v>0</v>
      </c>
      <c r="U176" t="s">
        <v>30</v>
      </c>
      <c r="V176">
        <v>6</v>
      </c>
    </row>
    <row r="177" spans="1:22" x14ac:dyDescent="0.25">
      <c r="A177" t="s">
        <v>601</v>
      </c>
      <c r="B177" s="1">
        <v>44249</v>
      </c>
      <c r="C177" t="s">
        <v>602</v>
      </c>
      <c r="D177" t="s">
        <v>603</v>
      </c>
      <c r="E177">
        <v>38</v>
      </c>
      <c r="F177" t="str">
        <f>IF(Table1[[#This Row],[age]]&lt;=25,"18-25",IF(Table1[[#This Row],[age]]&lt;=35,"26-35",IF(Table1[[#This Row],[age]]&lt;=50,"36-50","51+")))</f>
        <v>36-50</v>
      </c>
      <c r="G177" t="s">
        <v>34</v>
      </c>
      <c r="H177" t="s">
        <v>55</v>
      </c>
      <c r="I177" t="s">
        <v>97</v>
      </c>
      <c r="J177" t="s">
        <v>27</v>
      </c>
      <c r="K177" t="s">
        <v>480</v>
      </c>
      <c r="L177">
        <v>7</v>
      </c>
      <c r="M177">
        <v>322.75</v>
      </c>
      <c r="N177">
        <v>0.15</v>
      </c>
      <c r="O177">
        <v>1684.8</v>
      </c>
      <c r="P177">
        <v>760.63</v>
      </c>
      <c r="Q177">
        <v>28.86</v>
      </c>
      <c r="R177" t="s">
        <v>49</v>
      </c>
      <c r="S177">
        <v>1</v>
      </c>
      <c r="T177" t="b">
        <v>1</v>
      </c>
      <c r="U177" t="s">
        <v>50</v>
      </c>
      <c r="V177">
        <v>5</v>
      </c>
    </row>
    <row r="178" spans="1:22" x14ac:dyDescent="0.25">
      <c r="A178" t="s">
        <v>604</v>
      </c>
      <c r="B178" s="1">
        <v>45581</v>
      </c>
      <c r="C178" t="s">
        <v>605</v>
      </c>
      <c r="D178" t="s">
        <v>606</v>
      </c>
      <c r="E178">
        <v>20</v>
      </c>
      <c r="F178" t="str">
        <f>IF(Table1[[#This Row],[age]]&lt;=25,"18-25",IF(Table1[[#This Row],[age]]&lt;=35,"26-35",IF(Table1[[#This Row],[age]]&lt;=50,"36-50","51+")))</f>
        <v>18-25</v>
      </c>
      <c r="G178" t="s">
        <v>24</v>
      </c>
      <c r="H178" t="s">
        <v>80</v>
      </c>
      <c r="I178" t="s">
        <v>86</v>
      </c>
      <c r="J178" t="s">
        <v>115</v>
      </c>
      <c r="K178" t="s">
        <v>398</v>
      </c>
      <c r="L178">
        <v>1</v>
      </c>
      <c r="M178">
        <v>78299.490000000005</v>
      </c>
      <c r="N178">
        <v>0.18</v>
      </c>
      <c r="O178">
        <v>76494.58</v>
      </c>
      <c r="P178">
        <v>10883.34</v>
      </c>
      <c r="Q178">
        <v>80.12</v>
      </c>
      <c r="R178" t="s">
        <v>57</v>
      </c>
      <c r="S178">
        <v>3</v>
      </c>
      <c r="T178" t="b">
        <v>0</v>
      </c>
      <c r="U178" t="s">
        <v>30</v>
      </c>
      <c r="V178">
        <v>9</v>
      </c>
    </row>
    <row r="179" spans="1:22" x14ac:dyDescent="0.25">
      <c r="A179" t="s">
        <v>607</v>
      </c>
      <c r="B179" s="1">
        <v>45605</v>
      </c>
      <c r="C179" t="s">
        <v>608</v>
      </c>
      <c r="D179" t="s">
        <v>334</v>
      </c>
      <c r="E179">
        <v>33</v>
      </c>
      <c r="F179" t="str">
        <f>IF(Table1[[#This Row],[age]]&lt;=25,"18-25",IF(Table1[[#This Row],[age]]&lt;=35,"26-35",IF(Table1[[#This Row],[age]]&lt;=50,"36-50","51+")))</f>
        <v>26-35</v>
      </c>
      <c r="G179" t="s">
        <v>24</v>
      </c>
      <c r="H179" t="s">
        <v>69</v>
      </c>
      <c r="I179" t="s">
        <v>70</v>
      </c>
      <c r="J179" t="s">
        <v>63</v>
      </c>
      <c r="K179" t="s">
        <v>152</v>
      </c>
      <c r="L179">
        <v>4</v>
      </c>
      <c r="M179">
        <v>1153.04</v>
      </c>
      <c r="N179">
        <v>0.23</v>
      </c>
      <c r="O179">
        <v>3508.11</v>
      </c>
      <c r="P179">
        <v>1237.0899999999999</v>
      </c>
      <c r="Q179">
        <v>67.930000000000007</v>
      </c>
      <c r="R179" t="s">
        <v>57</v>
      </c>
      <c r="S179">
        <v>2</v>
      </c>
      <c r="T179" t="b">
        <v>0</v>
      </c>
      <c r="U179" t="s">
        <v>30</v>
      </c>
      <c r="V179">
        <v>1</v>
      </c>
    </row>
    <row r="180" spans="1:22" x14ac:dyDescent="0.25">
      <c r="A180" t="s">
        <v>609</v>
      </c>
      <c r="B180" s="1">
        <v>45304</v>
      </c>
      <c r="C180" t="s">
        <v>610</v>
      </c>
      <c r="D180" t="s">
        <v>611</v>
      </c>
      <c r="E180">
        <v>25</v>
      </c>
      <c r="F180" t="str">
        <f>IF(Table1[[#This Row],[age]]&lt;=25,"18-25",IF(Table1[[#This Row],[age]]&lt;=35,"26-35",IF(Table1[[#This Row],[age]]&lt;=50,"36-50","51+")))</f>
        <v>18-25</v>
      </c>
      <c r="G180" t="s">
        <v>34</v>
      </c>
      <c r="H180" t="s">
        <v>55</v>
      </c>
      <c r="I180" t="s">
        <v>75</v>
      </c>
      <c r="J180" t="s">
        <v>47</v>
      </c>
      <c r="K180" t="s">
        <v>156</v>
      </c>
      <c r="L180">
        <v>2</v>
      </c>
      <c r="M180">
        <v>365.34</v>
      </c>
      <c r="N180">
        <v>0.09</v>
      </c>
      <c r="O180">
        <v>599.16</v>
      </c>
      <c r="P180">
        <v>276.45999999999998</v>
      </c>
      <c r="Q180">
        <v>52.27</v>
      </c>
      <c r="R180" t="s">
        <v>65</v>
      </c>
      <c r="S180">
        <v>2</v>
      </c>
      <c r="T180" t="b">
        <v>0</v>
      </c>
      <c r="U180" t="s">
        <v>30</v>
      </c>
      <c r="V180">
        <v>4</v>
      </c>
    </row>
    <row r="181" spans="1:22" x14ac:dyDescent="0.25">
      <c r="A181" t="s">
        <v>612</v>
      </c>
      <c r="B181" s="1">
        <v>45637</v>
      </c>
      <c r="C181" t="s">
        <v>613</v>
      </c>
      <c r="D181" t="s">
        <v>567</v>
      </c>
      <c r="E181">
        <v>36</v>
      </c>
      <c r="F181" t="str">
        <f>IF(Table1[[#This Row],[age]]&lt;=25,"18-25",IF(Table1[[#This Row],[age]]&lt;=35,"26-35",IF(Table1[[#This Row],[age]]&lt;=50,"36-50","51+")))</f>
        <v>36-50</v>
      </c>
      <c r="G181" t="s">
        <v>24</v>
      </c>
      <c r="H181" t="s">
        <v>80</v>
      </c>
      <c r="I181" t="s">
        <v>236</v>
      </c>
      <c r="J181" t="s">
        <v>47</v>
      </c>
      <c r="K181" t="s">
        <v>600</v>
      </c>
      <c r="L181">
        <v>7</v>
      </c>
      <c r="M181">
        <v>609.79</v>
      </c>
      <c r="N181">
        <v>0.25</v>
      </c>
      <c r="O181">
        <v>2905.61</v>
      </c>
      <c r="P181">
        <v>1079.08</v>
      </c>
      <c r="Q181">
        <v>68.86</v>
      </c>
      <c r="R181" t="s">
        <v>65</v>
      </c>
      <c r="S181">
        <v>3</v>
      </c>
      <c r="T181" t="b">
        <v>0</v>
      </c>
      <c r="U181" t="s">
        <v>30</v>
      </c>
      <c r="V181">
        <v>7</v>
      </c>
    </row>
    <row r="182" spans="1:22" x14ac:dyDescent="0.25">
      <c r="A182" t="s">
        <v>614</v>
      </c>
      <c r="B182" s="1">
        <v>44367</v>
      </c>
      <c r="C182" t="s">
        <v>615</v>
      </c>
      <c r="D182" t="s">
        <v>599</v>
      </c>
      <c r="E182">
        <v>34</v>
      </c>
      <c r="F182" t="str">
        <f>IF(Table1[[#This Row],[age]]&lt;=25,"18-25",IF(Table1[[#This Row],[age]]&lt;=35,"26-35",IF(Table1[[#This Row],[age]]&lt;=50,"36-50","51+")))</f>
        <v>26-35</v>
      </c>
      <c r="G182" t="s">
        <v>34</v>
      </c>
      <c r="H182" t="s">
        <v>80</v>
      </c>
      <c r="I182" t="s">
        <v>86</v>
      </c>
      <c r="J182" t="s">
        <v>106</v>
      </c>
      <c r="K182" t="s">
        <v>107</v>
      </c>
      <c r="L182">
        <v>7</v>
      </c>
      <c r="M182">
        <v>363.21</v>
      </c>
      <c r="N182">
        <v>0.38</v>
      </c>
      <c r="O182">
        <v>2475.37</v>
      </c>
      <c r="P182">
        <v>175.94</v>
      </c>
      <c r="Q182">
        <v>73.22</v>
      </c>
      <c r="R182" t="s">
        <v>65</v>
      </c>
      <c r="S182">
        <v>4</v>
      </c>
      <c r="T182" t="b">
        <v>0</v>
      </c>
      <c r="U182" t="s">
        <v>93</v>
      </c>
      <c r="V182">
        <v>1</v>
      </c>
    </row>
    <row r="183" spans="1:22" x14ac:dyDescent="0.25">
      <c r="A183" t="s">
        <v>616</v>
      </c>
      <c r="B183" s="1">
        <v>44370</v>
      </c>
      <c r="C183" t="s">
        <v>617</v>
      </c>
      <c r="D183" t="s">
        <v>618</v>
      </c>
      <c r="E183">
        <v>40</v>
      </c>
      <c r="F183" t="str">
        <f>IF(Table1[[#This Row],[age]]&lt;=25,"18-25",IF(Table1[[#This Row],[age]]&lt;=35,"26-35",IF(Table1[[#This Row],[age]]&lt;=50,"36-50","51+")))</f>
        <v>36-50</v>
      </c>
      <c r="G183" t="s">
        <v>34</v>
      </c>
      <c r="H183" t="s">
        <v>55</v>
      </c>
      <c r="I183" t="s">
        <v>97</v>
      </c>
      <c r="J183" t="s">
        <v>101</v>
      </c>
      <c r="K183" t="s">
        <v>164</v>
      </c>
      <c r="L183">
        <v>1</v>
      </c>
      <c r="M183">
        <v>8678.32</v>
      </c>
      <c r="N183">
        <v>0.17</v>
      </c>
      <c r="O183">
        <v>9630.16</v>
      </c>
      <c r="P183">
        <v>2953.14</v>
      </c>
      <c r="Q183">
        <v>33.35</v>
      </c>
      <c r="R183" t="s">
        <v>65</v>
      </c>
      <c r="S183">
        <v>5</v>
      </c>
      <c r="T183" t="b">
        <v>0</v>
      </c>
      <c r="U183" t="s">
        <v>30</v>
      </c>
      <c r="V183">
        <v>4</v>
      </c>
    </row>
    <row r="184" spans="1:22" x14ac:dyDescent="0.25">
      <c r="A184" t="s">
        <v>619</v>
      </c>
      <c r="B184" s="1">
        <v>43905</v>
      </c>
      <c r="C184" t="s">
        <v>620</v>
      </c>
      <c r="D184" t="s">
        <v>621</v>
      </c>
      <c r="E184">
        <v>31</v>
      </c>
      <c r="F184" t="str">
        <f>IF(Table1[[#This Row],[age]]&lt;=25,"18-25",IF(Table1[[#This Row],[age]]&lt;=35,"26-35",IF(Table1[[#This Row],[age]]&lt;=50,"36-50","51+")))</f>
        <v>26-35</v>
      </c>
      <c r="G184" t="s">
        <v>24</v>
      </c>
      <c r="H184" t="s">
        <v>80</v>
      </c>
      <c r="I184" t="s">
        <v>81</v>
      </c>
      <c r="J184" t="s">
        <v>106</v>
      </c>
      <c r="K184" t="s">
        <v>188</v>
      </c>
      <c r="L184">
        <v>9</v>
      </c>
      <c r="M184">
        <v>236.54</v>
      </c>
      <c r="N184">
        <v>0.19</v>
      </c>
      <c r="O184">
        <v>1658.66</v>
      </c>
      <c r="P184">
        <v>140.16</v>
      </c>
      <c r="Q184">
        <v>101.07</v>
      </c>
      <c r="R184" t="s">
        <v>57</v>
      </c>
      <c r="S184">
        <v>3</v>
      </c>
      <c r="T184" t="b">
        <v>1</v>
      </c>
      <c r="U184" t="s">
        <v>50</v>
      </c>
      <c r="V184">
        <v>1</v>
      </c>
    </row>
    <row r="185" spans="1:22" x14ac:dyDescent="0.25">
      <c r="A185" t="s">
        <v>622</v>
      </c>
      <c r="B185" s="1">
        <v>44378</v>
      </c>
      <c r="C185" t="s">
        <v>623</v>
      </c>
      <c r="D185" t="s">
        <v>235</v>
      </c>
      <c r="E185">
        <v>33</v>
      </c>
      <c r="F185" t="str">
        <f>IF(Table1[[#This Row],[age]]&lt;=25,"18-25",IF(Table1[[#This Row],[age]]&lt;=35,"26-35",IF(Table1[[#This Row],[age]]&lt;=50,"36-50","51+")))</f>
        <v>26-35</v>
      </c>
      <c r="G185" t="s">
        <v>24</v>
      </c>
      <c r="H185" t="s">
        <v>69</v>
      </c>
      <c r="I185" t="s">
        <v>181</v>
      </c>
      <c r="J185" t="s">
        <v>27</v>
      </c>
      <c r="K185" t="s">
        <v>192</v>
      </c>
      <c r="L185">
        <v>5</v>
      </c>
      <c r="M185">
        <v>1998.43</v>
      </c>
      <c r="N185">
        <v>0.26</v>
      </c>
      <c r="O185">
        <v>9047.98</v>
      </c>
      <c r="P185">
        <v>4337.88</v>
      </c>
      <c r="Q185">
        <v>79.62</v>
      </c>
      <c r="R185" t="s">
        <v>65</v>
      </c>
      <c r="S185">
        <v>4</v>
      </c>
      <c r="T185" t="b">
        <v>0</v>
      </c>
      <c r="U185" t="s">
        <v>93</v>
      </c>
      <c r="V185">
        <v>3</v>
      </c>
    </row>
    <row r="186" spans="1:22" x14ac:dyDescent="0.25">
      <c r="A186" t="s">
        <v>624</v>
      </c>
      <c r="B186" s="1">
        <v>45621</v>
      </c>
      <c r="C186" t="s">
        <v>625</v>
      </c>
      <c r="D186" t="s">
        <v>626</v>
      </c>
      <c r="E186">
        <v>38</v>
      </c>
      <c r="F186" t="str">
        <f>IF(Table1[[#This Row],[age]]&lt;=25,"18-25",IF(Table1[[#This Row],[age]]&lt;=35,"26-35",IF(Table1[[#This Row],[age]]&lt;=50,"36-50","51+")))</f>
        <v>36-50</v>
      </c>
      <c r="G186" t="s">
        <v>34</v>
      </c>
      <c r="H186" t="s">
        <v>69</v>
      </c>
      <c r="I186" t="s">
        <v>70</v>
      </c>
      <c r="J186" t="s">
        <v>115</v>
      </c>
      <c r="K186" t="s">
        <v>398</v>
      </c>
      <c r="L186">
        <v>9</v>
      </c>
      <c r="M186">
        <v>76064.53</v>
      </c>
      <c r="N186">
        <v>0.25</v>
      </c>
      <c r="O186">
        <v>473255.79</v>
      </c>
      <c r="P186">
        <v>56343.87</v>
      </c>
      <c r="Q186">
        <v>79.709999999999994</v>
      </c>
      <c r="R186" t="s">
        <v>49</v>
      </c>
      <c r="S186">
        <v>3</v>
      </c>
      <c r="T186" t="b">
        <v>0</v>
      </c>
      <c r="U186" t="s">
        <v>30</v>
      </c>
      <c r="V186">
        <v>1</v>
      </c>
    </row>
    <row r="187" spans="1:22" x14ac:dyDescent="0.25">
      <c r="A187" t="s">
        <v>627</v>
      </c>
      <c r="B187" s="1">
        <v>45215</v>
      </c>
      <c r="C187" t="s">
        <v>628</v>
      </c>
      <c r="D187" t="s">
        <v>629</v>
      </c>
      <c r="E187">
        <v>49</v>
      </c>
      <c r="F187" t="str">
        <f>IF(Table1[[#This Row],[age]]&lt;=25,"18-25",IF(Table1[[#This Row],[age]]&lt;=35,"26-35",IF(Table1[[#This Row],[age]]&lt;=50,"36-50","51+")))</f>
        <v>36-50</v>
      </c>
      <c r="G187" t="s">
        <v>34</v>
      </c>
      <c r="H187" t="s">
        <v>61</v>
      </c>
      <c r="I187" t="s">
        <v>91</v>
      </c>
      <c r="J187" t="s">
        <v>106</v>
      </c>
      <c r="K187" t="s">
        <v>314</v>
      </c>
      <c r="L187">
        <v>1</v>
      </c>
      <c r="M187">
        <v>97.17</v>
      </c>
      <c r="N187">
        <v>0.14000000000000001</v>
      </c>
      <c r="O187">
        <v>86.02</v>
      </c>
      <c r="P187">
        <v>8.27</v>
      </c>
      <c r="Q187">
        <v>46.49</v>
      </c>
      <c r="R187" t="s">
        <v>43</v>
      </c>
      <c r="S187">
        <v>1</v>
      </c>
      <c r="T187" t="b">
        <v>0</v>
      </c>
      <c r="U187" t="s">
        <v>30</v>
      </c>
      <c r="V187">
        <v>5</v>
      </c>
    </row>
    <row r="188" spans="1:22" x14ac:dyDescent="0.25">
      <c r="A188" t="s">
        <v>630</v>
      </c>
      <c r="B188" s="1">
        <v>44157</v>
      </c>
      <c r="C188" t="s">
        <v>631</v>
      </c>
      <c r="D188" t="s">
        <v>292</v>
      </c>
      <c r="E188">
        <v>48</v>
      </c>
      <c r="F188" t="str">
        <f>IF(Table1[[#This Row],[age]]&lt;=25,"18-25",IF(Table1[[#This Row],[age]]&lt;=35,"26-35",IF(Table1[[#This Row],[age]]&lt;=50,"36-50","51+")))</f>
        <v>36-50</v>
      </c>
      <c r="G188" t="s">
        <v>34</v>
      </c>
      <c r="H188" t="s">
        <v>55</v>
      </c>
      <c r="I188" t="s">
        <v>75</v>
      </c>
      <c r="J188" t="s">
        <v>106</v>
      </c>
      <c r="K188" t="s">
        <v>107</v>
      </c>
      <c r="L188">
        <v>9</v>
      </c>
      <c r="M188">
        <v>407.45</v>
      </c>
      <c r="N188">
        <v>0.36</v>
      </c>
      <c r="O188">
        <v>1769.53</v>
      </c>
      <c r="P188">
        <v>149.16</v>
      </c>
      <c r="Q188">
        <v>50.13</v>
      </c>
      <c r="R188" t="s">
        <v>92</v>
      </c>
      <c r="S188">
        <v>1</v>
      </c>
      <c r="T188" t="b">
        <v>1</v>
      </c>
      <c r="U188" t="s">
        <v>50</v>
      </c>
      <c r="V188">
        <v>8</v>
      </c>
    </row>
    <row r="189" spans="1:22" x14ac:dyDescent="0.25">
      <c r="A189" t="s">
        <v>632</v>
      </c>
      <c r="B189" s="1">
        <v>44275</v>
      </c>
      <c r="C189" t="s">
        <v>633</v>
      </c>
      <c r="D189" t="s">
        <v>634</v>
      </c>
      <c r="E189">
        <v>20</v>
      </c>
      <c r="F189" t="str">
        <f>IF(Table1[[#This Row],[age]]&lt;=25,"18-25",IF(Table1[[#This Row],[age]]&lt;=35,"26-35",IF(Table1[[#This Row],[age]]&lt;=50,"36-50","51+")))</f>
        <v>18-25</v>
      </c>
      <c r="G189" t="s">
        <v>24</v>
      </c>
      <c r="H189" t="s">
        <v>25</v>
      </c>
      <c r="I189" t="s">
        <v>35</v>
      </c>
      <c r="J189" t="s">
        <v>36</v>
      </c>
      <c r="K189" t="s">
        <v>37</v>
      </c>
      <c r="L189">
        <v>6</v>
      </c>
      <c r="M189">
        <v>5299.05</v>
      </c>
      <c r="N189">
        <v>0.13</v>
      </c>
      <c r="O189">
        <v>28279.75</v>
      </c>
      <c r="P189">
        <v>5506.48</v>
      </c>
      <c r="Q189">
        <v>36.549999999999997</v>
      </c>
      <c r="R189" t="s">
        <v>49</v>
      </c>
      <c r="S189">
        <v>4</v>
      </c>
      <c r="T189" t="b">
        <v>0</v>
      </c>
      <c r="U189" t="s">
        <v>30</v>
      </c>
      <c r="V189">
        <v>7</v>
      </c>
    </row>
    <row r="190" spans="1:22" x14ac:dyDescent="0.25">
      <c r="A190" t="s">
        <v>635</v>
      </c>
      <c r="B190" s="1">
        <v>44459</v>
      </c>
      <c r="C190" t="s">
        <v>636</v>
      </c>
      <c r="D190" t="s">
        <v>637</v>
      </c>
      <c r="E190">
        <v>45</v>
      </c>
      <c r="F190" t="str">
        <f>IF(Table1[[#This Row],[age]]&lt;=25,"18-25",IF(Table1[[#This Row],[age]]&lt;=35,"26-35",IF(Table1[[#This Row],[age]]&lt;=50,"36-50","51+")))</f>
        <v>36-50</v>
      </c>
      <c r="G190" t="s">
        <v>34</v>
      </c>
      <c r="H190" t="s">
        <v>69</v>
      </c>
      <c r="I190" t="s">
        <v>181</v>
      </c>
      <c r="J190" t="s">
        <v>106</v>
      </c>
      <c r="K190" t="s">
        <v>247</v>
      </c>
      <c r="L190">
        <v>8</v>
      </c>
      <c r="M190">
        <v>126.77</v>
      </c>
      <c r="N190">
        <v>0.15</v>
      </c>
      <c r="O190">
        <v>930.33</v>
      </c>
      <c r="P190">
        <v>66.45</v>
      </c>
      <c r="Q190">
        <v>64.290000000000006</v>
      </c>
      <c r="R190" t="s">
        <v>92</v>
      </c>
      <c r="S190">
        <v>4</v>
      </c>
      <c r="T190" t="b">
        <v>0</v>
      </c>
      <c r="U190" t="s">
        <v>93</v>
      </c>
      <c r="V190">
        <v>2</v>
      </c>
    </row>
    <row r="191" spans="1:22" x14ac:dyDescent="0.25">
      <c r="A191" t="s">
        <v>638</v>
      </c>
      <c r="B191" s="1">
        <v>44332</v>
      </c>
      <c r="C191" t="s">
        <v>639</v>
      </c>
      <c r="D191" t="s">
        <v>640</v>
      </c>
      <c r="E191">
        <v>21</v>
      </c>
      <c r="F191" t="str">
        <f>IF(Table1[[#This Row],[age]]&lt;=25,"18-25",IF(Table1[[#This Row],[age]]&lt;=35,"26-35",IF(Table1[[#This Row],[age]]&lt;=50,"36-50","51+")))</f>
        <v>18-25</v>
      </c>
      <c r="G191" t="s">
        <v>24</v>
      </c>
      <c r="H191" t="s">
        <v>69</v>
      </c>
      <c r="I191" t="s">
        <v>136</v>
      </c>
      <c r="J191" t="s">
        <v>101</v>
      </c>
      <c r="K191" t="s">
        <v>124</v>
      </c>
      <c r="L191">
        <v>6</v>
      </c>
      <c r="M191">
        <v>3857.03</v>
      </c>
      <c r="N191">
        <v>0.3</v>
      </c>
      <c r="O191">
        <v>21548.37</v>
      </c>
      <c r="P191">
        <v>6137.14</v>
      </c>
      <c r="Q191">
        <v>60.48</v>
      </c>
      <c r="R191" t="s">
        <v>49</v>
      </c>
      <c r="S191">
        <v>2</v>
      </c>
      <c r="T191" t="b">
        <v>0</v>
      </c>
      <c r="U191" t="s">
        <v>30</v>
      </c>
      <c r="V191">
        <v>4</v>
      </c>
    </row>
    <row r="192" spans="1:22" x14ac:dyDescent="0.25">
      <c r="A192" t="s">
        <v>641</v>
      </c>
      <c r="B192" s="1">
        <v>44782</v>
      </c>
      <c r="C192" t="s">
        <v>642</v>
      </c>
      <c r="D192" t="s">
        <v>643</v>
      </c>
      <c r="E192">
        <v>33</v>
      </c>
      <c r="F192" t="str">
        <f>IF(Table1[[#This Row],[age]]&lt;=25,"18-25",IF(Table1[[#This Row],[age]]&lt;=35,"26-35",IF(Table1[[#This Row],[age]]&lt;=50,"36-50","51+")))</f>
        <v>26-35</v>
      </c>
      <c r="G192" t="s">
        <v>24</v>
      </c>
      <c r="H192" t="s">
        <v>80</v>
      </c>
      <c r="I192" t="s">
        <v>242</v>
      </c>
      <c r="J192" t="s">
        <v>63</v>
      </c>
      <c r="K192" t="s">
        <v>64</v>
      </c>
      <c r="L192">
        <v>1</v>
      </c>
      <c r="M192">
        <v>1170.22</v>
      </c>
      <c r="N192">
        <v>0.37</v>
      </c>
      <c r="O192">
        <v>1011.25</v>
      </c>
      <c r="P192">
        <v>422.66</v>
      </c>
      <c r="Q192">
        <v>82.03</v>
      </c>
      <c r="R192" t="s">
        <v>29</v>
      </c>
      <c r="S192">
        <v>4</v>
      </c>
      <c r="T192" t="b">
        <v>0</v>
      </c>
      <c r="U192" t="s">
        <v>30</v>
      </c>
      <c r="V192">
        <v>2</v>
      </c>
    </row>
    <row r="193" spans="1:22" x14ac:dyDescent="0.25">
      <c r="A193" t="s">
        <v>644</v>
      </c>
      <c r="B193" s="1">
        <v>45064</v>
      </c>
      <c r="C193" t="s">
        <v>645</v>
      </c>
      <c r="D193" t="s">
        <v>646</v>
      </c>
      <c r="E193">
        <v>31</v>
      </c>
      <c r="F193" t="str">
        <f>IF(Table1[[#This Row],[age]]&lt;=25,"18-25",IF(Table1[[#This Row],[age]]&lt;=35,"26-35",IF(Table1[[#This Row],[age]]&lt;=50,"36-50","51+")))</f>
        <v>26-35</v>
      </c>
      <c r="G193" t="s">
        <v>34</v>
      </c>
      <c r="H193" t="s">
        <v>61</v>
      </c>
      <c r="I193" t="s">
        <v>91</v>
      </c>
      <c r="J193" t="s">
        <v>115</v>
      </c>
      <c r="K193" t="s">
        <v>545</v>
      </c>
      <c r="L193">
        <v>2</v>
      </c>
      <c r="M193">
        <v>73267.64</v>
      </c>
      <c r="N193">
        <v>0.32</v>
      </c>
      <c r="O193">
        <v>142488.63</v>
      </c>
      <c r="P193">
        <v>20643.55</v>
      </c>
      <c r="Q193">
        <v>69.989999999999995</v>
      </c>
      <c r="R193" t="s">
        <v>57</v>
      </c>
      <c r="S193">
        <v>2</v>
      </c>
      <c r="T193" t="b">
        <v>0</v>
      </c>
      <c r="U193" t="s">
        <v>30</v>
      </c>
      <c r="V193">
        <v>6</v>
      </c>
    </row>
    <row r="194" spans="1:22" x14ac:dyDescent="0.25">
      <c r="A194" t="s">
        <v>647</v>
      </c>
      <c r="B194" s="1">
        <v>45518</v>
      </c>
      <c r="C194" t="s">
        <v>648</v>
      </c>
      <c r="D194" t="s">
        <v>649</v>
      </c>
      <c r="E194">
        <v>39</v>
      </c>
      <c r="F194" t="str">
        <f>IF(Table1[[#This Row],[age]]&lt;=25,"18-25",IF(Table1[[#This Row],[age]]&lt;=35,"26-35",IF(Table1[[#This Row],[age]]&lt;=50,"36-50","51+")))</f>
        <v>36-50</v>
      </c>
      <c r="G194" t="s">
        <v>54</v>
      </c>
      <c r="H194" t="s">
        <v>25</v>
      </c>
      <c r="I194" t="s">
        <v>26</v>
      </c>
      <c r="J194" t="s">
        <v>47</v>
      </c>
      <c r="K194" t="s">
        <v>204</v>
      </c>
      <c r="L194">
        <v>3</v>
      </c>
      <c r="M194">
        <v>705.21</v>
      </c>
      <c r="N194">
        <v>0.14000000000000001</v>
      </c>
      <c r="O194">
        <v>2873.31</v>
      </c>
      <c r="P194">
        <v>1040.42</v>
      </c>
      <c r="Q194">
        <v>76.63</v>
      </c>
      <c r="R194" t="s">
        <v>43</v>
      </c>
      <c r="S194">
        <v>1</v>
      </c>
      <c r="T194" t="b">
        <v>0</v>
      </c>
      <c r="U194" t="s">
        <v>30</v>
      </c>
      <c r="V194">
        <v>8</v>
      </c>
    </row>
    <row r="195" spans="1:22" x14ac:dyDescent="0.25">
      <c r="A195" t="s">
        <v>650</v>
      </c>
      <c r="B195" s="1">
        <v>44788</v>
      </c>
      <c r="C195" t="s">
        <v>651</v>
      </c>
      <c r="D195" t="s">
        <v>580</v>
      </c>
      <c r="E195">
        <v>32</v>
      </c>
      <c r="F195" t="str">
        <f>IF(Table1[[#This Row],[age]]&lt;=25,"18-25",IF(Table1[[#This Row],[age]]&lt;=35,"26-35",IF(Table1[[#This Row],[age]]&lt;=50,"36-50","51+")))</f>
        <v>26-35</v>
      </c>
      <c r="G195" t="s">
        <v>34</v>
      </c>
      <c r="H195" t="s">
        <v>69</v>
      </c>
      <c r="I195" t="s">
        <v>221</v>
      </c>
      <c r="J195" t="s">
        <v>36</v>
      </c>
      <c r="K195" t="s">
        <v>37</v>
      </c>
      <c r="L195">
        <v>3</v>
      </c>
      <c r="M195">
        <v>23445.9</v>
      </c>
      <c r="N195">
        <v>0.31</v>
      </c>
      <c r="O195">
        <v>60026.42</v>
      </c>
      <c r="P195">
        <v>15012.25</v>
      </c>
      <c r="Q195">
        <v>54.92</v>
      </c>
      <c r="R195" t="s">
        <v>57</v>
      </c>
      <c r="S195">
        <v>1</v>
      </c>
      <c r="T195" t="b">
        <v>1</v>
      </c>
      <c r="U195" t="s">
        <v>50</v>
      </c>
      <c r="V195">
        <v>7</v>
      </c>
    </row>
    <row r="196" spans="1:22" x14ac:dyDescent="0.25">
      <c r="A196" t="s">
        <v>652</v>
      </c>
      <c r="B196" s="1">
        <v>44714</v>
      </c>
      <c r="C196" t="s">
        <v>653</v>
      </c>
      <c r="D196" t="s">
        <v>654</v>
      </c>
      <c r="E196">
        <v>35</v>
      </c>
      <c r="F196" t="str">
        <f>IF(Table1[[#This Row],[age]]&lt;=25,"18-25",IF(Table1[[#This Row],[age]]&lt;=35,"26-35",IF(Table1[[#This Row],[age]]&lt;=50,"36-50","51+")))</f>
        <v>26-35</v>
      </c>
      <c r="G196" t="s">
        <v>54</v>
      </c>
      <c r="H196" t="s">
        <v>69</v>
      </c>
      <c r="I196" t="s">
        <v>70</v>
      </c>
      <c r="J196" t="s">
        <v>101</v>
      </c>
      <c r="K196" t="s">
        <v>124</v>
      </c>
      <c r="L196">
        <v>6</v>
      </c>
      <c r="M196">
        <v>6661.26</v>
      </c>
      <c r="N196">
        <v>0.13</v>
      </c>
      <c r="O196">
        <v>55550.3</v>
      </c>
      <c r="P196">
        <v>11352.36</v>
      </c>
      <c r="Q196">
        <v>99.9</v>
      </c>
      <c r="R196" t="s">
        <v>49</v>
      </c>
      <c r="S196">
        <v>2</v>
      </c>
      <c r="T196" t="b">
        <v>0</v>
      </c>
      <c r="U196" t="s">
        <v>30</v>
      </c>
      <c r="V196">
        <v>8</v>
      </c>
    </row>
    <row r="197" spans="1:22" x14ac:dyDescent="0.25">
      <c r="A197" t="s">
        <v>655</v>
      </c>
      <c r="B197" s="1">
        <v>45147</v>
      </c>
      <c r="C197" t="s">
        <v>656</v>
      </c>
      <c r="D197" t="s">
        <v>657</v>
      </c>
      <c r="E197">
        <v>25</v>
      </c>
      <c r="F197" t="str">
        <f>IF(Table1[[#This Row],[age]]&lt;=25,"18-25",IF(Table1[[#This Row],[age]]&lt;=35,"26-35",IF(Table1[[#This Row],[age]]&lt;=50,"36-50","51+")))</f>
        <v>18-25</v>
      </c>
      <c r="G197" t="s">
        <v>24</v>
      </c>
      <c r="H197" t="s">
        <v>61</v>
      </c>
      <c r="I197" t="s">
        <v>62</v>
      </c>
      <c r="J197" t="s">
        <v>63</v>
      </c>
      <c r="K197" t="s">
        <v>64</v>
      </c>
      <c r="L197">
        <v>2</v>
      </c>
      <c r="M197">
        <v>3266.34</v>
      </c>
      <c r="N197">
        <v>0</v>
      </c>
      <c r="O197">
        <v>9066.91</v>
      </c>
      <c r="P197">
        <v>3755.8</v>
      </c>
      <c r="Q197">
        <v>51.58</v>
      </c>
      <c r="R197" t="s">
        <v>49</v>
      </c>
      <c r="S197">
        <v>5</v>
      </c>
      <c r="T197" t="b">
        <v>0</v>
      </c>
      <c r="U197" t="s">
        <v>30</v>
      </c>
      <c r="V197">
        <v>1</v>
      </c>
    </row>
    <row r="198" spans="1:22" x14ac:dyDescent="0.25">
      <c r="A198" t="s">
        <v>658</v>
      </c>
      <c r="B198" s="1">
        <v>45303</v>
      </c>
      <c r="C198" t="s">
        <v>659</v>
      </c>
      <c r="D198" t="s">
        <v>660</v>
      </c>
      <c r="E198">
        <v>42</v>
      </c>
      <c r="F198" t="str">
        <f>IF(Table1[[#This Row],[age]]&lt;=25,"18-25",IF(Table1[[#This Row],[age]]&lt;=35,"26-35",IF(Table1[[#This Row],[age]]&lt;=50,"36-50","51+")))</f>
        <v>36-50</v>
      </c>
      <c r="G198" t="s">
        <v>24</v>
      </c>
      <c r="H198" t="s">
        <v>80</v>
      </c>
      <c r="I198" t="s">
        <v>242</v>
      </c>
      <c r="J198" t="s">
        <v>27</v>
      </c>
      <c r="K198" t="s">
        <v>28</v>
      </c>
      <c r="L198">
        <v>1</v>
      </c>
      <c r="M198">
        <v>2339.83</v>
      </c>
      <c r="N198">
        <v>0.03</v>
      </c>
      <c r="O198">
        <v>2319.17</v>
      </c>
      <c r="P198">
        <v>1351.82</v>
      </c>
      <c r="Q198">
        <v>88.12</v>
      </c>
      <c r="R198" t="s">
        <v>92</v>
      </c>
      <c r="S198">
        <v>3</v>
      </c>
      <c r="T198" t="b">
        <v>0</v>
      </c>
      <c r="U198" t="s">
        <v>30</v>
      </c>
      <c r="V198">
        <v>10</v>
      </c>
    </row>
    <row r="199" spans="1:22" x14ac:dyDescent="0.25">
      <c r="A199" t="s">
        <v>661</v>
      </c>
      <c r="B199" s="1">
        <v>44711</v>
      </c>
      <c r="C199" t="s">
        <v>662</v>
      </c>
      <c r="D199" t="s">
        <v>663</v>
      </c>
      <c r="E199">
        <v>24</v>
      </c>
      <c r="F199" t="str">
        <f>IF(Table1[[#This Row],[age]]&lt;=25,"18-25",IF(Table1[[#This Row],[age]]&lt;=35,"26-35",IF(Table1[[#This Row],[age]]&lt;=50,"36-50","51+")))</f>
        <v>18-25</v>
      </c>
      <c r="G199" t="s">
        <v>54</v>
      </c>
      <c r="H199" t="s">
        <v>69</v>
      </c>
      <c r="I199" t="s">
        <v>181</v>
      </c>
      <c r="J199" t="s">
        <v>27</v>
      </c>
      <c r="K199" t="s">
        <v>128</v>
      </c>
      <c r="L199">
        <v>8</v>
      </c>
      <c r="M199">
        <v>1075.32</v>
      </c>
      <c r="N199">
        <v>0.25</v>
      </c>
      <c r="O199">
        <v>9458.9500000000007</v>
      </c>
      <c r="P199">
        <v>4920.3500000000004</v>
      </c>
      <c r="Q199">
        <v>101.65</v>
      </c>
      <c r="R199" t="s">
        <v>57</v>
      </c>
      <c r="S199">
        <v>1</v>
      </c>
      <c r="T199" t="b">
        <v>1</v>
      </c>
      <c r="U199" t="s">
        <v>50</v>
      </c>
      <c r="V199">
        <v>8</v>
      </c>
    </row>
    <row r="200" spans="1:22" x14ac:dyDescent="0.25">
      <c r="A200" t="s">
        <v>664</v>
      </c>
      <c r="B200" s="1">
        <v>45588</v>
      </c>
      <c r="C200" t="s">
        <v>665</v>
      </c>
      <c r="D200" t="s">
        <v>666</v>
      </c>
      <c r="E200">
        <v>27</v>
      </c>
      <c r="F200" t="str">
        <f>IF(Table1[[#This Row],[age]]&lt;=25,"18-25",IF(Table1[[#This Row],[age]]&lt;=35,"26-35",IF(Table1[[#This Row],[age]]&lt;=50,"36-50","51+")))</f>
        <v>26-35</v>
      </c>
      <c r="G200" t="s">
        <v>34</v>
      </c>
      <c r="H200" t="s">
        <v>55</v>
      </c>
      <c r="I200" t="s">
        <v>114</v>
      </c>
      <c r="J200" t="s">
        <v>106</v>
      </c>
      <c r="K200" t="s">
        <v>331</v>
      </c>
      <c r="L200">
        <v>8</v>
      </c>
      <c r="M200">
        <v>174.02</v>
      </c>
      <c r="N200">
        <v>0.14000000000000001</v>
      </c>
      <c r="O200">
        <v>1362</v>
      </c>
      <c r="P200">
        <v>107.89</v>
      </c>
      <c r="Q200">
        <v>40.35</v>
      </c>
      <c r="R200" t="s">
        <v>49</v>
      </c>
      <c r="S200">
        <v>5</v>
      </c>
      <c r="T200" t="b">
        <v>0</v>
      </c>
      <c r="U200" t="s">
        <v>30</v>
      </c>
      <c r="V200">
        <v>10</v>
      </c>
    </row>
    <row r="201" spans="1:22" x14ac:dyDescent="0.25">
      <c r="A201" t="s">
        <v>667</v>
      </c>
      <c r="B201" s="1">
        <v>44787</v>
      </c>
      <c r="C201" t="s">
        <v>668</v>
      </c>
      <c r="D201" t="s">
        <v>397</v>
      </c>
      <c r="E201">
        <v>36</v>
      </c>
      <c r="F201" t="str">
        <f>IF(Table1[[#This Row],[age]]&lt;=25,"18-25",IF(Table1[[#This Row],[age]]&lt;=35,"26-35",IF(Table1[[#This Row],[age]]&lt;=50,"36-50","51+")))</f>
        <v>36-50</v>
      </c>
      <c r="G201" t="s">
        <v>34</v>
      </c>
      <c r="H201" t="s">
        <v>61</v>
      </c>
      <c r="I201" t="s">
        <v>62</v>
      </c>
      <c r="J201" t="s">
        <v>47</v>
      </c>
      <c r="K201" t="s">
        <v>120</v>
      </c>
      <c r="L201">
        <v>1</v>
      </c>
      <c r="M201">
        <v>1129.04</v>
      </c>
      <c r="N201">
        <v>0.28000000000000003</v>
      </c>
      <c r="O201">
        <v>1081.22</v>
      </c>
      <c r="P201">
        <v>412.61</v>
      </c>
      <c r="Q201">
        <v>40.43</v>
      </c>
      <c r="R201" t="s">
        <v>92</v>
      </c>
      <c r="S201">
        <v>1</v>
      </c>
      <c r="T201" t="b">
        <v>1</v>
      </c>
      <c r="U201" t="s">
        <v>50</v>
      </c>
      <c r="V201">
        <v>10</v>
      </c>
    </row>
    <row r="202" spans="1:22" x14ac:dyDescent="0.25">
      <c r="A202" t="s">
        <v>669</v>
      </c>
      <c r="B202" s="1">
        <v>45439</v>
      </c>
      <c r="C202" t="s">
        <v>670</v>
      </c>
      <c r="D202" t="s">
        <v>671</v>
      </c>
      <c r="E202">
        <v>32</v>
      </c>
      <c r="F202" t="str">
        <f>IF(Table1[[#This Row],[age]]&lt;=25,"18-25",IF(Table1[[#This Row],[age]]&lt;=35,"26-35",IF(Table1[[#This Row],[age]]&lt;=50,"36-50","51+")))</f>
        <v>26-35</v>
      </c>
      <c r="G202" t="s">
        <v>34</v>
      </c>
      <c r="H202" t="s">
        <v>25</v>
      </c>
      <c r="I202" t="s">
        <v>26</v>
      </c>
      <c r="J202" t="s">
        <v>27</v>
      </c>
      <c r="K202" t="s">
        <v>28</v>
      </c>
      <c r="L202">
        <v>4</v>
      </c>
      <c r="M202">
        <v>722.47</v>
      </c>
      <c r="N202">
        <v>0.19</v>
      </c>
      <c r="O202">
        <v>4358.7299999999996</v>
      </c>
      <c r="P202">
        <v>1526.73</v>
      </c>
      <c r="Q202">
        <v>71.989999999999995</v>
      </c>
      <c r="R202" t="s">
        <v>43</v>
      </c>
      <c r="S202">
        <v>1</v>
      </c>
      <c r="T202" t="b">
        <v>0</v>
      </c>
      <c r="U202" t="s">
        <v>71</v>
      </c>
      <c r="V202">
        <v>7</v>
      </c>
    </row>
    <row r="203" spans="1:22" x14ac:dyDescent="0.25">
      <c r="A203" t="s">
        <v>672</v>
      </c>
      <c r="B203" s="1">
        <v>44420</v>
      </c>
      <c r="C203" t="s">
        <v>673</v>
      </c>
      <c r="D203" t="s">
        <v>674</v>
      </c>
      <c r="E203">
        <v>22</v>
      </c>
      <c r="F203" t="str">
        <f>IF(Table1[[#This Row],[age]]&lt;=25,"18-25",IF(Table1[[#This Row],[age]]&lt;=35,"26-35",IF(Table1[[#This Row],[age]]&lt;=50,"36-50","51+")))</f>
        <v>18-25</v>
      </c>
      <c r="G203" t="s">
        <v>24</v>
      </c>
      <c r="H203" t="s">
        <v>61</v>
      </c>
      <c r="I203" t="s">
        <v>91</v>
      </c>
      <c r="J203" t="s">
        <v>27</v>
      </c>
      <c r="K203" t="s">
        <v>28</v>
      </c>
      <c r="L203">
        <v>2</v>
      </c>
      <c r="M203">
        <v>542.62</v>
      </c>
      <c r="N203">
        <v>0.14000000000000001</v>
      </c>
      <c r="O203">
        <v>971.77</v>
      </c>
      <c r="P203">
        <v>443.38</v>
      </c>
      <c r="Q203">
        <v>61.76</v>
      </c>
      <c r="R203" t="s">
        <v>65</v>
      </c>
      <c r="S203">
        <v>4</v>
      </c>
      <c r="T203" t="b">
        <v>0</v>
      </c>
      <c r="U203" t="s">
        <v>30</v>
      </c>
      <c r="V203">
        <v>3</v>
      </c>
    </row>
    <row r="204" spans="1:22" x14ac:dyDescent="0.25">
      <c r="A204" t="s">
        <v>675</v>
      </c>
      <c r="B204" s="1">
        <v>44194</v>
      </c>
      <c r="C204" t="s">
        <v>676</v>
      </c>
      <c r="D204" t="s">
        <v>440</v>
      </c>
      <c r="E204">
        <v>38</v>
      </c>
      <c r="F204" t="str">
        <f>IF(Table1[[#This Row],[age]]&lt;=25,"18-25",IF(Table1[[#This Row],[age]]&lt;=35,"26-35",IF(Table1[[#This Row],[age]]&lt;=50,"36-50","51+")))</f>
        <v>36-50</v>
      </c>
      <c r="G204" t="s">
        <v>24</v>
      </c>
      <c r="H204" t="s">
        <v>80</v>
      </c>
      <c r="I204" t="s">
        <v>242</v>
      </c>
      <c r="J204" t="s">
        <v>27</v>
      </c>
      <c r="K204" t="s">
        <v>168</v>
      </c>
      <c r="L204">
        <v>4</v>
      </c>
      <c r="M204">
        <v>197.52</v>
      </c>
      <c r="N204">
        <v>0.35</v>
      </c>
      <c r="O204">
        <v>379.18</v>
      </c>
      <c r="P204">
        <v>169.93</v>
      </c>
      <c r="Q204">
        <v>61.28</v>
      </c>
      <c r="R204" t="s">
        <v>43</v>
      </c>
      <c r="S204">
        <v>3</v>
      </c>
      <c r="T204" t="b">
        <v>0</v>
      </c>
      <c r="U204" t="s">
        <v>30</v>
      </c>
      <c r="V204">
        <v>2</v>
      </c>
    </row>
    <row r="205" spans="1:22" x14ac:dyDescent="0.25">
      <c r="A205" t="s">
        <v>677</v>
      </c>
      <c r="B205" s="1">
        <v>44984</v>
      </c>
      <c r="C205" t="s">
        <v>678</v>
      </c>
      <c r="D205" t="s">
        <v>679</v>
      </c>
      <c r="E205">
        <v>49</v>
      </c>
      <c r="F205" t="str">
        <f>IF(Table1[[#This Row],[age]]&lt;=25,"18-25",IF(Table1[[#This Row],[age]]&lt;=35,"26-35",IF(Table1[[#This Row],[age]]&lt;=50,"36-50","51+")))</f>
        <v>36-50</v>
      </c>
      <c r="G205" t="s">
        <v>24</v>
      </c>
      <c r="H205" t="s">
        <v>69</v>
      </c>
      <c r="I205" t="s">
        <v>70</v>
      </c>
      <c r="J205" t="s">
        <v>106</v>
      </c>
      <c r="K205" t="s">
        <v>247</v>
      </c>
      <c r="L205">
        <v>4</v>
      </c>
      <c r="M205">
        <v>230.58</v>
      </c>
      <c r="N205">
        <v>0.17</v>
      </c>
      <c r="O205">
        <v>768.3</v>
      </c>
      <c r="P205">
        <v>50.26</v>
      </c>
      <c r="Q205">
        <v>81.52</v>
      </c>
      <c r="R205" t="s">
        <v>65</v>
      </c>
      <c r="S205">
        <v>1</v>
      </c>
      <c r="T205" t="b">
        <v>0</v>
      </c>
      <c r="U205" t="s">
        <v>30</v>
      </c>
      <c r="V205">
        <v>1</v>
      </c>
    </row>
    <row r="206" spans="1:22" x14ac:dyDescent="0.25">
      <c r="A206" t="s">
        <v>680</v>
      </c>
      <c r="B206" s="1">
        <v>44674</v>
      </c>
      <c r="C206" t="s">
        <v>681</v>
      </c>
      <c r="D206" t="s">
        <v>682</v>
      </c>
      <c r="E206">
        <v>31</v>
      </c>
      <c r="F206" t="str">
        <f>IF(Table1[[#This Row],[age]]&lt;=25,"18-25",IF(Table1[[#This Row],[age]]&lt;=35,"26-35",IF(Table1[[#This Row],[age]]&lt;=50,"36-50","51+")))</f>
        <v>26-35</v>
      </c>
      <c r="G206" t="s">
        <v>24</v>
      </c>
      <c r="H206" t="s">
        <v>55</v>
      </c>
      <c r="I206" t="s">
        <v>75</v>
      </c>
      <c r="J206" t="s">
        <v>101</v>
      </c>
      <c r="K206" t="s">
        <v>124</v>
      </c>
      <c r="L206">
        <v>6</v>
      </c>
      <c r="M206">
        <v>12397.94</v>
      </c>
      <c r="N206">
        <v>0.35</v>
      </c>
      <c r="O206">
        <v>69539.73</v>
      </c>
      <c r="P206">
        <v>14673.82</v>
      </c>
      <c r="Q206">
        <v>51.27</v>
      </c>
      <c r="R206" t="s">
        <v>65</v>
      </c>
      <c r="S206">
        <v>2</v>
      </c>
      <c r="T206" t="b">
        <v>0</v>
      </c>
      <c r="U206" t="s">
        <v>30</v>
      </c>
      <c r="V206">
        <v>1</v>
      </c>
    </row>
    <row r="207" spans="1:22" x14ac:dyDescent="0.25">
      <c r="A207" t="s">
        <v>683</v>
      </c>
      <c r="B207" s="1">
        <v>44178</v>
      </c>
      <c r="C207" t="s">
        <v>684</v>
      </c>
      <c r="D207" t="s">
        <v>685</v>
      </c>
      <c r="E207">
        <v>19</v>
      </c>
      <c r="F207" t="str">
        <f>IF(Table1[[#This Row],[age]]&lt;=25,"18-25",IF(Table1[[#This Row],[age]]&lt;=35,"26-35",IF(Table1[[#This Row],[age]]&lt;=50,"36-50","51+")))</f>
        <v>18-25</v>
      </c>
      <c r="G207" t="s">
        <v>54</v>
      </c>
      <c r="H207" t="s">
        <v>61</v>
      </c>
      <c r="I207" t="s">
        <v>62</v>
      </c>
      <c r="J207" t="s">
        <v>47</v>
      </c>
      <c r="K207" t="s">
        <v>204</v>
      </c>
      <c r="L207">
        <v>6</v>
      </c>
      <c r="M207">
        <v>526.32000000000005</v>
      </c>
      <c r="N207">
        <v>0.14000000000000001</v>
      </c>
      <c r="O207">
        <v>1927.61</v>
      </c>
      <c r="P207">
        <v>588.73</v>
      </c>
      <c r="Q207">
        <v>49.68</v>
      </c>
      <c r="R207" t="s">
        <v>57</v>
      </c>
      <c r="S207">
        <v>3</v>
      </c>
      <c r="T207" t="b">
        <v>1</v>
      </c>
      <c r="U207" t="s">
        <v>50</v>
      </c>
      <c r="V207">
        <v>3</v>
      </c>
    </row>
    <row r="208" spans="1:22" x14ac:dyDescent="0.25">
      <c r="A208" t="s">
        <v>686</v>
      </c>
      <c r="B208" s="1">
        <v>45494</v>
      </c>
      <c r="C208" t="s">
        <v>687</v>
      </c>
      <c r="D208" t="s">
        <v>327</v>
      </c>
      <c r="E208">
        <v>26</v>
      </c>
      <c r="F208" t="str">
        <f>IF(Table1[[#This Row],[age]]&lt;=25,"18-25",IF(Table1[[#This Row],[age]]&lt;=35,"26-35",IF(Table1[[#This Row],[age]]&lt;=50,"36-50","51+")))</f>
        <v>26-35</v>
      </c>
      <c r="G208" t="s">
        <v>34</v>
      </c>
      <c r="H208" t="s">
        <v>61</v>
      </c>
      <c r="I208" t="s">
        <v>141</v>
      </c>
      <c r="J208" t="s">
        <v>106</v>
      </c>
      <c r="K208" t="s">
        <v>331</v>
      </c>
      <c r="L208">
        <v>6</v>
      </c>
      <c r="M208">
        <v>112.85</v>
      </c>
      <c r="N208">
        <v>0.13</v>
      </c>
      <c r="O208">
        <v>1196.1099999999999</v>
      </c>
      <c r="P208">
        <v>116.49</v>
      </c>
      <c r="Q208">
        <v>40.89</v>
      </c>
      <c r="R208" t="s">
        <v>49</v>
      </c>
      <c r="S208">
        <v>5</v>
      </c>
      <c r="T208" t="b">
        <v>1</v>
      </c>
      <c r="U208" t="s">
        <v>50</v>
      </c>
      <c r="V208">
        <v>8</v>
      </c>
    </row>
    <row r="209" spans="1:22" x14ac:dyDescent="0.25">
      <c r="A209" t="s">
        <v>688</v>
      </c>
      <c r="B209" s="1">
        <v>45142</v>
      </c>
      <c r="C209" t="s">
        <v>689</v>
      </c>
      <c r="D209" t="s">
        <v>131</v>
      </c>
      <c r="E209">
        <v>24</v>
      </c>
      <c r="F209" t="str">
        <f>IF(Table1[[#This Row],[age]]&lt;=25,"18-25",IF(Table1[[#This Row],[age]]&lt;=35,"26-35",IF(Table1[[#This Row],[age]]&lt;=50,"36-50","51+")))</f>
        <v>18-25</v>
      </c>
      <c r="G209" t="s">
        <v>34</v>
      </c>
      <c r="H209" t="s">
        <v>61</v>
      </c>
      <c r="I209" t="s">
        <v>91</v>
      </c>
      <c r="J209" t="s">
        <v>106</v>
      </c>
      <c r="K209" t="s">
        <v>331</v>
      </c>
      <c r="L209">
        <v>6</v>
      </c>
      <c r="M209">
        <v>184.04</v>
      </c>
      <c r="N209">
        <v>0.32</v>
      </c>
      <c r="O209">
        <v>1193.08</v>
      </c>
      <c r="P209">
        <v>80.930000000000007</v>
      </c>
      <c r="Q209">
        <v>70.55</v>
      </c>
      <c r="R209" t="s">
        <v>57</v>
      </c>
      <c r="S209">
        <v>5</v>
      </c>
      <c r="T209" t="b">
        <v>0</v>
      </c>
      <c r="U209" t="s">
        <v>30</v>
      </c>
      <c r="V209">
        <v>1</v>
      </c>
    </row>
    <row r="210" spans="1:22" x14ac:dyDescent="0.25">
      <c r="A210" t="s">
        <v>690</v>
      </c>
      <c r="B210" s="1">
        <v>45045</v>
      </c>
      <c r="C210" t="s">
        <v>691</v>
      </c>
      <c r="D210" t="s">
        <v>692</v>
      </c>
      <c r="E210">
        <v>30</v>
      </c>
      <c r="F210" t="str">
        <f>IF(Table1[[#This Row],[age]]&lt;=25,"18-25",IF(Table1[[#This Row],[age]]&lt;=35,"26-35",IF(Table1[[#This Row],[age]]&lt;=50,"36-50","51+")))</f>
        <v>26-35</v>
      </c>
      <c r="G210" t="s">
        <v>54</v>
      </c>
      <c r="H210" t="s">
        <v>69</v>
      </c>
      <c r="I210" t="s">
        <v>136</v>
      </c>
      <c r="J210" t="s">
        <v>27</v>
      </c>
      <c r="K210" t="s">
        <v>128</v>
      </c>
      <c r="L210">
        <v>7</v>
      </c>
      <c r="M210">
        <v>1050.3800000000001</v>
      </c>
      <c r="N210">
        <v>0.06</v>
      </c>
      <c r="O210">
        <v>8746.39</v>
      </c>
      <c r="P210">
        <v>3436.69</v>
      </c>
      <c r="Q210">
        <v>85.61</v>
      </c>
      <c r="R210" t="s">
        <v>29</v>
      </c>
      <c r="S210">
        <v>3</v>
      </c>
      <c r="T210" t="b">
        <v>0</v>
      </c>
      <c r="U210" t="s">
        <v>30</v>
      </c>
      <c r="V210">
        <v>5</v>
      </c>
    </row>
    <row r="211" spans="1:22" x14ac:dyDescent="0.25">
      <c r="A211" t="s">
        <v>693</v>
      </c>
      <c r="B211" s="1">
        <v>44423</v>
      </c>
      <c r="C211" t="s">
        <v>694</v>
      </c>
      <c r="D211" t="s">
        <v>695</v>
      </c>
      <c r="E211">
        <v>49</v>
      </c>
      <c r="F211" t="str">
        <f>IF(Table1[[#This Row],[age]]&lt;=25,"18-25",IF(Table1[[#This Row],[age]]&lt;=35,"26-35",IF(Table1[[#This Row],[age]]&lt;=50,"36-50","51+")))</f>
        <v>36-50</v>
      </c>
      <c r="G211" t="s">
        <v>24</v>
      </c>
      <c r="H211" t="s">
        <v>55</v>
      </c>
      <c r="I211" t="s">
        <v>75</v>
      </c>
      <c r="J211" t="s">
        <v>27</v>
      </c>
      <c r="K211" t="s">
        <v>128</v>
      </c>
      <c r="L211">
        <v>4</v>
      </c>
      <c r="M211">
        <v>525.04999999999995</v>
      </c>
      <c r="N211">
        <v>0.02</v>
      </c>
      <c r="O211">
        <v>2333.9899999999998</v>
      </c>
      <c r="P211">
        <v>964.12</v>
      </c>
      <c r="Q211">
        <v>71.8</v>
      </c>
      <c r="R211" t="s">
        <v>43</v>
      </c>
      <c r="S211">
        <v>5</v>
      </c>
      <c r="T211" t="b">
        <v>0</v>
      </c>
      <c r="U211" t="s">
        <v>30</v>
      </c>
      <c r="V211">
        <v>1</v>
      </c>
    </row>
    <row r="212" spans="1:22" x14ac:dyDescent="0.25">
      <c r="A212" t="s">
        <v>696</v>
      </c>
      <c r="B212" s="1">
        <v>45399</v>
      </c>
      <c r="C212" t="s">
        <v>697</v>
      </c>
      <c r="D212" t="s">
        <v>536</v>
      </c>
      <c r="E212">
        <v>26</v>
      </c>
      <c r="F212" t="str">
        <f>IF(Table1[[#This Row],[age]]&lt;=25,"18-25",IF(Table1[[#This Row],[age]]&lt;=35,"26-35",IF(Table1[[#This Row],[age]]&lt;=50,"36-50","51+")))</f>
        <v>26-35</v>
      </c>
      <c r="G212" t="s">
        <v>34</v>
      </c>
      <c r="H212" t="s">
        <v>55</v>
      </c>
      <c r="I212" t="s">
        <v>114</v>
      </c>
      <c r="J212" t="s">
        <v>63</v>
      </c>
      <c r="K212" t="s">
        <v>152</v>
      </c>
      <c r="L212">
        <v>5</v>
      </c>
      <c r="M212">
        <v>3541.45</v>
      </c>
      <c r="N212">
        <v>0.23</v>
      </c>
      <c r="O212">
        <v>19925.91</v>
      </c>
      <c r="P212">
        <v>8625.6200000000008</v>
      </c>
      <c r="Q212">
        <v>58</v>
      </c>
      <c r="R212" t="s">
        <v>49</v>
      </c>
      <c r="S212">
        <v>3</v>
      </c>
      <c r="T212" t="b">
        <v>0</v>
      </c>
      <c r="U212" t="s">
        <v>193</v>
      </c>
      <c r="V212">
        <v>9</v>
      </c>
    </row>
    <row r="213" spans="1:22" x14ac:dyDescent="0.25">
      <c r="A213" t="s">
        <v>698</v>
      </c>
      <c r="B213" s="1">
        <v>45108</v>
      </c>
      <c r="C213" t="s">
        <v>699</v>
      </c>
      <c r="D213" t="s">
        <v>621</v>
      </c>
      <c r="E213">
        <v>44</v>
      </c>
      <c r="F213" t="str">
        <f>IF(Table1[[#This Row],[age]]&lt;=25,"18-25",IF(Table1[[#This Row],[age]]&lt;=35,"26-35",IF(Table1[[#This Row],[age]]&lt;=50,"36-50","51+")))</f>
        <v>36-50</v>
      </c>
      <c r="G213" t="s">
        <v>34</v>
      </c>
      <c r="H213" t="s">
        <v>80</v>
      </c>
      <c r="I213" t="s">
        <v>86</v>
      </c>
      <c r="J213" t="s">
        <v>36</v>
      </c>
      <c r="K213" t="s">
        <v>132</v>
      </c>
      <c r="L213">
        <v>2</v>
      </c>
      <c r="M213">
        <v>26714.83</v>
      </c>
      <c r="N213">
        <v>0.23</v>
      </c>
      <c r="O213">
        <v>63871.89</v>
      </c>
      <c r="P213">
        <v>16676.939999999999</v>
      </c>
      <c r="Q213">
        <v>67.209999999999994</v>
      </c>
      <c r="R213" t="s">
        <v>65</v>
      </c>
      <c r="S213">
        <v>5</v>
      </c>
      <c r="T213" t="b">
        <v>0</v>
      </c>
      <c r="U213" t="s">
        <v>30</v>
      </c>
      <c r="V213">
        <v>7</v>
      </c>
    </row>
    <row r="214" spans="1:22" x14ac:dyDescent="0.25">
      <c r="A214" t="s">
        <v>700</v>
      </c>
      <c r="B214" s="1">
        <v>44774</v>
      </c>
      <c r="C214" t="s">
        <v>701</v>
      </c>
      <c r="D214" t="s">
        <v>702</v>
      </c>
      <c r="E214">
        <v>53</v>
      </c>
      <c r="F214" t="str">
        <f>IF(Table1[[#This Row],[age]]&lt;=25,"18-25",IF(Table1[[#This Row],[age]]&lt;=35,"26-35",IF(Table1[[#This Row],[age]]&lt;=50,"36-50","51+")))</f>
        <v>51+</v>
      </c>
      <c r="G214" t="s">
        <v>54</v>
      </c>
      <c r="H214" t="s">
        <v>25</v>
      </c>
      <c r="I214" t="s">
        <v>35</v>
      </c>
      <c r="J214" t="s">
        <v>27</v>
      </c>
      <c r="K214" t="s">
        <v>28</v>
      </c>
      <c r="L214">
        <v>4</v>
      </c>
      <c r="M214">
        <v>356.27</v>
      </c>
      <c r="N214">
        <v>0.25</v>
      </c>
      <c r="O214">
        <v>1442.88</v>
      </c>
      <c r="P214">
        <v>531.29999999999995</v>
      </c>
      <c r="Q214">
        <v>38.090000000000003</v>
      </c>
      <c r="R214" t="s">
        <v>92</v>
      </c>
      <c r="S214">
        <v>5</v>
      </c>
      <c r="T214" t="b">
        <v>0</v>
      </c>
      <c r="U214" t="s">
        <v>30</v>
      </c>
      <c r="V214">
        <v>5</v>
      </c>
    </row>
    <row r="215" spans="1:22" x14ac:dyDescent="0.25">
      <c r="A215" t="s">
        <v>703</v>
      </c>
      <c r="B215" s="1">
        <v>45425</v>
      </c>
      <c r="C215" t="s">
        <v>704</v>
      </c>
      <c r="D215" t="s">
        <v>705</v>
      </c>
      <c r="E215">
        <v>61</v>
      </c>
      <c r="F215" t="str">
        <f>IF(Table1[[#This Row],[age]]&lt;=25,"18-25",IF(Table1[[#This Row],[age]]&lt;=35,"26-35",IF(Table1[[#This Row],[age]]&lt;=50,"36-50","51+")))</f>
        <v>51+</v>
      </c>
      <c r="G215" t="s">
        <v>54</v>
      </c>
      <c r="H215" t="s">
        <v>69</v>
      </c>
      <c r="I215" t="s">
        <v>221</v>
      </c>
      <c r="J215" t="s">
        <v>115</v>
      </c>
      <c r="K215" t="s">
        <v>197</v>
      </c>
      <c r="L215">
        <v>1</v>
      </c>
      <c r="M215">
        <v>42744.12</v>
      </c>
      <c r="N215">
        <v>0.28999999999999998</v>
      </c>
      <c r="O215">
        <v>49034.559999999998</v>
      </c>
      <c r="P215">
        <v>5764.27</v>
      </c>
      <c r="Q215">
        <v>81.41</v>
      </c>
      <c r="R215" t="s">
        <v>29</v>
      </c>
      <c r="S215">
        <v>4</v>
      </c>
      <c r="T215" t="b">
        <v>0</v>
      </c>
      <c r="U215" t="s">
        <v>30</v>
      </c>
      <c r="V215">
        <v>8</v>
      </c>
    </row>
    <row r="216" spans="1:22" x14ac:dyDescent="0.25">
      <c r="A216" t="s">
        <v>706</v>
      </c>
      <c r="B216" s="1">
        <v>45555</v>
      </c>
      <c r="C216" t="s">
        <v>707</v>
      </c>
      <c r="D216" t="s">
        <v>708</v>
      </c>
      <c r="E216">
        <v>38</v>
      </c>
      <c r="F216" t="str">
        <f>IF(Table1[[#This Row],[age]]&lt;=25,"18-25",IF(Table1[[#This Row],[age]]&lt;=35,"26-35",IF(Table1[[#This Row],[age]]&lt;=50,"36-50","51+")))</f>
        <v>36-50</v>
      </c>
      <c r="G216" t="s">
        <v>54</v>
      </c>
      <c r="H216" t="s">
        <v>80</v>
      </c>
      <c r="I216" t="s">
        <v>242</v>
      </c>
      <c r="J216" t="s">
        <v>47</v>
      </c>
      <c r="K216" t="s">
        <v>204</v>
      </c>
      <c r="L216">
        <v>9</v>
      </c>
      <c r="M216">
        <v>816.41</v>
      </c>
      <c r="N216">
        <v>0.35</v>
      </c>
      <c r="O216">
        <v>5054.28</v>
      </c>
      <c r="P216">
        <v>2136.9</v>
      </c>
      <c r="Q216">
        <v>42.16</v>
      </c>
      <c r="R216" t="s">
        <v>65</v>
      </c>
      <c r="S216">
        <v>2</v>
      </c>
      <c r="T216" t="b">
        <v>0</v>
      </c>
      <c r="U216" t="s">
        <v>30</v>
      </c>
      <c r="V216">
        <v>5</v>
      </c>
    </row>
    <row r="217" spans="1:22" x14ac:dyDescent="0.25">
      <c r="A217" t="s">
        <v>709</v>
      </c>
      <c r="B217" s="1">
        <v>45032</v>
      </c>
      <c r="C217" t="s">
        <v>710</v>
      </c>
      <c r="D217" t="s">
        <v>711</v>
      </c>
      <c r="E217">
        <v>33</v>
      </c>
      <c r="F217" t="str">
        <f>IF(Table1[[#This Row],[age]]&lt;=25,"18-25",IF(Table1[[#This Row],[age]]&lt;=35,"26-35",IF(Table1[[#This Row],[age]]&lt;=50,"36-50","51+")))</f>
        <v>26-35</v>
      </c>
      <c r="G217" t="s">
        <v>24</v>
      </c>
      <c r="H217" t="s">
        <v>69</v>
      </c>
      <c r="I217" t="s">
        <v>70</v>
      </c>
      <c r="J217" t="s">
        <v>101</v>
      </c>
      <c r="K217" t="s">
        <v>318</v>
      </c>
      <c r="L217">
        <v>7</v>
      </c>
      <c r="M217">
        <v>12799.72</v>
      </c>
      <c r="N217">
        <v>0.11</v>
      </c>
      <c r="O217">
        <v>114501.45</v>
      </c>
      <c r="P217">
        <v>25731.03</v>
      </c>
      <c r="Q217">
        <v>74.55</v>
      </c>
      <c r="R217" t="s">
        <v>92</v>
      </c>
      <c r="S217">
        <v>2</v>
      </c>
      <c r="T217" t="b">
        <v>0</v>
      </c>
      <c r="U217" t="s">
        <v>30</v>
      </c>
      <c r="V217">
        <v>2</v>
      </c>
    </row>
    <row r="218" spans="1:22" x14ac:dyDescent="0.25">
      <c r="A218" t="s">
        <v>712</v>
      </c>
      <c r="B218" s="1">
        <v>43977</v>
      </c>
      <c r="C218" t="s">
        <v>713</v>
      </c>
      <c r="D218" t="s">
        <v>455</v>
      </c>
      <c r="E218">
        <v>61</v>
      </c>
      <c r="F218" t="str">
        <f>IF(Table1[[#This Row],[age]]&lt;=25,"18-25",IF(Table1[[#This Row],[age]]&lt;=35,"26-35",IF(Table1[[#This Row],[age]]&lt;=50,"36-50","51+")))</f>
        <v>51+</v>
      </c>
      <c r="G218" t="s">
        <v>54</v>
      </c>
      <c r="H218" t="s">
        <v>25</v>
      </c>
      <c r="I218" t="s">
        <v>41</v>
      </c>
      <c r="J218" t="s">
        <v>47</v>
      </c>
      <c r="K218" t="s">
        <v>156</v>
      </c>
      <c r="L218">
        <v>2</v>
      </c>
      <c r="M218">
        <v>425.83</v>
      </c>
      <c r="N218">
        <v>0.04</v>
      </c>
      <c r="O218">
        <v>846.36</v>
      </c>
      <c r="P218">
        <v>364.43</v>
      </c>
      <c r="Q218">
        <v>42.68</v>
      </c>
      <c r="R218" t="s">
        <v>65</v>
      </c>
      <c r="S218">
        <v>4</v>
      </c>
      <c r="T218" t="b">
        <v>0</v>
      </c>
      <c r="U218" t="s">
        <v>30</v>
      </c>
      <c r="V218">
        <v>10</v>
      </c>
    </row>
    <row r="219" spans="1:22" x14ac:dyDescent="0.25">
      <c r="A219" t="s">
        <v>714</v>
      </c>
      <c r="B219" s="1">
        <v>45218</v>
      </c>
      <c r="C219" t="s">
        <v>715</v>
      </c>
      <c r="D219" t="s">
        <v>459</v>
      </c>
      <c r="E219">
        <v>53</v>
      </c>
      <c r="F219" t="str">
        <f>IF(Table1[[#This Row],[age]]&lt;=25,"18-25",IF(Table1[[#This Row],[age]]&lt;=35,"26-35",IF(Table1[[#This Row],[age]]&lt;=50,"36-50","51+")))</f>
        <v>51+</v>
      </c>
      <c r="G219" t="s">
        <v>54</v>
      </c>
      <c r="H219" t="s">
        <v>80</v>
      </c>
      <c r="I219" t="s">
        <v>81</v>
      </c>
      <c r="J219" t="s">
        <v>36</v>
      </c>
      <c r="K219" t="s">
        <v>42</v>
      </c>
      <c r="L219">
        <v>5</v>
      </c>
      <c r="M219">
        <v>2374.77</v>
      </c>
      <c r="N219">
        <v>0.28000000000000003</v>
      </c>
      <c r="O219">
        <v>9688.23</v>
      </c>
      <c r="P219">
        <v>2614.25</v>
      </c>
      <c r="Q219">
        <v>83.81</v>
      </c>
      <c r="R219" t="s">
        <v>65</v>
      </c>
      <c r="S219">
        <v>1</v>
      </c>
      <c r="T219" t="b">
        <v>0</v>
      </c>
      <c r="U219" t="s">
        <v>30</v>
      </c>
      <c r="V219">
        <v>6</v>
      </c>
    </row>
    <row r="220" spans="1:22" x14ac:dyDescent="0.25">
      <c r="A220" t="s">
        <v>716</v>
      </c>
      <c r="B220" s="1">
        <v>43983</v>
      </c>
      <c r="C220" t="s">
        <v>717</v>
      </c>
      <c r="D220" t="s">
        <v>527</v>
      </c>
      <c r="E220">
        <v>41</v>
      </c>
      <c r="F220" t="str">
        <f>IF(Table1[[#This Row],[age]]&lt;=25,"18-25",IF(Table1[[#This Row],[age]]&lt;=35,"26-35",IF(Table1[[#This Row],[age]]&lt;=50,"36-50","51+")))</f>
        <v>36-50</v>
      </c>
      <c r="G220" t="s">
        <v>34</v>
      </c>
      <c r="H220" t="s">
        <v>61</v>
      </c>
      <c r="I220" t="s">
        <v>141</v>
      </c>
      <c r="J220" t="s">
        <v>106</v>
      </c>
      <c r="K220" t="s">
        <v>718</v>
      </c>
      <c r="L220">
        <v>8</v>
      </c>
      <c r="M220">
        <v>294.27</v>
      </c>
      <c r="N220">
        <v>0.35</v>
      </c>
      <c r="O220">
        <v>1927.79</v>
      </c>
      <c r="P220">
        <v>96.62</v>
      </c>
      <c r="Q220">
        <v>53.97</v>
      </c>
      <c r="R220" t="s">
        <v>49</v>
      </c>
      <c r="S220">
        <v>1</v>
      </c>
      <c r="T220" t="b">
        <v>0</v>
      </c>
      <c r="U220" t="s">
        <v>30</v>
      </c>
      <c r="V220">
        <v>5</v>
      </c>
    </row>
    <row r="221" spans="1:22" x14ac:dyDescent="0.25">
      <c r="A221" t="s">
        <v>719</v>
      </c>
      <c r="B221" s="1">
        <v>44214</v>
      </c>
      <c r="C221" t="s">
        <v>720</v>
      </c>
      <c r="D221" t="s">
        <v>564</v>
      </c>
      <c r="E221">
        <v>29</v>
      </c>
      <c r="F221" t="str">
        <f>IF(Table1[[#This Row],[age]]&lt;=25,"18-25",IF(Table1[[#This Row],[age]]&lt;=35,"26-35",IF(Table1[[#This Row],[age]]&lt;=50,"36-50","51+")))</f>
        <v>26-35</v>
      </c>
      <c r="G221" t="s">
        <v>34</v>
      </c>
      <c r="H221" t="s">
        <v>69</v>
      </c>
      <c r="I221" t="s">
        <v>70</v>
      </c>
      <c r="J221" t="s">
        <v>115</v>
      </c>
      <c r="K221" t="s">
        <v>137</v>
      </c>
      <c r="L221">
        <v>5</v>
      </c>
      <c r="M221">
        <v>58480.23</v>
      </c>
      <c r="N221">
        <v>0.09</v>
      </c>
      <c r="O221">
        <v>200569.38</v>
      </c>
      <c r="P221">
        <v>24313.05</v>
      </c>
      <c r="Q221">
        <v>84.38</v>
      </c>
      <c r="R221" t="s">
        <v>57</v>
      </c>
      <c r="S221">
        <v>4</v>
      </c>
      <c r="T221" t="b">
        <v>0</v>
      </c>
      <c r="U221" t="s">
        <v>30</v>
      </c>
      <c r="V221">
        <v>2</v>
      </c>
    </row>
    <row r="222" spans="1:22" x14ac:dyDescent="0.25">
      <c r="A222" t="s">
        <v>721</v>
      </c>
      <c r="B222" s="1">
        <v>44963</v>
      </c>
      <c r="C222" t="s">
        <v>722</v>
      </c>
      <c r="D222" t="s">
        <v>723</v>
      </c>
      <c r="E222">
        <v>39</v>
      </c>
      <c r="F222" t="str">
        <f>IF(Table1[[#This Row],[age]]&lt;=25,"18-25",IF(Table1[[#This Row],[age]]&lt;=35,"26-35",IF(Table1[[#This Row],[age]]&lt;=50,"36-50","51+")))</f>
        <v>36-50</v>
      </c>
      <c r="G222" t="s">
        <v>34</v>
      </c>
      <c r="H222" t="s">
        <v>80</v>
      </c>
      <c r="I222" t="s">
        <v>81</v>
      </c>
      <c r="J222" t="s">
        <v>101</v>
      </c>
      <c r="K222" t="s">
        <v>456</v>
      </c>
      <c r="L222">
        <v>8</v>
      </c>
      <c r="M222">
        <v>5590.43</v>
      </c>
      <c r="N222">
        <v>0.19</v>
      </c>
      <c r="O222">
        <v>37398.22</v>
      </c>
      <c r="P222">
        <v>4824.74</v>
      </c>
      <c r="Q222">
        <v>69.42</v>
      </c>
      <c r="R222" t="s">
        <v>57</v>
      </c>
      <c r="S222">
        <v>4</v>
      </c>
      <c r="T222" t="b">
        <v>0</v>
      </c>
      <c r="U222" t="s">
        <v>30</v>
      </c>
      <c r="V222">
        <v>2</v>
      </c>
    </row>
    <row r="223" spans="1:22" x14ac:dyDescent="0.25">
      <c r="A223" t="s">
        <v>724</v>
      </c>
      <c r="B223" s="1">
        <v>44164</v>
      </c>
      <c r="C223" t="s">
        <v>725</v>
      </c>
      <c r="D223" t="s">
        <v>726</v>
      </c>
      <c r="E223">
        <v>29</v>
      </c>
      <c r="F223" t="str">
        <f>IF(Table1[[#This Row],[age]]&lt;=25,"18-25",IF(Table1[[#This Row],[age]]&lt;=35,"26-35",IF(Table1[[#This Row],[age]]&lt;=50,"36-50","51+")))</f>
        <v>26-35</v>
      </c>
      <c r="G223" t="s">
        <v>54</v>
      </c>
      <c r="H223" t="s">
        <v>25</v>
      </c>
      <c r="I223" t="s">
        <v>26</v>
      </c>
      <c r="J223" t="s">
        <v>115</v>
      </c>
      <c r="K223" t="s">
        <v>398</v>
      </c>
      <c r="L223">
        <v>4</v>
      </c>
      <c r="M223">
        <v>7981.68</v>
      </c>
      <c r="N223">
        <v>0.38</v>
      </c>
      <c r="O223">
        <v>12800.24</v>
      </c>
      <c r="P223">
        <v>1753.15</v>
      </c>
      <c r="Q223">
        <v>40.049999999999997</v>
      </c>
      <c r="R223" t="s">
        <v>29</v>
      </c>
      <c r="S223">
        <v>4</v>
      </c>
      <c r="T223" t="b">
        <v>0</v>
      </c>
      <c r="U223" t="s">
        <v>30</v>
      </c>
      <c r="V223">
        <v>5</v>
      </c>
    </row>
    <row r="224" spans="1:22" x14ac:dyDescent="0.25">
      <c r="A224" t="s">
        <v>727</v>
      </c>
      <c r="B224" s="1">
        <v>44929</v>
      </c>
      <c r="C224" t="s">
        <v>728</v>
      </c>
      <c r="D224" t="s">
        <v>364</v>
      </c>
      <c r="E224">
        <v>34</v>
      </c>
      <c r="F224" t="str">
        <f>IF(Table1[[#This Row],[age]]&lt;=25,"18-25",IF(Table1[[#This Row],[age]]&lt;=35,"26-35",IF(Table1[[#This Row],[age]]&lt;=50,"36-50","51+")))</f>
        <v>26-35</v>
      </c>
      <c r="G224" t="s">
        <v>24</v>
      </c>
      <c r="H224" t="s">
        <v>25</v>
      </c>
      <c r="I224" t="s">
        <v>298</v>
      </c>
      <c r="J224" t="s">
        <v>36</v>
      </c>
      <c r="K224" t="s">
        <v>42</v>
      </c>
      <c r="L224">
        <v>2</v>
      </c>
      <c r="M224">
        <v>9783.06</v>
      </c>
      <c r="N224">
        <v>0.12</v>
      </c>
      <c r="O224">
        <v>15984.43</v>
      </c>
      <c r="P224">
        <v>3578.22</v>
      </c>
      <c r="Q224">
        <v>43.71</v>
      </c>
      <c r="R224" t="s">
        <v>49</v>
      </c>
      <c r="S224">
        <v>2</v>
      </c>
      <c r="T224" t="b">
        <v>1</v>
      </c>
      <c r="U224" t="s">
        <v>50</v>
      </c>
      <c r="V224">
        <v>5</v>
      </c>
    </row>
    <row r="225" spans="1:22" x14ac:dyDescent="0.25">
      <c r="A225" t="s">
        <v>729</v>
      </c>
      <c r="B225" s="1">
        <v>45137</v>
      </c>
      <c r="C225" t="s">
        <v>730</v>
      </c>
      <c r="D225" t="s">
        <v>731</v>
      </c>
      <c r="E225">
        <v>34</v>
      </c>
      <c r="F225" t="str">
        <f>IF(Table1[[#This Row],[age]]&lt;=25,"18-25",IF(Table1[[#This Row],[age]]&lt;=35,"26-35",IF(Table1[[#This Row],[age]]&lt;=50,"36-50","51+")))</f>
        <v>26-35</v>
      </c>
      <c r="G225" t="s">
        <v>34</v>
      </c>
      <c r="H225" t="s">
        <v>80</v>
      </c>
      <c r="I225" t="s">
        <v>236</v>
      </c>
      <c r="J225" t="s">
        <v>115</v>
      </c>
      <c r="K225" t="s">
        <v>145</v>
      </c>
      <c r="L225">
        <v>4</v>
      </c>
      <c r="M225">
        <v>66643.149999999994</v>
      </c>
      <c r="N225">
        <v>0.14000000000000001</v>
      </c>
      <c r="O225">
        <v>325899.40000000002</v>
      </c>
      <c r="P225">
        <v>40690.870000000003</v>
      </c>
      <c r="Q225">
        <v>51.43</v>
      </c>
      <c r="R225" t="s">
        <v>49</v>
      </c>
      <c r="S225">
        <v>1</v>
      </c>
      <c r="T225" t="b">
        <v>0</v>
      </c>
      <c r="U225" t="s">
        <v>30</v>
      </c>
      <c r="V225">
        <v>3</v>
      </c>
    </row>
    <row r="226" spans="1:22" x14ac:dyDescent="0.25">
      <c r="A226" t="s">
        <v>732</v>
      </c>
      <c r="B226" s="1">
        <v>44646</v>
      </c>
      <c r="C226" t="s">
        <v>733</v>
      </c>
      <c r="D226" t="s">
        <v>734</v>
      </c>
      <c r="E226">
        <v>26</v>
      </c>
      <c r="F226" t="str">
        <f>IF(Table1[[#This Row],[age]]&lt;=25,"18-25",IF(Table1[[#This Row],[age]]&lt;=35,"26-35",IF(Table1[[#This Row],[age]]&lt;=50,"36-50","51+")))</f>
        <v>26-35</v>
      </c>
      <c r="G226" t="s">
        <v>54</v>
      </c>
      <c r="H226" t="s">
        <v>25</v>
      </c>
      <c r="I226" t="s">
        <v>35</v>
      </c>
      <c r="J226" t="s">
        <v>27</v>
      </c>
      <c r="K226" t="s">
        <v>480</v>
      </c>
      <c r="L226">
        <v>10</v>
      </c>
      <c r="M226">
        <v>160.57</v>
      </c>
      <c r="N226">
        <v>0.38</v>
      </c>
      <c r="O226">
        <v>1214.0999999999999</v>
      </c>
      <c r="P226">
        <v>697.82</v>
      </c>
      <c r="Q226">
        <v>51.31</v>
      </c>
      <c r="R226" t="s">
        <v>57</v>
      </c>
      <c r="S226">
        <v>3</v>
      </c>
      <c r="T226" t="b">
        <v>0</v>
      </c>
      <c r="U226" t="s">
        <v>30</v>
      </c>
      <c r="V226">
        <v>2</v>
      </c>
    </row>
    <row r="227" spans="1:22" x14ac:dyDescent="0.25">
      <c r="A227" t="s">
        <v>735</v>
      </c>
      <c r="B227" s="1">
        <v>45074</v>
      </c>
      <c r="C227" t="s">
        <v>736</v>
      </c>
      <c r="D227" t="s">
        <v>737</v>
      </c>
      <c r="E227">
        <v>55</v>
      </c>
      <c r="F227" t="str">
        <f>IF(Table1[[#This Row],[age]]&lt;=25,"18-25",IF(Table1[[#This Row],[age]]&lt;=35,"26-35",IF(Table1[[#This Row],[age]]&lt;=50,"36-50","51+")))</f>
        <v>51+</v>
      </c>
      <c r="G227" t="s">
        <v>24</v>
      </c>
      <c r="H227" t="s">
        <v>55</v>
      </c>
      <c r="I227" t="s">
        <v>56</v>
      </c>
      <c r="J227" t="s">
        <v>101</v>
      </c>
      <c r="K227" t="s">
        <v>124</v>
      </c>
      <c r="L227">
        <v>7</v>
      </c>
      <c r="M227">
        <v>12138.63</v>
      </c>
      <c r="N227">
        <v>0.13</v>
      </c>
      <c r="O227">
        <v>95488.18</v>
      </c>
      <c r="P227">
        <v>21101.52</v>
      </c>
      <c r="Q227">
        <v>32.89</v>
      </c>
      <c r="R227" t="s">
        <v>65</v>
      </c>
      <c r="S227">
        <v>5</v>
      </c>
      <c r="T227" t="b">
        <v>0</v>
      </c>
      <c r="U227" t="s">
        <v>93</v>
      </c>
      <c r="V227">
        <v>4</v>
      </c>
    </row>
    <row r="228" spans="1:22" x14ac:dyDescent="0.25">
      <c r="A228" t="s">
        <v>738</v>
      </c>
      <c r="B228" s="1">
        <v>45402</v>
      </c>
      <c r="C228" t="s">
        <v>739</v>
      </c>
      <c r="D228" t="s">
        <v>740</v>
      </c>
      <c r="E228">
        <v>45</v>
      </c>
      <c r="F228" t="str">
        <f>IF(Table1[[#This Row],[age]]&lt;=25,"18-25",IF(Table1[[#This Row],[age]]&lt;=35,"26-35",IF(Table1[[#This Row],[age]]&lt;=50,"36-50","51+")))</f>
        <v>36-50</v>
      </c>
      <c r="G228" t="s">
        <v>24</v>
      </c>
      <c r="H228" t="s">
        <v>61</v>
      </c>
      <c r="I228" t="s">
        <v>62</v>
      </c>
      <c r="J228" t="s">
        <v>47</v>
      </c>
      <c r="K228" t="s">
        <v>120</v>
      </c>
      <c r="L228">
        <v>5</v>
      </c>
      <c r="M228">
        <v>224.92</v>
      </c>
      <c r="N228">
        <v>0.24</v>
      </c>
      <c r="O228">
        <v>1230.6600000000001</v>
      </c>
      <c r="P228">
        <v>529.41999999999996</v>
      </c>
      <c r="Q228">
        <v>65.16</v>
      </c>
      <c r="R228" t="s">
        <v>65</v>
      </c>
      <c r="S228">
        <v>5</v>
      </c>
      <c r="T228" t="b">
        <v>0</v>
      </c>
      <c r="U228" t="s">
        <v>30</v>
      </c>
      <c r="V228">
        <v>2</v>
      </c>
    </row>
    <row r="229" spans="1:22" x14ac:dyDescent="0.25">
      <c r="A229" t="s">
        <v>741</v>
      </c>
      <c r="B229" s="1">
        <v>44079</v>
      </c>
      <c r="C229" t="s">
        <v>742</v>
      </c>
      <c r="D229" t="s">
        <v>743</v>
      </c>
      <c r="E229">
        <v>46</v>
      </c>
      <c r="F229" t="str">
        <f>IF(Table1[[#This Row],[age]]&lt;=25,"18-25",IF(Table1[[#This Row],[age]]&lt;=35,"26-35",IF(Table1[[#This Row],[age]]&lt;=50,"36-50","51+")))</f>
        <v>36-50</v>
      </c>
      <c r="G229" t="s">
        <v>34</v>
      </c>
      <c r="H229" t="s">
        <v>25</v>
      </c>
      <c r="I229" t="s">
        <v>26</v>
      </c>
      <c r="J229" t="s">
        <v>63</v>
      </c>
      <c r="K229" t="s">
        <v>152</v>
      </c>
      <c r="L229">
        <v>8</v>
      </c>
      <c r="M229">
        <v>2151.16</v>
      </c>
      <c r="N229">
        <v>0.12</v>
      </c>
      <c r="O229">
        <v>15432.22</v>
      </c>
      <c r="P229">
        <v>4651.88</v>
      </c>
      <c r="Q229">
        <v>67.349999999999994</v>
      </c>
      <c r="R229" t="s">
        <v>49</v>
      </c>
      <c r="S229">
        <v>4</v>
      </c>
      <c r="T229" t="b">
        <v>1</v>
      </c>
      <c r="U229" t="s">
        <v>50</v>
      </c>
      <c r="V229">
        <v>4</v>
      </c>
    </row>
    <row r="230" spans="1:22" x14ac:dyDescent="0.25">
      <c r="A230" t="s">
        <v>744</v>
      </c>
      <c r="B230" s="1">
        <v>45077</v>
      </c>
      <c r="C230" t="s">
        <v>745</v>
      </c>
      <c r="D230" t="s">
        <v>588</v>
      </c>
      <c r="E230">
        <v>27</v>
      </c>
      <c r="F230" t="str">
        <f>IF(Table1[[#This Row],[age]]&lt;=25,"18-25",IF(Table1[[#This Row],[age]]&lt;=35,"26-35",IF(Table1[[#This Row],[age]]&lt;=50,"36-50","51+")))</f>
        <v>26-35</v>
      </c>
      <c r="G230" t="s">
        <v>34</v>
      </c>
      <c r="H230" t="s">
        <v>25</v>
      </c>
      <c r="I230" t="s">
        <v>35</v>
      </c>
      <c r="J230" t="s">
        <v>47</v>
      </c>
      <c r="K230" t="s">
        <v>204</v>
      </c>
      <c r="L230">
        <v>2</v>
      </c>
      <c r="M230">
        <v>790.19</v>
      </c>
      <c r="N230">
        <v>0.12</v>
      </c>
      <c r="O230">
        <v>2524.52</v>
      </c>
      <c r="P230">
        <v>1241.47</v>
      </c>
      <c r="Q230">
        <v>75.5</v>
      </c>
      <c r="R230" t="s">
        <v>65</v>
      </c>
      <c r="S230">
        <v>2</v>
      </c>
      <c r="T230" t="b">
        <v>0</v>
      </c>
      <c r="U230" t="s">
        <v>30</v>
      </c>
      <c r="V230">
        <v>1</v>
      </c>
    </row>
    <row r="231" spans="1:22" x14ac:dyDescent="0.25">
      <c r="A231" t="s">
        <v>746</v>
      </c>
      <c r="B231" s="1">
        <v>43881</v>
      </c>
      <c r="C231" t="s">
        <v>747</v>
      </c>
      <c r="D231" t="s">
        <v>748</v>
      </c>
      <c r="E231">
        <v>28</v>
      </c>
      <c r="F231" t="str">
        <f>IF(Table1[[#This Row],[age]]&lt;=25,"18-25",IF(Table1[[#This Row],[age]]&lt;=35,"26-35",IF(Table1[[#This Row],[age]]&lt;=50,"36-50","51+")))</f>
        <v>26-35</v>
      </c>
      <c r="G231" t="s">
        <v>34</v>
      </c>
      <c r="H231" t="s">
        <v>69</v>
      </c>
      <c r="I231" t="s">
        <v>136</v>
      </c>
      <c r="J231" t="s">
        <v>47</v>
      </c>
      <c r="K231" t="s">
        <v>272</v>
      </c>
      <c r="L231">
        <v>10</v>
      </c>
      <c r="M231">
        <v>327.54000000000002</v>
      </c>
      <c r="N231">
        <v>0.15</v>
      </c>
      <c r="O231">
        <v>2755.17</v>
      </c>
      <c r="P231">
        <v>1528.85</v>
      </c>
      <c r="Q231">
        <v>80.58</v>
      </c>
      <c r="R231" t="s">
        <v>29</v>
      </c>
      <c r="S231">
        <v>5</v>
      </c>
      <c r="T231" t="b">
        <v>1</v>
      </c>
      <c r="U231" t="s">
        <v>50</v>
      </c>
      <c r="V231">
        <v>2</v>
      </c>
    </row>
    <row r="232" spans="1:22" x14ac:dyDescent="0.25">
      <c r="A232" t="s">
        <v>749</v>
      </c>
      <c r="B232" s="1">
        <v>44787</v>
      </c>
      <c r="C232" t="s">
        <v>750</v>
      </c>
      <c r="D232" t="s">
        <v>751</v>
      </c>
      <c r="E232">
        <v>19</v>
      </c>
      <c r="F232" t="str">
        <f>IF(Table1[[#This Row],[age]]&lt;=25,"18-25",IF(Table1[[#This Row],[age]]&lt;=35,"26-35",IF(Table1[[#This Row],[age]]&lt;=50,"36-50","51+")))</f>
        <v>18-25</v>
      </c>
      <c r="G232" t="s">
        <v>34</v>
      </c>
      <c r="H232" t="s">
        <v>80</v>
      </c>
      <c r="I232" t="s">
        <v>242</v>
      </c>
      <c r="J232" t="s">
        <v>115</v>
      </c>
      <c r="K232" t="s">
        <v>116</v>
      </c>
      <c r="L232">
        <v>10</v>
      </c>
      <c r="M232">
        <v>46080.58</v>
      </c>
      <c r="N232">
        <v>0.33</v>
      </c>
      <c r="O232">
        <v>392607.23</v>
      </c>
      <c r="P232">
        <v>38045.24</v>
      </c>
      <c r="Q232">
        <v>42.13</v>
      </c>
      <c r="R232" t="s">
        <v>57</v>
      </c>
      <c r="S232">
        <v>1</v>
      </c>
      <c r="T232" t="b">
        <v>0</v>
      </c>
      <c r="U232" t="s">
        <v>30</v>
      </c>
      <c r="V232">
        <v>7</v>
      </c>
    </row>
    <row r="233" spans="1:22" x14ac:dyDescent="0.25">
      <c r="A233" t="s">
        <v>752</v>
      </c>
      <c r="B233" s="1">
        <v>45545</v>
      </c>
      <c r="C233" t="s">
        <v>753</v>
      </c>
      <c r="D233" t="s">
        <v>754</v>
      </c>
      <c r="E233">
        <v>28</v>
      </c>
      <c r="F233" t="str">
        <f>IF(Table1[[#This Row],[age]]&lt;=25,"18-25",IF(Table1[[#This Row],[age]]&lt;=35,"26-35",IF(Table1[[#This Row],[age]]&lt;=50,"36-50","51+")))</f>
        <v>26-35</v>
      </c>
      <c r="G233" t="s">
        <v>24</v>
      </c>
      <c r="H233" t="s">
        <v>25</v>
      </c>
      <c r="I233" t="s">
        <v>41</v>
      </c>
      <c r="J233" t="s">
        <v>115</v>
      </c>
      <c r="K233" t="s">
        <v>137</v>
      </c>
      <c r="L233">
        <v>1</v>
      </c>
      <c r="M233">
        <v>40304.61</v>
      </c>
      <c r="N233">
        <v>0.04</v>
      </c>
      <c r="O233">
        <v>54475.55</v>
      </c>
      <c r="P233">
        <v>5497.55</v>
      </c>
      <c r="Q233">
        <v>73.05</v>
      </c>
      <c r="R233" t="s">
        <v>65</v>
      </c>
      <c r="S233">
        <v>2</v>
      </c>
      <c r="T233" t="b">
        <v>0</v>
      </c>
      <c r="U233" t="s">
        <v>71</v>
      </c>
      <c r="V233">
        <v>5</v>
      </c>
    </row>
    <row r="234" spans="1:22" x14ac:dyDescent="0.25">
      <c r="A234" t="s">
        <v>755</v>
      </c>
      <c r="B234" s="1">
        <v>45427</v>
      </c>
      <c r="C234" t="s">
        <v>756</v>
      </c>
      <c r="D234" t="s">
        <v>757</v>
      </c>
      <c r="E234">
        <v>37</v>
      </c>
      <c r="F234" t="str">
        <f>IF(Table1[[#This Row],[age]]&lt;=25,"18-25",IF(Table1[[#This Row],[age]]&lt;=35,"26-35",IF(Table1[[#This Row],[age]]&lt;=50,"36-50","51+")))</f>
        <v>36-50</v>
      </c>
      <c r="G234" t="s">
        <v>54</v>
      </c>
      <c r="H234" t="s">
        <v>69</v>
      </c>
      <c r="I234" t="s">
        <v>221</v>
      </c>
      <c r="J234" t="s">
        <v>36</v>
      </c>
      <c r="K234" t="s">
        <v>243</v>
      </c>
      <c r="L234">
        <v>3</v>
      </c>
      <c r="M234">
        <v>16806.93</v>
      </c>
      <c r="N234">
        <v>0.37</v>
      </c>
      <c r="O234">
        <v>52202.49</v>
      </c>
      <c r="P234">
        <v>17999.97</v>
      </c>
      <c r="Q234">
        <v>90.53</v>
      </c>
      <c r="R234" t="s">
        <v>57</v>
      </c>
      <c r="S234">
        <v>4</v>
      </c>
      <c r="T234" t="b">
        <v>0</v>
      </c>
      <c r="U234" t="s">
        <v>30</v>
      </c>
      <c r="V234">
        <v>2</v>
      </c>
    </row>
    <row r="235" spans="1:22" x14ac:dyDescent="0.25">
      <c r="A235" t="s">
        <v>758</v>
      </c>
      <c r="B235" s="1">
        <v>45256</v>
      </c>
      <c r="C235" t="s">
        <v>759</v>
      </c>
      <c r="D235" t="s">
        <v>79</v>
      </c>
      <c r="E235">
        <v>37</v>
      </c>
      <c r="F235" t="str">
        <f>IF(Table1[[#This Row],[age]]&lt;=25,"18-25",IF(Table1[[#This Row],[age]]&lt;=35,"26-35",IF(Table1[[#This Row],[age]]&lt;=50,"36-50","51+")))</f>
        <v>36-50</v>
      </c>
      <c r="G235" t="s">
        <v>24</v>
      </c>
      <c r="H235" t="s">
        <v>25</v>
      </c>
      <c r="I235" t="s">
        <v>26</v>
      </c>
      <c r="J235" t="s">
        <v>47</v>
      </c>
      <c r="K235" t="s">
        <v>156</v>
      </c>
      <c r="L235">
        <v>10</v>
      </c>
      <c r="M235">
        <v>666.25</v>
      </c>
      <c r="N235">
        <v>7.0000000000000007E-2</v>
      </c>
      <c r="O235">
        <v>5098.3999999999996</v>
      </c>
      <c r="P235">
        <v>1728.64</v>
      </c>
      <c r="Q235">
        <v>55.61</v>
      </c>
      <c r="R235" t="s">
        <v>65</v>
      </c>
      <c r="S235">
        <v>3</v>
      </c>
      <c r="T235" t="b">
        <v>0</v>
      </c>
      <c r="U235" t="s">
        <v>30</v>
      </c>
      <c r="V235">
        <v>8</v>
      </c>
    </row>
    <row r="236" spans="1:22" x14ac:dyDescent="0.25">
      <c r="A236" t="s">
        <v>760</v>
      </c>
      <c r="B236" s="1">
        <v>44893</v>
      </c>
      <c r="C236" t="s">
        <v>761</v>
      </c>
      <c r="D236" t="s">
        <v>33</v>
      </c>
      <c r="E236">
        <v>30</v>
      </c>
      <c r="F236" t="str">
        <f>IF(Table1[[#This Row],[age]]&lt;=25,"18-25",IF(Table1[[#This Row],[age]]&lt;=35,"26-35",IF(Table1[[#This Row],[age]]&lt;=50,"36-50","51+")))</f>
        <v>26-35</v>
      </c>
      <c r="G236" t="s">
        <v>34</v>
      </c>
      <c r="H236" t="s">
        <v>61</v>
      </c>
      <c r="I236" t="s">
        <v>141</v>
      </c>
      <c r="J236" t="s">
        <v>47</v>
      </c>
      <c r="K236" t="s">
        <v>204</v>
      </c>
      <c r="L236">
        <v>5</v>
      </c>
      <c r="M236">
        <v>1175.29</v>
      </c>
      <c r="N236">
        <v>0.36</v>
      </c>
      <c r="O236">
        <v>3025.64</v>
      </c>
      <c r="P236">
        <v>1294.96</v>
      </c>
      <c r="Q236">
        <v>66.209999999999994</v>
      </c>
      <c r="R236" t="s">
        <v>92</v>
      </c>
      <c r="S236">
        <v>2</v>
      </c>
      <c r="T236" t="b">
        <v>0</v>
      </c>
      <c r="U236" t="s">
        <v>30</v>
      </c>
      <c r="V236">
        <v>4</v>
      </c>
    </row>
    <row r="237" spans="1:22" x14ac:dyDescent="0.25">
      <c r="A237" t="s">
        <v>762</v>
      </c>
      <c r="B237" s="1">
        <v>44148</v>
      </c>
      <c r="C237" t="s">
        <v>763</v>
      </c>
      <c r="D237" t="s">
        <v>764</v>
      </c>
      <c r="E237">
        <v>42</v>
      </c>
      <c r="F237" t="str">
        <f>IF(Table1[[#This Row],[age]]&lt;=25,"18-25",IF(Table1[[#This Row],[age]]&lt;=35,"26-35",IF(Table1[[#This Row],[age]]&lt;=50,"36-50","51+")))</f>
        <v>36-50</v>
      </c>
      <c r="G237" t="s">
        <v>54</v>
      </c>
      <c r="H237" t="s">
        <v>69</v>
      </c>
      <c r="I237" t="s">
        <v>70</v>
      </c>
      <c r="J237" t="s">
        <v>115</v>
      </c>
      <c r="K237" t="s">
        <v>197</v>
      </c>
      <c r="L237">
        <v>6</v>
      </c>
      <c r="M237">
        <v>50084.03</v>
      </c>
      <c r="N237">
        <v>0.17</v>
      </c>
      <c r="O237">
        <v>186628.87</v>
      </c>
      <c r="P237">
        <v>20981.15</v>
      </c>
      <c r="Q237">
        <v>94.58</v>
      </c>
      <c r="R237" t="s">
        <v>29</v>
      </c>
      <c r="S237">
        <v>4</v>
      </c>
      <c r="T237" t="b">
        <v>0</v>
      </c>
      <c r="U237" t="s">
        <v>71</v>
      </c>
      <c r="V237">
        <v>6</v>
      </c>
    </row>
    <row r="238" spans="1:22" x14ac:dyDescent="0.25">
      <c r="A238" t="s">
        <v>765</v>
      </c>
      <c r="B238" s="1">
        <v>44024</v>
      </c>
      <c r="C238" t="s">
        <v>766</v>
      </c>
      <c r="D238" t="s">
        <v>767</v>
      </c>
      <c r="E238">
        <v>22</v>
      </c>
      <c r="F238" t="str">
        <f>IF(Table1[[#This Row],[age]]&lt;=25,"18-25",IF(Table1[[#This Row],[age]]&lt;=35,"26-35",IF(Table1[[#This Row],[age]]&lt;=50,"36-50","51+")))</f>
        <v>18-25</v>
      </c>
      <c r="G238" t="s">
        <v>24</v>
      </c>
      <c r="H238" t="s">
        <v>25</v>
      </c>
      <c r="I238" t="s">
        <v>41</v>
      </c>
      <c r="J238" t="s">
        <v>106</v>
      </c>
      <c r="K238" t="s">
        <v>107</v>
      </c>
      <c r="L238">
        <v>2</v>
      </c>
      <c r="M238">
        <v>379.2</v>
      </c>
      <c r="N238">
        <v>0.2</v>
      </c>
      <c r="O238">
        <v>658.39</v>
      </c>
      <c r="P238">
        <v>27.25</v>
      </c>
      <c r="Q238">
        <v>67.650000000000006</v>
      </c>
      <c r="R238" t="s">
        <v>65</v>
      </c>
      <c r="S238">
        <v>1</v>
      </c>
      <c r="T238" t="b">
        <v>0</v>
      </c>
      <c r="U238" t="s">
        <v>30</v>
      </c>
      <c r="V238">
        <v>7</v>
      </c>
    </row>
    <row r="239" spans="1:22" x14ac:dyDescent="0.25">
      <c r="A239" t="s">
        <v>768</v>
      </c>
      <c r="B239" s="1">
        <v>43881</v>
      </c>
      <c r="C239" t="s">
        <v>769</v>
      </c>
      <c r="D239" t="s">
        <v>726</v>
      </c>
      <c r="E239">
        <v>26</v>
      </c>
      <c r="F239" t="str">
        <f>IF(Table1[[#This Row],[age]]&lt;=25,"18-25",IF(Table1[[#This Row],[age]]&lt;=35,"26-35",IF(Table1[[#This Row],[age]]&lt;=50,"36-50","51+")))</f>
        <v>26-35</v>
      </c>
      <c r="G239" t="s">
        <v>54</v>
      </c>
      <c r="H239" t="s">
        <v>80</v>
      </c>
      <c r="I239" t="s">
        <v>86</v>
      </c>
      <c r="J239" t="s">
        <v>27</v>
      </c>
      <c r="K239" t="s">
        <v>192</v>
      </c>
      <c r="L239">
        <v>2</v>
      </c>
      <c r="M239">
        <v>959.97</v>
      </c>
      <c r="N239">
        <v>0.05</v>
      </c>
      <c r="O239">
        <v>1563.91</v>
      </c>
      <c r="P239">
        <v>630.51</v>
      </c>
      <c r="Q239">
        <v>71.849999999999994</v>
      </c>
      <c r="R239" t="s">
        <v>43</v>
      </c>
      <c r="S239">
        <v>4</v>
      </c>
      <c r="T239" t="b">
        <v>0</v>
      </c>
      <c r="U239" t="s">
        <v>30</v>
      </c>
      <c r="V239">
        <v>2</v>
      </c>
    </row>
    <row r="240" spans="1:22" x14ac:dyDescent="0.25">
      <c r="A240" t="s">
        <v>770</v>
      </c>
      <c r="B240" s="1">
        <v>43979</v>
      </c>
      <c r="C240" t="s">
        <v>771</v>
      </c>
      <c r="D240" t="s">
        <v>772</v>
      </c>
      <c r="E240">
        <v>20</v>
      </c>
      <c r="F240" t="str">
        <f>IF(Table1[[#This Row],[age]]&lt;=25,"18-25",IF(Table1[[#This Row],[age]]&lt;=35,"26-35",IF(Table1[[#This Row],[age]]&lt;=50,"36-50","51+")))</f>
        <v>18-25</v>
      </c>
      <c r="G240" t="s">
        <v>24</v>
      </c>
      <c r="H240" t="s">
        <v>55</v>
      </c>
      <c r="I240" t="s">
        <v>97</v>
      </c>
      <c r="J240" t="s">
        <v>63</v>
      </c>
      <c r="K240" t="s">
        <v>434</v>
      </c>
      <c r="L240">
        <v>1</v>
      </c>
      <c r="M240">
        <v>1604.88</v>
      </c>
      <c r="N240">
        <v>0.22</v>
      </c>
      <c r="O240">
        <v>1620.42</v>
      </c>
      <c r="P240">
        <v>414.75</v>
      </c>
      <c r="Q240">
        <v>71.08</v>
      </c>
      <c r="R240" t="s">
        <v>29</v>
      </c>
      <c r="S240">
        <v>3</v>
      </c>
      <c r="T240" t="b">
        <v>1</v>
      </c>
      <c r="U240" t="s">
        <v>50</v>
      </c>
      <c r="V240">
        <v>4</v>
      </c>
    </row>
    <row r="241" spans="1:22" x14ac:dyDescent="0.25">
      <c r="A241" t="s">
        <v>773</v>
      </c>
      <c r="B241" s="1">
        <v>44717</v>
      </c>
      <c r="C241" t="s">
        <v>774</v>
      </c>
      <c r="D241" t="s">
        <v>564</v>
      </c>
      <c r="E241">
        <v>52</v>
      </c>
      <c r="F241" t="str">
        <f>IF(Table1[[#This Row],[age]]&lt;=25,"18-25",IF(Table1[[#This Row],[age]]&lt;=35,"26-35",IF(Table1[[#This Row],[age]]&lt;=50,"36-50","51+")))</f>
        <v>51+</v>
      </c>
      <c r="G241" t="s">
        <v>54</v>
      </c>
      <c r="H241" t="s">
        <v>25</v>
      </c>
      <c r="I241" t="s">
        <v>298</v>
      </c>
      <c r="J241" t="s">
        <v>101</v>
      </c>
      <c r="K241" t="s">
        <v>124</v>
      </c>
      <c r="L241">
        <v>10</v>
      </c>
      <c r="M241">
        <v>6308.82</v>
      </c>
      <c r="N241">
        <v>0.36</v>
      </c>
      <c r="O241">
        <v>65319.25</v>
      </c>
      <c r="P241">
        <v>13727.44</v>
      </c>
      <c r="Q241">
        <v>63.87</v>
      </c>
      <c r="R241" t="s">
        <v>92</v>
      </c>
      <c r="S241">
        <v>1</v>
      </c>
      <c r="T241" t="b">
        <v>1</v>
      </c>
      <c r="U241" t="s">
        <v>50</v>
      </c>
      <c r="V241">
        <v>7</v>
      </c>
    </row>
    <row r="242" spans="1:22" x14ac:dyDescent="0.25">
      <c r="A242" t="s">
        <v>775</v>
      </c>
      <c r="B242" s="1">
        <v>45221</v>
      </c>
      <c r="C242" t="s">
        <v>776</v>
      </c>
      <c r="D242" t="s">
        <v>777</v>
      </c>
      <c r="E242">
        <v>41</v>
      </c>
      <c r="F242" t="str">
        <f>IF(Table1[[#This Row],[age]]&lt;=25,"18-25",IF(Table1[[#This Row],[age]]&lt;=35,"26-35",IF(Table1[[#This Row],[age]]&lt;=50,"36-50","51+")))</f>
        <v>36-50</v>
      </c>
      <c r="G242" t="s">
        <v>34</v>
      </c>
      <c r="H242" t="s">
        <v>61</v>
      </c>
      <c r="I242" t="s">
        <v>62</v>
      </c>
      <c r="J242" t="s">
        <v>27</v>
      </c>
      <c r="K242" t="s">
        <v>128</v>
      </c>
      <c r="L242">
        <v>10</v>
      </c>
      <c r="M242">
        <v>850.71</v>
      </c>
      <c r="N242">
        <v>0.4</v>
      </c>
      <c r="O242">
        <v>5762.75</v>
      </c>
      <c r="P242">
        <v>2735.24</v>
      </c>
      <c r="Q242">
        <v>38.04</v>
      </c>
      <c r="R242" t="s">
        <v>49</v>
      </c>
      <c r="S242">
        <v>4</v>
      </c>
      <c r="T242" t="b">
        <v>0</v>
      </c>
      <c r="U242" t="s">
        <v>30</v>
      </c>
      <c r="V242">
        <v>6</v>
      </c>
    </row>
    <row r="243" spans="1:22" x14ac:dyDescent="0.25">
      <c r="A243" t="s">
        <v>778</v>
      </c>
      <c r="B243" s="1">
        <v>45094</v>
      </c>
      <c r="C243" t="s">
        <v>779</v>
      </c>
      <c r="D243" t="s">
        <v>657</v>
      </c>
      <c r="E243">
        <v>26</v>
      </c>
      <c r="F243" t="str">
        <f>IF(Table1[[#This Row],[age]]&lt;=25,"18-25",IF(Table1[[#This Row],[age]]&lt;=35,"26-35",IF(Table1[[#This Row],[age]]&lt;=50,"36-50","51+")))</f>
        <v>26-35</v>
      </c>
      <c r="G243" t="s">
        <v>24</v>
      </c>
      <c r="H243" t="s">
        <v>61</v>
      </c>
      <c r="I243" t="s">
        <v>91</v>
      </c>
      <c r="J243" t="s">
        <v>106</v>
      </c>
      <c r="K243" t="s">
        <v>718</v>
      </c>
      <c r="L243">
        <v>5</v>
      </c>
      <c r="M243">
        <v>200.85</v>
      </c>
      <c r="N243">
        <v>0.36</v>
      </c>
      <c r="O243">
        <v>1116.3800000000001</v>
      </c>
      <c r="P243">
        <v>71.67</v>
      </c>
      <c r="Q243">
        <v>58.1</v>
      </c>
      <c r="R243" t="s">
        <v>43</v>
      </c>
      <c r="S243">
        <v>2</v>
      </c>
      <c r="T243" t="b">
        <v>0</v>
      </c>
      <c r="U243" t="s">
        <v>30</v>
      </c>
      <c r="V243">
        <v>1</v>
      </c>
    </row>
    <row r="244" spans="1:22" x14ac:dyDescent="0.25">
      <c r="A244" t="s">
        <v>780</v>
      </c>
      <c r="B244" s="1">
        <v>44418</v>
      </c>
      <c r="C244" t="s">
        <v>781</v>
      </c>
      <c r="D244" t="s">
        <v>740</v>
      </c>
      <c r="E244">
        <v>35</v>
      </c>
      <c r="F244" t="str">
        <f>IF(Table1[[#This Row],[age]]&lt;=25,"18-25",IF(Table1[[#This Row],[age]]&lt;=35,"26-35",IF(Table1[[#This Row],[age]]&lt;=50,"36-50","51+")))</f>
        <v>26-35</v>
      </c>
      <c r="G244" t="s">
        <v>54</v>
      </c>
      <c r="H244" t="s">
        <v>69</v>
      </c>
      <c r="I244" t="s">
        <v>181</v>
      </c>
      <c r="J244" t="s">
        <v>36</v>
      </c>
      <c r="K244" t="s">
        <v>37</v>
      </c>
      <c r="L244">
        <v>3</v>
      </c>
      <c r="M244">
        <v>23823.69</v>
      </c>
      <c r="N244">
        <v>0.11</v>
      </c>
      <c r="O244">
        <v>88956.71</v>
      </c>
      <c r="P244">
        <v>26211.15</v>
      </c>
      <c r="Q244">
        <v>95.16</v>
      </c>
      <c r="R244" t="s">
        <v>43</v>
      </c>
      <c r="S244">
        <v>5</v>
      </c>
      <c r="T244" t="b">
        <v>0</v>
      </c>
      <c r="U244" t="s">
        <v>30</v>
      </c>
      <c r="V244">
        <v>6</v>
      </c>
    </row>
    <row r="245" spans="1:22" x14ac:dyDescent="0.25">
      <c r="A245" t="s">
        <v>782</v>
      </c>
      <c r="B245" s="1">
        <v>44492</v>
      </c>
      <c r="C245" t="s">
        <v>783</v>
      </c>
      <c r="D245" t="s">
        <v>784</v>
      </c>
      <c r="E245">
        <v>35</v>
      </c>
      <c r="F245" t="str">
        <f>IF(Table1[[#This Row],[age]]&lt;=25,"18-25",IF(Table1[[#This Row],[age]]&lt;=35,"26-35",IF(Table1[[#This Row],[age]]&lt;=50,"36-50","51+")))</f>
        <v>26-35</v>
      </c>
      <c r="G245" t="s">
        <v>34</v>
      </c>
      <c r="H245" t="s">
        <v>25</v>
      </c>
      <c r="I245" t="s">
        <v>41</v>
      </c>
      <c r="J245" t="s">
        <v>101</v>
      </c>
      <c r="K245" t="s">
        <v>102</v>
      </c>
      <c r="L245">
        <v>6</v>
      </c>
      <c r="M245">
        <v>10030.26</v>
      </c>
      <c r="N245">
        <v>0.17</v>
      </c>
      <c r="O245">
        <v>51174.21</v>
      </c>
      <c r="P245">
        <v>14093.89</v>
      </c>
      <c r="Q245">
        <v>33.86</v>
      </c>
      <c r="R245" t="s">
        <v>92</v>
      </c>
      <c r="S245">
        <v>4</v>
      </c>
      <c r="T245" t="b">
        <v>0</v>
      </c>
      <c r="U245" t="s">
        <v>30</v>
      </c>
      <c r="V245">
        <v>8</v>
      </c>
    </row>
    <row r="246" spans="1:22" x14ac:dyDescent="0.25">
      <c r="A246" t="s">
        <v>785</v>
      </c>
      <c r="B246" s="1">
        <v>44732</v>
      </c>
      <c r="C246" t="s">
        <v>786</v>
      </c>
      <c r="D246" t="s">
        <v>407</v>
      </c>
      <c r="E246">
        <v>49</v>
      </c>
      <c r="F246" t="str">
        <f>IF(Table1[[#This Row],[age]]&lt;=25,"18-25",IF(Table1[[#This Row],[age]]&lt;=35,"26-35",IF(Table1[[#This Row],[age]]&lt;=50,"36-50","51+")))</f>
        <v>36-50</v>
      </c>
      <c r="G246" t="s">
        <v>24</v>
      </c>
      <c r="H246" t="s">
        <v>55</v>
      </c>
      <c r="I246" t="s">
        <v>114</v>
      </c>
      <c r="J246" t="s">
        <v>106</v>
      </c>
      <c r="K246" t="s">
        <v>331</v>
      </c>
      <c r="L246">
        <v>8</v>
      </c>
      <c r="M246">
        <v>377.69</v>
      </c>
      <c r="N246">
        <v>0.27</v>
      </c>
      <c r="O246">
        <v>3219.24</v>
      </c>
      <c r="P246">
        <v>244.77</v>
      </c>
      <c r="Q246">
        <v>42.69</v>
      </c>
      <c r="R246" t="s">
        <v>57</v>
      </c>
      <c r="S246">
        <v>1</v>
      </c>
      <c r="T246" t="b">
        <v>0</v>
      </c>
      <c r="U246" t="s">
        <v>30</v>
      </c>
      <c r="V246">
        <v>4</v>
      </c>
    </row>
    <row r="247" spans="1:22" x14ac:dyDescent="0.25">
      <c r="A247" t="s">
        <v>787</v>
      </c>
      <c r="B247" s="1">
        <v>44194</v>
      </c>
      <c r="C247" t="s">
        <v>788</v>
      </c>
      <c r="D247" t="s">
        <v>789</v>
      </c>
      <c r="E247">
        <v>48</v>
      </c>
      <c r="F247" t="str">
        <f>IF(Table1[[#This Row],[age]]&lt;=25,"18-25",IF(Table1[[#This Row],[age]]&lt;=35,"26-35",IF(Table1[[#This Row],[age]]&lt;=50,"36-50","51+")))</f>
        <v>36-50</v>
      </c>
      <c r="G247" t="s">
        <v>24</v>
      </c>
      <c r="H247" t="s">
        <v>25</v>
      </c>
      <c r="I247" t="s">
        <v>26</v>
      </c>
      <c r="J247" t="s">
        <v>101</v>
      </c>
      <c r="K247" t="s">
        <v>456</v>
      </c>
      <c r="L247">
        <v>4</v>
      </c>
      <c r="M247">
        <v>2347.62</v>
      </c>
      <c r="N247">
        <v>0.22</v>
      </c>
      <c r="O247">
        <v>5426.75</v>
      </c>
      <c r="P247">
        <v>1694.29</v>
      </c>
      <c r="Q247">
        <v>36.229999999999997</v>
      </c>
      <c r="R247" t="s">
        <v>29</v>
      </c>
      <c r="S247">
        <v>1</v>
      </c>
      <c r="T247" t="b">
        <v>0</v>
      </c>
      <c r="U247" t="s">
        <v>30</v>
      </c>
      <c r="V247">
        <v>10</v>
      </c>
    </row>
    <row r="248" spans="1:22" x14ac:dyDescent="0.25">
      <c r="A248" t="s">
        <v>790</v>
      </c>
      <c r="B248" s="1">
        <v>44289</v>
      </c>
      <c r="C248" t="s">
        <v>791</v>
      </c>
      <c r="D248" t="s">
        <v>792</v>
      </c>
      <c r="E248">
        <v>24</v>
      </c>
      <c r="F248" t="str">
        <f>IF(Table1[[#This Row],[age]]&lt;=25,"18-25",IF(Table1[[#This Row],[age]]&lt;=35,"26-35",IF(Table1[[#This Row],[age]]&lt;=50,"36-50","51+")))</f>
        <v>18-25</v>
      </c>
      <c r="G248" t="s">
        <v>34</v>
      </c>
      <c r="H248" t="s">
        <v>69</v>
      </c>
      <c r="I248" t="s">
        <v>181</v>
      </c>
      <c r="J248" t="s">
        <v>63</v>
      </c>
      <c r="K248" t="s">
        <v>87</v>
      </c>
      <c r="L248">
        <v>8</v>
      </c>
      <c r="M248">
        <v>1837.46</v>
      </c>
      <c r="N248">
        <v>0.26</v>
      </c>
      <c r="O248">
        <v>13934.11</v>
      </c>
      <c r="P248">
        <v>4142.9399999999996</v>
      </c>
      <c r="Q248">
        <v>81.400000000000006</v>
      </c>
      <c r="R248" t="s">
        <v>43</v>
      </c>
      <c r="S248">
        <v>1</v>
      </c>
      <c r="T248" t="b">
        <v>0</v>
      </c>
      <c r="U248" t="s">
        <v>71</v>
      </c>
      <c r="V248">
        <v>8</v>
      </c>
    </row>
    <row r="249" spans="1:22" x14ac:dyDescent="0.25">
      <c r="A249" t="s">
        <v>793</v>
      </c>
      <c r="B249" s="1">
        <v>43948</v>
      </c>
      <c r="C249" t="s">
        <v>794</v>
      </c>
      <c r="D249" t="s">
        <v>191</v>
      </c>
      <c r="E249">
        <v>21</v>
      </c>
      <c r="F249" t="str">
        <f>IF(Table1[[#This Row],[age]]&lt;=25,"18-25",IF(Table1[[#This Row],[age]]&lt;=35,"26-35",IF(Table1[[#This Row],[age]]&lt;=50,"36-50","51+")))</f>
        <v>18-25</v>
      </c>
      <c r="G249" t="s">
        <v>54</v>
      </c>
      <c r="H249" t="s">
        <v>69</v>
      </c>
      <c r="I249" t="s">
        <v>221</v>
      </c>
      <c r="J249" t="s">
        <v>101</v>
      </c>
      <c r="K249" t="s">
        <v>102</v>
      </c>
      <c r="L249">
        <v>6</v>
      </c>
      <c r="M249">
        <v>7876.81</v>
      </c>
      <c r="N249">
        <v>0.02</v>
      </c>
      <c r="O249">
        <v>58868.95</v>
      </c>
      <c r="P249">
        <v>12406.43</v>
      </c>
      <c r="Q249">
        <v>62.09</v>
      </c>
      <c r="R249" t="s">
        <v>29</v>
      </c>
      <c r="S249">
        <v>4</v>
      </c>
      <c r="T249" t="b">
        <v>0</v>
      </c>
      <c r="U249" t="s">
        <v>93</v>
      </c>
      <c r="V249">
        <v>3</v>
      </c>
    </row>
    <row r="250" spans="1:22" x14ac:dyDescent="0.25">
      <c r="A250" t="s">
        <v>795</v>
      </c>
      <c r="B250" s="1">
        <v>44591</v>
      </c>
      <c r="C250" t="s">
        <v>796</v>
      </c>
      <c r="D250" t="s">
        <v>797</v>
      </c>
      <c r="E250">
        <v>28</v>
      </c>
      <c r="F250" t="str">
        <f>IF(Table1[[#This Row],[age]]&lt;=25,"18-25",IF(Table1[[#This Row],[age]]&lt;=35,"26-35",IF(Table1[[#This Row],[age]]&lt;=50,"36-50","51+")))</f>
        <v>26-35</v>
      </c>
      <c r="G250" t="s">
        <v>54</v>
      </c>
      <c r="H250" t="s">
        <v>61</v>
      </c>
      <c r="I250" t="s">
        <v>141</v>
      </c>
      <c r="J250" t="s">
        <v>47</v>
      </c>
      <c r="K250" t="s">
        <v>120</v>
      </c>
      <c r="L250">
        <v>4</v>
      </c>
      <c r="M250">
        <v>1134.8900000000001</v>
      </c>
      <c r="N250">
        <v>0.05</v>
      </c>
      <c r="O250">
        <v>3201.22</v>
      </c>
      <c r="P250">
        <v>939.71</v>
      </c>
      <c r="Q250">
        <v>68.97</v>
      </c>
      <c r="R250" t="s">
        <v>92</v>
      </c>
      <c r="S250">
        <v>4</v>
      </c>
      <c r="T250" t="b">
        <v>0</v>
      </c>
      <c r="U250" t="s">
        <v>30</v>
      </c>
      <c r="V250">
        <v>2</v>
      </c>
    </row>
    <row r="251" spans="1:22" x14ac:dyDescent="0.25">
      <c r="A251" t="s">
        <v>798</v>
      </c>
      <c r="B251" s="1">
        <v>44682</v>
      </c>
      <c r="C251" t="s">
        <v>799</v>
      </c>
      <c r="D251" t="s">
        <v>184</v>
      </c>
      <c r="E251">
        <v>41</v>
      </c>
      <c r="F251" t="str">
        <f>IF(Table1[[#This Row],[age]]&lt;=25,"18-25",IF(Table1[[#This Row],[age]]&lt;=35,"26-35",IF(Table1[[#This Row],[age]]&lt;=50,"36-50","51+")))</f>
        <v>36-50</v>
      </c>
      <c r="G251" t="s">
        <v>24</v>
      </c>
      <c r="H251" t="s">
        <v>80</v>
      </c>
      <c r="I251" t="s">
        <v>86</v>
      </c>
      <c r="J251" t="s">
        <v>63</v>
      </c>
      <c r="K251" t="s">
        <v>152</v>
      </c>
      <c r="L251">
        <v>9</v>
      </c>
      <c r="M251">
        <v>3373.39</v>
      </c>
      <c r="N251">
        <v>0.02</v>
      </c>
      <c r="O251">
        <v>45729.43</v>
      </c>
      <c r="P251">
        <v>18565.86</v>
      </c>
      <c r="Q251">
        <v>73.180000000000007</v>
      </c>
      <c r="R251" t="s">
        <v>49</v>
      </c>
      <c r="S251">
        <v>2</v>
      </c>
      <c r="T251" t="b">
        <v>0</v>
      </c>
      <c r="U251" t="s">
        <v>30</v>
      </c>
      <c r="V251">
        <v>4</v>
      </c>
    </row>
    <row r="252" spans="1:22" x14ac:dyDescent="0.25">
      <c r="A252" t="s">
        <v>800</v>
      </c>
      <c r="B252" s="1">
        <v>45021</v>
      </c>
      <c r="C252" t="s">
        <v>801</v>
      </c>
      <c r="D252" t="s">
        <v>802</v>
      </c>
      <c r="E252">
        <v>41</v>
      </c>
      <c r="F252" t="str">
        <f>IF(Table1[[#This Row],[age]]&lt;=25,"18-25",IF(Table1[[#This Row],[age]]&lt;=35,"26-35",IF(Table1[[#This Row],[age]]&lt;=50,"36-50","51+")))</f>
        <v>36-50</v>
      </c>
      <c r="G252" t="s">
        <v>54</v>
      </c>
      <c r="H252" t="s">
        <v>25</v>
      </c>
      <c r="I252" t="s">
        <v>35</v>
      </c>
      <c r="J252" t="s">
        <v>106</v>
      </c>
      <c r="K252" t="s">
        <v>314</v>
      </c>
      <c r="L252">
        <v>9</v>
      </c>
      <c r="M252">
        <v>467.6</v>
      </c>
      <c r="N252">
        <v>0.02</v>
      </c>
      <c r="O252">
        <v>5992.24</v>
      </c>
      <c r="P252">
        <v>654.29</v>
      </c>
      <c r="Q252">
        <v>37.130000000000003</v>
      </c>
      <c r="R252" t="s">
        <v>43</v>
      </c>
      <c r="S252">
        <v>4</v>
      </c>
      <c r="T252" t="b">
        <v>0</v>
      </c>
      <c r="U252" t="s">
        <v>30</v>
      </c>
      <c r="V252">
        <v>7</v>
      </c>
    </row>
    <row r="253" spans="1:22" x14ac:dyDescent="0.25">
      <c r="A253" t="s">
        <v>803</v>
      </c>
      <c r="B253" s="1">
        <v>44088</v>
      </c>
      <c r="C253" t="s">
        <v>804</v>
      </c>
      <c r="D253" t="s">
        <v>805</v>
      </c>
      <c r="E253">
        <v>32</v>
      </c>
      <c r="F253" t="str">
        <f>IF(Table1[[#This Row],[age]]&lt;=25,"18-25",IF(Table1[[#This Row],[age]]&lt;=35,"26-35",IF(Table1[[#This Row],[age]]&lt;=50,"36-50","51+")))</f>
        <v>26-35</v>
      </c>
      <c r="G253" t="s">
        <v>34</v>
      </c>
      <c r="H253" t="s">
        <v>69</v>
      </c>
      <c r="I253" t="s">
        <v>136</v>
      </c>
      <c r="J253" t="s">
        <v>36</v>
      </c>
      <c r="K253" t="s">
        <v>132</v>
      </c>
      <c r="L253">
        <v>7</v>
      </c>
      <c r="M253">
        <v>5932.53</v>
      </c>
      <c r="N253">
        <v>0.39</v>
      </c>
      <c r="O253">
        <v>23093.119999999999</v>
      </c>
      <c r="P253">
        <v>8164.97</v>
      </c>
      <c r="Q253">
        <v>84.41</v>
      </c>
      <c r="R253" t="s">
        <v>65</v>
      </c>
      <c r="S253">
        <v>3</v>
      </c>
      <c r="T253" t="b">
        <v>0</v>
      </c>
      <c r="U253" t="s">
        <v>30</v>
      </c>
      <c r="V253">
        <v>1</v>
      </c>
    </row>
    <row r="254" spans="1:22" x14ac:dyDescent="0.25">
      <c r="A254" t="s">
        <v>806</v>
      </c>
      <c r="B254" s="1">
        <v>44871</v>
      </c>
      <c r="C254" t="s">
        <v>807</v>
      </c>
      <c r="D254" t="s">
        <v>262</v>
      </c>
      <c r="E254">
        <v>31</v>
      </c>
      <c r="F254" t="str">
        <f>IF(Table1[[#This Row],[age]]&lt;=25,"18-25",IF(Table1[[#This Row],[age]]&lt;=35,"26-35",IF(Table1[[#This Row],[age]]&lt;=50,"36-50","51+")))</f>
        <v>26-35</v>
      </c>
      <c r="G254" t="s">
        <v>34</v>
      </c>
      <c r="H254" t="s">
        <v>61</v>
      </c>
      <c r="I254" t="s">
        <v>91</v>
      </c>
      <c r="J254" t="s">
        <v>106</v>
      </c>
      <c r="K254" t="s">
        <v>314</v>
      </c>
      <c r="L254">
        <v>8</v>
      </c>
      <c r="M254">
        <v>163.97</v>
      </c>
      <c r="N254">
        <v>0.16</v>
      </c>
      <c r="O254">
        <v>1055.3399999999999</v>
      </c>
      <c r="P254">
        <v>91.59</v>
      </c>
      <c r="Q254">
        <v>24.74</v>
      </c>
      <c r="R254" t="s">
        <v>29</v>
      </c>
      <c r="S254">
        <v>4</v>
      </c>
      <c r="T254" t="b">
        <v>0</v>
      </c>
      <c r="U254" t="s">
        <v>93</v>
      </c>
      <c r="V254">
        <v>8</v>
      </c>
    </row>
    <row r="255" spans="1:22" x14ac:dyDescent="0.25">
      <c r="A255" t="s">
        <v>808</v>
      </c>
      <c r="B255" s="1">
        <v>44963</v>
      </c>
      <c r="C255" t="s">
        <v>809</v>
      </c>
      <c r="D255" t="s">
        <v>737</v>
      </c>
      <c r="E255">
        <v>39</v>
      </c>
      <c r="F255" t="str">
        <f>IF(Table1[[#This Row],[age]]&lt;=25,"18-25",IF(Table1[[#This Row],[age]]&lt;=35,"26-35",IF(Table1[[#This Row],[age]]&lt;=50,"36-50","51+")))</f>
        <v>36-50</v>
      </c>
      <c r="G255" t="s">
        <v>24</v>
      </c>
      <c r="H255" t="s">
        <v>80</v>
      </c>
      <c r="I255" t="s">
        <v>86</v>
      </c>
      <c r="J255" t="s">
        <v>47</v>
      </c>
      <c r="K255" t="s">
        <v>48</v>
      </c>
      <c r="L255">
        <v>10</v>
      </c>
      <c r="M255">
        <v>947.87</v>
      </c>
      <c r="N255">
        <v>0.24</v>
      </c>
      <c r="O255">
        <v>7234.13</v>
      </c>
      <c r="P255">
        <v>3527.5</v>
      </c>
      <c r="Q255">
        <v>84.4</v>
      </c>
      <c r="R255" t="s">
        <v>57</v>
      </c>
      <c r="S255">
        <v>4</v>
      </c>
      <c r="T255" t="b">
        <v>0</v>
      </c>
      <c r="U255" t="s">
        <v>30</v>
      </c>
      <c r="V255">
        <v>4</v>
      </c>
    </row>
    <row r="256" spans="1:22" x14ac:dyDescent="0.25">
      <c r="A256" t="s">
        <v>810</v>
      </c>
      <c r="B256" s="1">
        <v>44243</v>
      </c>
      <c r="C256" t="s">
        <v>811</v>
      </c>
      <c r="D256" t="s">
        <v>812</v>
      </c>
      <c r="E256">
        <v>36</v>
      </c>
      <c r="F256" t="str">
        <f>IF(Table1[[#This Row],[age]]&lt;=25,"18-25",IF(Table1[[#This Row],[age]]&lt;=35,"26-35",IF(Table1[[#This Row],[age]]&lt;=50,"36-50","51+")))</f>
        <v>36-50</v>
      </c>
      <c r="G256" t="s">
        <v>34</v>
      </c>
      <c r="H256" t="s">
        <v>61</v>
      </c>
      <c r="I256" t="s">
        <v>62</v>
      </c>
      <c r="J256" t="s">
        <v>115</v>
      </c>
      <c r="K256" t="s">
        <v>398</v>
      </c>
      <c r="L256">
        <v>3</v>
      </c>
      <c r="M256">
        <v>48921.59</v>
      </c>
      <c r="N256">
        <v>0.19</v>
      </c>
      <c r="O256">
        <v>107608.01</v>
      </c>
      <c r="P256">
        <v>16935.060000000001</v>
      </c>
      <c r="Q256">
        <v>46.65</v>
      </c>
      <c r="R256" t="s">
        <v>57</v>
      </c>
      <c r="S256">
        <v>1</v>
      </c>
      <c r="T256" t="b">
        <v>0</v>
      </c>
      <c r="U256" t="s">
        <v>30</v>
      </c>
      <c r="V256">
        <v>3</v>
      </c>
    </row>
    <row r="257" spans="1:22" x14ac:dyDescent="0.25">
      <c r="A257" t="s">
        <v>813</v>
      </c>
      <c r="B257" s="1">
        <v>45002</v>
      </c>
      <c r="C257" t="s">
        <v>814</v>
      </c>
      <c r="D257" t="s">
        <v>591</v>
      </c>
      <c r="E257">
        <v>41</v>
      </c>
      <c r="F257" t="str">
        <f>IF(Table1[[#This Row],[age]]&lt;=25,"18-25",IF(Table1[[#This Row],[age]]&lt;=35,"26-35",IF(Table1[[#This Row],[age]]&lt;=50,"36-50","51+")))</f>
        <v>36-50</v>
      </c>
      <c r="G257" t="s">
        <v>54</v>
      </c>
      <c r="H257" t="s">
        <v>25</v>
      </c>
      <c r="I257" t="s">
        <v>35</v>
      </c>
      <c r="J257" t="s">
        <v>27</v>
      </c>
      <c r="K257" t="s">
        <v>335</v>
      </c>
      <c r="L257">
        <v>2</v>
      </c>
      <c r="M257">
        <v>888.49</v>
      </c>
      <c r="N257">
        <v>0.08</v>
      </c>
      <c r="O257">
        <v>2115.7399999999998</v>
      </c>
      <c r="P257">
        <v>795.3</v>
      </c>
      <c r="Q257">
        <v>42.25</v>
      </c>
      <c r="R257" t="s">
        <v>29</v>
      </c>
      <c r="S257">
        <v>1</v>
      </c>
      <c r="T257" t="b">
        <v>0</v>
      </c>
      <c r="U257" t="s">
        <v>193</v>
      </c>
      <c r="V257">
        <v>8</v>
      </c>
    </row>
    <row r="258" spans="1:22" x14ac:dyDescent="0.25">
      <c r="A258" t="s">
        <v>815</v>
      </c>
      <c r="B258" s="1">
        <v>45626</v>
      </c>
      <c r="C258" t="s">
        <v>816</v>
      </c>
      <c r="D258" t="s">
        <v>392</v>
      </c>
      <c r="E258">
        <v>30</v>
      </c>
      <c r="F258" t="str">
        <f>IF(Table1[[#This Row],[age]]&lt;=25,"18-25",IF(Table1[[#This Row],[age]]&lt;=35,"26-35",IF(Table1[[#This Row],[age]]&lt;=50,"36-50","51+")))</f>
        <v>26-35</v>
      </c>
      <c r="G258" t="s">
        <v>54</v>
      </c>
      <c r="H258" t="s">
        <v>80</v>
      </c>
      <c r="I258" t="s">
        <v>242</v>
      </c>
      <c r="J258" t="s">
        <v>47</v>
      </c>
      <c r="K258" t="s">
        <v>48</v>
      </c>
      <c r="L258">
        <v>10</v>
      </c>
      <c r="M258">
        <v>1308.6300000000001</v>
      </c>
      <c r="N258">
        <v>0.39</v>
      </c>
      <c r="O258">
        <v>8038.79</v>
      </c>
      <c r="P258">
        <v>3691.88</v>
      </c>
      <c r="Q258">
        <v>59.74</v>
      </c>
      <c r="R258" t="s">
        <v>43</v>
      </c>
      <c r="S258">
        <v>5</v>
      </c>
      <c r="T258" t="b">
        <v>0</v>
      </c>
      <c r="U258" t="s">
        <v>30</v>
      </c>
      <c r="V258">
        <v>9</v>
      </c>
    </row>
    <row r="259" spans="1:22" x14ac:dyDescent="0.25">
      <c r="A259" t="s">
        <v>817</v>
      </c>
      <c r="B259" s="1">
        <v>44711</v>
      </c>
      <c r="C259" t="s">
        <v>818</v>
      </c>
      <c r="D259" t="s">
        <v>522</v>
      </c>
      <c r="E259">
        <v>38</v>
      </c>
      <c r="F259" t="str">
        <f>IF(Table1[[#This Row],[age]]&lt;=25,"18-25",IF(Table1[[#This Row],[age]]&lt;=35,"26-35",IF(Table1[[#This Row],[age]]&lt;=50,"36-50","51+")))</f>
        <v>36-50</v>
      </c>
      <c r="G259" t="s">
        <v>34</v>
      </c>
      <c r="H259" t="s">
        <v>80</v>
      </c>
      <c r="I259" t="s">
        <v>242</v>
      </c>
      <c r="J259" t="s">
        <v>101</v>
      </c>
      <c r="K259" t="s">
        <v>164</v>
      </c>
      <c r="L259">
        <v>10</v>
      </c>
      <c r="M259">
        <v>2313.34</v>
      </c>
      <c r="N259">
        <v>7.0000000000000007E-2</v>
      </c>
      <c r="O259">
        <v>26178.67</v>
      </c>
      <c r="P259">
        <v>6071.72</v>
      </c>
      <c r="Q259">
        <v>54.61</v>
      </c>
      <c r="R259" t="s">
        <v>29</v>
      </c>
      <c r="S259">
        <v>1</v>
      </c>
      <c r="T259" t="b">
        <v>1</v>
      </c>
      <c r="U259" t="s">
        <v>50</v>
      </c>
      <c r="V259">
        <v>3</v>
      </c>
    </row>
    <row r="260" spans="1:22" x14ac:dyDescent="0.25">
      <c r="A260" t="s">
        <v>819</v>
      </c>
      <c r="B260" s="1">
        <v>44786</v>
      </c>
      <c r="C260" t="s">
        <v>820</v>
      </c>
      <c r="D260" t="s">
        <v>671</v>
      </c>
      <c r="E260">
        <v>21</v>
      </c>
      <c r="F260" t="str">
        <f>IF(Table1[[#This Row],[age]]&lt;=25,"18-25",IF(Table1[[#This Row],[age]]&lt;=35,"26-35",IF(Table1[[#This Row],[age]]&lt;=50,"36-50","51+")))</f>
        <v>18-25</v>
      </c>
      <c r="G260" t="s">
        <v>24</v>
      </c>
      <c r="H260" t="s">
        <v>61</v>
      </c>
      <c r="I260" t="s">
        <v>141</v>
      </c>
      <c r="J260" t="s">
        <v>63</v>
      </c>
      <c r="K260" t="s">
        <v>152</v>
      </c>
      <c r="L260">
        <v>8</v>
      </c>
      <c r="M260">
        <v>3588.17</v>
      </c>
      <c r="N260">
        <v>0.24</v>
      </c>
      <c r="O260">
        <v>31618.79</v>
      </c>
      <c r="P260">
        <v>13674.74</v>
      </c>
      <c r="Q260">
        <v>86.78</v>
      </c>
      <c r="R260" t="s">
        <v>43</v>
      </c>
      <c r="S260">
        <v>1</v>
      </c>
      <c r="T260" t="b">
        <v>0</v>
      </c>
      <c r="U260" t="s">
        <v>30</v>
      </c>
      <c r="V260">
        <v>7</v>
      </c>
    </row>
    <row r="261" spans="1:22" x14ac:dyDescent="0.25">
      <c r="A261" t="s">
        <v>821</v>
      </c>
      <c r="B261" s="1">
        <v>45503</v>
      </c>
      <c r="C261" t="s">
        <v>822</v>
      </c>
      <c r="D261" t="s">
        <v>823</v>
      </c>
      <c r="E261">
        <v>19</v>
      </c>
      <c r="F261" t="str">
        <f>IF(Table1[[#This Row],[age]]&lt;=25,"18-25",IF(Table1[[#This Row],[age]]&lt;=35,"26-35",IF(Table1[[#This Row],[age]]&lt;=50,"36-50","51+")))</f>
        <v>18-25</v>
      </c>
      <c r="G261" t="s">
        <v>34</v>
      </c>
      <c r="H261" t="s">
        <v>25</v>
      </c>
      <c r="I261" t="s">
        <v>298</v>
      </c>
      <c r="J261" t="s">
        <v>63</v>
      </c>
      <c r="K261" t="s">
        <v>434</v>
      </c>
      <c r="L261">
        <v>4</v>
      </c>
      <c r="M261">
        <v>2461.65</v>
      </c>
      <c r="N261">
        <v>0.33</v>
      </c>
      <c r="O261">
        <v>9963.8700000000008</v>
      </c>
      <c r="P261">
        <v>2386.31</v>
      </c>
      <c r="Q261">
        <v>85.19</v>
      </c>
      <c r="R261" t="s">
        <v>92</v>
      </c>
      <c r="S261">
        <v>4</v>
      </c>
      <c r="T261" t="b">
        <v>0</v>
      </c>
      <c r="U261" t="s">
        <v>30</v>
      </c>
      <c r="V261">
        <v>1</v>
      </c>
    </row>
    <row r="262" spans="1:22" x14ac:dyDescent="0.25">
      <c r="A262" t="s">
        <v>824</v>
      </c>
      <c r="B262" s="1">
        <v>44118</v>
      </c>
      <c r="C262" t="s">
        <v>825</v>
      </c>
      <c r="D262" t="s">
        <v>826</v>
      </c>
      <c r="E262">
        <v>34</v>
      </c>
      <c r="F262" t="str">
        <f>IF(Table1[[#This Row],[age]]&lt;=25,"18-25",IF(Table1[[#This Row],[age]]&lt;=35,"26-35",IF(Table1[[#This Row],[age]]&lt;=50,"36-50","51+")))</f>
        <v>26-35</v>
      </c>
      <c r="G262" t="s">
        <v>34</v>
      </c>
      <c r="H262" t="s">
        <v>55</v>
      </c>
      <c r="I262" t="s">
        <v>56</v>
      </c>
      <c r="J262" t="s">
        <v>36</v>
      </c>
      <c r="K262" t="s">
        <v>42</v>
      </c>
      <c r="L262">
        <v>4</v>
      </c>
      <c r="M262">
        <v>22879.02</v>
      </c>
      <c r="N262">
        <v>0.1</v>
      </c>
      <c r="O262">
        <v>63905.82</v>
      </c>
      <c r="P262">
        <v>18612.63</v>
      </c>
      <c r="Q262">
        <v>53.94</v>
      </c>
      <c r="R262" t="s">
        <v>49</v>
      </c>
      <c r="S262">
        <v>1</v>
      </c>
      <c r="T262" t="b">
        <v>0</v>
      </c>
      <c r="U262" t="s">
        <v>71</v>
      </c>
      <c r="V262">
        <v>6</v>
      </c>
    </row>
    <row r="263" spans="1:22" x14ac:dyDescent="0.25">
      <c r="A263" t="s">
        <v>827</v>
      </c>
      <c r="B263" s="1">
        <v>44468</v>
      </c>
      <c r="C263" t="s">
        <v>828</v>
      </c>
      <c r="D263" t="s">
        <v>271</v>
      </c>
      <c r="E263">
        <v>32</v>
      </c>
      <c r="F263" t="str">
        <f>IF(Table1[[#This Row],[age]]&lt;=25,"18-25",IF(Table1[[#This Row],[age]]&lt;=35,"26-35",IF(Table1[[#This Row],[age]]&lt;=50,"36-50","51+")))</f>
        <v>26-35</v>
      </c>
      <c r="G263" t="s">
        <v>34</v>
      </c>
      <c r="H263" t="s">
        <v>80</v>
      </c>
      <c r="I263" t="s">
        <v>81</v>
      </c>
      <c r="J263" t="s">
        <v>36</v>
      </c>
      <c r="K263" t="s">
        <v>37</v>
      </c>
      <c r="L263">
        <v>6</v>
      </c>
      <c r="M263">
        <v>3717.72</v>
      </c>
      <c r="N263">
        <v>0.22</v>
      </c>
      <c r="O263">
        <v>17177.150000000001</v>
      </c>
      <c r="P263">
        <v>4949.58</v>
      </c>
      <c r="Q263">
        <v>62.81</v>
      </c>
      <c r="R263" t="s">
        <v>92</v>
      </c>
      <c r="S263">
        <v>2</v>
      </c>
      <c r="T263" t="b">
        <v>0</v>
      </c>
      <c r="U263" t="s">
        <v>30</v>
      </c>
      <c r="V263">
        <v>3</v>
      </c>
    </row>
    <row r="264" spans="1:22" x14ac:dyDescent="0.25">
      <c r="A264" t="s">
        <v>829</v>
      </c>
      <c r="B264" s="1">
        <v>43941</v>
      </c>
      <c r="C264" t="s">
        <v>830</v>
      </c>
      <c r="D264" t="s">
        <v>802</v>
      </c>
      <c r="E264">
        <v>26</v>
      </c>
      <c r="F264" t="str">
        <f>IF(Table1[[#This Row],[age]]&lt;=25,"18-25",IF(Table1[[#This Row],[age]]&lt;=35,"26-35",IF(Table1[[#This Row],[age]]&lt;=50,"36-50","51+")))</f>
        <v>26-35</v>
      </c>
      <c r="G264" t="s">
        <v>24</v>
      </c>
      <c r="H264" t="s">
        <v>61</v>
      </c>
      <c r="I264" t="s">
        <v>163</v>
      </c>
      <c r="J264" t="s">
        <v>36</v>
      </c>
      <c r="K264" t="s">
        <v>37</v>
      </c>
      <c r="L264">
        <v>1</v>
      </c>
      <c r="M264">
        <v>6470.7</v>
      </c>
      <c r="N264">
        <v>0.34</v>
      </c>
      <c r="O264">
        <v>4394.74</v>
      </c>
      <c r="P264">
        <v>1235.03</v>
      </c>
      <c r="Q264">
        <v>66.87</v>
      </c>
      <c r="R264" t="s">
        <v>92</v>
      </c>
      <c r="S264">
        <v>4</v>
      </c>
      <c r="T264" t="b">
        <v>0</v>
      </c>
      <c r="U264" t="s">
        <v>30</v>
      </c>
      <c r="V264">
        <v>7</v>
      </c>
    </row>
    <row r="265" spans="1:22" x14ac:dyDescent="0.25">
      <c r="A265" t="s">
        <v>831</v>
      </c>
      <c r="B265" s="1">
        <v>44464</v>
      </c>
      <c r="C265" t="s">
        <v>832</v>
      </c>
      <c r="D265" t="s">
        <v>833</v>
      </c>
      <c r="E265">
        <v>38</v>
      </c>
      <c r="F265" t="str">
        <f>IF(Table1[[#This Row],[age]]&lt;=25,"18-25",IF(Table1[[#This Row],[age]]&lt;=35,"26-35",IF(Table1[[#This Row],[age]]&lt;=50,"36-50","51+")))</f>
        <v>36-50</v>
      </c>
      <c r="G265" t="s">
        <v>54</v>
      </c>
      <c r="H265" t="s">
        <v>55</v>
      </c>
      <c r="I265" t="s">
        <v>75</v>
      </c>
      <c r="J265" t="s">
        <v>27</v>
      </c>
      <c r="K265" t="s">
        <v>168</v>
      </c>
      <c r="L265">
        <v>2</v>
      </c>
      <c r="M265">
        <v>1348.14</v>
      </c>
      <c r="N265">
        <v>0.25</v>
      </c>
      <c r="O265">
        <v>2363.6999999999998</v>
      </c>
      <c r="P265">
        <v>904.82</v>
      </c>
      <c r="Q265">
        <v>48.59</v>
      </c>
      <c r="R265" t="s">
        <v>65</v>
      </c>
      <c r="S265">
        <v>2</v>
      </c>
      <c r="T265" t="b">
        <v>0</v>
      </c>
      <c r="U265" t="s">
        <v>30</v>
      </c>
      <c r="V265">
        <v>5</v>
      </c>
    </row>
    <row r="266" spans="1:22" x14ac:dyDescent="0.25">
      <c r="A266" t="s">
        <v>834</v>
      </c>
      <c r="B266" s="1">
        <v>44717</v>
      </c>
      <c r="C266" t="s">
        <v>835</v>
      </c>
      <c r="D266" t="s">
        <v>702</v>
      </c>
      <c r="E266">
        <v>30</v>
      </c>
      <c r="F266" t="str">
        <f>IF(Table1[[#This Row],[age]]&lt;=25,"18-25",IF(Table1[[#This Row],[age]]&lt;=35,"26-35",IF(Table1[[#This Row],[age]]&lt;=50,"36-50","51+")))</f>
        <v>26-35</v>
      </c>
      <c r="G266" t="s">
        <v>54</v>
      </c>
      <c r="H266" t="s">
        <v>25</v>
      </c>
      <c r="I266" t="s">
        <v>35</v>
      </c>
      <c r="J266" t="s">
        <v>27</v>
      </c>
      <c r="K266" t="s">
        <v>28</v>
      </c>
      <c r="L266">
        <v>8</v>
      </c>
      <c r="M266">
        <v>2364.86</v>
      </c>
      <c r="N266">
        <v>0.15</v>
      </c>
      <c r="O266">
        <v>20195.66</v>
      </c>
      <c r="P266">
        <v>11817.43</v>
      </c>
      <c r="Q266">
        <v>58.27</v>
      </c>
      <c r="R266" t="s">
        <v>29</v>
      </c>
      <c r="S266">
        <v>5</v>
      </c>
      <c r="T266" t="b">
        <v>0</v>
      </c>
      <c r="U266" t="s">
        <v>30</v>
      </c>
      <c r="V266">
        <v>5</v>
      </c>
    </row>
    <row r="267" spans="1:22" x14ac:dyDescent="0.25">
      <c r="A267" t="s">
        <v>836</v>
      </c>
      <c r="B267" s="1">
        <v>43888</v>
      </c>
      <c r="C267" t="s">
        <v>837</v>
      </c>
      <c r="D267" t="s">
        <v>838</v>
      </c>
      <c r="E267">
        <v>40</v>
      </c>
      <c r="F267" t="str">
        <f>IF(Table1[[#This Row],[age]]&lt;=25,"18-25",IF(Table1[[#This Row],[age]]&lt;=35,"26-35",IF(Table1[[#This Row],[age]]&lt;=50,"36-50","51+")))</f>
        <v>36-50</v>
      </c>
      <c r="G267" t="s">
        <v>54</v>
      </c>
      <c r="H267" t="s">
        <v>69</v>
      </c>
      <c r="I267" t="s">
        <v>181</v>
      </c>
      <c r="J267" t="s">
        <v>101</v>
      </c>
      <c r="K267" t="s">
        <v>164</v>
      </c>
      <c r="L267">
        <v>1</v>
      </c>
      <c r="M267">
        <v>11227.96</v>
      </c>
      <c r="N267">
        <v>0.31</v>
      </c>
      <c r="O267">
        <v>6220.68</v>
      </c>
      <c r="P267">
        <v>1706.13</v>
      </c>
      <c r="Q267">
        <v>87.6</v>
      </c>
      <c r="R267" t="s">
        <v>92</v>
      </c>
      <c r="S267">
        <v>2</v>
      </c>
      <c r="T267" t="b">
        <v>0</v>
      </c>
      <c r="U267" t="s">
        <v>93</v>
      </c>
      <c r="V267">
        <v>3</v>
      </c>
    </row>
    <row r="268" spans="1:22" x14ac:dyDescent="0.25">
      <c r="A268" t="s">
        <v>839</v>
      </c>
      <c r="B268" s="1">
        <v>45143</v>
      </c>
      <c r="C268" t="s">
        <v>840</v>
      </c>
      <c r="D268" t="s">
        <v>324</v>
      </c>
      <c r="E268">
        <v>60</v>
      </c>
      <c r="F268" t="str">
        <f>IF(Table1[[#This Row],[age]]&lt;=25,"18-25",IF(Table1[[#This Row],[age]]&lt;=35,"26-35",IF(Table1[[#This Row],[age]]&lt;=50,"36-50","51+")))</f>
        <v>51+</v>
      </c>
      <c r="G268" t="s">
        <v>34</v>
      </c>
      <c r="H268" t="s">
        <v>25</v>
      </c>
      <c r="I268" t="s">
        <v>41</v>
      </c>
      <c r="J268" t="s">
        <v>101</v>
      </c>
      <c r="K268" t="s">
        <v>164</v>
      </c>
      <c r="L268">
        <v>3</v>
      </c>
      <c r="M268">
        <v>6247.18</v>
      </c>
      <c r="N268">
        <v>0.23</v>
      </c>
      <c r="O268">
        <v>19652.060000000001</v>
      </c>
      <c r="P268">
        <v>5128.8900000000003</v>
      </c>
      <c r="Q268">
        <v>52.48</v>
      </c>
      <c r="R268" t="s">
        <v>57</v>
      </c>
      <c r="S268">
        <v>4</v>
      </c>
      <c r="T268" t="b">
        <v>0</v>
      </c>
      <c r="U268" t="s">
        <v>30</v>
      </c>
      <c r="V268">
        <v>7</v>
      </c>
    </row>
    <row r="269" spans="1:22" x14ac:dyDescent="0.25">
      <c r="A269" t="s">
        <v>841</v>
      </c>
      <c r="B269" s="1">
        <v>45164</v>
      </c>
      <c r="C269" t="s">
        <v>842</v>
      </c>
      <c r="D269" t="s">
        <v>734</v>
      </c>
      <c r="E269">
        <v>35</v>
      </c>
      <c r="F269" t="str">
        <f>IF(Table1[[#This Row],[age]]&lt;=25,"18-25",IF(Table1[[#This Row],[age]]&lt;=35,"26-35",IF(Table1[[#This Row],[age]]&lt;=50,"36-50","51+")))</f>
        <v>26-35</v>
      </c>
      <c r="G269" t="s">
        <v>34</v>
      </c>
      <c r="H269" t="s">
        <v>25</v>
      </c>
      <c r="I269" t="s">
        <v>26</v>
      </c>
      <c r="J269" t="s">
        <v>115</v>
      </c>
      <c r="K269" t="s">
        <v>137</v>
      </c>
      <c r="L269">
        <v>1</v>
      </c>
      <c r="M269">
        <v>41296.1</v>
      </c>
      <c r="N269">
        <v>7.0000000000000007E-2</v>
      </c>
      <c r="O269">
        <v>53611.5</v>
      </c>
      <c r="P269">
        <v>4184.2299999999996</v>
      </c>
      <c r="Q269">
        <v>65.67</v>
      </c>
      <c r="R269" t="s">
        <v>57</v>
      </c>
      <c r="S269">
        <v>5</v>
      </c>
      <c r="T269" t="b">
        <v>0</v>
      </c>
      <c r="U269" t="s">
        <v>30</v>
      </c>
      <c r="V269">
        <v>5</v>
      </c>
    </row>
    <row r="270" spans="1:22" x14ac:dyDescent="0.25">
      <c r="A270" t="s">
        <v>843</v>
      </c>
      <c r="B270" s="1">
        <v>43956</v>
      </c>
      <c r="C270" t="s">
        <v>844</v>
      </c>
      <c r="D270" t="s">
        <v>671</v>
      </c>
      <c r="E270">
        <v>32</v>
      </c>
      <c r="F270" t="str">
        <f>IF(Table1[[#This Row],[age]]&lt;=25,"18-25",IF(Table1[[#This Row],[age]]&lt;=35,"26-35",IF(Table1[[#This Row],[age]]&lt;=50,"36-50","51+")))</f>
        <v>26-35</v>
      </c>
      <c r="G270" t="s">
        <v>54</v>
      </c>
      <c r="H270" t="s">
        <v>69</v>
      </c>
      <c r="I270" t="s">
        <v>70</v>
      </c>
      <c r="J270" t="s">
        <v>47</v>
      </c>
      <c r="K270" t="s">
        <v>156</v>
      </c>
      <c r="L270">
        <v>10</v>
      </c>
      <c r="M270">
        <v>1387.77</v>
      </c>
      <c r="N270">
        <v>0.03</v>
      </c>
      <c r="O270">
        <v>15244.18</v>
      </c>
      <c r="P270">
        <v>5378.75</v>
      </c>
      <c r="Q270">
        <v>88.89</v>
      </c>
      <c r="R270" t="s">
        <v>92</v>
      </c>
      <c r="S270">
        <v>4</v>
      </c>
      <c r="T270" t="b">
        <v>0</v>
      </c>
      <c r="U270" t="s">
        <v>30</v>
      </c>
      <c r="V270">
        <v>9</v>
      </c>
    </row>
    <row r="271" spans="1:22" x14ac:dyDescent="0.25">
      <c r="A271" t="s">
        <v>845</v>
      </c>
      <c r="B271" s="1">
        <v>44557</v>
      </c>
      <c r="C271" t="s">
        <v>846</v>
      </c>
      <c r="D271" t="s">
        <v>754</v>
      </c>
      <c r="E271">
        <v>48</v>
      </c>
      <c r="F271" t="str">
        <f>IF(Table1[[#This Row],[age]]&lt;=25,"18-25",IF(Table1[[#This Row],[age]]&lt;=35,"26-35",IF(Table1[[#This Row],[age]]&lt;=50,"36-50","51+")))</f>
        <v>36-50</v>
      </c>
      <c r="G271" t="s">
        <v>24</v>
      </c>
      <c r="H271" t="s">
        <v>80</v>
      </c>
      <c r="I271" t="s">
        <v>86</v>
      </c>
      <c r="J271" t="s">
        <v>63</v>
      </c>
      <c r="K271" t="s">
        <v>87</v>
      </c>
      <c r="L271">
        <v>10</v>
      </c>
      <c r="M271">
        <v>593.54999999999995</v>
      </c>
      <c r="N271">
        <v>0.18</v>
      </c>
      <c r="O271">
        <v>3624.78</v>
      </c>
      <c r="P271">
        <v>896.12</v>
      </c>
      <c r="Q271">
        <v>78</v>
      </c>
      <c r="R271" t="s">
        <v>29</v>
      </c>
      <c r="S271">
        <v>5</v>
      </c>
      <c r="T271" t="b">
        <v>0</v>
      </c>
      <c r="U271" t="s">
        <v>30</v>
      </c>
      <c r="V271">
        <v>9</v>
      </c>
    </row>
    <row r="272" spans="1:22" x14ac:dyDescent="0.25">
      <c r="A272" t="s">
        <v>847</v>
      </c>
      <c r="B272" s="1">
        <v>45118</v>
      </c>
      <c r="C272" t="s">
        <v>848</v>
      </c>
      <c r="D272" t="s">
        <v>849</v>
      </c>
      <c r="E272">
        <v>27</v>
      </c>
      <c r="F272" t="str">
        <f>IF(Table1[[#This Row],[age]]&lt;=25,"18-25",IF(Table1[[#This Row],[age]]&lt;=35,"26-35",IF(Table1[[#This Row],[age]]&lt;=50,"36-50","51+")))</f>
        <v>26-35</v>
      </c>
      <c r="G272" t="s">
        <v>24</v>
      </c>
      <c r="H272" t="s">
        <v>25</v>
      </c>
      <c r="I272" t="s">
        <v>298</v>
      </c>
      <c r="J272" t="s">
        <v>47</v>
      </c>
      <c r="K272" t="s">
        <v>204</v>
      </c>
      <c r="L272">
        <v>1</v>
      </c>
      <c r="M272">
        <v>623.96</v>
      </c>
      <c r="N272">
        <v>0.21</v>
      </c>
      <c r="O272">
        <v>778.16</v>
      </c>
      <c r="P272">
        <v>263.81</v>
      </c>
      <c r="Q272">
        <v>68.14</v>
      </c>
      <c r="R272" t="s">
        <v>49</v>
      </c>
      <c r="S272">
        <v>3</v>
      </c>
      <c r="T272" t="b">
        <v>0</v>
      </c>
      <c r="U272" t="s">
        <v>30</v>
      </c>
      <c r="V272">
        <v>6</v>
      </c>
    </row>
    <row r="273" spans="1:22" x14ac:dyDescent="0.25">
      <c r="A273" t="s">
        <v>850</v>
      </c>
      <c r="B273" s="1">
        <v>45184</v>
      </c>
      <c r="C273" t="s">
        <v>851</v>
      </c>
      <c r="D273" t="s">
        <v>527</v>
      </c>
      <c r="E273">
        <v>29</v>
      </c>
      <c r="F273" t="str">
        <f>IF(Table1[[#This Row],[age]]&lt;=25,"18-25",IF(Table1[[#This Row],[age]]&lt;=35,"26-35",IF(Table1[[#This Row],[age]]&lt;=50,"36-50","51+")))</f>
        <v>26-35</v>
      </c>
      <c r="G273" t="s">
        <v>54</v>
      </c>
      <c r="H273" t="s">
        <v>61</v>
      </c>
      <c r="I273" t="s">
        <v>141</v>
      </c>
      <c r="J273" t="s">
        <v>106</v>
      </c>
      <c r="K273" t="s">
        <v>247</v>
      </c>
      <c r="L273">
        <v>1</v>
      </c>
      <c r="M273">
        <v>394.11</v>
      </c>
      <c r="N273">
        <v>0.22</v>
      </c>
      <c r="O273">
        <v>414.31</v>
      </c>
      <c r="P273">
        <v>32.520000000000003</v>
      </c>
      <c r="Q273">
        <v>55.15</v>
      </c>
      <c r="R273" t="s">
        <v>65</v>
      </c>
      <c r="S273">
        <v>3</v>
      </c>
      <c r="T273" t="b">
        <v>0</v>
      </c>
      <c r="U273" t="s">
        <v>30</v>
      </c>
      <c r="V273">
        <v>2</v>
      </c>
    </row>
    <row r="274" spans="1:22" x14ac:dyDescent="0.25">
      <c r="A274" t="s">
        <v>852</v>
      </c>
      <c r="B274" s="1">
        <v>44355</v>
      </c>
      <c r="C274" t="s">
        <v>853</v>
      </c>
      <c r="D274" t="s">
        <v>854</v>
      </c>
      <c r="E274">
        <v>40</v>
      </c>
      <c r="F274" t="str">
        <f>IF(Table1[[#This Row],[age]]&lt;=25,"18-25",IF(Table1[[#This Row],[age]]&lt;=35,"26-35",IF(Table1[[#This Row],[age]]&lt;=50,"36-50","51+")))</f>
        <v>36-50</v>
      </c>
      <c r="G274" t="s">
        <v>24</v>
      </c>
      <c r="H274" t="s">
        <v>80</v>
      </c>
      <c r="I274" t="s">
        <v>236</v>
      </c>
      <c r="J274" t="s">
        <v>36</v>
      </c>
      <c r="K274" t="s">
        <v>37</v>
      </c>
      <c r="L274">
        <v>5</v>
      </c>
      <c r="M274">
        <v>23260.25</v>
      </c>
      <c r="N274">
        <v>0.33</v>
      </c>
      <c r="O274">
        <v>119013.87</v>
      </c>
      <c r="P274">
        <v>32585.16</v>
      </c>
      <c r="Q274">
        <v>74.55</v>
      </c>
      <c r="R274" t="s">
        <v>43</v>
      </c>
      <c r="S274">
        <v>5</v>
      </c>
      <c r="T274" t="b">
        <v>0</v>
      </c>
      <c r="U274" t="s">
        <v>30</v>
      </c>
      <c r="V274">
        <v>9</v>
      </c>
    </row>
    <row r="275" spans="1:22" x14ac:dyDescent="0.25">
      <c r="A275" t="s">
        <v>855</v>
      </c>
      <c r="B275" s="1">
        <v>44776</v>
      </c>
      <c r="C275" t="s">
        <v>856</v>
      </c>
      <c r="D275" t="s">
        <v>751</v>
      </c>
      <c r="E275">
        <v>45</v>
      </c>
      <c r="F275" t="str">
        <f>IF(Table1[[#This Row],[age]]&lt;=25,"18-25",IF(Table1[[#This Row],[age]]&lt;=35,"26-35",IF(Table1[[#This Row],[age]]&lt;=50,"36-50","51+")))</f>
        <v>36-50</v>
      </c>
      <c r="G275" t="s">
        <v>54</v>
      </c>
      <c r="H275" t="s">
        <v>61</v>
      </c>
      <c r="I275" t="s">
        <v>91</v>
      </c>
      <c r="J275" t="s">
        <v>63</v>
      </c>
      <c r="K275" t="s">
        <v>434</v>
      </c>
      <c r="L275">
        <v>1</v>
      </c>
      <c r="M275">
        <v>2503.3000000000002</v>
      </c>
      <c r="N275">
        <v>0.15</v>
      </c>
      <c r="O275">
        <v>2937.26</v>
      </c>
      <c r="P275">
        <v>723.88</v>
      </c>
      <c r="Q275">
        <v>47.55</v>
      </c>
      <c r="R275" t="s">
        <v>43</v>
      </c>
      <c r="S275">
        <v>2</v>
      </c>
      <c r="T275" t="b">
        <v>1</v>
      </c>
      <c r="U275" t="s">
        <v>50</v>
      </c>
      <c r="V275">
        <v>10</v>
      </c>
    </row>
    <row r="276" spans="1:22" x14ac:dyDescent="0.25">
      <c r="A276" t="s">
        <v>857</v>
      </c>
      <c r="B276" s="1">
        <v>44814</v>
      </c>
      <c r="C276" t="s">
        <v>858</v>
      </c>
      <c r="D276" t="s">
        <v>859</v>
      </c>
      <c r="E276">
        <v>61</v>
      </c>
      <c r="F276" t="str">
        <f>IF(Table1[[#This Row],[age]]&lt;=25,"18-25",IF(Table1[[#This Row],[age]]&lt;=35,"26-35",IF(Table1[[#This Row],[age]]&lt;=50,"36-50","51+")))</f>
        <v>51+</v>
      </c>
      <c r="G276" t="s">
        <v>34</v>
      </c>
      <c r="H276" t="s">
        <v>25</v>
      </c>
      <c r="I276" t="s">
        <v>35</v>
      </c>
      <c r="J276" t="s">
        <v>27</v>
      </c>
      <c r="K276" t="s">
        <v>192</v>
      </c>
      <c r="L276">
        <v>9</v>
      </c>
      <c r="M276">
        <v>1292.1600000000001</v>
      </c>
      <c r="N276">
        <v>0.22</v>
      </c>
      <c r="O276">
        <v>10154.82</v>
      </c>
      <c r="P276">
        <v>3046.85</v>
      </c>
      <c r="Q276">
        <v>70.59</v>
      </c>
      <c r="R276" t="s">
        <v>57</v>
      </c>
      <c r="S276">
        <v>2</v>
      </c>
      <c r="T276" t="b">
        <v>1</v>
      </c>
      <c r="U276" t="s">
        <v>50</v>
      </c>
      <c r="V276">
        <v>6</v>
      </c>
    </row>
    <row r="277" spans="1:22" x14ac:dyDescent="0.25">
      <c r="A277" t="s">
        <v>860</v>
      </c>
      <c r="B277" s="1">
        <v>44444</v>
      </c>
      <c r="C277" t="s">
        <v>861</v>
      </c>
      <c r="D277" t="s">
        <v>862</v>
      </c>
      <c r="E277">
        <v>40</v>
      </c>
      <c r="F277" t="str">
        <f>IF(Table1[[#This Row],[age]]&lt;=25,"18-25",IF(Table1[[#This Row],[age]]&lt;=35,"26-35",IF(Table1[[#This Row],[age]]&lt;=50,"36-50","51+")))</f>
        <v>36-50</v>
      </c>
      <c r="G277" t="s">
        <v>54</v>
      </c>
      <c r="H277" t="s">
        <v>69</v>
      </c>
      <c r="I277" t="s">
        <v>181</v>
      </c>
      <c r="J277" t="s">
        <v>115</v>
      </c>
      <c r="K277" t="s">
        <v>145</v>
      </c>
      <c r="L277">
        <v>10</v>
      </c>
      <c r="M277">
        <v>55908.72</v>
      </c>
      <c r="N277">
        <v>0.11</v>
      </c>
      <c r="O277">
        <v>627898.81000000006</v>
      </c>
      <c r="P277">
        <v>86690.85</v>
      </c>
      <c r="Q277">
        <v>75.650000000000006</v>
      </c>
      <c r="R277" t="s">
        <v>49</v>
      </c>
      <c r="S277">
        <v>5</v>
      </c>
      <c r="T277" t="b">
        <v>0</v>
      </c>
      <c r="U277" t="s">
        <v>93</v>
      </c>
      <c r="V277">
        <v>4</v>
      </c>
    </row>
    <row r="278" spans="1:22" x14ac:dyDescent="0.25">
      <c r="A278" t="s">
        <v>863</v>
      </c>
      <c r="B278" s="1">
        <v>44622</v>
      </c>
      <c r="C278" t="s">
        <v>864</v>
      </c>
      <c r="D278" t="s">
        <v>278</v>
      </c>
      <c r="E278">
        <v>57</v>
      </c>
      <c r="F278" t="str">
        <f>IF(Table1[[#This Row],[age]]&lt;=25,"18-25",IF(Table1[[#This Row],[age]]&lt;=35,"26-35",IF(Table1[[#This Row],[age]]&lt;=50,"36-50","51+")))</f>
        <v>51+</v>
      </c>
      <c r="G278" t="s">
        <v>54</v>
      </c>
      <c r="H278" t="s">
        <v>61</v>
      </c>
      <c r="I278" t="s">
        <v>141</v>
      </c>
      <c r="J278" t="s">
        <v>27</v>
      </c>
      <c r="K278" t="s">
        <v>168</v>
      </c>
      <c r="L278">
        <v>6</v>
      </c>
      <c r="M278">
        <v>583.99</v>
      </c>
      <c r="N278">
        <v>0.26</v>
      </c>
      <c r="O278">
        <v>2822.23</v>
      </c>
      <c r="P278">
        <v>1322.69</v>
      </c>
      <c r="Q278">
        <v>22.05</v>
      </c>
      <c r="R278" t="s">
        <v>57</v>
      </c>
      <c r="S278">
        <v>4</v>
      </c>
      <c r="T278" t="b">
        <v>0</v>
      </c>
      <c r="U278" t="s">
        <v>93</v>
      </c>
      <c r="V278">
        <v>6</v>
      </c>
    </row>
    <row r="279" spans="1:22" x14ac:dyDescent="0.25">
      <c r="A279" t="s">
        <v>865</v>
      </c>
      <c r="B279" s="1">
        <v>45050</v>
      </c>
      <c r="C279" t="s">
        <v>866</v>
      </c>
      <c r="D279" t="s">
        <v>404</v>
      </c>
      <c r="E279">
        <v>36</v>
      </c>
      <c r="F279" t="str">
        <f>IF(Table1[[#This Row],[age]]&lt;=25,"18-25",IF(Table1[[#This Row],[age]]&lt;=35,"26-35",IF(Table1[[#This Row],[age]]&lt;=50,"36-50","51+")))</f>
        <v>36-50</v>
      </c>
      <c r="G279" t="s">
        <v>54</v>
      </c>
      <c r="H279" t="s">
        <v>80</v>
      </c>
      <c r="I279" t="s">
        <v>86</v>
      </c>
      <c r="J279" t="s">
        <v>63</v>
      </c>
      <c r="K279" t="s">
        <v>64</v>
      </c>
      <c r="L279">
        <v>2</v>
      </c>
      <c r="M279">
        <v>3236.58</v>
      </c>
      <c r="N279">
        <v>0.04</v>
      </c>
      <c r="O279">
        <v>9893.9699999999993</v>
      </c>
      <c r="P279">
        <v>3171.49</v>
      </c>
      <c r="Q279">
        <v>71.87</v>
      </c>
      <c r="R279" t="s">
        <v>49</v>
      </c>
      <c r="S279">
        <v>1</v>
      </c>
      <c r="T279" t="b">
        <v>0</v>
      </c>
      <c r="U279" t="s">
        <v>30</v>
      </c>
      <c r="V279">
        <v>9</v>
      </c>
    </row>
    <row r="280" spans="1:22" x14ac:dyDescent="0.25">
      <c r="A280" t="s">
        <v>867</v>
      </c>
      <c r="B280" s="1">
        <v>43994</v>
      </c>
      <c r="C280" t="s">
        <v>868</v>
      </c>
      <c r="D280" t="s">
        <v>446</v>
      </c>
      <c r="E280">
        <v>25</v>
      </c>
      <c r="F280" t="str">
        <f>IF(Table1[[#This Row],[age]]&lt;=25,"18-25",IF(Table1[[#This Row],[age]]&lt;=35,"26-35",IF(Table1[[#This Row],[age]]&lt;=50,"36-50","51+")))</f>
        <v>18-25</v>
      </c>
      <c r="G280" t="s">
        <v>24</v>
      </c>
      <c r="H280" t="s">
        <v>61</v>
      </c>
      <c r="I280" t="s">
        <v>163</v>
      </c>
      <c r="J280" t="s">
        <v>63</v>
      </c>
      <c r="K280" t="s">
        <v>82</v>
      </c>
      <c r="L280">
        <v>10</v>
      </c>
      <c r="M280">
        <v>658.16</v>
      </c>
      <c r="N280">
        <v>0.25</v>
      </c>
      <c r="O280">
        <v>6367.6</v>
      </c>
      <c r="P280">
        <v>1841.64</v>
      </c>
      <c r="Q280">
        <v>63.58</v>
      </c>
      <c r="R280" t="s">
        <v>49</v>
      </c>
      <c r="S280">
        <v>1</v>
      </c>
      <c r="T280" t="b">
        <v>0</v>
      </c>
      <c r="U280" t="s">
        <v>30</v>
      </c>
      <c r="V280">
        <v>7</v>
      </c>
    </row>
    <row r="281" spans="1:22" x14ac:dyDescent="0.25">
      <c r="A281" t="s">
        <v>869</v>
      </c>
      <c r="B281" s="1">
        <v>45530</v>
      </c>
      <c r="C281" t="s">
        <v>870</v>
      </c>
      <c r="D281" t="s">
        <v>871</v>
      </c>
      <c r="E281">
        <v>35</v>
      </c>
      <c r="F281" t="str">
        <f>IF(Table1[[#This Row],[age]]&lt;=25,"18-25",IF(Table1[[#This Row],[age]]&lt;=35,"26-35",IF(Table1[[#This Row],[age]]&lt;=50,"36-50","51+")))</f>
        <v>26-35</v>
      </c>
      <c r="G281" t="s">
        <v>54</v>
      </c>
      <c r="H281" t="s">
        <v>69</v>
      </c>
      <c r="I281" t="s">
        <v>181</v>
      </c>
      <c r="J281" t="s">
        <v>47</v>
      </c>
      <c r="K281" t="s">
        <v>120</v>
      </c>
      <c r="L281">
        <v>2</v>
      </c>
      <c r="M281">
        <v>1157.8900000000001</v>
      </c>
      <c r="N281">
        <v>0.35</v>
      </c>
      <c r="O281">
        <v>2443.04</v>
      </c>
      <c r="P281">
        <v>649.16</v>
      </c>
      <c r="Q281">
        <v>56.27</v>
      </c>
      <c r="R281" t="s">
        <v>29</v>
      </c>
      <c r="S281">
        <v>1</v>
      </c>
      <c r="T281" t="b">
        <v>0</v>
      </c>
      <c r="U281" t="s">
        <v>30</v>
      </c>
      <c r="V281">
        <v>9</v>
      </c>
    </row>
    <row r="282" spans="1:22" x14ac:dyDescent="0.25">
      <c r="A282" t="s">
        <v>872</v>
      </c>
      <c r="B282" s="1">
        <v>44311</v>
      </c>
      <c r="C282" t="s">
        <v>873</v>
      </c>
      <c r="D282" t="s">
        <v>874</v>
      </c>
      <c r="E282">
        <v>63</v>
      </c>
      <c r="F282" t="str">
        <f>IF(Table1[[#This Row],[age]]&lt;=25,"18-25",IF(Table1[[#This Row],[age]]&lt;=35,"26-35",IF(Table1[[#This Row],[age]]&lt;=50,"36-50","51+")))</f>
        <v>51+</v>
      </c>
      <c r="G282" t="s">
        <v>34</v>
      </c>
      <c r="H282" t="s">
        <v>80</v>
      </c>
      <c r="I282" t="s">
        <v>236</v>
      </c>
      <c r="J282" t="s">
        <v>115</v>
      </c>
      <c r="K282" t="s">
        <v>197</v>
      </c>
      <c r="L282">
        <v>8</v>
      </c>
      <c r="M282">
        <v>28211.93</v>
      </c>
      <c r="N282">
        <v>0.33</v>
      </c>
      <c r="O282">
        <v>175402.71</v>
      </c>
      <c r="P282">
        <v>20772.79</v>
      </c>
      <c r="Q282">
        <v>61.29</v>
      </c>
      <c r="R282" t="s">
        <v>29</v>
      </c>
      <c r="S282">
        <v>5</v>
      </c>
      <c r="T282" t="b">
        <v>0</v>
      </c>
      <c r="U282" t="s">
        <v>30</v>
      </c>
      <c r="V282">
        <v>4</v>
      </c>
    </row>
    <row r="283" spans="1:22" x14ac:dyDescent="0.25">
      <c r="A283" t="s">
        <v>875</v>
      </c>
      <c r="B283" s="1">
        <v>45178</v>
      </c>
      <c r="C283" t="s">
        <v>876</v>
      </c>
      <c r="D283" t="s">
        <v>415</v>
      </c>
      <c r="E283">
        <v>30</v>
      </c>
      <c r="F283" t="str">
        <f>IF(Table1[[#This Row],[age]]&lt;=25,"18-25",IF(Table1[[#This Row],[age]]&lt;=35,"26-35",IF(Table1[[#This Row],[age]]&lt;=50,"36-50","51+")))</f>
        <v>26-35</v>
      </c>
      <c r="G283" t="s">
        <v>34</v>
      </c>
      <c r="H283" t="s">
        <v>69</v>
      </c>
      <c r="I283" t="s">
        <v>221</v>
      </c>
      <c r="J283" t="s">
        <v>36</v>
      </c>
      <c r="K283" t="s">
        <v>230</v>
      </c>
      <c r="L283">
        <v>9</v>
      </c>
      <c r="M283">
        <v>24481.84</v>
      </c>
      <c r="N283">
        <v>0.18</v>
      </c>
      <c r="O283">
        <v>236017.16</v>
      </c>
      <c r="P283">
        <v>68746.179999999993</v>
      </c>
      <c r="Q283">
        <v>92.95</v>
      </c>
      <c r="R283" t="s">
        <v>92</v>
      </c>
      <c r="S283">
        <v>3</v>
      </c>
      <c r="T283" t="b">
        <v>0</v>
      </c>
      <c r="U283" t="s">
        <v>193</v>
      </c>
      <c r="V283">
        <v>10</v>
      </c>
    </row>
    <row r="284" spans="1:22" x14ac:dyDescent="0.25">
      <c r="A284" t="s">
        <v>877</v>
      </c>
      <c r="B284" s="1">
        <v>44785</v>
      </c>
      <c r="C284" t="s">
        <v>878</v>
      </c>
      <c r="D284" t="s">
        <v>879</v>
      </c>
      <c r="E284">
        <v>30</v>
      </c>
      <c r="F284" t="str">
        <f>IF(Table1[[#This Row],[age]]&lt;=25,"18-25",IF(Table1[[#This Row],[age]]&lt;=35,"26-35",IF(Table1[[#This Row],[age]]&lt;=50,"36-50","51+")))</f>
        <v>26-35</v>
      </c>
      <c r="G284" t="s">
        <v>34</v>
      </c>
      <c r="H284" t="s">
        <v>61</v>
      </c>
      <c r="I284" t="s">
        <v>163</v>
      </c>
      <c r="J284" t="s">
        <v>101</v>
      </c>
      <c r="K284" t="s">
        <v>102</v>
      </c>
      <c r="L284">
        <v>7</v>
      </c>
      <c r="M284">
        <v>14759.38</v>
      </c>
      <c r="N284">
        <v>0</v>
      </c>
      <c r="O284">
        <v>128001.22</v>
      </c>
      <c r="P284">
        <v>25740.07</v>
      </c>
      <c r="Q284">
        <v>70.7</v>
      </c>
      <c r="R284" t="s">
        <v>92</v>
      </c>
      <c r="S284">
        <v>3</v>
      </c>
      <c r="T284" t="b">
        <v>0</v>
      </c>
      <c r="U284" t="s">
        <v>30</v>
      </c>
      <c r="V284">
        <v>7</v>
      </c>
    </row>
    <row r="285" spans="1:22" x14ac:dyDescent="0.25">
      <c r="A285" t="s">
        <v>880</v>
      </c>
      <c r="B285" s="1">
        <v>44319</v>
      </c>
      <c r="C285" t="s">
        <v>881</v>
      </c>
      <c r="D285" t="s">
        <v>649</v>
      </c>
      <c r="E285">
        <v>52</v>
      </c>
      <c r="F285" t="str">
        <f>IF(Table1[[#This Row],[age]]&lt;=25,"18-25",IF(Table1[[#This Row],[age]]&lt;=35,"26-35",IF(Table1[[#This Row],[age]]&lt;=50,"36-50","51+")))</f>
        <v>51+</v>
      </c>
      <c r="G285" t="s">
        <v>54</v>
      </c>
      <c r="H285" t="s">
        <v>69</v>
      </c>
      <c r="I285" t="s">
        <v>221</v>
      </c>
      <c r="J285" t="s">
        <v>27</v>
      </c>
      <c r="K285" t="s">
        <v>335</v>
      </c>
      <c r="L285">
        <v>2</v>
      </c>
      <c r="M285">
        <v>608.88</v>
      </c>
      <c r="N285">
        <v>0.23</v>
      </c>
      <c r="O285">
        <v>1272.71</v>
      </c>
      <c r="P285">
        <v>511.96</v>
      </c>
      <c r="Q285">
        <v>106.95</v>
      </c>
      <c r="R285" t="s">
        <v>65</v>
      </c>
      <c r="S285">
        <v>4</v>
      </c>
      <c r="T285" t="b">
        <v>1</v>
      </c>
      <c r="U285" t="s">
        <v>50</v>
      </c>
      <c r="V285">
        <v>4</v>
      </c>
    </row>
    <row r="286" spans="1:22" x14ac:dyDescent="0.25">
      <c r="A286" t="s">
        <v>882</v>
      </c>
      <c r="B286" s="1">
        <v>45391</v>
      </c>
      <c r="C286" t="s">
        <v>883</v>
      </c>
      <c r="D286" t="s">
        <v>884</v>
      </c>
      <c r="E286">
        <v>35</v>
      </c>
      <c r="F286" t="str">
        <f>IF(Table1[[#This Row],[age]]&lt;=25,"18-25",IF(Table1[[#This Row],[age]]&lt;=35,"26-35",IF(Table1[[#This Row],[age]]&lt;=50,"36-50","51+")))</f>
        <v>26-35</v>
      </c>
      <c r="G286" t="s">
        <v>34</v>
      </c>
      <c r="H286" t="s">
        <v>25</v>
      </c>
      <c r="I286" t="s">
        <v>35</v>
      </c>
      <c r="J286" t="s">
        <v>63</v>
      </c>
      <c r="K286" t="s">
        <v>87</v>
      </c>
      <c r="L286">
        <v>10</v>
      </c>
      <c r="M286">
        <v>1823.02</v>
      </c>
      <c r="N286">
        <v>0.19</v>
      </c>
      <c r="O286">
        <v>21680.07</v>
      </c>
      <c r="P286">
        <v>11667.37</v>
      </c>
      <c r="Q286">
        <v>63.11</v>
      </c>
      <c r="R286" t="s">
        <v>65</v>
      </c>
      <c r="S286">
        <v>5</v>
      </c>
      <c r="T286" t="b">
        <v>0</v>
      </c>
      <c r="U286" t="s">
        <v>30</v>
      </c>
      <c r="V286">
        <v>6</v>
      </c>
    </row>
    <row r="287" spans="1:22" x14ac:dyDescent="0.25">
      <c r="A287" t="s">
        <v>885</v>
      </c>
      <c r="B287" s="1">
        <v>44999</v>
      </c>
      <c r="C287" t="s">
        <v>886</v>
      </c>
      <c r="D287" t="s">
        <v>148</v>
      </c>
      <c r="E287">
        <v>42</v>
      </c>
      <c r="F287" t="str">
        <f>IF(Table1[[#This Row],[age]]&lt;=25,"18-25",IF(Table1[[#This Row],[age]]&lt;=35,"26-35",IF(Table1[[#This Row],[age]]&lt;=50,"36-50","51+")))</f>
        <v>36-50</v>
      </c>
      <c r="G287" t="s">
        <v>34</v>
      </c>
      <c r="H287" t="s">
        <v>25</v>
      </c>
      <c r="I287" t="s">
        <v>298</v>
      </c>
      <c r="J287" t="s">
        <v>115</v>
      </c>
      <c r="K287" t="s">
        <v>137</v>
      </c>
      <c r="L287">
        <v>2</v>
      </c>
      <c r="M287">
        <v>76935.789999999994</v>
      </c>
      <c r="N287">
        <v>0.01</v>
      </c>
      <c r="O287">
        <v>171768.97</v>
      </c>
      <c r="P287">
        <v>27234.01</v>
      </c>
      <c r="Q287">
        <v>63.96</v>
      </c>
      <c r="R287" t="s">
        <v>49</v>
      </c>
      <c r="S287">
        <v>1</v>
      </c>
      <c r="T287" t="b">
        <v>0</v>
      </c>
      <c r="U287" t="s">
        <v>30</v>
      </c>
      <c r="V287">
        <v>3</v>
      </c>
    </row>
    <row r="288" spans="1:22" x14ac:dyDescent="0.25">
      <c r="A288" t="s">
        <v>887</v>
      </c>
      <c r="B288" s="1">
        <v>44923</v>
      </c>
      <c r="C288" t="s">
        <v>888</v>
      </c>
      <c r="D288" t="s">
        <v>196</v>
      </c>
      <c r="E288">
        <v>30</v>
      </c>
      <c r="F288" t="str">
        <f>IF(Table1[[#This Row],[age]]&lt;=25,"18-25",IF(Table1[[#This Row],[age]]&lt;=35,"26-35",IF(Table1[[#This Row],[age]]&lt;=50,"36-50","51+")))</f>
        <v>26-35</v>
      </c>
      <c r="G288" t="s">
        <v>24</v>
      </c>
      <c r="H288" t="s">
        <v>25</v>
      </c>
      <c r="I288" t="s">
        <v>298</v>
      </c>
      <c r="J288" t="s">
        <v>47</v>
      </c>
      <c r="K288" t="s">
        <v>600</v>
      </c>
      <c r="L288">
        <v>5</v>
      </c>
      <c r="M288">
        <v>1103.75</v>
      </c>
      <c r="N288">
        <v>0.25</v>
      </c>
      <c r="O288">
        <v>3579.91</v>
      </c>
      <c r="P288">
        <v>1891.54</v>
      </c>
      <c r="Q288">
        <v>60.86</v>
      </c>
      <c r="R288" t="s">
        <v>49</v>
      </c>
      <c r="S288">
        <v>3</v>
      </c>
      <c r="T288" t="b">
        <v>0</v>
      </c>
      <c r="U288" t="s">
        <v>71</v>
      </c>
      <c r="V288">
        <v>1</v>
      </c>
    </row>
    <row r="289" spans="1:22" x14ac:dyDescent="0.25">
      <c r="A289" t="s">
        <v>889</v>
      </c>
      <c r="B289" s="1">
        <v>45015</v>
      </c>
      <c r="C289" t="s">
        <v>890</v>
      </c>
      <c r="D289" t="s">
        <v>564</v>
      </c>
      <c r="E289">
        <v>38</v>
      </c>
      <c r="F289" t="str">
        <f>IF(Table1[[#This Row],[age]]&lt;=25,"18-25",IF(Table1[[#This Row],[age]]&lt;=35,"26-35",IF(Table1[[#This Row],[age]]&lt;=50,"36-50","51+")))</f>
        <v>36-50</v>
      </c>
      <c r="G289" t="s">
        <v>24</v>
      </c>
      <c r="H289" t="s">
        <v>80</v>
      </c>
      <c r="I289" t="s">
        <v>242</v>
      </c>
      <c r="J289" t="s">
        <v>36</v>
      </c>
      <c r="K289" t="s">
        <v>243</v>
      </c>
      <c r="L289">
        <v>1</v>
      </c>
      <c r="M289">
        <v>7329.9</v>
      </c>
      <c r="N289">
        <v>0.35</v>
      </c>
      <c r="O289">
        <v>6777.56</v>
      </c>
      <c r="P289">
        <v>2396.7199999999998</v>
      </c>
      <c r="Q289">
        <v>101.29</v>
      </c>
      <c r="R289" t="s">
        <v>57</v>
      </c>
      <c r="S289">
        <v>5</v>
      </c>
      <c r="T289" t="b">
        <v>0</v>
      </c>
      <c r="U289" t="s">
        <v>93</v>
      </c>
      <c r="V289">
        <v>10</v>
      </c>
    </row>
    <row r="290" spans="1:22" x14ac:dyDescent="0.25">
      <c r="A290" t="s">
        <v>891</v>
      </c>
      <c r="B290" s="1">
        <v>44613</v>
      </c>
      <c r="C290" t="s">
        <v>892</v>
      </c>
      <c r="D290" t="s">
        <v>879</v>
      </c>
      <c r="E290">
        <v>46</v>
      </c>
      <c r="F290" t="str">
        <f>IF(Table1[[#This Row],[age]]&lt;=25,"18-25",IF(Table1[[#This Row],[age]]&lt;=35,"26-35",IF(Table1[[#This Row],[age]]&lt;=50,"36-50","51+")))</f>
        <v>36-50</v>
      </c>
      <c r="G290" t="s">
        <v>34</v>
      </c>
      <c r="H290" t="s">
        <v>55</v>
      </c>
      <c r="I290" t="s">
        <v>97</v>
      </c>
      <c r="J290" t="s">
        <v>47</v>
      </c>
      <c r="K290" t="s">
        <v>272</v>
      </c>
      <c r="L290">
        <v>4</v>
      </c>
      <c r="M290">
        <v>378.9</v>
      </c>
      <c r="N290">
        <v>0.39</v>
      </c>
      <c r="O290">
        <v>957.41</v>
      </c>
      <c r="P290">
        <v>235.48</v>
      </c>
      <c r="Q290">
        <v>29.15</v>
      </c>
      <c r="R290" t="s">
        <v>57</v>
      </c>
      <c r="S290">
        <v>5</v>
      </c>
      <c r="T290" t="b">
        <v>0</v>
      </c>
      <c r="U290" t="s">
        <v>30</v>
      </c>
      <c r="V290">
        <v>3</v>
      </c>
    </row>
    <row r="291" spans="1:22" x14ac:dyDescent="0.25">
      <c r="A291" t="s">
        <v>893</v>
      </c>
      <c r="B291" s="1">
        <v>45003</v>
      </c>
      <c r="C291" t="s">
        <v>894</v>
      </c>
      <c r="D291" t="s">
        <v>895</v>
      </c>
      <c r="E291">
        <v>28</v>
      </c>
      <c r="F291" t="str">
        <f>IF(Table1[[#This Row],[age]]&lt;=25,"18-25",IF(Table1[[#This Row],[age]]&lt;=35,"26-35",IF(Table1[[#This Row],[age]]&lt;=50,"36-50","51+")))</f>
        <v>26-35</v>
      </c>
      <c r="G291" t="s">
        <v>34</v>
      </c>
      <c r="H291" t="s">
        <v>55</v>
      </c>
      <c r="I291" t="s">
        <v>56</v>
      </c>
      <c r="J291" t="s">
        <v>47</v>
      </c>
      <c r="K291" t="s">
        <v>156</v>
      </c>
      <c r="L291">
        <v>4</v>
      </c>
      <c r="M291">
        <v>1221.1099999999999</v>
      </c>
      <c r="N291">
        <v>0.25</v>
      </c>
      <c r="O291">
        <v>5162.57</v>
      </c>
      <c r="P291">
        <v>1875.62</v>
      </c>
      <c r="Q291">
        <v>43.22</v>
      </c>
      <c r="R291" t="s">
        <v>43</v>
      </c>
      <c r="S291">
        <v>5</v>
      </c>
      <c r="T291" t="b">
        <v>0</v>
      </c>
      <c r="U291" t="s">
        <v>30</v>
      </c>
      <c r="V291">
        <v>5</v>
      </c>
    </row>
    <row r="292" spans="1:22" x14ac:dyDescent="0.25">
      <c r="A292" t="s">
        <v>896</v>
      </c>
      <c r="B292" s="1">
        <v>44135</v>
      </c>
      <c r="C292" t="s">
        <v>897</v>
      </c>
      <c r="D292" t="s">
        <v>611</v>
      </c>
      <c r="E292">
        <v>43</v>
      </c>
      <c r="F292" t="str">
        <f>IF(Table1[[#This Row],[age]]&lt;=25,"18-25",IF(Table1[[#This Row],[age]]&lt;=35,"26-35",IF(Table1[[#This Row],[age]]&lt;=50,"36-50","51+")))</f>
        <v>36-50</v>
      </c>
      <c r="G292" t="s">
        <v>34</v>
      </c>
      <c r="H292" t="s">
        <v>25</v>
      </c>
      <c r="I292" t="s">
        <v>35</v>
      </c>
      <c r="J292" t="s">
        <v>106</v>
      </c>
      <c r="K292" t="s">
        <v>107</v>
      </c>
      <c r="L292">
        <v>8</v>
      </c>
      <c r="M292">
        <v>347.71</v>
      </c>
      <c r="N292">
        <v>0.08</v>
      </c>
      <c r="O292">
        <v>2265.2800000000002</v>
      </c>
      <c r="P292">
        <v>178.59</v>
      </c>
      <c r="Q292">
        <v>64.88</v>
      </c>
      <c r="R292" t="s">
        <v>57</v>
      </c>
      <c r="S292">
        <v>5</v>
      </c>
      <c r="T292" t="b">
        <v>0</v>
      </c>
      <c r="U292" t="s">
        <v>30</v>
      </c>
      <c r="V292">
        <v>9</v>
      </c>
    </row>
    <row r="293" spans="1:22" x14ac:dyDescent="0.25">
      <c r="A293" t="s">
        <v>898</v>
      </c>
      <c r="B293" s="1">
        <v>45527</v>
      </c>
      <c r="C293" t="s">
        <v>899</v>
      </c>
      <c r="D293" t="s">
        <v>378</v>
      </c>
      <c r="E293">
        <v>31</v>
      </c>
      <c r="F293" t="str">
        <f>IF(Table1[[#This Row],[age]]&lt;=25,"18-25",IF(Table1[[#This Row],[age]]&lt;=35,"26-35",IF(Table1[[#This Row],[age]]&lt;=50,"36-50","51+")))</f>
        <v>26-35</v>
      </c>
      <c r="G293" t="s">
        <v>34</v>
      </c>
      <c r="H293" t="s">
        <v>80</v>
      </c>
      <c r="I293" t="s">
        <v>242</v>
      </c>
      <c r="J293" t="s">
        <v>101</v>
      </c>
      <c r="K293" t="s">
        <v>456</v>
      </c>
      <c r="L293">
        <v>6</v>
      </c>
      <c r="M293">
        <v>9574.41</v>
      </c>
      <c r="N293">
        <v>0.02</v>
      </c>
      <c r="O293">
        <v>81951.13</v>
      </c>
      <c r="P293">
        <v>15952.26</v>
      </c>
      <c r="Q293">
        <v>75.33</v>
      </c>
      <c r="R293" t="s">
        <v>43</v>
      </c>
      <c r="S293">
        <v>4</v>
      </c>
      <c r="T293" t="b">
        <v>0</v>
      </c>
      <c r="U293" t="s">
        <v>30</v>
      </c>
      <c r="V293">
        <v>6</v>
      </c>
    </row>
    <row r="294" spans="1:22" x14ac:dyDescent="0.25">
      <c r="A294" t="s">
        <v>900</v>
      </c>
      <c r="B294" s="1">
        <v>44597</v>
      </c>
      <c r="C294" t="s">
        <v>901</v>
      </c>
      <c r="D294" t="s">
        <v>304</v>
      </c>
      <c r="E294">
        <v>22</v>
      </c>
      <c r="F294" t="str">
        <f>IF(Table1[[#This Row],[age]]&lt;=25,"18-25",IF(Table1[[#This Row],[age]]&lt;=35,"26-35",IF(Table1[[#This Row],[age]]&lt;=50,"36-50","51+")))</f>
        <v>18-25</v>
      </c>
      <c r="G294" t="s">
        <v>24</v>
      </c>
      <c r="H294" t="s">
        <v>25</v>
      </c>
      <c r="I294" t="s">
        <v>41</v>
      </c>
      <c r="J294" t="s">
        <v>101</v>
      </c>
      <c r="K294" t="s">
        <v>102</v>
      </c>
      <c r="L294">
        <v>8</v>
      </c>
      <c r="M294">
        <v>11620.56</v>
      </c>
      <c r="N294">
        <v>0.18</v>
      </c>
      <c r="O294">
        <v>89828.71</v>
      </c>
      <c r="P294">
        <v>25898.31</v>
      </c>
      <c r="Q294">
        <v>50.64</v>
      </c>
      <c r="R294" t="s">
        <v>29</v>
      </c>
      <c r="S294">
        <v>4</v>
      </c>
      <c r="T294" t="b">
        <v>0</v>
      </c>
      <c r="U294" t="s">
        <v>30</v>
      </c>
      <c r="V294">
        <v>2</v>
      </c>
    </row>
    <row r="295" spans="1:22" x14ac:dyDescent="0.25">
      <c r="A295" t="s">
        <v>902</v>
      </c>
      <c r="B295" s="1">
        <v>45152</v>
      </c>
      <c r="C295" t="s">
        <v>903</v>
      </c>
      <c r="D295" t="s">
        <v>904</v>
      </c>
      <c r="E295">
        <v>39</v>
      </c>
      <c r="F295" t="str">
        <f>IF(Table1[[#This Row],[age]]&lt;=25,"18-25",IF(Table1[[#This Row],[age]]&lt;=35,"26-35",IF(Table1[[#This Row],[age]]&lt;=50,"36-50","51+")))</f>
        <v>36-50</v>
      </c>
      <c r="G295" t="s">
        <v>54</v>
      </c>
      <c r="H295" t="s">
        <v>69</v>
      </c>
      <c r="I295" t="s">
        <v>70</v>
      </c>
      <c r="J295" t="s">
        <v>115</v>
      </c>
      <c r="K295" t="s">
        <v>545</v>
      </c>
      <c r="L295">
        <v>1</v>
      </c>
      <c r="M295">
        <v>34885.370000000003</v>
      </c>
      <c r="N295">
        <v>0.1</v>
      </c>
      <c r="O295">
        <v>44683.38</v>
      </c>
      <c r="P295">
        <v>3420.51</v>
      </c>
      <c r="Q295">
        <v>85.38</v>
      </c>
      <c r="R295" t="s">
        <v>57</v>
      </c>
      <c r="S295">
        <v>4</v>
      </c>
      <c r="T295" t="b">
        <v>0</v>
      </c>
      <c r="U295" t="s">
        <v>93</v>
      </c>
      <c r="V295">
        <v>3</v>
      </c>
    </row>
    <row r="296" spans="1:22" x14ac:dyDescent="0.25">
      <c r="A296" t="s">
        <v>905</v>
      </c>
      <c r="B296" s="1">
        <v>45371</v>
      </c>
      <c r="C296" t="s">
        <v>906</v>
      </c>
      <c r="D296" t="s">
        <v>907</v>
      </c>
      <c r="E296">
        <v>60</v>
      </c>
      <c r="F296" t="str">
        <f>IF(Table1[[#This Row],[age]]&lt;=25,"18-25",IF(Table1[[#This Row],[age]]&lt;=35,"26-35",IF(Table1[[#This Row],[age]]&lt;=50,"36-50","51+")))</f>
        <v>51+</v>
      </c>
      <c r="G296" t="s">
        <v>34</v>
      </c>
      <c r="H296" t="s">
        <v>55</v>
      </c>
      <c r="I296" t="s">
        <v>97</v>
      </c>
      <c r="J296" t="s">
        <v>36</v>
      </c>
      <c r="K296" t="s">
        <v>42</v>
      </c>
      <c r="L296">
        <v>7</v>
      </c>
      <c r="M296">
        <v>28445.23</v>
      </c>
      <c r="N296">
        <v>0.28000000000000003</v>
      </c>
      <c r="O296">
        <v>189614.18</v>
      </c>
      <c r="P296">
        <v>42435.49</v>
      </c>
      <c r="Q296">
        <v>18.04</v>
      </c>
      <c r="R296" t="s">
        <v>65</v>
      </c>
      <c r="S296">
        <v>2</v>
      </c>
      <c r="T296" t="b">
        <v>0</v>
      </c>
      <c r="U296" t="s">
        <v>71</v>
      </c>
      <c r="V296">
        <v>10</v>
      </c>
    </row>
    <row r="297" spans="1:22" x14ac:dyDescent="0.25">
      <c r="A297" t="s">
        <v>908</v>
      </c>
      <c r="B297" s="1">
        <v>45046</v>
      </c>
      <c r="C297" t="s">
        <v>909</v>
      </c>
      <c r="D297" t="s">
        <v>910</v>
      </c>
      <c r="E297">
        <v>28</v>
      </c>
      <c r="F297" t="str">
        <f>IF(Table1[[#This Row],[age]]&lt;=25,"18-25",IF(Table1[[#This Row],[age]]&lt;=35,"26-35",IF(Table1[[#This Row],[age]]&lt;=50,"36-50","51+")))</f>
        <v>26-35</v>
      </c>
      <c r="G297" t="s">
        <v>54</v>
      </c>
      <c r="H297" t="s">
        <v>25</v>
      </c>
      <c r="I297" t="s">
        <v>26</v>
      </c>
      <c r="J297" t="s">
        <v>115</v>
      </c>
      <c r="K297" t="s">
        <v>398</v>
      </c>
      <c r="L297">
        <v>6</v>
      </c>
      <c r="M297">
        <v>64360.23</v>
      </c>
      <c r="N297">
        <v>0.32</v>
      </c>
      <c r="O297">
        <v>385580.53</v>
      </c>
      <c r="P297">
        <v>28776.57</v>
      </c>
      <c r="Q297">
        <v>55.31</v>
      </c>
      <c r="R297" t="s">
        <v>29</v>
      </c>
      <c r="S297">
        <v>1</v>
      </c>
      <c r="T297" t="b">
        <v>0</v>
      </c>
      <c r="U297" t="s">
        <v>30</v>
      </c>
      <c r="V297">
        <v>1</v>
      </c>
    </row>
    <row r="298" spans="1:22" x14ac:dyDescent="0.25">
      <c r="A298" t="s">
        <v>911</v>
      </c>
      <c r="B298" s="1">
        <v>45228</v>
      </c>
      <c r="C298" t="s">
        <v>912</v>
      </c>
      <c r="D298" t="s">
        <v>310</v>
      </c>
      <c r="E298">
        <v>50</v>
      </c>
      <c r="F298" t="str">
        <f>IF(Table1[[#This Row],[age]]&lt;=25,"18-25",IF(Table1[[#This Row],[age]]&lt;=35,"26-35",IF(Table1[[#This Row],[age]]&lt;=50,"36-50","51+")))</f>
        <v>36-50</v>
      </c>
      <c r="G298" t="s">
        <v>24</v>
      </c>
      <c r="H298" t="s">
        <v>80</v>
      </c>
      <c r="I298" t="s">
        <v>236</v>
      </c>
      <c r="J298" t="s">
        <v>27</v>
      </c>
      <c r="K298" t="s">
        <v>28</v>
      </c>
      <c r="L298">
        <v>2</v>
      </c>
      <c r="M298">
        <v>1820.95</v>
      </c>
      <c r="N298">
        <v>0.15</v>
      </c>
      <c r="O298">
        <v>2961.7</v>
      </c>
      <c r="P298">
        <v>1317.61</v>
      </c>
      <c r="Q298">
        <v>69.89</v>
      </c>
      <c r="R298" t="s">
        <v>92</v>
      </c>
      <c r="S298">
        <v>4</v>
      </c>
      <c r="T298" t="b">
        <v>0</v>
      </c>
      <c r="U298" t="s">
        <v>30</v>
      </c>
      <c r="V298">
        <v>5</v>
      </c>
    </row>
    <row r="299" spans="1:22" x14ac:dyDescent="0.25">
      <c r="A299" t="s">
        <v>913</v>
      </c>
      <c r="B299" s="1">
        <v>44986</v>
      </c>
      <c r="C299" t="s">
        <v>914</v>
      </c>
      <c r="D299" t="s">
        <v>135</v>
      </c>
      <c r="E299">
        <v>29</v>
      </c>
      <c r="F299" t="str">
        <f>IF(Table1[[#This Row],[age]]&lt;=25,"18-25",IF(Table1[[#This Row],[age]]&lt;=35,"26-35",IF(Table1[[#This Row],[age]]&lt;=50,"36-50","51+")))</f>
        <v>26-35</v>
      </c>
      <c r="G299" t="s">
        <v>54</v>
      </c>
      <c r="H299" t="s">
        <v>69</v>
      </c>
      <c r="I299" t="s">
        <v>181</v>
      </c>
      <c r="J299" t="s">
        <v>115</v>
      </c>
      <c r="K299" t="s">
        <v>137</v>
      </c>
      <c r="L299">
        <v>6</v>
      </c>
      <c r="M299">
        <v>78301.55</v>
      </c>
      <c r="N299">
        <v>0.24</v>
      </c>
      <c r="O299">
        <v>446345.61</v>
      </c>
      <c r="P299">
        <v>61437.599999999999</v>
      </c>
      <c r="Q299">
        <v>87.28</v>
      </c>
      <c r="R299" t="s">
        <v>43</v>
      </c>
      <c r="S299">
        <v>4</v>
      </c>
      <c r="T299" t="b">
        <v>0</v>
      </c>
      <c r="U299" t="s">
        <v>30</v>
      </c>
      <c r="V299">
        <v>7</v>
      </c>
    </row>
    <row r="300" spans="1:22" x14ac:dyDescent="0.25">
      <c r="A300" t="s">
        <v>915</v>
      </c>
      <c r="B300" s="1">
        <v>43932</v>
      </c>
      <c r="C300" t="s">
        <v>916</v>
      </c>
      <c r="D300" t="s">
        <v>708</v>
      </c>
      <c r="E300">
        <v>36</v>
      </c>
      <c r="F300" t="str">
        <f>IF(Table1[[#This Row],[age]]&lt;=25,"18-25",IF(Table1[[#This Row],[age]]&lt;=35,"26-35",IF(Table1[[#This Row],[age]]&lt;=50,"36-50","51+")))</f>
        <v>36-50</v>
      </c>
      <c r="G300" t="s">
        <v>34</v>
      </c>
      <c r="H300" t="s">
        <v>55</v>
      </c>
      <c r="I300" t="s">
        <v>97</v>
      </c>
      <c r="J300" t="s">
        <v>27</v>
      </c>
      <c r="K300" t="s">
        <v>335</v>
      </c>
      <c r="L300">
        <v>4</v>
      </c>
      <c r="M300">
        <v>171.85</v>
      </c>
      <c r="N300">
        <v>0.03</v>
      </c>
      <c r="O300">
        <v>902.31</v>
      </c>
      <c r="P300">
        <v>591.14</v>
      </c>
      <c r="Q300">
        <v>34.270000000000003</v>
      </c>
      <c r="R300" t="s">
        <v>29</v>
      </c>
      <c r="S300">
        <v>3</v>
      </c>
      <c r="T300" t="b">
        <v>0</v>
      </c>
      <c r="U300" t="s">
        <v>93</v>
      </c>
      <c r="V300">
        <v>8</v>
      </c>
    </row>
    <row r="301" spans="1:22" x14ac:dyDescent="0.25">
      <c r="A301" t="s">
        <v>917</v>
      </c>
      <c r="B301" s="1">
        <v>44062</v>
      </c>
      <c r="C301" t="s">
        <v>918</v>
      </c>
      <c r="D301" t="s">
        <v>217</v>
      </c>
      <c r="E301">
        <v>49</v>
      </c>
      <c r="F301" t="str">
        <f>IF(Table1[[#This Row],[age]]&lt;=25,"18-25",IF(Table1[[#This Row],[age]]&lt;=35,"26-35",IF(Table1[[#This Row],[age]]&lt;=50,"36-50","51+")))</f>
        <v>36-50</v>
      </c>
      <c r="G301" t="s">
        <v>54</v>
      </c>
      <c r="H301" t="s">
        <v>80</v>
      </c>
      <c r="I301" t="s">
        <v>236</v>
      </c>
      <c r="J301" t="s">
        <v>36</v>
      </c>
      <c r="K301" t="s">
        <v>230</v>
      </c>
      <c r="L301">
        <v>3</v>
      </c>
      <c r="M301">
        <v>28093.41</v>
      </c>
      <c r="N301">
        <v>0.11</v>
      </c>
      <c r="O301">
        <v>80865.399999999994</v>
      </c>
      <c r="P301">
        <v>14166.32</v>
      </c>
      <c r="Q301">
        <v>69.8</v>
      </c>
      <c r="R301" t="s">
        <v>92</v>
      </c>
      <c r="S301">
        <v>3</v>
      </c>
      <c r="T301" t="b">
        <v>1</v>
      </c>
      <c r="U301" t="s">
        <v>50</v>
      </c>
      <c r="V301">
        <v>3</v>
      </c>
    </row>
    <row r="302" spans="1:22" x14ac:dyDescent="0.25">
      <c r="A302" t="s">
        <v>919</v>
      </c>
      <c r="B302" s="1">
        <v>45482</v>
      </c>
      <c r="C302" t="s">
        <v>920</v>
      </c>
      <c r="D302" t="s">
        <v>499</v>
      </c>
      <c r="E302">
        <v>30</v>
      </c>
      <c r="F302" t="str">
        <f>IF(Table1[[#This Row],[age]]&lt;=25,"18-25",IF(Table1[[#This Row],[age]]&lt;=35,"26-35",IF(Table1[[#This Row],[age]]&lt;=50,"36-50","51+")))</f>
        <v>26-35</v>
      </c>
      <c r="G302" t="s">
        <v>24</v>
      </c>
      <c r="H302" t="s">
        <v>61</v>
      </c>
      <c r="I302" t="s">
        <v>141</v>
      </c>
      <c r="J302" t="s">
        <v>115</v>
      </c>
      <c r="K302" t="s">
        <v>137</v>
      </c>
      <c r="L302">
        <v>3</v>
      </c>
      <c r="M302">
        <v>39483.93</v>
      </c>
      <c r="N302">
        <v>0.01</v>
      </c>
      <c r="O302">
        <v>188221.16</v>
      </c>
      <c r="P302">
        <v>17116.650000000001</v>
      </c>
      <c r="Q302">
        <v>68.56</v>
      </c>
      <c r="R302" t="s">
        <v>65</v>
      </c>
      <c r="S302">
        <v>3</v>
      </c>
      <c r="T302" t="b">
        <v>1</v>
      </c>
      <c r="U302" t="s">
        <v>50</v>
      </c>
      <c r="V302">
        <v>2</v>
      </c>
    </row>
    <row r="303" spans="1:22" x14ac:dyDescent="0.25">
      <c r="A303" t="s">
        <v>921</v>
      </c>
      <c r="B303" s="1">
        <v>45211</v>
      </c>
      <c r="C303" t="s">
        <v>922</v>
      </c>
      <c r="D303" t="s">
        <v>923</v>
      </c>
      <c r="E303">
        <v>30</v>
      </c>
      <c r="F303" t="str">
        <f>IF(Table1[[#This Row],[age]]&lt;=25,"18-25",IF(Table1[[#This Row],[age]]&lt;=35,"26-35",IF(Table1[[#This Row],[age]]&lt;=50,"36-50","51+")))</f>
        <v>26-35</v>
      </c>
      <c r="G303" t="s">
        <v>24</v>
      </c>
      <c r="H303" t="s">
        <v>61</v>
      </c>
      <c r="I303" t="s">
        <v>163</v>
      </c>
      <c r="J303" t="s">
        <v>106</v>
      </c>
      <c r="K303" t="s">
        <v>107</v>
      </c>
      <c r="L303">
        <v>9</v>
      </c>
      <c r="M303">
        <v>407.05</v>
      </c>
      <c r="N303">
        <v>0.3</v>
      </c>
      <c r="O303">
        <v>1997.66</v>
      </c>
      <c r="P303">
        <v>139.6</v>
      </c>
      <c r="Q303">
        <v>72.88</v>
      </c>
      <c r="R303" t="s">
        <v>92</v>
      </c>
      <c r="S303">
        <v>4</v>
      </c>
      <c r="T303" t="b">
        <v>0</v>
      </c>
      <c r="U303" t="s">
        <v>71</v>
      </c>
      <c r="V303">
        <v>6</v>
      </c>
    </row>
    <row r="304" spans="1:22" x14ac:dyDescent="0.25">
      <c r="A304" t="s">
        <v>924</v>
      </c>
      <c r="B304" s="1">
        <v>45520</v>
      </c>
      <c r="C304" t="s">
        <v>925</v>
      </c>
      <c r="D304" t="s">
        <v>384</v>
      </c>
      <c r="E304">
        <v>46</v>
      </c>
      <c r="F304" t="str">
        <f>IF(Table1[[#This Row],[age]]&lt;=25,"18-25",IF(Table1[[#This Row],[age]]&lt;=35,"26-35",IF(Table1[[#This Row],[age]]&lt;=50,"36-50","51+")))</f>
        <v>36-50</v>
      </c>
      <c r="G304" t="s">
        <v>54</v>
      </c>
      <c r="H304" t="s">
        <v>55</v>
      </c>
      <c r="I304" t="s">
        <v>97</v>
      </c>
      <c r="J304" t="s">
        <v>101</v>
      </c>
      <c r="K304" t="s">
        <v>456</v>
      </c>
      <c r="L304">
        <v>9</v>
      </c>
      <c r="M304">
        <v>3110.88</v>
      </c>
      <c r="N304">
        <v>0.28000000000000003</v>
      </c>
      <c r="O304">
        <v>29090.53</v>
      </c>
      <c r="P304">
        <v>4498.07</v>
      </c>
      <c r="Q304">
        <v>43.42</v>
      </c>
      <c r="R304" t="s">
        <v>43</v>
      </c>
      <c r="S304">
        <v>2</v>
      </c>
      <c r="T304" t="b">
        <v>0</v>
      </c>
      <c r="U304" t="s">
        <v>30</v>
      </c>
      <c r="V304">
        <v>8</v>
      </c>
    </row>
    <row r="305" spans="1:22" x14ac:dyDescent="0.25">
      <c r="A305" t="s">
        <v>926</v>
      </c>
      <c r="B305" s="1">
        <v>44966</v>
      </c>
      <c r="C305" t="s">
        <v>927</v>
      </c>
      <c r="D305" t="s">
        <v>140</v>
      </c>
      <c r="E305">
        <v>18</v>
      </c>
      <c r="F305" t="str">
        <f>IF(Table1[[#This Row],[age]]&lt;=25,"18-25",IF(Table1[[#This Row],[age]]&lt;=35,"26-35",IF(Table1[[#This Row],[age]]&lt;=50,"36-50","51+")))</f>
        <v>18-25</v>
      </c>
      <c r="G305" t="s">
        <v>24</v>
      </c>
      <c r="H305" t="s">
        <v>61</v>
      </c>
      <c r="I305" t="s">
        <v>91</v>
      </c>
      <c r="J305" t="s">
        <v>101</v>
      </c>
      <c r="K305" t="s">
        <v>456</v>
      </c>
      <c r="L305">
        <v>1</v>
      </c>
      <c r="M305">
        <v>12495.08</v>
      </c>
      <c r="N305">
        <v>0.27</v>
      </c>
      <c r="O305">
        <v>9249.06</v>
      </c>
      <c r="P305">
        <v>1686.4</v>
      </c>
      <c r="Q305">
        <v>55.06</v>
      </c>
      <c r="R305" t="s">
        <v>57</v>
      </c>
      <c r="S305">
        <v>5</v>
      </c>
      <c r="T305" t="b">
        <v>0</v>
      </c>
      <c r="U305" t="s">
        <v>30</v>
      </c>
      <c r="V305">
        <v>9</v>
      </c>
    </row>
    <row r="306" spans="1:22" x14ac:dyDescent="0.25">
      <c r="A306" t="s">
        <v>928</v>
      </c>
      <c r="B306" s="1">
        <v>45640</v>
      </c>
      <c r="C306" t="s">
        <v>929</v>
      </c>
      <c r="D306" t="s">
        <v>505</v>
      </c>
      <c r="E306">
        <v>46</v>
      </c>
      <c r="F306" t="str">
        <f>IF(Table1[[#This Row],[age]]&lt;=25,"18-25",IF(Table1[[#This Row],[age]]&lt;=35,"26-35",IF(Table1[[#This Row],[age]]&lt;=50,"36-50","51+")))</f>
        <v>36-50</v>
      </c>
      <c r="G306" t="s">
        <v>34</v>
      </c>
      <c r="H306" t="s">
        <v>61</v>
      </c>
      <c r="I306" t="s">
        <v>62</v>
      </c>
      <c r="J306" t="s">
        <v>36</v>
      </c>
      <c r="K306" t="s">
        <v>243</v>
      </c>
      <c r="L306">
        <v>1</v>
      </c>
      <c r="M306">
        <v>9449.94</v>
      </c>
      <c r="N306">
        <v>0.15</v>
      </c>
      <c r="O306">
        <v>7223.61</v>
      </c>
      <c r="P306">
        <v>2224.5100000000002</v>
      </c>
      <c r="Q306">
        <v>32.57</v>
      </c>
      <c r="R306" t="s">
        <v>65</v>
      </c>
      <c r="S306">
        <v>1</v>
      </c>
      <c r="T306" t="b">
        <v>1</v>
      </c>
      <c r="U306" t="s">
        <v>50</v>
      </c>
      <c r="V306">
        <v>2</v>
      </c>
    </row>
    <row r="307" spans="1:22" x14ac:dyDescent="0.25">
      <c r="A307" t="s">
        <v>930</v>
      </c>
      <c r="B307" s="1">
        <v>44313</v>
      </c>
      <c r="C307" t="s">
        <v>931</v>
      </c>
      <c r="D307" t="s">
        <v>932</v>
      </c>
      <c r="E307">
        <v>35</v>
      </c>
      <c r="F307" t="str">
        <f>IF(Table1[[#This Row],[age]]&lt;=25,"18-25",IF(Table1[[#This Row],[age]]&lt;=35,"26-35",IF(Table1[[#This Row],[age]]&lt;=50,"36-50","51+")))</f>
        <v>26-35</v>
      </c>
      <c r="G307" t="s">
        <v>24</v>
      </c>
      <c r="H307" t="s">
        <v>55</v>
      </c>
      <c r="I307" t="s">
        <v>56</v>
      </c>
      <c r="J307" t="s">
        <v>115</v>
      </c>
      <c r="K307" t="s">
        <v>137</v>
      </c>
      <c r="L307">
        <v>8</v>
      </c>
      <c r="M307">
        <v>30314.74</v>
      </c>
      <c r="N307">
        <v>0.06</v>
      </c>
      <c r="O307">
        <v>283224.55</v>
      </c>
      <c r="P307">
        <v>33093.14</v>
      </c>
      <c r="Q307">
        <v>68.75</v>
      </c>
      <c r="R307" t="s">
        <v>57</v>
      </c>
      <c r="S307">
        <v>1</v>
      </c>
      <c r="T307" t="b">
        <v>1</v>
      </c>
      <c r="U307" t="s">
        <v>50</v>
      </c>
      <c r="V307">
        <v>9</v>
      </c>
    </row>
    <row r="308" spans="1:22" x14ac:dyDescent="0.25">
      <c r="A308" t="s">
        <v>933</v>
      </c>
      <c r="B308" s="1">
        <v>44126</v>
      </c>
      <c r="C308" t="s">
        <v>934</v>
      </c>
      <c r="D308" t="s">
        <v>23</v>
      </c>
      <c r="E308">
        <v>26</v>
      </c>
      <c r="F308" t="str">
        <f>IF(Table1[[#This Row],[age]]&lt;=25,"18-25",IF(Table1[[#This Row],[age]]&lt;=35,"26-35",IF(Table1[[#This Row],[age]]&lt;=50,"36-50","51+")))</f>
        <v>26-35</v>
      </c>
      <c r="G308" t="s">
        <v>34</v>
      </c>
      <c r="H308" t="s">
        <v>80</v>
      </c>
      <c r="I308" t="s">
        <v>236</v>
      </c>
      <c r="J308" t="s">
        <v>101</v>
      </c>
      <c r="K308" t="s">
        <v>214</v>
      </c>
      <c r="L308">
        <v>1</v>
      </c>
      <c r="M308">
        <v>12380.73</v>
      </c>
      <c r="N308">
        <v>0.24</v>
      </c>
      <c r="O308">
        <v>8294.2999999999993</v>
      </c>
      <c r="P308">
        <v>2144.64</v>
      </c>
      <c r="Q308">
        <v>80.23</v>
      </c>
      <c r="R308" t="s">
        <v>57</v>
      </c>
      <c r="S308">
        <v>4</v>
      </c>
      <c r="T308" t="b">
        <v>0</v>
      </c>
      <c r="U308" t="s">
        <v>71</v>
      </c>
      <c r="V308">
        <v>5</v>
      </c>
    </row>
    <row r="309" spans="1:22" x14ac:dyDescent="0.25">
      <c r="A309" t="s">
        <v>935</v>
      </c>
      <c r="B309" s="1">
        <v>45343</v>
      </c>
      <c r="C309" t="s">
        <v>936</v>
      </c>
      <c r="D309" t="s">
        <v>937</v>
      </c>
      <c r="E309">
        <v>30</v>
      </c>
      <c r="F309" t="str">
        <f>IF(Table1[[#This Row],[age]]&lt;=25,"18-25",IF(Table1[[#This Row],[age]]&lt;=35,"26-35",IF(Table1[[#This Row],[age]]&lt;=50,"36-50","51+")))</f>
        <v>26-35</v>
      </c>
      <c r="G309" t="s">
        <v>34</v>
      </c>
      <c r="H309" t="s">
        <v>80</v>
      </c>
      <c r="I309" t="s">
        <v>242</v>
      </c>
      <c r="J309" t="s">
        <v>115</v>
      </c>
      <c r="K309" t="s">
        <v>137</v>
      </c>
      <c r="L309">
        <v>3</v>
      </c>
      <c r="M309">
        <v>50121.13</v>
      </c>
      <c r="N309">
        <v>0.25</v>
      </c>
      <c r="O309">
        <v>130268.18</v>
      </c>
      <c r="P309">
        <v>18524</v>
      </c>
      <c r="Q309">
        <v>68.489999999999995</v>
      </c>
      <c r="R309" t="s">
        <v>29</v>
      </c>
      <c r="S309">
        <v>5</v>
      </c>
      <c r="T309" t="b">
        <v>0</v>
      </c>
      <c r="U309" t="s">
        <v>71</v>
      </c>
      <c r="V309">
        <v>4</v>
      </c>
    </row>
    <row r="310" spans="1:22" x14ac:dyDescent="0.25">
      <c r="A310" t="s">
        <v>938</v>
      </c>
      <c r="B310" s="1">
        <v>45133</v>
      </c>
      <c r="C310" t="s">
        <v>939</v>
      </c>
      <c r="D310" t="s">
        <v>812</v>
      </c>
      <c r="E310">
        <v>35</v>
      </c>
      <c r="F310" t="str">
        <f>IF(Table1[[#This Row],[age]]&lt;=25,"18-25",IF(Table1[[#This Row],[age]]&lt;=35,"26-35",IF(Table1[[#This Row],[age]]&lt;=50,"36-50","51+")))</f>
        <v>26-35</v>
      </c>
      <c r="G310" t="s">
        <v>34</v>
      </c>
      <c r="H310" t="s">
        <v>61</v>
      </c>
      <c r="I310" t="s">
        <v>141</v>
      </c>
      <c r="J310" t="s">
        <v>101</v>
      </c>
      <c r="K310" t="s">
        <v>164</v>
      </c>
      <c r="L310">
        <v>5</v>
      </c>
      <c r="M310">
        <v>1956.54</v>
      </c>
      <c r="N310">
        <v>0.2</v>
      </c>
      <c r="O310">
        <v>10411.35</v>
      </c>
      <c r="P310">
        <v>2723.2</v>
      </c>
      <c r="Q310">
        <v>60.98</v>
      </c>
      <c r="R310" t="s">
        <v>65</v>
      </c>
      <c r="S310">
        <v>3</v>
      </c>
      <c r="T310" t="b">
        <v>0</v>
      </c>
      <c r="U310" t="s">
        <v>30</v>
      </c>
      <c r="V310">
        <v>3</v>
      </c>
    </row>
    <row r="311" spans="1:22" x14ac:dyDescent="0.25">
      <c r="A311" t="s">
        <v>940</v>
      </c>
      <c r="B311" s="1">
        <v>45360</v>
      </c>
      <c r="C311" t="s">
        <v>941</v>
      </c>
      <c r="D311" t="s">
        <v>751</v>
      </c>
      <c r="E311">
        <v>28</v>
      </c>
      <c r="F311" t="str">
        <f>IF(Table1[[#This Row],[age]]&lt;=25,"18-25",IF(Table1[[#This Row],[age]]&lt;=35,"26-35",IF(Table1[[#This Row],[age]]&lt;=50,"36-50","51+")))</f>
        <v>26-35</v>
      </c>
      <c r="G311" t="s">
        <v>34</v>
      </c>
      <c r="H311" t="s">
        <v>61</v>
      </c>
      <c r="I311" t="s">
        <v>163</v>
      </c>
      <c r="J311" t="s">
        <v>115</v>
      </c>
      <c r="K311" t="s">
        <v>116</v>
      </c>
      <c r="L311">
        <v>5</v>
      </c>
      <c r="M311">
        <v>35958.57</v>
      </c>
      <c r="N311">
        <v>0.23</v>
      </c>
      <c r="O311">
        <v>180888.8</v>
      </c>
      <c r="P311">
        <v>18318.66</v>
      </c>
      <c r="Q311">
        <v>45.69</v>
      </c>
      <c r="R311" t="s">
        <v>65</v>
      </c>
      <c r="S311">
        <v>1</v>
      </c>
      <c r="T311" t="b">
        <v>0</v>
      </c>
      <c r="U311" t="s">
        <v>30</v>
      </c>
      <c r="V311">
        <v>6</v>
      </c>
    </row>
    <row r="312" spans="1:22" x14ac:dyDescent="0.25">
      <c r="A312" t="s">
        <v>942</v>
      </c>
      <c r="B312" s="1">
        <v>44600</v>
      </c>
      <c r="C312" t="s">
        <v>943</v>
      </c>
      <c r="D312" t="s">
        <v>944</v>
      </c>
      <c r="E312">
        <v>65</v>
      </c>
      <c r="F312" t="str">
        <f>IF(Table1[[#This Row],[age]]&lt;=25,"18-25",IF(Table1[[#This Row],[age]]&lt;=35,"26-35",IF(Table1[[#This Row],[age]]&lt;=50,"36-50","51+")))</f>
        <v>51+</v>
      </c>
      <c r="G312" t="s">
        <v>24</v>
      </c>
      <c r="H312" t="s">
        <v>61</v>
      </c>
      <c r="I312" t="s">
        <v>141</v>
      </c>
      <c r="J312" t="s">
        <v>106</v>
      </c>
      <c r="K312" t="s">
        <v>331</v>
      </c>
      <c r="L312">
        <v>10</v>
      </c>
      <c r="M312">
        <v>299.20999999999998</v>
      </c>
      <c r="N312">
        <v>0.19</v>
      </c>
      <c r="O312">
        <v>2491.46</v>
      </c>
      <c r="P312">
        <v>268.35000000000002</v>
      </c>
      <c r="Q312">
        <v>16.739999999999998</v>
      </c>
      <c r="R312" t="s">
        <v>92</v>
      </c>
      <c r="S312">
        <v>3</v>
      </c>
      <c r="T312" t="b">
        <v>0</v>
      </c>
      <c r="U312" t="s">
        <v>30</v>
      </c>
      <c r="V312">
        <v>9</v>
      </c>
    </row>
    <row r="313" spans="1:22" x14ac:dyDescent="0.25">
      <c r="A313" t="s">
        <v>945</v>
      </c>
      <c r="B313" s="1">
        <v>44839</v>
      </c>
      <c r="C313" t="s">
        <v>946</v>
      </c>
      <c r="D313" t="s">
        <v>947</v>
      </c>
      <c r="E313">
        <v>44</v>
      </c>
      <c r="F313" t="str">
        <f>IF(Table1[[#This Row],[age]]&lt;=25,"18-25",IF(Table1[[#This Row],[age]]&lt;=35,"26-35",IF(Table1[[#This Row],[age]]&lt;=50,"36-50","51+")))</f>
        <v>36-50</v>
      </c>
      <c r="G313" t="s">
        <v>34</v>
      </c>
      <c r="H313" t="s">
        <v>55</v>
      </c>
      <c r="I313" t="s">
        <v>114</v>
      </c>
      <c r="J313" t="s">
        <v>36</v>
      </c>
      <c r="K313" t="s">
        <v>132</v>
      </c>
      <c r="L313">
        <v>8</v>
      </c>
      <c r="M313">
        <v>32195.15</v>
      </c>
      <c r="N313">
        <v>0.25</v>
      </c>
      <c r="O313">
        <v>191258.73</v>
      </c>
      <c r="P313">
        <v>53878.3</v>
      </c>
      <c r="Q313">
        <v>67.87</v>
      </c>
      <c r="R313" t="s">
        <v>49</v>
      </c>
      <c r="S313">
        <v>2</v>
      </c>
      <c r="T313" t="b">
        <v>0</v>
      </c>
      <c r="U313" t="s">
        <v>30</v>
      </c>
      <c r="V313">
        <v>4</v>
      </c>
    </row>
    <row r="314" spans="1:22" x14ac:dyDescent="0.25">
      <c r="A314" t="s">
        <v>948</v>
      </c>
      <c r="B314" s="1">
        <v>44852</v>
      </c>
      <c r="C314" t="s">
        <v>949</v>
      </c>
      <c r="D314" t="s">
        <v>838</v>
      </c>
      <c r="E314">
        <v>51</v>
      </c>
      <c r="F314" t="str">
        <f>IF(Table1[[#This Row],[age]]&lt;=25,"18-25",IF(Table1[[#This Row],[age]]&lt;=35,"26-35",IF(Table1[[#This Row],[age]]&lt;=50,"36-50","51+")))</f>
        <v>51+</v>
      </c>
      <c r="G314" t="s">
        <v>54</v>
      </c>
      <c r="H314" t="s">
        <v>61</v>
      </c>
      <c r="I314" t="s">
        <v>62</v>
      </c>
      <c r="J314" t="s">
        <v>101</v>
      </c>
      <c r="K314" t="s">
        <v>102</v>
      </c>
      <c r="L314">
        <v>10</v>
      </c>
      <c r="M314">
        <v>14562.6</v>
      </c>
      <c r="N314">
        <v>0.31</v>
      </c>
      <c r="O314">
        <v>86000.34</v>
      </c>
      <c r="P314">
        <v>18267.52</v>
      </c>
      <c r="Q314">
        <v>33.549999999999997</v>
      </c>
      <c r="R314" t="s">
        <v>49</v>
      </c>
      <c r="S314">
        <v>5</v>
      </c>
      <c r="T314" t="b">
        <v>0</v>
      </c>
      <c r="U314" t="s">
        <v>30</v>
      </c>
      <c r="V314">
        <v>4</v>
      </c>
    </row>
    <row r="315" spans="1:22" x14ac:dyDescent="0.25">
      <c r="A315" t="s">
        <v>950</v>
      </c>
      <c r="B315" s="1">
        <v>43873</v>
      </c>
      <c r="C315" t="s">
        <v>951</v>
      </c>
      <c r="D315" t="s">
        <v>621</v>
      </c>
      <c r="E315">
        <v>39</v>
      </c>
      <c r="F315" t="str">
        <f>IF(Table1[[#This Row],[age]]&lt;=25,"18-25",IF(Table1[[#This Row],[age]]&lt;=35,"26-35",IF(Table1[[#This Row],[age]]&lt;=50,"36-50","51+")))</f>
        <v>36-50</v>
      </c>
      <c r="G315" t="s">
        <v>54</v>
      </c>
      <c r="H315" t="s">
        <v>80</v>
      </c>
      <c r="I315" t="s">
        <v>242</v>
      </c>
      <c r="J315" t="s">
        <v>27</v>
      </c>
      <c r="K315" t="s">
        <v>128</v>
      </c>
      <c r="L315">
        <v>6</v>
      </c>
      <c r="M315">
        <v>1270.3599999999999</v>
      </c>
      <c r="N315">
        <v>0.06</v>
      </c>
      <c r="O315">
        <v>5747.77</v>
      </c>
      <c r="P315">
        <v>2669</v>
      </c>
      <c r="Q315">
        <v>62.46</v>
      </c>
      <c r="R315" t="s">
        <v>43</v>
      </c>
      <c r="S315">
        <v>3</v>
      </c>
      <c r="T315" t="b">
        <v>0</v>
      </c>
      <c r="U315" t="s">
        <v>30</v>
      </c>
      <c r="V315">
        <v>8</v>
      </c>
    </row>
    <row r="316" spans="1:22" x14ac:dyDescent="0.25">
      <c r="A316" t="s">
        <v>952</v>
      </c>
      <c r="B316" s="1">
        <v>44529</v>
      </c>
      <c r="C316" t="s">
        <v>953</v>
      </c>
      <c r="D316" t="s">
        <v>797</v>
      </c>
      <c r="E316">
        <v>54</v>
      </c>
      <c r="F316" t="str">
        <f>IF(Table1[[#This Row],[age]]&lt;=25,"18-25",IF(Table1[[#This Row],[age]]&lt;=35,"26-35",IF(Table1[[#This Row],[age]]&lt;=50,"36-50","51+")))</f>
        <v>51+</v>
      </c>
      <c r="G316" t="s">
        <v>34</v>
      </c>
      <c r="H316" t="s">
        <v>80</v>
      </c>
      <c r="I316" t="s">
        <v>81</v>
      </c>
      <c r="J316" t="s">
        <v>47</v>
      </c>
      <c r="K316" t="s">
        <v>204</v>
      </c>
      <c r="L316">
        <v>3</v>
      </c>
      <c r="M316">
        <v>789.1</v>
      </c>
      <c r="N316">
        <v>0.18</v>
      </c>
      <c r="O316">
        <v>1449.86</v>
      </c>
      <c r="P316">
        <v>562.04</v>
      </c>
      <c r="Q316">
        <v>72.430000000000007</v>
      </c>
      <c r="R316" t="s">
        <v>65</v>
      </c>
      <c r="S316">
        <v>3</v>
      </c>
      <c r="T316" t="b">
        <v>0</v>
      </c>
      <c r="U316" t="s">
        <v>71</v>
      </c>
      <c r="V316">
        <v>2</v>
      </c>
    </row>
    <row r="317" spans="1:22" x14ac:dyDescent="0.25">
      <c r="A317" t="s">
        <v>954</v>
      </c>
      <c r="B317" s="1">
        <v>44195</v>
      </c>
      <c r="C317" t="s">
        <v>955</v>
      </c>
      <c r="D317" t="s">
        <v>956</v>
      </c>
      <c r="E317">
        <v>33</v>
      </c>
      <c r="F317" t="str">
        <f>IF(Table1[[#This Row],[age]]&lt;=25,"18-25",IF(Table1[[#This Row],[age]]&lt;=35,"26-35",IF(Table1[[#This Row],[age]]&lt;=50,"36-50","51+")))</f>
        <v>26-35</v>
      </c>
      <c r="G317" t="s">
        <v>34</v>
      </c>
      <c r="H317" t="s">
        <v>69</v>
      </c>
      <c r="I317" t="s">
        <v>70</v>
      </c>
      <c r="J317" t="s">
        <v>115</v>
      </c>
      <c r="K317" t="s">
        <v>145</v>
      </c>
      <c r="L317">
        <v>7</v>
      </c>
      <c r="M317">
        <v>56504.32</v>
      </c>
      <c r="N317">
        <v>0.3</v>
      </c>
      <c r="O317">
        <v>197546.47</v>
      </c>
      <c r="P317">
        <v>21532.46</v>
      </c>
      <c r="Q317">
        <v>53.78</v>
      </c>
      <c r="R317" t="s">
        <v>49</v>
      </c>
      <c r="S317">
        <v>5</v>
      </c>
      <c r="T317" t="b">
        <v>0</v>
      </c>
      <c r="U317" t="s">
        <v>30</v>
      </c>
      <c r="V317">
        <v>1</v>
      </c>
    </row>
    <row r="318" spans="1:22" x14ac:dyDescent="0.25">
      <c r="A318" t="s">
        <v>957</v>
      </c>
      <c r="B318" s="1">
        <v>44862</v>
      </c>
      <c r="C318" t="s">
        <v>958</v>
      </c>
      <c r="D318" t="s">
        <v>959</v>
      </c>
      <c r="E318">
        <v>36</v>
      </c>
      <c r="F318" t="str">
        <f>IF(Table1[[#This Row],[age]]&lt;=25,"18-25",IF(Table1[[#This Row],[age]]&lt;=35,"26-35",IF(Table1[[#This Row],[age]]&lt;=50,"36-50","51+")))</f>
        <v>36-50</v>
      </c>
      <c r="G318" t="s">
        <v>54</v>
      </c>
      <c r="H318" t="s">
        <v>61</v>
      </c>
      <c r="I318" t="s">
        <v>163</v>
      </c>
      <c r="J318" t="s">
        <v>115</v>
      </c>
      <c r="K318" t="s">
        <v>145</v>
      </c>
      <c r="L318">
        <v>6</v>
      </c>
      <c r="M318">
        <v>6441.62</v>
      </c>
      <c r="N318">
        <v>0.27</v>
      </c>
      <c r="O318">
        <v>31528.73</v>
      </c>
      <c r="P318">
        <v>5997.64</v>
      </c>
      <c r="Q318">
        <v>53.2</v>
      </c>
      <c r="R318" t="s">
        <v>43</v>
      </c>
      <c r="S318">
        <v>3</v>
      </c>
      <c r="T318" t="b">
        <v>0</v>
      </c>
      <c r="U318" t="s">
        <v>71</v>
      </c>
      <c r="V318">
        <v>8</v>
      </c>
    </row>
    <row r="319" spans="1:22" x14ac:dyDescent="0.25">
      <c r="A319" t="s">
        <v>960</v>
      </c>
      <c r="B319" s="1">
        <v>44653</v>
      </c>
      <c r="C319" t="s">
        <v>961</v>
      </c>
      <c r="D319" t="s">
        <v>767</v>
      </c>
      <c r="E319">
        <v>39</v>
      </c>
      <c r="F319" t="str">
        <f>IF(Table1[[#This Row],[age]]&lt;=25,"18-25",IF(Table1[[#This Row],[age]]&lt;=35,"26-35",IF(Table1[[#This Row],[age]]&lt;=50,"36-50","51+")))</f>
        <v>36-50</v>
      </c>
      <c r="G319" t="s">
        <v>34</v>
      </c>
      <c r="H319" t="s">
        <v>25</v>
      </c>
      <c r="I319" t="s">
        <v>41</v>
      </c>
      <c r="J319" t="s">
        <v>106</v>
      </c>
      <c r="K319" t="s">
        <v>247</v>
      </c>
      <c r="L319">
        <v>3</v>
      </c>
      <c r="M319">
        <v>475.6</v>
      </c>
      <c r="N319">
        <v>0.18</v>
      </c>
      <c r="O319">
        <v>1586.7</v>
      </c>
      <c r="P319">
        <v>154.07</v>
      </c>
      <c r="Q319">
        <v>65.63</v>
      </c>
      <c r="R319" t="s">
        <v>57</v>
      </c>
      <c r="S319">
        <v>1</v>
      </c>
      <c r="T319" t="b">
        <v>0</v>
      </c>
      <c r="U319" t="s">
        <v>93</v>
      </c>
      <c r="V319">
        <v>10</v>
      </c>
    </row>
    <row r="320" spans="1:22" x14ac:dyDescent="0.25">
      <c r="A320" t="s">
        <v>962</v>
      </c>
      <c r="B320" s="1">
        <v>45581</v>
      </c>
      <c r="C320" t="s">
        <v>963</v>
      </c>
      <c r="D320" t="s">
        <v>964</v>
      </c>
      <c r="E320">
        <v>40</v>
      </c>
      <c r="F320" t="str">
        <f>IF(Table1[[#This Row],[age]]&lt;=25,"18-25",IF(Table1[[#This Row],[age]]&lt;=35,"26-35",IF(Table1[[#This Row],[age]]&lt;=50,"36-50","51+")))</f>
        <v>36-50</v>
      </c>
      <c r="G320" t="s">
        <v>34</v>
      </c>
      <c r="H320" t="s">
        <v>55</v>
      </c>
      <c r="I320" t="s">
        <v>56</v>
      </c>
      <c r="J320" t="s">
        <v>36</v>
      </c>
      <c r="K320" t="s">
        <v>243</v>
      </c>
      <c r="L320">
        <v>2</v>
      </c>
      <c r="M320">
        <v>8590.5300000000007</v>
      </c>
      <c r="N320">
        <v>0.23</v>
      </c>
      <c r="O320">
        <v>12705.04</v>
      </c>
      <c r="P320">
        <v>3529.2</v>
      </c>
      <c r="Q320">
        <v>40.590000000000003</v>
      </c>
      <c r="R320" t="s">
        <v>57</v>
      </c>
      <c r="S320">
        <v>5</v>
      </c>
      <c r="T320" t="b">
        <v>0</v>
      </c>
      <c r="U320" t="s">
        <v>30</v>
      </c>
      <c r="V320">
        <v>6</v>
      </c>
    </row>
    <row r="321" spans="1:22" x14ac:dyDescent="0.25">
      <c r="A321" t="s">
        <v>965</v>
      </c>
      <c r="B321" s="1">
        <v>45592</v>
      </c>
      <c r="C321" t="s">
        <v>966</v>
      </c>
      <c r="D321" t="s">
        <v>967</v>
      </c>
      <c r="E321">
        <v>18</v>
      </c>
      <c r="F321" t="str">
        <f>IF(Table1[[#This Row],[age]]&lt;=25,"18-25",IF(Table1[[#This Row],[age]]&lt;=35,"26-35",IF(Table1[[#This Row],[age]]&lt;=50,"36-50","51+")))</f>
        <v>18-25</v>
      </c>
      <c r="G321" t="s">
        <v>54</v>
      </c>
      <c r="H321" t="s">
        <v>61</v>
      </c>
      <c r="I321" t="s">
        <v>163</v>
      </c>
      <c r="J321" t="s">
        <v>36</v>
      </c>
      <c r="K321" t="s">
        <v>42</v>
      </c>
      <c r="L321">
        <v>1</v>
      </c>
      <c r="M321">
        <v>14589.01</v>
      </c>
      <c r="N321">
        <v>0.2</v>
      </c>
      <c r="O321">
        <v>13208.25</v>
      </c>
      <c r="P321">
        <v>3174.45</v>
      </c>
      <c r="Q321">
        <v>52.97</v>
      </c>
      <c r="R321" t="s">
        <v>57</v>
      </c>
      <c r="S321">
        <v>3</v>
      </c>
      <c r="T321" t="b">
        <v>0</v>
      </c>
      <c r="U321" t="s">
        <v>30</v>
      </c>
      <c r="V321">
        <v>1</v>
      </c>
    </row>
    <row r="322" spans="1:22" x14ac:dyDescent="0.25">
      <c r="A322" t="s">
        <v>968</v>
      </c>
      <c r="B322" s="1">
        <v>44984</v>
      </c>
      <c r="C322" t="s">
        <v>969</v>
      </c>
      <c r="D322" t="s">
        <v>970</v>
      </c>
      <c r="E322">
        <v>32</v>
      </c>
      <c r="F322" t="str">
        <f>IF(Table1[[#This Row],[age]]&lt;=25,"18-25",IF(Table1[[#This Row],[age]]&lt;=35,"26-35",IF(Table1[[#This Row],[age]]&lt;=50,"36-50","51+")))</f>
        <v>26-35</v>
      </c>
      <c r="G322" t="s">
        <v>54</v>
      </c>
      <c r="H322" t="s">
        <v>69</v>
      </c>
      <c r="I322" t="s">
        <v>221</v>
      </c>
      <c r="J322" t="s">
        <v>47</v>
      </c>
      <c r="K322" t="s">
        <v>204</v>
      </c>
      <c r="L322">
        <v>2</v>
      </c>
      <c r="M322">
        <v>484.9</v>
      </c>
      <c r="N322">
        <v>0.1</v>
      </c>
      <c r="O322">
        <v>1040.24</v>
      </c>
      <c r="P322">
        <v>423.7</v>
      </c>
      <c r="Q322">
        <v>69.41</v>
      </c>
      <c r="R322" t="s">
        <v>92</v>
      </c>
      <c r="S322">
        <v>1</v>
      </c>
      <c r="T322" t="b">
        <v>0</v>
      </c>
      <c r="U322" t="s">
        <v>30</v>
      </c>
      <c r="V322">
        <v>10</v>
      </c>
    </row>
    <row r="323" spans="1:22" x14ac:dyDescent="0.25">
      <c r="A323" t="s">
        <v>971</v>
      </c>
      <c r="B323" s="1">
        <v>44471</v>
      </c>
      <c r="C323" t="s">
        <v>972</v>
      </c>
      <c r="D323" t="s">
        <v>723</v>
      </c>
      <c r="E323">
        <v>24</v>
      </c>
      <c r="F323" t="str">
        <f>IF(Table1[[#This Row],[age]]&lt;=25,"18-25",IF(Table1[[#This Row],[age]]&lt;=35,"26-35",IF(Table1[[#This Row],[age]]&lt;=50,"36-50","51+")))</f>
        <v>18-25</v>
      </c>
      <c r="G323" t="s">
        <v>34</v>
      </c>
      <c r="H323" t="s">
        <v>80</v>
      </c>
      <c r="I323" t="s">
        <v>81</v>
      </c>
      <c r="J323" t="s">
        <v>115</v>
      </c>
      <c r="K323" t="s">
        <v>116</v>
      </c>
      <c r="L323">
        <v>10</v>
      </c>
      <c r="M323">
        <v>23157.51</v>
      </c>
      <c r="N323">
        <v>0.12</v>
      </c>
      <c r="O323">
        <v>176221.6</v>
      </c>
      <c r="P323">
        <v>21453.69</v>
      </c>
      <c r="Q323">
        <v>53.6</v>
      </c>
      <c r="R323" t="s">
        <v>92</v>
      </c>
      <c r="S323">
        <v>3</v>
      </c>
      <c r="T323" t="b">
        <v>0</v>
      </c>
      <c r="U323" t="s">
        <v>30</v>
      </c>
      <c r="V323">
        <v>4</v>
      </c>
    </row>
    <row r="324" spans="1:22" x14ac:dyDescent="0.25">
      <c r="A324" t="s">
        <v>973</v>
      </c>
      <c r="B324" s="1">
        <v>44996</v>
      </c>
      <c r="C324" t="s">
        <v>974</v>
      </c>
      <c r="D324" t="s">
        <v>649</v>
      </c>
      <c r="E324">
        <v>42</v>
      </c>
      <c r="F324" t="str">
        <f>IF(Table1[[#This Row],[age]]&lt;=25,"18-25",IF(Table1[[#This Row],[age]]&lt;=35,"26-35",IF(Table1[[#This Row],[age]]&lt;=50,"36-50","51+")))</f>
        <v>36-50</v>
      </c>
      <c r="G324" t="s">
        <v>24</v>
      </c>
      <c r="H324" t="s">
        <v>80</v>
      </c>
      <c r="I324" t="s">
        <v>236</v>
      </c>
      <c r="J324" t="s">
        <v>63</v>
      </c>
      <c r="K324" t="s">
        <v>87</v>
      </c>
      <c r="L324">
        <v>8</v>
      </c>
      <c r="M324">
        <v>570.17999999999995</v>
      </c>
      <c r="N324">
        <v>0.04</v>
      </c>
      <c r="O324">
        <v>5294.75</v>
      </c>
      <c r="P324">
        <v>1738.46</v>
      </c>
      <c r="Q324">
        <v>56.28</v>
      </c>
      <c r="R324" t="s">
        <v>57</v>
      </c>
      <c r="S324">
        <v>2</v>
      </c>
      <c r="T324" t="b">
        <v>0</v>
      </c>
      <c r="U324" t="s">
        <v>30</v>
      </c>
      <c r="V324">
        <v>4</v>
      </c>
    </row>
    <row r="325" spans="1:22" x14ac:dyDescent="0.25">
      <c r="A325" t="s">
        <v>975</v>
      </c>
      <c r="B325" s="1">
        <v>44971</v>
      </c>
      <c r="C325" t="s">
        <v>976</v>
      </c>
      <c r="D325" t="s">
        <v>977</v>
      </c>
      <c r="E325">
        <v>33</v>
      </c>
      <c r="F325" t="str">
        <f>IF(Table1[[#This Row],[age]]&lt;=25,"18-25",IF(Table1[[#This Row],[age]]&lt;=35,"26-35",IF(Table1[[#This Row],[age]]&lt;=50,"36-50","51+")))</f>
        <v>26-35</v>
      </c>
      <c r="G325" t="s">
        <v>54</v>
      </c>
      <c r="H325" t="s">
        <v>61</v>
      </c>
      <c r="I325" t="s">
        <v>163</v>
      </c>
      <c r="J325" t="s">
        <v>115</v>
      </c>
      <c r="K325" t="s">
        <v>116</v>
      </c>
      <c r="L325">
        <v>9</v>
      </c>
      <c r="M325">
        <v>41854.410000000003</v>
      </c>
      <c r="N325">
        <v>0.33</v>
      </c>
      <c r="O325">
        <v>247342.73</v>
      </c>
      <c r="P325">
        <v>30449.06</v>
      </c>
      <c r="Q325">
        <v>42.16</v>
      </c>
      <c r="R325" t="s">
        <v>29</v>
      </c>
      <c r="S325">
        <v>2</v>
      </c>
      <c r="T325" t="b">
        <v>0</v>
      </c>
      <c r="U325" t="s">
        <v>30</v>
      </c>
      <c r="V325">
        <v>8</v>
      </c>
    </row>
    <row r="326" spans="1:22" x14ac:dyDescent="0.25">
      <c r="A326" t="s">
        <v>978</v>
      </c>
      <c r="B326" s="1">
        <v>44667</v>
      </c>
      <c r="C326" t="s">
        <v>979</v>
      </c>
      <c r="D326" t="s">
        <v>381</v>
      </c>
      <c r="E326">
        <v>39</v>
      </c>
      <c r="F326" t="str">
        <f>IF(Table1[[#This Row],[age]]&lt;=25,"18-25",IF(Table1[[#This Row],[age]]&lt;=35,"26-35",IF(Table1[[#This Row],[age]]&lt;=50,"36-50","51+")))</f>
        <v>36-50</v>
      </c>
      <c r="G326" t="s">
        <v>54</v>
      </c>
      <c r="H326" t="s">
        <v>55</v>
      </c>
      <c r="I326" t="s">
        <v>56</v>
      </c>
      <c r="J326" t="s">
        <v>63</v>
      </c>
      <c r="K326" t="s">
        <v>82</v>
      </c>
      <c r="L326">
        <v>3</v>
      </c>
      <c r="M326">
        <v>3710.29</v>
      </c>
      <c r="N326">
        <v>0.05</v>
      </c>
      <c r="O326">
        <v>14616.34</v>
      </c>
      <c r="P326">
        <v>5360.81</v>
      </c>
      <c r="Q326">
        <v>62.88</v>
      </c>
      <c r="R326" t="s">
        <v>49</v>
      </c>
      <c r="S326">
        <v>4</v>
      </c>
      <c r="T326" t="b">
        <v>0</v>
      </c>
      <c r="U326" t="s">
        <v>30</v>
      </c>
      <c r="V326">
        <v>4</v>
      </c>
    </row>
    <row r="327" spans="1:22" x14ac:dyDescent="0.25">
      <c r="A327" t="s">
        <v>980</v>
      </c>
      <c r="B327" s="1">
        <v>44591</v>
      </c>
      <c r="C327" t="s">
        <v>981</v>
      </c>
      <c r="D327" t="s">
        <v>982</v>
      </c>
      <c r="E327">
        <v>27</v>
      </c>
      <c r="F327" t="str">
        <f>IF(Table1[[#This Row],[age]]&lt;=25,"18-25",IF(Table1[[#This Row],[age]]&lt;=35,"26-35",IF(Table1[[#This Row],[age]]&lt;=50,"36-50","51+")))</f>
        <v>26-35</v>
      </c>
      <c r="G327" t="s">
        <v>24</v>
      </c>
      <c r="H327" t="s">
        <v>61</v>
      </c>
      <c r="I327" t="s">
        <v>62</v>
      </c>
      <c r="J327" t="s">
        <v>27</v>
      </c>
      <c r="K327" t="s">
        <v>128</v>
      </c>
      <c r="L327">
        <v>10</v>
      </c>
      <c r="M327">
        <v>2477.1</v>
      </c>
      <c r="N327">
        <v>0.19</v>
      </c>
      <c r="O327">
        <v>19204</v>
      </c>
      <c r="P327">
        <v>9210.86</v>
      </c>
      <c r="Q327">
        <v>24.71</v>
      </c>
      <c r="R327" t="s">
        <v>57</v>
      </c>
      <c r="S327">
        <v>5</v>
      </c>
      <c r="T327" t="b">
        <v>0</v>
      </c>
      <c r="U327" t="s">
        <v>71</v>
      </c>
      <c r="V327">
        <v>8</v>
      </c>
    </row>
    <row r="328" spans="1:22" x14ac:dyDescent="0.25">
      <c r="A328" t="s">
        <v>983</v>
      </c>
      <c r="B328" s="1">
        <v>44186</v>
      </c>
      <c r="C328" t="s">
        <v>984</v>
      </c>
      <c r="D328" t="s">
        <v>985</v>
      </c>
      <c r="E328">
        <v>44</v>
      </c>
      <c r="F328" t="str">
        <f>IF(Table1[[#This Row],[age]]&lt;=25,"18-25",IF(Table1[[#This Row],[age]]&lt;=35,"26-35",IF(Table1[[#This Row],[age]]&lt;=50,"36-50","51+")))</f>
        <v>36-50</v>
      </c>
      <c r="G328" t="s">
        <v>24</v>
      </c>
      <c r="H328" t="s">
        <v>80</v>
      </c>
      <c r="I328" t="s">
        <v>236</v>
      </c>
      <c r="J328" t="s">
        <v>101</v>
      </c>
      <c r="K328" t="s">
        <v>214</v>
      </c>
      <c r="L328">
        <v>8</v>
      </c>
      <c r="M328">
        <v>12540.64</v>
      </c>
      <c r="N328">
        <v>0.16</v>
      </c>
      <c r="O328">
        <v>54877.82</v>
      </c>
      <c r="P328">
        <v>12900.73</v>
      </c>
      <c r="Q328">
        <v>44.66</v>
      </c>
      <c r="R328" t="s">
        <v>65</v>
      </c>
      <c r="S328">
        <v>1</v>
      </c>
      <c r="T328" t="b">
        <v>0</v>
      </c>
      <c r="U328" t="s">
        <v>30</v>
      </c>
      <c r="V328">
        <v>8</v>
      </c>
    </row>
    <row r="329" spans="1:22" x14ac:dyDescent="0.25">
      <c r="A329" t="s">
        <v>986</v>
      </c>
      <c r="B329" s="1">
        <v>44279</v>
      </c>
      <c r="C329" t="s">
        <v>987</v>
      </c>
      <c r="D329" t="s">
        <v>879</v>
      </c>
      <c r="E329">
        <v>49</v>
      </c>
      <c r="F329" t="str">
        <f>IF(Table1[[#This Row],[age]]&lt;=25,"18-25",IF(Table1[[#This Row],[age]]&lt;=35,"26-35",IF(Table1[[#This Row],[age]]&lt;=50,"36-50","51+")))</f>
        <v>36-50</v>
      </c>
      <c r="G329" t="s">
        <v>54</v>
      </c>
      <c r="H329" t="s">
        <v>61</v>
      </c>
      <c r="I329" t="s">
        <v>91</v>
      </c>
      <c r="J329" t="s">
        <v>101</v>
      </c>
      <c r="K329" t="s">
        <v>456</v>
      </c>
      <c r="L329">
        <v>7</v>
      </c>
      <c r="M329">
        <v>2782.21</v>
      </c>
      <c r="N329">
        <v>0.21</v>
      </c>
      <c r="O329">
        <v>13694.75</v>
      </c>
      <c r="P329">
        <v>1856.34</v>
      </c>
      <c r="Q329">
        <v>60.88</v>
      </c>
      <c r="R329" t="s">
        <v>92</v>
      </c>
      <c r="S329">
        <v>3</v>
      </c>
      <c r="T329" t="b">
        <v>0</v>
      </c>
      <c r="U329" t="s">
        <v>30</v>
      </c>
      <c r="V329">
        <v>4</v>
      </c>
    </row>
    <row r="330" spans="1:22" x14ac:dyDescent="0.25">
      <c r="A330" t="s">
        <v>988</v>
      </c>
      <c r="B330" s="1">
        <v>44464</v>
      </c>
      <c r="C330" t="s">
        <v>989</v>
      </c>
      <c r="D330" t="s">
        <v>990</v>
      </c>
      <c r="E330">
        <v>19</v>
      </c>
      <c r="F330" t="str">
        <f>IF(Table1[[#This Row],[age]]&lt;=25,"18-25",IF(Table1[[#This Row],[age]]&lt;=35,"26-35",IF(Table1[[#This Row],[age]]&lt;=50,"36-50","51+")))</f>
        <v>18-25</v>
      </c>
      <c r="G330" t="s">
        <v>24</v>
      </c>
      <c r="H330" t="s">
        <v>55</v>
      </c>
      <c r="I330" t="s">
        <v>75</v>
      </c>
      <c r="J330" t="s">
        <v>27</v>
      </c>
      <c r="K330" t="s">
        <v>128</v>
      </c>
      <c r="L330">
        <v>7</v>
      </c>
      <c r="M330">
        <v>210.31</v>
      </c>
      <c r="N330">
        <v>0.23</v>
      </c>
      <c r="O330">
        <v>1209</v>
      </c>
      <c r="P330">
        <v>600.88</v>
      </c>
      <c r="Q330">
        <v>67.459999999999994</v>
      </c>
      <c r="R330" t="s">
        <v>65</v>
      </c>
      <c r="S330">
        <v>5</v>
      </c>
      <c r="T330" t="b">
        <v>1</v>
      </c>
      <c r="U330" t="s">
        <v>50</v>
      </c>
      <c r="V330">
        <v>6</v>
      </c>
    </row>
    <row r="331" spans="1:22" x14ac:dyDescent="0.25">
      <c r="A331" t="s">
        <v>991</v>
      </c>
      <c r="B331" s="1">
        <v>45143</v>
      </c>
      <c r="C331" t="s">
        <v>992</v>
      </c>
      <c r="D331" t="s">
        <v>802</v>
      </c>
      <c r="E331">
        <v>33</v>
      </c>
      <c r="F331" t="str">
        <f>IF(Table1[[#This Row],[age]]&lt;=25,"18-25",IF(Table1[[#This Row],[age]]&lt;=35,"26-35",IF(Table1[[#This Row],[age]]&lt;=50,"36-50","51+")))</f>
        <v>26-35</v>
      </c>
      <c r="G331" t="s">
        <v>54</v>
      </c>
      <c r="H331" t="s">
        <v>69</v>
      </c>
      <c r="I331" t="s">
        <v>136</v>
      </c>
      <c r="J331" t="s">
        <v>36</v>
      </c>
      <c r="K331" t="s">
        <v>243</v>
      </c>
      <c r="L331">
        <v>2</v>
      </c>
      <c r="M331">
        <v>27227.5</v>
      </c>
      <c r="N331">
        <v>0.27</v>
      </c>
      <c r="O331">
        <v>53652.43</v>
      </c>
      <c r="P331">
        <v>18467.900000000001</v>
      </c>
      <c r="Q331">
        <v>69.069999999999993</v>
      </c>
      <c r="R331" t="s">
        <v>92</v>
      </c>
      <c r="S331">
        <v>5</v>
      </c>
      <c r="T331" t="b">
        <v>0</v>
      </c>
      <c r="U331" t="s">
        <v>30</v>
      </c>
      <c r="V331">
        <v>9</v>
      </c>
    </row>
    <row r="332" spans="1:22" x14ac:dyDescent="0.25">
      <c r="A332" t="s">
        <v>993</v>
      </c>
      <c r="B332" s="1">
        <v>45313</v>
      </c>
      <c r="C332" t="s">
        <v>994</v>
      </c>
      <c r="D332" t="s">
        <v>995</v>
      </c>
      <c r="E332">
        <v>49</v>
      </c>
      <c r="F332" t="str">
        <f>IF(Table1[[#This Row],[age]]&lt;=25,"18-25",IF(Table1[[#This Row],[age]]&lt;=35,"26-35",IF(Table1[[#This Row],[age]]&lt;=50,"36-50","51+")))</f>
        <v>36-50</v>
      </c>
      <c r="G332" t="s">
        <v>24</v>
      </c>
      <c r="H332" t="s">
        <v>55</v>
      </c>
      <c r="I332" t="s">
        <v>114</v>
      </c>
      <c r="J332" t="s">
        <v>101</v>
      </c>
      <c r="K332" t="s">
        <v>164</v>
      </c>
      <c r="L332">
        <v>2</v>
      </c>
      <c r="M332">
        <v>11637.71</v>
      </c>
      <c r="N332">
        <v>0.03</v>
      </c>
      <c r="O332">
        <v>20228.5</v>
      </c>
      <c r="P332">
        <v>3894.99</v>
      </c>
      <c r="Q332">
        <v>49.76</v>
      </c>
      <c r="R332" t="s">
        <v>43</v>
      </c>
      <c r="S332">
        <v>4</v>
      </c>
      <c r="T332" t="b">
        <v>1</v>
      </c>
      <c r="U332" t="s">
        <v>50</v>
      </c>
      <c r="V332">
        <v>6</v>
      </c>
    </row>
    <row r="333" spans="1:22" x14ac:dyDescent="0.25">
      <c r="A333" t="s">
        <v>996</v>
      </c>
      <c r="B333" s="1">
        <v>43992</v>
      </c>
      <c r="C333" t="s">
        <v>997</v>
      </c>
      <c r="D333" t="s">
        <v>998</v>
      </c>
      <c r="E333">
        <v>24</v>
      </c>
      <c r="F333" t="str">
        <f>IF(Table1[[#This Row],[age]]&lt;=25,"18-25",IF(Table1[[#This Row],[age]]&lt;=35,"26-35",IF(Table1[[#This Row],[age]]&lt;=50,"36-50","51+")))</f>
        <v>18-25</v>
      </c>
      <c r="G333" t="s">
        <v>24</v>
      </c>
      <c r="H333" t="s">
        <v>55</v>
      </c>
      <c r="I333" t="s">
        <v>56</v>
      </c>
      <c r="J333" t="s">
        <v>63</v>
      </c>
      <c r="K333" t="s">
        <v>152</v>
      </c>
      <c r="L333">
        <v>2</v>
      </c>
      <c r="M333">
        <v>1835.19</v>
      </c>
      <c r="N333">
        <v>0.03</v>
      </c>
      <c r="O333">
        <v>4360.6899999999996</v>
      </c>
      <c r="P333">
        <v>1812.7</v>
      </c>
      <c r="Q333">
        <v>37.119999999999997</v>
      </c>
      <c r="R333" t="s">
        <v>43</v>
      </c>
      <c r="S333">
        <v>5</v>
      </c>
      <c r="T333" t="b">
        <v>0</v>
      </c>
      <c r="U333" t="s">
        <v>30</v>
      </c>
      <c r="V333">
        <v>2</v>
      </c>
    </row>
    <row r="334" spans="1:22" x14ac:dyDescent="0.25">
      <c r="A334" t="s">
        <v>999</v>
      </c>
      <c r="B334" s="1">
        <v>44166</v>
      </c>
      <c r="C334" t="s">
        <v>1000</v>
      </c>
      <c r="D334" t="s">
        <v>932</v>
      </c>
      <c r="E334">
        <v>25</v>
      </c>
      <c r="F334" t="str">
        <f>IF(Table1[[#This Row],[age]]&lt;=25,"18-25",IF(Table1[[#This Row],[age]]&lt;=35,"26-35",IF(Table1[[#This Row],[age]]&lt;=50,"36-50","51+")))</f>
        <v>18-25</v>
      </c>
      <c r="G334" t="s">
        <v>34</v>
      </c>
      <c r="H334" t="s">
        <v>55</v>
      </c>
      <c r="I334" t="s">
        <v>114</v>
      </c>
      <c r="J334" t="s">
        <v>63</v>
      </c>
      <c r="K334" t="s">
        <v>82</v>
      </c>
      <c r="L334">
        <v>2</v>
      </c>
      <c r="M334">
        <v>3263.53</v>
      </c>
      <c r="N334">
        <v>0.28000000000000003</v>
      </c>
      <c r="O334">
        <v>3766.06</v>
      </c>
      <c r="P334">
        <v>1284.73</v>
      </c>
      <c r="Q334">
        <v>57.51</v>
      </c>
      <c r="R334" t="s">
        <v>92</v>
      </c>
      <c r="S334">
        <v>2</v>
      </c>
      <c r="T334" t="b">
        <v>0</v>
      </c>
      <c r="U334" t="s">
        <v>30</v>
      </c>
      <c r="V334">
        <v>10</v>
      </c>
    </row>
    <row r="335" spans="1:22" x14ac:dyDescent="0.25">
      <c r="A335" t="s">
        <v>1001</v>
      </c>
      <c r="B335" s="1">
        <v>44675</v>
      </c>
      <c r="C335" t="s">
        <v>1002</v>
      </c>
      <c r="D335" t="s">
        <v>68</v>
      </c>
      <c r="E335">
        <v>19</v>
      </c>
      <c r="F335" t="str">
        <f>IF(Table1[[#This Row],[age]]&lt;=25,"18-25",IF(Table1[[#This Row],[age]]&lt;=35,"26-35",IF(Table1[[#This Row],[age]]&lt;=50,"36-50","51+")))</f>
        <v>18-25</v>
      </c>
      <c r="G335" t="s">
        <v>54</v>
      </c>
      <c r="H335" t="s">
        <v>69</v>
      </c>
      <c r="I335" t="s">
        <v>221</v>
      </c>
      <c r="J335" t="s">
        <v>47</v>
      </c>
      <c r="K335" t="s">
        <v>204</v>
      </c>
      <c r="L335">
        <v>5</v>
      </c>
      <c r="M335">
        <v>610.98</v>
      </c>
      <c r="N335">
        <v>0.16</v>
      </c>
      <c r="O335">
        <v>3679.38</v>
      </c>
      <c r="P335">
        <v>1422.56</v>
      </c>
      <c r="Q335">
        <v>53.99</v>
      </c>
      <c r="R335" t="s">
        <v>49</v>
      </c>
      <c r="S335">
        <v>4</v>
      </c>
      <c r="T335" t="b">
        <v>0</v>
      </c>
      <c r="U335" t="s">
        <v>30</v>
      </c>
      <c r="V335">
        <v>4</v>
      </c>
    </row>
    <row r="336" spans="1:22" x14ac:dyDescent="0.25">
      <c r="A336" t="s">
        <v>1003</v>
      </c>
      <c r="B336" s="1">
        <v>44975</v>
      </c>
      <c r="C336" t="s">
        <v>1004</v>
      </c>
      <c r="D336" t="s">
        <v>241</v>
      </c>
      <c r="E336">
        <v>30</v>
      </c>
      <c r="F336" t="str">
        <f>IF(Table1[[#This Row],[age]]&lt;=25,"18-25",IF(Table1[[#This Row],[age]]&lt;=35,"26-35",IF(Table1[[#This Row],[age]]&lt;=50,"36-50","51+")))</f>
        <v>26-35</v>
      </c>
      <c r="G336" t="s">
        <v>24</v>
      </c>
      <c r="H336" t="s">
        <v>61</v>
      </c>
      <c r="I336" t="s">
        <v>91</v>
      </c>
      <c r="J336" t="s">
        <v>47</v>
      </c>
      <c r="K336" t="s">
        <v>156</v>
      </c>
      <c r="L336">
        <v>4</v>
      </c>
      <c r="M336">
        <v>1488.05</v>
      </c>
      <c r="N336">
        <v>0.16</v>
      </c>
      <c r="O336">
        <v>5878.72</v>
      </c>
      <c r="P336">
        <v>1895.88</v>
      </c>
      <c r="Q336">
        <v>33.950000000000003</v>
      </c>
      <c r="R336" t="s">
        <v>29</v>
      </c>
      <c r="S336">
        <v>3</v>
      </c>
      <c r="T336" t="b">
        <v>1</v>
      </c>
      <c r="U336" t="s">
        <v>50</v>
      </c>
      <c r="V336">
        <v>9</v>
      </c>
    </row>
    <row r="337" spans="1:22" x14ac:dyDescent="0.25">
      <c r="A337" t="s">
        <v>1005</v>
      </c>
      <c r="B337" s="1">
        <v>44132</v>
      </c>
      <c r="C337" t="s">
        <v>1006</v>
      </c>
      <c r="D337" t="s">
        <v>397</v>
      </c>
      <c r="E337">
        <v>47</v>
      </c>
      <c r="F337" t="str">
        <f>IF(Table1[[#This Row],[age]]&lt;=25,"18-25",IF(Table1[[#This Row],[age]]&lt;=35,"26-35",IF(Table1[[#This Row],[age]]&lt;=50,"36-50","51+")))</f>
        <v>36-50</v>
      </c>
      <c r="G337" t="s">
        <v>54</v>
      </c>
      <c r="H337" t="s">
        <v>80</v>
      </c>
      <c r="I337" t="s">
        <v>236</v>
      </c>
      <c r="J337" t="s">
        <v>47</v>
      </c>
      <c r="K337" t="s">
        <v>272</v>
      </c>
      <c r="L337">
        <v>8</v>
      </c>
      <c r="M337">
        <v>513.63</v>
      </c>
      <c r="N337">
        <v>0.17</v>
      </c>
      <c r="O337">
        <v>2804.09</v>
      </c>
      <c r="P337">
        <v>1009.57</v>
      </c>
      <c r="Q337">
        <v>48.54</v>
      </c>
      <c r="R337" t="s">
        <v>49</v>
      </c>
      <c r="S337">
        <v>4</v>
      </c>
      <c r="T337" t="b">
        <v>0</v>
      </c>
      <c r="U337" t="s">
        <v>30</v>
      </c>
      <c r="V337">
        <v>1</v>
      </c>
    </row>
    <row r="338" spans="1:22" x14ac:dyDescent="0.25">
      <c r="A338" t="s">
        <v>1007</v>
      </c>
      <c r="B338" s="1">
        <v>43979</v>
      </c>
      <c r="C338" t="s">
        <v>1008</v>
      </c>
      <c r="D338" t="s">
        <v>516</v>
      </c>
      <c r="E338">
        <v>35</v>
      </c>
      <c r="F338" t="str">
        <f>IF(Table1[[#This Row],[age]]&lt;=25,"18-25",IF(Table1[[#This Row],[age]]&lt;=35,"26-35",IF(Table1[[#This Row],[age]]&lt;=50,"36-50","51+")))</f>
        <v>26-35</v>
      </c>
      <c r="G338" t="s">
        <v>34</v>
      </c>
      <c r="H338" t="s">
        <v>69</v>
      </c>
      <c r="I338" t="s">
        <v>221</v>
      </c>
      <c r="J338" t="s">
        <v>106</v>
      </c>
      <c r="K338" t="s">
        <v>188</v>
      </c>
      <c r="L338">
        <v>9</v>
      </c>
      <c r="M338">
        <v>213.6</v>
      </c>
      <c r="N338">
        <v>0.32</v>
      </c>
      <c r="O338">
        <v>1665.43</v>
      </c>
      <c r="P338">
        <v>193.99</v>
      </c>
      <c r="Q338">
        <v>101.52</v>
      </c>
      <c r="R338" t="s">
        <v>92</v>
      </c>
      <c r="S338">
        <v>4</v>
      </c>
      <c r="T338" t="b">
        <v>0</v>
      </c>
      <c r="U338" t="s">
        <v>71</v>
      </c>
      <c r="V338">
        <v>4</v>
      </c>
    </row>
    <row r="339" spans="1:22" x14ac:dyDescent="0.25">
      <c r="A339" t="s">
        <v>1009</v>
      </c>
      <c r="B339" s="1">
        <v>45320</v>
      </c>
      <c r="C339" t="s">
        <v>1010</v>
      </c>
      <c r="D339" t="s">
        <v>287</v>
      </c>
      <c r="E339">
        <v>26</v>
      </c>
      <c r="F339" t="str">
        <f>IF(Table1[[#This Row],[age]]&lt;=25,"18-25",IF(Table1[[#This Row],[age]]&lt;=35,"26-35",IF(Table1[[#This Row],[age]]&lt;=50,"36-50","51+")))</f>
        <v>26-35</v>
      </c>
      <c r="G339" t="s">
        <v>34</v>
      </c>
      <c r="H339" t="s">
        <v>61</v>
      </c>
      <c r="I339" t="s">
        <v>62</v>
      </c>
      <c r="J339" t="s">
        <v>27</v>
      </c>
      <c r="K339" t="s">
        <v>28</v>
      </c>
      <c r="L339">
        <v>4</v>
      </c>
      <c r="M339">
        <v>1120.04</v>
      </c>
      <c r="N339">
        <v>0</v>
      </c>
      <c r="O339">
        <v>4784.7</v>
      </c>
      <c r="P339">
        <v>1051.2</v>
      </c>
      <c r="Q339">
        <v>70.2</v>
      </c>
      <c r="R339" t="s">
        <v>57</v>
      </c>
      <c r="S339">
        <v>5</v>
      </c>
      <c r="T339" t="b">
        <v>0</v>
      </c>
      <c r="U339" t="s">
        <v>30</v>
      </c>
      <c r="V339">
        <v>6</v>
      </c>
    </row>
    <row r="340" spans="1:22" x14ac:dyDescent="0.25">
      <c r="A340" t="s">
        <v>1011</v>
      </c>
      <c r="B340" s="1">
        <v>44048</v>
      </c>
      <c r="C340" t="s">
        <v>1012</v>
      </c>
      <c r="D340" t="s">
        <v>287</v>
      </c>
      <c r="E340">
        <v>40</v>
      </c>
      <c r="F340" t="str">
        <f>IF(Table1[[#This Row],[age]]&lt;=25,"18-25",IF(Table1[[#This Row],[age]]&lt;=35,"26-35",IF(Table1[[#This Row],[age]]&lt;=50,"36-50","51+")))</f>
        <v>36-50</v>
      </c>
      <c r="G340" t="s">
        <v>34</v>
      </c>
      <c r="H340" t="s">
        <v>69</v>
      </c>
      <c r="I340" t="s">
        <v>136</v>
      </c>
      <c r="J340" t="s">
        <v>106</v>
      </c>
      <c r="K340" t="s">
        <v>718</v>
      </c>
      <c r="L340">
        <v>4</v>
      </c>
      <c r="M340">
        <v>57.97</v>
      </c>
      <c r="N340">
        <v>0.1</v>
      </c>
      <c r="O340">
        <v>258.54000000000002</v>
      </c>
      <c r="P340">
        <v>16.670000000000002</v>
      </c>
      <c r="Q340">
        <v>74.150000000000006</v>
      </c>
      <c r="R340" t="s">
        <v>92</v>
      </c>
      <c r="S340">
        <v>3</v>
      </c>
      <c r="T340" t="b">
        <v>0</v>
      </c>
      <c r="U340" t="s">
        <v>30</v>
      </c>
      <c r="V340">
        <v>9</v>
      </c>
    </row>
    <row r="341" spans="1:22" x14ac:dyDescent="0.25">
      <c r="A341" t="s">
        <v>1013</v>
      </c>
      <c r="B341" s="1">
        <v>44287</v>
      </c>
      <c r="C341" t="s">
        <v>1014</v>
      </c>
      <c r="D341" t="s">
        <v>412</v>
      </c>
      <c r="E341">
        <v>45</v>
      </c>
      <c r="F341" t="str">
        <f>IF(Table1[[#This Row],[age]]&lt;=25,"18-25",IF(Table1[[#This Row],[age]]&lt;=35,"26-35",IF(Table1[[#This Row],[age]]&lt;=50,"36-50","51+")))</f>
        <v>36-50</v>
      </c>
      <c r="G341" t="s">
        <v>24</v>
      </c>
      <c r="H341" t="s">
        <v>55</v>
      </c>
      <c r="I341" t="s">
        <v>56</v>
      </c>
      <c r="J341" t="s">
        <v>106</v>
      </c>
      <c r="K341" t="s">
        <v>331</v>
      </c>
      <c r="L341">
        <v>2</v>
      </c>
      <c r="M341">
        <v>438.16</v>
      </c>
      <c r="N341">
        <v>0.25</v>
      </c>
      <c r="O341">
        <v>855.21</v>
      </c>
      <c r="P341">
        <v>70.3</v>
      </c>
      <c r="Q341">
        <v>76.819999999999993</v>
      </c>
      <c r="R341" t="s">
        <v>29</v>
      </c>
      <c r="S341">
        <v>5</v>
      </c>
      <c r="T341" t="b">
        <v>0</v>
      </c>
      <c r="U341" t="s">
        <v>30</v>
      </c>
      <c r="V341">
        <v>2</v>
      </c>
    </row>
    <row r="342" spans="1:22" x14ac:dyDescent="0.25">
      <c r="A342" t="s">
        <v>1015</v>
      </c>
      <c r="B342" s="1">
        <v>44477</v>
      </c>
      <c r="C342" t="s">
        <v>1016</v>
      </c>
      <c r="D342" t="s">
        <v>1017</v>
      </c>
      <c r="E342">
        <v>23</v>
      </c>
      <c r="F342" t="str">
        <f>IF(Table1[[#This Row],[age]]&lt;=25,"18-25",IF(Table1[[#This Row],[age]]&lt;=35,"26-35",IF(Table1[[#This Row],[age]]&lt;=50,"36-50","51+")))</f>
        <v>18-25</v>
      </c>
      <c r="G342" t="s">
        <v>24</v>
      </c>
      <c r="H342" t="s">
        <v>61</v>
      </c>
      <c r="I342" t="s">
        <v>141</v>
      </c>
      <c r="J342" t="s">
        <v>106</v>
      </c>
      <c r="K342" t="s">
        <v>107</v>
      </c>
      <c r="L342">
        <v>5</v>
      </c>
      <c r="M342">
        <v>312.3</v>
      </c>
      <c r="N342">
        <v>0.12</v>
      </c>
      <c r="O342">
        <v>1270.29</v>
      </c>
      <c r="P342">
        <v>110.96</v>
      </c>
      <c r="Q342">
        <v>25.67</v>
      </c>
      <c r="R342" t="s">
        <v>49</v>
      </c>
      <c r="S342">
        <v>3</v>
      </c>
      <c r="T342" t="b">
        <v>0</v>
      </c>
      <c r="U342" t="s">
        <v>30</v>
      </c>
      <c r="V342">
        <v>8</v>
      </c>
    </row>
    <row r="343" spans="1:22" x14ac:dyDescent="0.25">
      <c r="A343" t="s">
        <v>1018</v>
      </c>
      <c r="B343" s="1">
        <v>45479</v>
      </c>
      <c r="C343" t="s">
        <v>1019</v>
      </c>
      <c r="D343" t="s">
        <v>1020</v>
      </c>
      <c r="E343">
        <v>26</v>
      </c>
      <c r="F343" t="str">
        <f>IF(Table1[[#This Row],[age]]&lt;=25,"18-25",IF(Table1[[#This Row],[age]]&lt;=35,"26-35",IF(Table1[[#This Row],[age]]&lt;=50,"36-50","51+")))</f>
        <v>26-35</v>
      </c>
      <c r="G343" t="s">
        <v>54</v>
      </c>
      <c r="H343" t="s">
        <v>80</v>
      </c>
      <c r="I343" t="s">
        <v>81</v>
      </c>
      <c r="J343" t="s">
        <v>63</v>
      </c>
      <c r="K343" t="s">
        <v>111</v>
      </c>
      <c r="L343">
        <v>8</v>
      </c>
      <c r="M343">
        <v>3182.92</v>
      </c>
      <c r="N343">
        <v>0.17</v>
      </c>
      <c r="O343">
        <v>35409.06</v>
      </c>
      <c r="P343">
        <v>17485.080000000002</v>
      </c>
      <c r="Q343">
        <v>81.77</v>
      </c>
      <c r="R343" t="s">
        <v>65</v>
      </c>
      <c r="S343">
        <v>5</v>
      </c>
      <c r="T343" t="b">
        <v>0</v>
      </c>
      <c r="U343" t="s">
        <v>30</v>
      </c>
      <c r="V343">
        <v>9</v>
      </c>
    </row>
    <row r="344" spans="1:22" x14ac:dyDescent="0.25">
      <c r="A344" t="s">
        <v>1021</v>
      </c>
      <c r="B344" s="1">
        <v>44722</v>
      </c>
      <c r="C344" t="s">
        <v>1022</v>
      </c>
      <c r="D344" t="s">
        <v>1023</v>
      </c>
      <c r="E344">
        <v>39</v>
      </c>
      <c r="F344" t="str">
        <f>IF(Table1[[#This Row],[age]]&lt;=25,"18-25",IF(Table1[[#This Row],[age]]&lt;=35,"26-35",IF(Table1[[#This Row],[age]]&lt;=50,"36-50","51+")))</f>
        <v>36-50</v>
      </c>
      <c r="G344" t="s">
        <v>54</v>
      </c>
      <c r="H344" t="s">
        <v>69</v>
      </c>
      <c r="I344" t="s">
        <v>136</v>
      </c>
      <c r="J344" t="s">
        <v>63</v>
      </c>
      <c r="K344" t="s">
        <v>434</v>
      </c>
      <c r="L344">
        <v>3</v>
      </c>
      <c r="M344">
        <v>1256.1600000000001</v>
      </c>
      <c r="N344">
        <v>0.05</v>
      </c>
      <c r="O344">
        <v>5186.09</v>
      </c>
      <c r="P344">
        <v>2331.2600000000002</v>
      </c>
      <c r="Q344">
        <v>90.36</v>
      </c>
      <c r="R344" t="s">
        <v>43</v>
      </c>
      <c r="S344">
        <v>5</v>
      </c>
      <c r="T344" t="b">
        <v>0</v>
      </c>
      <c r="U344" t="s">
        <v>30</v>
      </c>
      <c r="V344">
        <v>9</v>
      </c>
    </row>
    <row r="345" spans="1:22" x14ac:dyDescent="0.25">
      <c r="A345" t="s">
        <v>1024</v>
      </c>
      <c r="B345" s="1">
        <v>43885</v>
      </c>
      <c r="C345" t="s">
        <v>1025</v>
      </c>
      <c r="D345" t="s">
        <v>956</v>
      </c>
      <c r="E345">
        <v>27</v>
      </c>
      <c r="F345" t="str">
        <f>IF(Table1[[#This Row],[age]]&lt;=25,"18-25",IF(Table1[[#This Row],[age]]&lt;=35,"26-35",IF(Table1[[#This Row],[age]]&lt;=50,"36-50","51+")))</f>
        <v>26-35</v>
      </c>
      <c r="G345" t="s">
        <v>54</v>
      </c>
      <c r="H345" t="s">
        <v>69</v>
      </c>
      <c r="I345" t="s">
        <v>70</v>
      </c>
      <c r="J345" t="s">
        <v>27</v>
      </c>
      <c r="K345" t="s">
        <v>28</v>
      </c>
      <c r="L345">
        <v>3</v>
      </c>
      <c r="M345">
        <v>1655.54</v>
      </c>
      <c r="N345">
        <v>0.25</v>
      </c>
      <c r="O345">
        <v>2825.92</v>
      </c>
      <c r="P345">
        <v>1777.23</v>
      </c>
      <c r="Q345">
        <v>81.69</v>
      </c>
      <c r="R345" t="s">
        <v>65</v>
      </c>
      <c r="S345">
        <v>3</v>
      </c>
      <c r="T345" t="b">
        <v>0</v>
      </c>
      <c r="U345" t="s">
        <v>30</v>
      </c>
      <c r="V345">
        <v>5</v>
      </c>
    </row>
    <row r="346" spans="1:22" x14ac:dyDescent="0.25">
      <c r="A346" t="s">
        <v>1026</v>
      </c>
      <c r="B346" s="1">
        <v>45050</v>
      </c>
      <c r="C346" t="s">
        <v>1027</v>
      </c>
      <c r="D346" t="s">
        <v>812</v>
      </c>
      <c r="E346">
        <v>20</v>
      </c>
      <c r="F346" t="str">
        <f>IF(Table1[[#This Row],[age]]&lt;=25,"18-25",IF(Table1[[#This Row],[age]]&lt;=35,"26-35",IF(Table1[[#This Row],[age]]&lt;=50,"36-50","51+")))</f>
        <v>18-25</v>
      </c>
      <c r="G346" t="s">
        <v>34</v>
      </c>
      <c r="H346" t="s">
        <v>80</v>
      </c>
      <c r="I346" t="s">
        <v>86</v>
      </c>
      <c r="J346" t="s">
        <v>27</v>
      </c>
      <c r="K346" t="s">
        <v>192</v>
      </c>
      <c r="L346">
        <v>6</v>
      </c>
      <c r="M346">
        <v>2373.35</v>
      </c>
      <c r="N346">
        <v>0.3</v>
      </c>
      <c r="O346">
        <v>15281.74</v>
      </c>
      <c r="P346">
        <v>8565.14</v>
      </c>
      <c r="Q346">
        <v>54.97</v>
      </c>
      <c r="R346" t="s">
        <v>49</v>
      </c>
      <c r="S346">
        <v>3</v>
      </c>
      <c r="T346" t="b">
        <v>0</v>
      </c>
      <c r="U346" t="s">
        <v>30</v>
      </c>
      <c r="V346">
        <v>3</v>
      </c>
    </row>
    <row r="347" spans="1:22" x14ac:dyDescent="0.25">
      <c r="A347" t="s">
        <v>1028</v>
      </c>
      <c r="B347" s="1">
        <v>44867</v>
      </c>
      <c r="C347" t="s">
        <v>1029</v>
      </c>
      <c r="D347" t="s">
        <v>1030</v>
      </c>
      <c r="E347">
        <v>46</v>
      </c>
      <c r="F347" t="str">
        <f>IF(Table1[[#This Row],[age]]&lt;=25,"18-25",IF(Table1[[#This Row],[age]]&lt;=35,"26-35",IF(Table1[[#This Row],[age]]&lt;=50,"36-50","51+")))</f>
        <v>36-50</v>
      </c>
      <c r="G347" t="s">
        <v>34</v>
      </c>
      <c r="H347" t="s">
        <v>61</v>
      </c>
      <c r="I347" t="s">
        <v>141</v>
      </c>
      <c r="J347" t="s">
        <v>63</v>
      </c>
      <c r="K347" t="s">
        <v>82</v>
      </c>
      <c r="L347">
        <v>3</v>
      </c>
      <c r="M347">
        <v>1457.48</v>
      </c>
      <c r="N347">
        <v>0.04</v>
      </c>
      <c r="O347">
        <v>3326.03</v>
      </c>
      <c r="P347">
        <v>1139.23</v>
      </c>
      <c r="Q347">
        <v>47.06</v>
      </c>
      <c r="R347" t="s">
        <v>57</v>
      </c>
      <c r="S347">
        <v>5</v>
      </c>
      <c r="T347" t="b">
        <v>0</v>
      </c>
      <c r="U347" t="s">
        <v>30</v>
      </c>
      <c r="V347">
        <v>10</v>
      </c>
    </row>
    <row r="348" spans="1:22" x14ac:dyDescent="0.25">
      <c r="A348" t="s">
        <v>1031</v>
      </c>
      <c r="B348" s="1">
        <v>44107</v>
      </c>
      <c r="C348" t="s">
        <v>1032</v>
      </c>
      <c r="D348" t="s">
        <v>998</v>
      </c>
      <c r="E348">
        <v>52</v>
      </c>
      <c r="F348" t="str">
        <f>IF(Table1[[#This Row],[age]]&lt;=25,"18-25",IF(Table1[[#This Row],[age]]&lt;=35,"26-35",IF(Table1[[#This Row],[age]]&lt;=50,"36-50","51+")))</f>
        <v>51+</v>
      </c>
      <c r="G348" t="s">
        <v>54</v>
      </c>
      <c r="H348" t="s">
        <v>80</v>
      </c>
      <c r="I348" t="s">
        <v>81</v>
      </c>
      <c r="J348" t="s">
        <v>115</v>
      </c>
      <c r="K348" t="s">
        <v>398</v>
      </c>
      <c r="L348">
        <v>4</v>
      </c>
      <c r="M348">
        <v>72305.61</v>
      </c>
      <c r="N348">
        <v>0.03</v>
      </c>
      <c r="O348">
        <v>221219.87</v>
      </c>
      <c r="P348">
        <v>28168.080000000002</v>
      </c>
      <c r="Q348">
        <v>54.29</v>
      </c>
      <c r="R348" t="s">
        <v>29</v>
      </c>
      <c r="S348">
        <v>4</v>
      </c>
      <c r="T348" t="b">
        <v>1</v>
      </c>
      <c r="U348" t="s">
        <v>50</v>
      </c>
      <c r="V348">
        <v>10</v>
      </c>
    </row>
    <row r="349" spans="1:22" x14ac:dyDescent="0.25">
      <c r="A349" t="s">
        <v>1033</v>
      </c>
      <c r="B349" s="1">
        <v>45539</v>
      </c>
      <c r="C349" t="s">
        <v>1034</v>
      </c>
      <c r="D349" t="s">
        <v>964</v>
      </c>
      <c r="E349">
        <v>28</v>
      </c>
      <c r="F349" t="str">
        <f>IF(Table1[[#This Row],[age]]&lt;=25,"18-25",IF(Table1[[#This Row],[age]]&lt;=35,"26-35",IF(Table1[[#This Row],[age]]&lt;=50,"36-50","51+")))</f>
        <v>26-35</v>
      </c>
      <c r="G349" t="s">
        <v>24</v>
      </c>
      <c r="H349" t="s">
        <v>25</v>
      </c>
      <c r="I349" t="s">
        <v>26</v>
      </c>
      <c r="J349" t="s">
        <v>115</v>
      </c>
      <c r="K349" t="s">
        <v>545</v>
      </c>
      <c r="L349">
        <v>3</v>
      </c>
      <c r="M349">
        <v>57941.59</v>
      </c>
      <c r="N349">
        <v>0.17</v>
      </c>
      <c r="O349">
        <v>202708.19</v>
      </c>
      <c r="P349">
        <v>27362.05</v>
      </c>
      <c r="Q349">
        <v>70.62</v>
      </c>
      <c r="R349" t="s">
        <v>57</v>
      </c>
      <c r="S349">
        <v>2</v>
      </c>
      <c r="T349" t="b">
        <v>1</v>
      </c>
      <c r="U349" t="s">
        <v>50</v>
      </c>
      <c r="V349">
        <v>5</v>
      </c>
    </row>
    <row r="350" spans="1:22" x14ac:dyDescent="0.25">
      <c r="A350" t="s">
        <v>1035</v>
      </c>
      <c r="B350" s="1">
        <v>45654</v>
      </c>
      <c r="C350" t="s">
        <v>1036</v>
      </c>
      <c r="D350" t="s">
        <v>217</v>
      </c>
      <c r="E350">
        <v>36</v>
      </c>
      <c r="F350" t="str">
        <f>IF(Table1[[#This Row],[age]]&lt;=25,"18-25",IF(Table1[[#This Row],[age]]&lt;=35,"26-35",IF(Table1[[#This Row],[age]]&lt;=50,"36-50","51+")))</f>
        <v>36-50</v>
      </c>
      <c r="G350" t="s">
        <v>34</v>
      </c>
      <c r="H350" t="s">
        <v>69</v>
      </c>
      <c r="I350" t="s">
        <v>181</v>
      </c>
      <c r="J350" t="s">
        <v>36</v>
      </c>
      <c r="K350" t="s">
        <v>230</v>
      </c>
      <c r="L350">
        <v>9</v>
      </c>
      <c r="M350">
        <v>21875.15</v>
      </c>
      <c r="N350">
        <v>0.01</v>
      </c>
      <c r="O350">
        <v>161990.01</v>
      </c>
      <c r="P350">
        <v>51700.42</v>
      </c>
      <c r="Q350">
        <v>87.08</v>
      </c>
      <c r="R350" t="s">
        <v>57</v>
      </c>
      <c r="S350">
        <v>4</v>
      </c>
      <c r="T350" t="b">
        <v>0</v>
      </c>
      <c r="U350" t="s">
        <v>30</v>
      </c>
      <c r="V350">
        <v>10</v>
      </c>
    </row>
    <row r="351" spans="1:22" x14ac:dyDescent="0.25">
      <c r="A351" t="s">
        <v>1037</v>
      </c>
      <c r="B351" s="1">
        <v>45401</v>
      </c>
      <c r="C351" t="s">
        <v>1038</v>
      </c>
      <c r="D351" t="s">
        <v>1039</v>
      </c>
      <c r="E351">
        <v>31</v>
      </c>
      <c r="F351" t="str">
        <f>IF(Table1[[#This Row],[age]]&lt;=25,"18-25",IF(Table1[[#This Row],[age]]&lt;=35,"26-35",IF(Table1[[#This Row],[age]]&lt;=50,"36-50","51+")))</f>
        <v>26-35</v>
      </c>
      <c r="G351" t="s">
        <v>34</v>
      </c>
      <c r="H351" t="s">
        <v>25</v>
      </c>
      <c r="I351" t="s">
        <v>35</v>
      </c>
      <c r="J351" t="s">
        <v>115</v>
      </c>
      <c r="K351" t="s">
        <v>137</v>
      </c>
      <c r="L351">
        <v>5</v>
      </c>
      <c r="M351">
        <v>48881.01</v>
      </c>
      <c r="N351">
        <v>0.28999999999999998</v>
      </c>
      <c r="O351">
        <v>271257.62</v>
      </c>
      <c r="P351">
        <v>14499.23</v>
      </c>
      <c r="Q351">
        <v>74.540000000000006</v>
      </c>
      <c r="R351" t="s">
        <v>65</v>
      </c>
      <c r="S351">
        <v>4</v>
      </c>
      <c r="T351" t="b">
        <v>0</v>
      </c>
      <c r="U351" t="s">
        <v>93</v>
      </c>
      <c r="V351">
        <v>2</v>
      </c>
    </row>
    <row r="352" spans="1:22" x14ac:dyDescent="0.25">
      <c r="A352" t="s">
        <v>1040</v>
      </c>
      <c r="B352" s="1">
        <v>44454</v>
      </c>
      <c r="C352" t="s">
        <v>1041</v>
      </c>
      <c r="D352" t="s">
        <v>241</v>
      </c>
      <c r="E352">
        <v>46</v>
      </c>
      <c r="F352" t="str">
        <f>IF(Table1[[#This Row],[age]]&lt;=25,"18-25",IF(Table1[[#This Row],[age]]&lt;=35,"26-35",IF(Table1[[#This Row],[age]]&lt;=50,"36-50","51+")))</f>
        <v>36-50</v>
      </c>
      <c r="G352" t="s">
        <v>34</v>
      </c>
      <c r="H352" t="s">
        <v>69</v>
      </c>
      <c r="I352" t="s">
        <v>181</v>
      </c>
      <c r="J352" t="s">
        <v>47</v>
      </c>
      <c r="K352" t="s">
        <v>120</v>
      </c>
      <c r="L352">
        <v>1</v>
      </c>
      <c r="M352">
        <v>1391.59</v>
      </c>
      <c r="N352">
        <v>0.04</v>
      </c>
      <c r="O352">
        <v>1424.19</v>
      </c>
      <c r="P352">
        <v>496.68</v>
      </c>
      <c r="Q352">
        <v>84.05</v>
      </c>
      <c r="R352" t="s">
        <v>92</v>
      </c>
      <c r="S352">
        <v>4</v>
      </c>
      <c r="T352" t="b">
        <v>0</v>
      </c>
      <c r="U352" t="s">
        <v>93</v>
      </c>
      <c r="V352">
        <v>5</v>
      </c>
    </row>
    <row r="353" spans="1:22" x14ac:dyDescent="0.25">
      <c r="A353" t="s">
        <v>1042</v>
      </c>
      <c r="B353" s="1">
        <v>45010</v>
      </c>
      <c r="C353" t="s">
        <v>1043</v>
      </c>
      <c r="D353" t="s">
        <v>297</v>
      </c>
      <c r="E353">
        <v>24</v>
      </c>
      <c r="F353" t="str">
        <f>IF(Table1[[#This Row],[age]]&lt;=25,"18-25",IF(Table1[[#This Row],[age]]&lt;=35,"26-35",IF(Table1[[#This Row],[age]]&lt;=50,"36-50","51+")))</f>
        <v>18-25</v>
      </c>
      <c r="G353" t="s">
        <v>54</v>
      </c>
      <c r="H353" t="s">
        <v>25</v>
      </c>
      <c r="I353" t="s">
        <v>35</v>
      </c>
      <c r="J353" t="s">
        <v>36</v>
      </c>
      <c r="K353" t="s">
        <v>42</v>
      </c>
      <c r="L353">
        <v>6</v>
      </c>
      <c r="M353">
        <v>16778.259999999998</v>
      </c>
      <c r="N353">
        <v>0.34</v>
      </c>
      <c r="O353">
        <v>79749.850000000006</v>
      </c>
      <c r="P353">
        <v>20899.580000000002</v>
      </c>
      <c r="Q353">
        <v>68.680000000000007</v>
      </c>
      <c r="R353" t="s">
        <v>65</v>
      </c>
      <c r="S353">
        <v>3</v>
      </c>
      <c r="T353" t="b">
        <v>0</v>
      </c>
      <c r="U353" t="s">
        <v>30</v>
      </c>
      <c r="V353">
        <v>9</v>
      </c>
    </row>
    <row r="354" spans="1:22" x14ac:dyDescent="0.25">
      <c r="A354" t="s">
        <v>1044</v>
      </c>
      <c r="B354" s="1">
        <v>44184</v>
      </c>
      <c r="C354" t="s">
        <v>1045</v>
      </c>
      <c r="D354" t="s">
        <v>352</v>
      </c>
      <c r="E354">
        <v>51</v>
      </c>
      <c r="F354" t="str">
        <f>IF(Table1[[#This Row],[age]]&lt;=25,"18-25",IF(Table1[[#This Row],[age]]&lt;=35,"26-35",IF(Table1[[#This Row],[age]]&lt;=50,"36-50","51+")))</f>
        <v>51+</v>
      </c>
      <c r="G354" t="s">
        <v>54</v>
      </c>
      <c r="H354" t="s">
        <v>61</v>
      </c>
      <c r="I354" t="s">
        <v>62</v>
      </c>
      <c r="J354" t="s">
        <v>115</v>
      </c>
      <c r="K354" t="s">
        <v>145</v>
      </c>
      <c r="L354">
        <v>9</v>
      </c>
      <c r="M354">
        <v>59205.69</v>
      </c>
      <c r="N354">
        <v>0.28999999999999998</v>
      </c>
      <c r="O354">
        <v>281237.44</v>
      </c>
      <c r="P354">
        <v>26659.17</v>
      </c>
      <c r="Q354">
        <v>68.680000000000007</v>
      </c>
      <c r="R354" t="s">
        <v>29</v>
      </c>
      <c r="S354">
        <v>4</v>
      </c>
      <c r="T354" t="b">
        <v>0</v>
      </c>
      <c r="U354" t="s">
        <v>30</v>
      </c>
      <c r="V354">
        <v>8</v>
      </c>
    </row>
    <row r="355" spans="1:22" x14ac:dyDescent="0.25">
      <c r="A355" t="s">
        <v>1046</v>
      </c>
      <c r="B355" s="1">
        <v>45612</v>
      </c>
      <c r="C355" t="s">
        <v>1047</v>
      </c>
      <c r="D355" t="s">
        <v>1048</v>
      </c>
      <c r="E355">
        <v>35</v>
      </c>
      <c r="F355" t="str">
        <f>IF(Table1[[#This Row],[age]]&lt;=25,"18-25",IF(Table1[[#This Row],[age]]&lt;=35,"26-35",IF(Table1[[#This Row],[age]]&lt;=50,"36-50","51+")))</f>
        <v>26-35</v>
      </c>
      <c r="G355" t="s">
        <v>54</v>
      </c>
      <c r="H355" t="s">
        <v>25</v>
      </c>
      <c r="I355" t="s">
        <v>298</v>
      </c>
      <c r="J355" t="s">
        <v>115</v>
      </c>
      <c r="K355" t="s">
        <v>137</v>
      </c>
      <c r="L355">
        <v>3</v>
      </c>
      <c r="M355">
        <v>36271.47</v>
      </c>
      <c r="N355">
        <v>0.08</v>
      </c>
      <c r="O355">
        <v>106383.22</v>
      </c>
      <c r="P355">
        <v>8562.92</v>
      </c>
      <c r="Q355">
        <v>64.31</v>
      </c>
      <c r="R355" t="s">
        <v>57</v>
      </c>
      <c r="S355">
        <v>2</v>
      </c>
      <c r="T355" t="b">
        <v>1</v>
      </c>
      <c r="U355" t="s">
        <v>50</v>
      </c>
      <c r="V355">
        <v>10</v>
      </c>
    </row>
    <row r="356" spans="1:22" x14ac:dyDescent="0.25">
      <c r="A356" t="s">
        <v>1049</v>
      </c>
      <c r="B356" s="1">
        <v>45464</v>
      </c>
      <c r="C356" t="s">
        <v>1050</v>
      </c>
      <c r="D356" t="s">
        <v>1051</v>
      </c>
      <c r="E356">
        <v>49</v>
      </c>
      <c r="F356" t="str">
        <f>IF(Table1[[#This Row],[age]]&lt;=25,"18-25",IF(Table1[[#This Row],[age]]&lt;=35,"26-35",IF(Table1[[#This Row],[age]]&lt;=50,"36-50","51+")))</f>
        <v>36-50</v>
      </c>
      <c r="G356" t="s">
        <v>24</v>
      </c>
      <c r="H356" t="s">
        <v>61</v>
      </c>
      <c r="I356" t="s">
        <v>163</v>
      </c>
      <c r="J356" t="s">
        <v>47</v>
      </c>
      <c r="K356" t="s">
        <v>204</v>
      </c>
      <c r="L356">
        <v>6</v>
      </c>
      <c r="M356">
        <v>587.29999999999995</v>
      </c>
      <c r="N356">
        <v>0.23</v>
      </c>
      <c r="O356">
        <v>4643.97</v>
      </c>
      <c r="P356">
        <v>1923.83</v>
      </c>
      <c r="Q356">
        <v>52.24</v>
      </c>
      <c r="R356" t="s">
        <v>92</v>
      </c>
      <c r="S356">
        <v>5</v>
      </c>
      <c r="T356" t="b">
        <v>0</v>
      </c>
      <c r="U356" t="s">
        <v>30</v>
      </c>
      <c r="V356">
        <v>5</v>
      </c>
    </row>
    <row r="357" spans="1:22" x14ac:dyDescent="0.25">
      <c r="A357" t="s">
        <v>1052</v>
      </c>
      <c r="B357" s="1">
        <v>44523</v>
      </c>
      <c r="C357" t="s">
        <v>1053</v>
      </c>
      <c r="D357" t="s">
        <v>1054</v>
      </c>
      <c r="E357">
        <v>23</v>
      </c>
      <c r="F357" t="str">
        <f>IF(Table1[[#This Row],[age]]&lt;=25,"18-25",IF(Table1[[#This Row],[age]]&lt;=35,"26-35",IF(Table1[[#This Row],[age]]&lt;=50,"36-50","51+")))</f>
        <v>18-25</v>
      </c>
      <c r="G357" t="s">
        <v>24</v>
      </c>
      <c r="H357" t="s">
        <v>80</v>
      </c>
      <c r="I357" t="s">
        <v>242</v>
      </c>
      <c r="J357" t="s">
        <v>36</v>
      </c>
      <c r="K357" t="s">
        <v>42</v>
      </c>
      <c r="L357">
        <v>7</v>
      </c>
      <c r="M357">
        <v>32709.32</v>
      </c>
      <c r="N357">
        <v>0.15</v>
      </c>
      <c r="O357">
        <v>154037.82999999999</v>
      </c>
      <c r="P357">
        <v>40170.160000000003</v>
      </c>
      <c r="Q357">
        <v>86.06</v>
      </c>
      <c r="R357" t="s">
        <v>49</v>
      </c>
      <c r="S357">
        <v>2</v>
      </c>
      <c r="T357" t="b">
        <v>0</v>
      </c>
      <c r="U357" t="s">
        <v>30</v>
      </c>
      <c r="V357">
        <v>1</v>
      </c>
    </row>
    <row r="358" spans="1:22" x14ac:dyDescent="0.25">
      <c r="A358" t="s">
        <v>1055</v>
      </c>
      <c r="B358" s="1">
        <v>44303</v>
      </c>
      <c r="C358" t="s">
        <v>1056</v>
      </c>
      <c r="D358" t="s">
        <v>174</v>
      </c>
      <c r="E358">
        <v>20</v>
      </c>
      <c r="F358" t="str">
        <f>IF(Table1[[#This Row],[age]]&lt;=25,"18-25",IF(Table1[[#This Row],[age]]&lt;=35,"26-35",IF(Table1[[#This Row],[age]]&lt;=50,"36-50","51+")))</f>
        <v>18-25</v>
      </c>
      <c r="G358" t="s">
        <v>34</v>
      </c>
      <c r="H358" t="s">
        <v>55</v>
      </c>
      <c r="I358" t="s">
        <v>114</v>
      </c>
      <c r="J358" t="s">
        <v>106</v>
      </c>
      <c r="K358" t="s">
        <v>247</v>
      </c>
      <c r="L358">
        <v>7</v>
      </c>
      <c r="M358">
        <v>228.64</v>
      </c>
      <c r="N358">
        <v>0.17</v>
      </c>
      <c r="O358">
        <v>1426.02</v>
      </c>
      <c r="P358">
        <v>99.2</v>
      </c>
      <c r="Q358">
        <v>68.16</v>
      </c>
      <c r="R358" t="s">
        <v>92</v>
      </c>
      <c r="S358">
        <v>1</v>
      </c>
      <c r="T358" t="b">
        <v>0</v>
      </c>
      <c r="U358" t="s">
        <v>30</v>
      </c>
      <c r="V358">
        <v>8</v>
      </c>
    </row>
    <row r="359" spans="1:22" x14ac:dyDescent="0.25">
      <c r="A359" t="s">
        <v>1057</v>
      </c>
      <c r="B359" s="1">
        <v>44517</v>
      </c>
      <c r="C359" t="s">
        <v>1058</v>
      </c>
      <c r="D359" t="s">
        <v>1059</v>
      </c>
      <c r="E359">
        <v>42</v>
      </c>
      <c r="F359" t="str">
        <f>IF(Table1[[#This Row],[age]]&lt;=25,"18-25",IF(Table1[[#This Row],[age]]&lt;=35,"26-35",IF(Table1[[#This Row],[age]]&lt;=50,"36-50","51+")))</f>
        <v>36-50</v>
      </c>
      <c r="G359" t="s">
        <v>34</v>
      </c>
      <c r="H359" t="s">
        <v>61</v>
      </c>
      <c r="I359" t="s">
        <v>163</v>
      </c>
      <c r="J359" t="s">
        <v>106</v>
      </c>
      <c r="K359" t="s">
        <v>314</v>
      </c>
      <c r="L359">
        <v>3</v>
      </c>
      <c r="M359">
        <v>308.05</v>
      </c>
      <c r="N359">
        <v>0.19</v>
      </c>
      <c r="O359">
        <v>531.13</v>
      </c>
      <c r="P359">
        <v>41.25</v>
      </c>
      <c r="Q359">
        <v>45.78</v>
      </c>
      <c r="R359" t="s">
        <v>49</v>
      </c>
      <c r="S359">
        <v>3</v>
      </c>
      <c r="T359" t="b">
        <v>0</v>
      </c>
      <c r="U359" t="s">
        <v>30</v>
      </c>
      <c r="V359">
        <v>2</v>
      </c>
    </row>
    <row r="360" spans="1:22" x14ac:dyDescent="0.25">
      <c r="A360" t="s">
        <v>1060</v>
      </c>
      <c r="B360" s="1">
        <v>45255</v>
      </c>
      <c r="C360" t="s">
        <v>1061</v>
      </c>
      <c r="D360" t="s">
        <v>1051</v>
      </c>
      <c r="E360">
        <v>32</v>
      </c>
      <c r="F360" t="str">
        <f>IF(Table1[[#This Row],[age]]&lt;=25,"18-25",IF(Table1[[#This Row],[age]]&lt;=35,"26-35",IF(Table1[[#This Row],[age]]&lt;=50,"36-50","51+")))</f>
        <v>26-35</v>
      </c>
      <c r="G360" t="s">
        <v>34</v>
      </c>
      <c r="H360" t="s">
        <v>55</v>
      </c>
      <c r="I360" t="s">
        <v>75</v>
      </c>
      <c r="J360" t="s">
        <v>63</v>
      </c>
      <c r="K360" t="s">
        <v>64</v>
      </c>
      <c r="L360">
        <v>4</v>
      </c>
      <c r="M360">
        <v>2037.61</v>
      </c>
      <c r="N360">
        <v>0.09</v>
      </c>
      <c r="O360">
        <v>7459.65</v>
      </c>
      <c r="P360">
        <v>2991.98</v>
      </c>
      <c r="Q360">
        <v>28.18</v>
      </c>
      <c r="R360" t="s">
        <v>49</v>
      </c>
      <c r="S360">
        <v>1</v>
      </c>
      <c r="T360" t="b">
        <v>1</v>
      </c>
      <c r="U360" t="s">
        <v>50</v>
      </c>
      <c r="V360">
        <v>7</v>
      </c>
    </row>
    <row r="361" spans="1:22" x14ac:dyDescent="0.25">
      <c r="A361" t="s">
        <v>1062</v>
      </c>
      <c r="B361" s="1">
        <v>44935</v>
      </c>
      <c r="C361" t="s">
        <v>1063</v>
      </c>
      <c r="D361" t="s">
        <v>68</v>
      </c>
      <c r="E361">
        <v>47</v>
      </c>
      <c r="F361" t="str">
        <f>IF(Table1[[#This Row],[age]]&lt;=25,"18-25",IF(Table1[[#This Row],[age]]&lt;=35,"26-35",IF(Table1[[#This Row],[age]]&lt;=50,"36-50","51+")))</f>
        <v>36-50</v>
      </c>
      <c r="G361" t="s">
        <v>34</v>
      </c>
      <c r="H361" t="s">
        <v>61</v>
      </c>
      <c r="I361" t="s">
        <v>91</v>
      </c>
      <c r="J361" t="s">
        <v>36</v>
      </c>
      <c r="K361" t="s">
        <v>230</v>
      </c>
      <c r="L361">
        <v>4</v>
      </c>
      <c r="M361">
        <v>16407.34</v>
      </c>
      <c r="N361">
        <v>0.13</v>
      </c>
      <c r="O361">
        <v>51661.63</v>
      </c>
      <c r="P361">
        <v>18819.990000000002</v>
      </c>
      <c r="Q361">
        <v>55.63</v>
      </c>
      <c r="R361" t="s">
        <v>49</v>
      </c>
      <c r="S361">
        <v>3</v>
      </c>
      <c r="T361" t="b">
        <v>0</v>
      </c>
      <c r="U361" t="s">
        <v>30</v>
      </c>
      <c r="V361">
        <v>7</v>
      </c>
    </row>
    <row r="362" spans="1:22" x14ac:dyDescent="0.25">
      <c r="A362" t="s">
        <v>1064</v>
      </c>
      <c r="B362" s="1">
        <v>44231</v>
      </c>
      <c r="C362" t="s">
        <v>1065</v>
      </c>
      <c r="D362" t="s">
        <v>1066</v>
      </c>
      <c r="E362">
        <v>27</v>
      </c>
      <c r="F362" t="str">
        <f>IF(Table1[[#This Row],[age]]&lt;=25,"18-25",IF(Table1[[#This Row],[age]]&lt;=35,"26-35",IF(Table1[[#This Row],[age]]&lt;=50,"36-50","51+")))</f>
        <v>26-35</v>
      </c>
      <c r="G362" t="s">
        <v>34</v>
      </c>
      <c r="H362" t="s">
        <v>25</v>
      </c>
      <c r="I362" t="s">
        <v>26</v>
      </c>
      <c r="J362" t="s">
        <v>63</v>
      </c>
      <c r="K362" t="s">
        <v>111</v>
      </c>
      <c r="L362">
        <v>10</v>
      </c>
      <c r="M362">
        <v>1064.5</v>
      </c>
      <c r="N362">
        <v>0.2</v>
      </c>
      <c r="O362">
        <v>8259.5300000000007</v>
      </c>
      <c r="P362">
        <v>3321.3</v>
      </c>
      <c r="Q362">
        <v>64.42</v>
      </c>
      <c r="R362" t="s">
        <v>49</v>
      </c>
      <c r="S362">
        <v>4</v>
      </c>
      <c r="T362" t="b">
        <v>0</v>
      </c>
      <c r="U362" t="s">
        <v>30</v>
      </c>
      <c r="V362">
        <v>9</v>
      </c>
    </row>
    <row r="363" spans="1:22" x14ac:dyDescent="0.25">
      <c r="A363" t="s">
        <v>1067</v>
      </c>
      <c r="B363" s="1">
        <v>44920</v>
      </c>
      <c r="C363" t="s">
        <v>1068</v>
      </c>
      <c r="D363" t="s">
        <v>1069</v>
      </c>
      <c r="E363">
        <v>43</v>
      </c>
      <c r="F363" t="str">
        <f>IF(Table1[[#This Row],[age]]&lt;=25,"18-25",IF(Table1[[#This Row],[age]]&lt;=35,"26-35",IF(Table1[[#This Row],[age]]&lt;=50,"36-50","51+")))</f>
        <v>36-50</v>
      </c>
      <c r="G363" t="s">
        <v>34</v>
      </c>
      <c r="H363" t="s">
        <v>80</v>
      </c>
      <c r="I363" t="s">
        <v>236</v>
      </c>
      <c r="J363" t="s">
        <v>27</v>
      </c>
      <c r="K363" t="s">
        <v>480</v>
      </c>
      <c r="L363">
        <v>4</v>
      </c>
      <c r="M363">
        <v>1024.2</v>
      </c>
      <c r="N363">
        <v>0.28000000000000003</v>
      </c>
      <c r="O363">
        <v>2046.31</v>
      </c>
      <c r="P363">
        <v>485.53</v>
      </c>
      <c r="Q363">
        <v>57.96</v>
      </c>
      <c r="R363" t="s">
        <v>92</v>
      </c>
      <c r="S363">
        <v>2</v>
      </c>
      <c r="T363" t="b">
        <v>0</v>
      </c>
      <c r="U363" t="s">
        <v>30</v>
      </c>
      <c r="V363">
        <v>9</v>
      </c>
    </row>
    <row r="364" spans="1:22" x14ac:dyDescent="0.25">
      <c r="A364" t="s">
        <v>1070</v>
      </c>
      <c r="B364" s="1">
        <v>45280</v>
      </c>
      <c r="C364" t="s">
        <v>1071</v>
      </c>
      <c r="D364" t="s">
        <v>155</v>
      </c>
      <c r="E364">
        <v>36</v>
      </c>
      <c r="F364" t="str">
        <f>IF(Table1[[#This Row],[age]]&lt;=25,"18-25",IF(Table1[[#This Row],[age]]&lt;=35,"26-35",IF(Table1[[#This Row],[age]]&lt;=50,"36-50","51+")))</f>
        <v>36-50</v>
      </c>
      <c r="G364" t="s">
        <v>54</v>
      </c>
      <c r="H364" t="s">
        <v>80</v>
      </c>
      <c r="I364" t="s">
        <v>81</v>
      </c>
      <c r="J364" t="s">
        <v>101</v>
      </c>
      <c r="K364" t="s">
        <v>124</v>
      </c>
      <c r="L364">
        <v>5</v>
      </c>
      <c r="M364">
        <v>11277.04</v>
      </c>
      <c r="N364">
        <v>0.03</v>
      </c>
      <c r="O364">
        <v>47607.55</v>
      </c>
      <c r="P364">
        <v>14946.09</v>
      </c>
      <c r="Q364">
        <v>96.43</v>
      </c>
      <c r="R364" t="s">
        <v>43</v>
      </c>
      <c r="S364">
        <v>2</v>
      </c>
      <c r="T364" t="b">
        <v>0</v>
      </c>
      <c r="U364" t="s">
        <v>93</v>
      </c>
      <c r="V364">
        <v>8</v>
      </c>
    </row>
    <row r="365" spans="1:22" x14ac:dyDescent="0.25">
      <c r="A365" t="s">
        <v>1072</v>
      </c>
      <c r="B365" s="1">
        <v>45450</v>
      </c>
      <c r="C365" t="s">
        <v>1073</v>
      </c>
      <c r="D365" t="s">
        <v>1074</v>
      </c>
      <c r="E365">
        <v>23</v>
      </c>
      <c r="F365" t="str">
        <f>IF(Table1[[#This Row],[age]]&lt;=25,"18-25",IF(Table1[[#This Row],[age]]&lt;=35,"26-35",IF(Table1[[#This Row],[age]]&lt;=50,"36-50","51+")))</f>
        <v>18-25</v>
      </c>
      <c r="G365" t="s">
        <v>54</v>
      </c>
      <c r="H365" t="s">
        <v>69</v>
      </c>
      <c r="I365" t="s">
        <v>221</v>
      </c>
      <c r="J365" t="s">
        <v>63</v>
      </c>
      <c r="K365" t="s">
        <v>64</v>
      </c>
      <c r="L365">
        <v>6</v>
      </c>
      <c r="M365">
        <v>3566.25</v>
      </c>
      <c r="N365">
        <v>0.19</v>
      </c>
      <c r="O365">
        <v>31426.55</v>
      </c>
      <c r="P365">
        <v>12874.37</v>
      </c>
      <c r="Q365">
        <v>94.51</v>
      </c>
      <c r="R365" t="s">
        <v>43</v>
      </c>
      <c r="S365">
        <v>5</v>
      </c>
      <c r="T365" t="b">
        <v>0</v>
      </c>
      <c r="U365" t="s">
        <v>30</v>
      </c>
      <c r="V365">
        <v>2</v>
      </c>
    </row>
    <row r="366" spans="1:22" x14ac:dyDescent="0.25">
      <c r="A366" t="s">
        <v>1075</v>
      </c>
      <c r="B366" s="1">
        <v>44167</v>
      </c>
      <c r="C366" t="s">
        <v>1076</v>
      </c>
      <c r="D366" t="s">
        <v>278</v>
      </c>
      <c r="E366">
        <v>21</v>
      </c>
      <c r="F366" t="str">
        <f>IF(Table1[[#This Row],[age]]&lt;=25,"18-25",IF(Table1[[#This Row],[age]]&lt;=35,"26-35",IF(Table1[[#This Row],[age]]&lt;=50,"36-50","51+")))</f>
        <v>18-25</v>
      </c>
      <c r="G366" t="s">
        <v>24</v>
      </c>
      <c r="H366" t="s">
        <v>61</v>
      </c>
      <c r="I366" t="s">
        <v>62</v>
      </c>
      <c r="J366" t="s">
        <v>106</v>
      </c>
      <c r="K366" t="s">
        <v>314</v>
      </c>
      <c r="L366">
        <v>9</v>
      </c>
      <c r="M366">
        <v>335.03</v>
      </c>
      <c r="N366">
        <v>0.34</v>
      </c>
      <c r="O366">
        <v>1431.69</v>
      </c>
      <c r="P366">
        <v>93.14</v>
      </c>
      <c r="Q366">
        <v>59.48</v>
      </c>
      <c r="R366" t="s">
        <v>92</v>
      </c>
      <c r="S366">
        <v>4</v>
      </c>
      <c r="T366" t="b">
        <v>1</v>
      </c>
      <c r="U366" t="s">
        <v>50</v>
      </c>
      <c r="V366">
        <v>1</v>
      </c>
    </row>
    <row r="367" spans="1:22" x14ac:dyDescent="0.25">
      <c r="A367" t="s">
        <v>1077</v>
      </c>
      <c r="B367" s="1">
        <v>45007</v>
      </c>
      <c r="C367" t="s">
        <v>1078</v>
      </c>
      <c r="D367" t="s">
        <v>797</v>
      </c>
      <c r="E367">
        <v>29</v>
      </c>
      <c r="F367" t="str">
        <f>IF(Table1[[#This Row],[age]]&lt;=25,"18-25",IF(Table1[[#This Row],[age]]&lt;=35,"26-35",IF(Table1[[#This Row],[age]]&lt;=50,"36-50","51+")))</f>
        <v>26-35</v>
      </c>
      <c r="G367" t="s">
        <v>34</v>
      </c>
      <c r="H367" t="s">
        <v>61</v>
      </c>
      <c r="I367" t="s">
        <v>141</v>
      </c>
      <c r="J367" t="s">
        <v>106</v>
      </c>
      <c r="K367" t="s">
        <v>188</v>
      </c>
      <c r="L367">
        <v>8</v>
      </c>
      <c r="M367">
        <v>172.53</v>
      </c>
      <c r="N367">
        <v>0.22</v>
      </c>
      <c r="O367">
        <v>1491.46</v>
      </c>
      <c r="P367">
        <v>177.24</v>
      </c>
      <c r="Q367">
        <v>47.93</v>
      </c>
      <c r="R367" t="s">
        <v>57</v>
      </c>
      <c r="S367">
        <v>3</v>
      </c>
      <c r="T367" t="b">
        <v>0</v>
      </c>
      <c r="U367" t="s">
        <v>30</v>
      </c>
      <c r="V367">
        <v>4</v>
      </c>
    </row>
    <row r="368" spans="1:22" x14ac:dyDescent="0.25">
      <c r="A368" t="s">
        <v>1079</v>
      </c>
      <c r="B368" s="1">
        <v>45160</v>
      </c>
      <c r="C368" t="s">
        <v>1080</v>
      </c>
      <c r="D368" t="s">
        <v>923</v>
      </c>
      <c r="E368">
        <v>24</v>
      </c>
      <c r="F368" t="str">
        <f>IF(Table1[[#This Row],[age]]&lt;=25,"18-25",IF(Table1[[#This Row],[age]]&lt;=35,"26-35",IF(Table1[[#This Row],[age]]&lt;=50,"36-50","51+")))</f>
        <v>18-25</v>
      </c>
      <c r="G368" t="s">
        <v>54</v>
      </c>
      <c r="H368" t="s">
        <v>69</v>
      </c>
      <c r="I368" t="s">
        <v>70</v>
      </c>
      <c r="J368" t="s">
        <v>101</v>
      </c>
      <c r="K368" t="s">
        <v>124</v>
      </c>
      <c r="L368">
        <v>1</v>
      </c>
      <c r="M368">
        <v>7788.48</v>
      </c>
      <c r="N368">
        <v>0.16</v>
      </c>
      <c r="O368">
        <v>9678.82</v>
      </c>
      <c r="P368">
        <v>2560.56</v>
      </c>
      <c r="Q368">
        <v>67.88</v>
      </c>
      <c r="R368" t="s">
        <v>43</v>
      </c>
      <c r="S368">
        <v>4</v>
      </c>
      <c r="T368" t="b">
        <v>0</v>
      </c>
      <c r="U368" t="s">
        <v>93</v>
      </c>
      <c r="V368">
        <v>3</v>
      </c>
    </row>
    <row r="369" spans="1:22" x14ac:dyDescent="0.25">
      <c r="A369" t="s">
        <v>1081</v>
      </c>
      <c r="B369" s="1">
        <v>43867</v>
      </c>
      <c r="C369" t="s">
        <v>1082</v>
      </c>
      <c r="D369" t="s">
        <v>1083</v>
      </c>
      <c r="E369">
        <v>38</v>
      </c>
      <c r="F369" t="str">
        <f>IF(Table1[[#This Row],[age]]&lt;=25,"18-25",IF(Table1[[#This Row],[age]]&lt;=35,"26-35",IF(Table1[[#This Row],[age]]&lt;=50,"36-50","51+")))</f>
        <v>36-50</v>
      </c>
      <c r="G369" t="s">
        <v>54</v>
      </c>
      <c r="H369" t="s">
        <v>69</v>
      </c>
      <c r="I369" t="s">
        <v>221</v>
      </c>
      <c r="J369" t="s">
        <v>27</v>
      </c>
      <c r="K369" t="s">
        <v>128</v>
      </c>
      <c r="L369">
        <v>3</v>
      </c>
      <c r="M369">
        <v>1535.87</v>
      </c>
      <c r="N369">
        <v>0.04</v>
      </c>
      <c r="O369">
        <v>3186.03</v>
      </c>
      <c r="P369">
        <v>1346.8</v>
      </c>
      <c r="Q369">
        <v>86.51</v>
      </c>
      <c r="R369" t="s">
        <v>49</v>
      </c>
      <c r="S369">
        <v>5</v>
      </c>
      <c r="T369" t="b">
        <v>1</v>
      </c>
      <c r="U369" t="s">
        <v>50</v>
      </c>
      <c r="V369">
        <v>7</v>
      </c>
    </row>
    <row r="370" spans="1:22" x14ac:dyDescent="0.25">
      <c r="A370" t="s">
        <v>1084</v>
      </c>
      <c r="B370" s="1">
        <v>45071</v>
      </c>
      <c r="C370" t="s">
        <v>1085</v>
      </c>
      <c r="D370" t="s">
        <v>468</v>
      </c>
      <c r="E370">
        <v>31</v>
      </c>
      <c r="F370" t="str">
        <f>IF(Table1[[#This Row],[age]]&lt;=25,"18-25",IF(Table1[[#This Row],[age]]&lt;=35,"26-35",IF(Table1[[#This Row],[age]]&lt;=50,"36-50","51+")))</f>
        <v>26-35</v>
      </c>
      <c r="G370" t="s">
        <v>54</v>
      </c>
      <c r="H370" t="s">
        <v>25</v>
      </c>
      <c r="I370" t="s">
        <v>41</v>
      </c>
      <c r="J370" t="s">
        <v>106</v>
      </c>
      <c r="K370" t="s">
        <v>331</v>
      </c>
      <c r="L370">
        <v>8</v>
      </c>
      <c r="M370">
        <v>399.28</v>
      </c>
      <c r="N370">
        <v>0.11</v>
      </c>
      <c r="O370">
        <v>5100.96</v>
      </c>
      <c r="P370">
        <v>406.96</v>
      </c>
      <c r="Q370">
        <v>62.93</v>
      </c>
      <c r="R370" t="s">
        <v>49</v>
      </c>
      <c r="S370">
        <v>4</v>
      </c>
      <c r="T370" t="b">
        <v>0</v>
      </c>
      <c r="U370" t="s">
        <v>93</v>
      </c>
      <c r="V370">
        <v>2</v>
      </c>
    </row>
    <row r="371" spans="1:22" x14ac:dyDescent="0.25">
      <c r="A371" t="s">
        <v>1086</v>
      </c>
      <c r="B371" s="1">
        <v>45151</v>
      </c>
      <c r="C371" t="s">
        <v>1087</v>
      </c>
      <c r="D371" t="s">
        <v>174</v>
      </c>
      <c r="E371">
        <v>30</v>
      </c>
      <c r="F371" t="str">
        <f>IF(Table1[[#This Row],[age]]&lt;=25,"18-25",IF(Table1[[#This Row],[age]]&lt;=35,"26-35",IF(Table1[[#This Row],[age]]&lt;=50,"36-50","51+")))</f>
        <v>26-35</v>
      </c>
      <c r="G371" t="s">
        <v>54</v>
      </c>
      <c r="H371" t="s">
        <v>55</v>
      </c>
      <c r="I371" t="s">
        <v>97</v>
      </c>
      <c r="J371" t="s">
        <v>36</v>
      </c>
      <c r="K371" t="s">
        <v>230</v>
      </c>
      <c r="L371">
        <v>10</v>
      </c>
      <c r="M371">
        <v>5902.83</v>
      </c>
      <c r="N371">
        <v>0.26</v>
      </c>
      <c r="O371">
        <v>61642.35</v>
      </c>
      <c r="P371">
        <v>21436.01</v>
      </c>
      <c r="Q371">
        <v>63.39</v>
      </c>
      <c r="R371" t="s">
        <v>57</v>
      </c>
      <c r="S371">
        <v>3</v>
      </c>
      <c r="T371" t="b">
        <v>0</v>
      </c>
      <c r="U371" t="s">
        <v>30</v>
      </c>
      <c r="V371">
        <v>7</v>
      </c>
    </row>
    <row r="372" spans="1:22" x14ac:dyDescent="0.25">
      <c r="A372" t="s">
        <v>1088</v>
      </c>
      <c r="B372" s="1">
        <v>45531</v>
      </c>
      <c r="C372" t="s">
        <v>1089</v>
      </c>
      <c r="D372" t="s">
        <v>967</v>
      </c>
      <c r="E372">
        <v>29</v>
      </c>
      <c r="F372" t="str">
        <f>IF(Table1[[#This Row],[age]]&lt;=25,"18-25",IF(Table1[[#This Row],[age]]&lt;=35,"26-35",IF(Table1[[#This Row],[age]]&lt;=50,"36-50","51+")))</f>
        <v>26-35</v>
      </c>
      <c r="G372" t="s">
        <v>24</v>
      </c>
      <c r="H372" t="s">
        <v>80</v>
      </c>
      <c r="I372" t="s">
        <v>236</v>
      </c>
      <c r="J372" t="s">
        <v>101</v>
      </c>
      <c r="K372" t="s">
        <v>456</v>
      </c>
      <c r="L372">
        <v>9</v>
      </c>
      <c r="M372">
        <v>4499.21</v>
      </c>
      <c r="N372">
        <v>0.06</v>
      </c>
      <c r="O372">
        <v>57299.76</v>
      </c>
      <c r="P372">
        <v>12249.26</v>
      </c>
      <c r="Q372">
        <v>66.59</v>
      </c>
      <c r="R372" t="s">
        <v>92</v>
      </c>
      <c r="S372">
        <v>2</v>
      </c>
      <c r="T372" t="b">
        <v>0</v>
      </c>
      <c r="U372" t="s">
        <v>30</v>
      </c>
      <c r="V372">
        <v>4</v>
      </c>
    </row>
    <row r="373" spans="1:22" x14ac:dyDescent="0.25">
      <c r="A373" t="s">
        <v>1090</v>
      </c>
      <c r="B373" s="1">
        <v>43920</v>
      </c>
      <c r="C373" t="s">
        <v>1091</v>
      </c>
      <c r="D373" t="s">
        <v>1092</v>
      </c>
      <c r="E373">
        <v>27</v>
      </c>
      <c r="F373" t="str">
        <f>IF(Table1[[#This Row],[age]]&lt;=25,"18-25",IF(Table1[[#This Row],[age]]&lt;=35,"26-35",IF(Table1[[#This Row],[age]]&lt;=50,"36-50","51+")))</f>
        <v>26-35</v>
      </c>
      <c r="G373" t="s">
        <v>34</v>
      </c>
      <c r="H373" t="s">
        <v>25</v>
      </c>
      <c r="I373" t="s">
        <v>26</v>
      </c>
      <c r="J373" t="s">
        <v>27</v>
      </c>
      <c r="K373" t="s">
        <v>168</v>
      </c>
      <c r="L373">
        <v>4</v>
      </c>
      <c r="M373">
        <v>2430.1</v>
      </c>
      <c r="N373">
        <v>0.03</v>
      </c>
      <c r="O373">
        <v>8709.27</v>
      </c>
      <c r="P373">
        <v>5472.38</v>
      </c>
      <c r="Q373">
        <v>60.42</v>
      </c>
      <c r="R373" t="s">
        <v>29</v>
      </c>
      <c r="S373">
        <v>5</v>
      </c>
      <c r="T373" t="b">
        <v>0</v>
      </c>
      <c r="U373" t="s">
        <v>30</v>
      </c>
      <c r="V373">
        <v>1</v>
      </c>
    </row>
    <row r="374" spans="1:22" x14ac:dyDescent="0.25">
      <c r="A374" t="s">
        <v>1093</v>
      </c>
      <c r="B374" s="1">
        <v>44091</v>
      </c>
      <c r="C374" t="s">
        <v>1094</v>
      </c>
      <c r="D374" t="s">
        <v>1095</v>
      </c>
      <c r="E374">
        <v>31</v>
      </c>
      <c r="F374" t="str">
        <f>IF(Table1[[#This Row],[age]]&lt;=25,"18-25",IF(Table1[[#This Row],[age]]&lt;=35,"26-35",IF(Table1[[#This Row],[age]]&lt;=50,"36-50","51+")))</f>
        <v>26-35</v>
      </c>
      <c r="G374" t="s">
        <v>34</v>
      </c>
      <c r="H374" t="s">
        <v>80</v>
      </c>
      <c r="I374" t="s">
        <v>81</v>
      </c>
      <c r="J374" t="s">
        <v>47</v>
      </c>
      <c r="K374" t="s">
        <v>156</v>
      </c>
      <c r="L374">
        <v>1</v>
      </c>
      <c r="M374">
        <v>587.49</v>
      </c>
      <c r="N374">
        <v>0.09</v>
      </c>
      <c r="O374">
        <v>560.42999999999995</v>
      </c>
      <c r="P374">
        <v>178.2</v>
      </c>
      <c r="Q374">
        <v>82.7</v>
      </c>
      <c r="R374" t="s">
        <v>29</v>
      </c>
      <c r="S374">
        <v>3</v>
      </c>
      <c r="T374" t="b">
        <v>0</v>
      </c>
      <c r="U374" t="s">
        <v>30</v>
      </c>
      <c r="V374">
        <v>6</v>
      </c>
    </row>
    <row r="375" spans="1:22" x14ac:dyDescent="0.25">
      <c r="A375" t="s">
        <v>1096</v>
      </c>
      <c r="B375" s="1">
        <v>44822</v>
      </c>
      <c r="C375" t="s">
        <v>1097</v>
      </c>
      <c r="D375" t="s">
        <v>246</v>
      </c>
      <c r="E375">
        <v>45</v>
      </c>
      <c r="F375" t="str">
        <f>IF(Table1[[#This Row],[age]]&lt;=25,"18-25",IF(Table1[[#This Row],[age]]&lt;=35,"26-35",IF(Table1[[#This Row],[age]]&lt;=50,"36-50","51+")))</f>
        <v>36-50</v>
      </c>
      <c r="G375" t="s">
        <v>54</v>
      </c>
      <c r="H375" t="s">
        <v>61</v>
      </c>
      <c r="I375" t="s">
        <v>62</v>
      </c>
      <c r="J375" t="s">
        <v>27</v>
      </c>
      <c r="K375" t="s">
        <v>335</v>
      </c>
      <c r="L375">
        <v>9</v>
      </c>
      <c r="M375">
        <v>2226.0700000000002</v>
      </c>
      <c r="N375">
        <v>0.16</v>
      </c>
      <c r="O375">
        <v>18524.57</v>
      </c>
      <c r="P375">
        <v>7612.81</v>
      </c>
      <c r="Q375">
        <v>50.45</v>
      </c>
      <c r="R375" t="s">
        <v>43</v>
      </c>
      <c r="S375">
        <v>4</v>
      </c>
      <c r="T375" t="b">
        <v>0</v>
      </c>
      <c r="U375" t="s">
        <v>30</v>
      </c>
      <c r="V375">
        <v>2</v>
      </c>
    </row>
    <row r="376" spans="1:22" x14ac:dyDescent="0.25">
      <c r="A376" t="s">
        <v>1098</v>
      </c>
      <c r="B376" s="1">
        <v>45033</v>
      </c>
      <c r="C376" t="s">
        <v>1099</v>
      </c>
      <c r="D376" t="s">
        <v>1100</v>
      </c>
      <c r="E376">
        <v>33</v>
      </c>
      <c r="F376" t="str">
        <f>IF(Table1[[#This Row],[age]]&lt;=25,"18-25",IF(Table1[[#This Row],[age]]&lt;=35,"26-35",IF(Table1[[#This Row],[age]]&lt;=50,"36-50","51+")))</f>
        <v>26-35</v>
      </c>
      <c r="G376" t="s">
        <v>54</v>
      </c>
      <c r="H376" t="s">
        <v>61</v>
      </c>
      <c r="I376" t="s">
        <v>141</v>
      </c>
      <c r="J376" t="s">
        <v>27</v>
      </c>
      <c r="K376" t="s">
        <v>168</v>
      </c>
      <c r="L376">
        <v>6</v>
      </c>
      <c r="M376">
        <v>438.59</v>
      </c>
      <c r="N376">
        <v>0.26</v>
      </c>
      <c r="O376">
        <v>2826.56</v>
      </c>
      <c r="P376">
        <v>1014.02</v>
      </c>
      <c r="Q376">
        <v>64.81</v>
      </c>
      <c r="R376" t="s">
        <v>92</v>
      </c>
      <c r="S376">
        <v>3</v>
      </c>
      <c r="T376" t="b">
        <v>1</v>
      </c>
      <c r="U376" t="s">
        <v>50</v>
      </c>
      <c r="V376">
        <v>9</v>
      </c>
    </row>
    <row r="377" spans="1:22" x14ac:dyDescent="0.25">
      <c r="A377" t="s">
        <v>1101</v>
      </c>
      <c r="B377" s="1">
        <v>44692</v>
      </c>
      <c r="C377" t="s">
        <v>1102</v>
      </c>
      <c r="D377" t="s">
        <v>1103</v>
      </c>
      <c r="E377">
        <v>20</v>
      </c>
      <c r="F377" t="str">
        <f>IF(Table1[[#This Row],[age]]&lt;=25,"18-25",IF(Table1[[#This Row],[age]]&lt;=35,"26-35",IF(Table1[[#This Row],[age]]&lt;=50,"36-50","51+")))</f>
        <v>18-25</v>
      </c>
      <c r="G377" t="s">
        <v>54</v>
      </c>
      <c r="H377" t="s">
        <v>80</v>
      </c>
      <c r="I377" t="s">
        <v>242</v>
      </c>
      <c r="J377" t="s">
        <v>27</v>
      </c>
      <c r="K377" t="s">
        <v>168</v>
      </c>
      <c r="L377">
        <v>6</v>
      </c>
      <c r="M377">
        <v>2429.19</v>
      </c>
      <c r="N377">
        <v>0.34</v>
      </c>
      <c r="O377">
        <v>14916.43</v>
      </c>
      <c r="P377">
        <v>8055.68</v>
      </c>
      <c r="Q377">
        <v>40.450000000000003</v>
      </c>
      <c r="R377" t="s">
        <v>65</v>
      </c>
      <c r="S377">
        <v>2</v>
      </c>
      <c r="T377" t="b">
        <v>0</v>
      </c>
      <c r="U377" t="s">
        <v>30</v>
      </c>
      <c r="V377">
        <v>10</v>
      </c>
    </row>
    <row r="378" spans="1:22" x14ac:dyDescent="0.25">
      <c r="A378" t="s">
        <v>1104</v>
      </c>
      <c r="B378" s="1">
        <v>44514</v>
      </c>
      <c r="C378" t="s">
        <v>1105</v>
      </c>
      <c r="D378" t="s">
        <v>85</v>
      </c>
      <c r="E378">
        <v>24</v>
      </c>
      <c r="F378" t="str">
        <f>IF(Table1[[#This Row],[age]]&lt;=25,"18-25",IF(Table1[[#This Row],[age]]&lt;=35,"26-35",IF(Table1[[#This Row],[age]]&lt;=50,"36-50","51+")))</f>
        <v>18-25</v>
      </c>
      <c r="G378" t="s">
        <v>34</v>
      </c>
      <c r="H378" t="s">
        <v>80</v>
      </c>
      <c r="I378" t="s">
        <v>86</v>
      </c>
      <c r="J378" t="s">
        <v>115</v>
      </c>
      <c r="K378" t="s">
        <v>545</v>
      </c>
      <c r="L378">
        <v>7</v>
      </c>
      <c r="M378">
        <v>19882.939999999999</v>
      </c>
      <c r="N378">
        <v>0.28999999999999998</v>
      </c>
      <c r="O378">
        <v>79433.81</v>
      </c>
      <c r="P378">
        <v>8287.36</v>
      </c>
      <c r="Q378">
        <v>61</v>
      </c>
      <c r="R378" t="s">
        <v>43</v>
      </c>
      <c r="S378">
        <v>1</v>
      </c>
      <c r="T378" t="b">
        <v>0</v>
      </c>
      <c r="U378" t="s">
        <v>93</v>
      </c>
      <c r="V378">
        <v>3</v>
      </c>
    </row>
    <row r="379" spans="1:22" x14ac:dyDescent="0.25">
      <c r="A379" t="s">
        <v>1106</v>
      </c>
      <c r="B379" s="1">
        <v>45071</v>
      </c>
      <c r="C379" t="s">
        <v>1107</v>
      </c>
      <c r="D379" t="s">
        <v>618</v>
      </c>
      <c r="E379">
        <v>35</v>
      </c>
      <c r="F379" t="str">
        <f>IF(Table1[[#This Row],[age]]&lt;=25,"18-25",IF(Table1[[#This Row],[age]]&lt;=35,"26-35",IF(Table1[[#This Row],[age]]&lt;=50,"36-50","51+")))</f>
        <v>26-35</v>
      </c>
      <c r="G379" t="s">
        <v>24</v>
      </c>
      <c r="H379" t="s">
        <v>80</v>
      </c>
      <c r="I379" t="s">
        <v>86</v>
      </c>
      <c r="J379" t="s">
        <v>36</v>
      </c>
      <c r="K379" t="s">
        <v>76</v>
      </c>
      <c r="L379">
        <v>10</v>
      </c>
      <c r="M379">
        <v>31142.23</v>
      </c>
      <c r="N379">
        <v>0.12</v>
      </c>
      <c r="O379">
        <v>475250.99</v>
      </c>
      <c r="P379">
        <v>133297.06</v>
      </c>
      <c r="Q379">
        <v>90.65</v>
      </c>
      <c r="R379" t="s">
        <v>65</v>
      </c>
      <c r="S379">
        <v>4</v>
      </c>
      <c r="T379" t="b">
        <v>0</v>
      </c>
      <c r="U379" t="s">
        <v>71</v>
      </c>
      <c r="V379">
        <v>1</v>
      </c>
    </row>
    <row r="380" spans="1:22" x14ac:dyDescent="0.25">
      <c r="A380" t="s">
        <v>1108</v>
      </c>
      <c r="B380" s="1">
        <v>45323</v>
      </c>
      <c r="C380" t="s">
        <v>1109</v>
      </c>
      <c r="D380" t="s">
        <v>144</v>
      </c>
      <c r="E380">
        <v>21</v>
      </c>
      <c r="F380" t="str">
        <f>IF(Table1[[#This Row],[age]]&lt;=25,"18-25",IF(Table1[[#This Row],[age]]&lt;=35,"26-35",IF(Table1[[#This Row],[age]]&lt;=50,"36-50","51+")))</f>
        <v>18-25</v>
      </c>
      <c r="G380" t="s">
        <v>54</v>
      </c>
      <c r="H380" t="s">
        <v>80</v>
      </c>
      <c r="I380" t="s">
        <v>236</v>
      </c>
      <c r="J380" t="s">
        <v>115</v>
      </c>
      <c r="K380" t="s">
        <v>398</v>
      </c>
      <c r="L380">
        <v>6</v>
      </c>
      <c r="M380">
        <v>71178.539999999994</v>
      </c>
      <c r="N380">
        <v>0.11</v>
      </c>
      <c r="O380">
        <v>482509.98</v>
      </c>
      <c r="P380">
        <v>50570.5</v>
      </c>
      <c r="Q380">
        <v>74.900000000000006</v>
      </c>
      <c r="R380" t="s">
        <v>65</v>
      </c>
      <c r="S380">
        <v>3</v>
      </c>
      <c r="T380" t="b">
        <v>0</v>
      </c>
      <c r="U380" t="s">
        <v>30</v>
      </c>
      <c r="V380">
        <v>2</v>
      </c>
    </row>
    <row r="381" spans="1:22" x14ac:dyDescent="0.25">
      <c r="A381" t="s">
        <v>1110</v>
      </c>
      <c r="B381" s="1">
        <v>44584</v>
      </c>
      <c r="C381" t="s">
        <v>1111</v>
      </c>
      <c r="D381" t="s">
        <v>213</v>
      </c>
      <c r="E381">
        <v>42</v>
      </c>
      <c r="F381" t="str">
        <f>IF(Table1[[#This Row],[age]]&lt;=25,"18-25",IF(Table1[[#This Row],[age]]&lt;=35,"26-35",IF(Table1[[#This Row],[age]]&lt;=50,"36-50","51+")))</f>
        <v>36-50</v>
      </c>
      <c r="G381" t="s">
        <v>34</v>
      </c>
      <c r="H381" t="s">
        <v>69</v>
      </c>
      <c r="I381" t="s">
        <v>136</v>
      </c>
      <c r="J381" t="s">
        <v>47</v>
      </c>
      <c r="K381" t="s">
        <v>48</v>
      </c>
      <c r="L381">
        <v>1</v>
      </c>
      <c r="M381">
        <v>293.64999999999998</v>
      </c>
      <c r="N381">
        <v>0.21</v>
      </c>
      <c r="O381">
        <v>216.04</v>
      </c>
      <c r="P381">
        <v>87.2</v>
      </c>
      <c r="Q381">
        <v>77.91</v>
      </c>
      <c r="R381" t="s">
        <v>57</v>
      </c>
      <c r="S381">
        <v>3</v>
      </c>
      <c r="T381" t="b">
        <v>0</v>
      </c>
      <c r="U381" t="s">
        <v>93</v>
      </c>
      <c r="V381">
        <v>3</v>
      </c>
    </row>
    <row r="382" spans="1:22" x14ac:dyDescent="0.25">
      <c r="A382" t="s">
        <v>1112</v>
      </c>
      <c r="B382" s="1">
        <v>44345</v>
      </c>
      <c r="C382" t="s">
        <v>1113</v>
      </c>
      <c r="D382" t="s">
        <v>1114</v>
      </c>
      <c r="E382">
        <v>37</v>
      </c>
      <c r="F382" t="str">
        <f>IF(Table1[[#This Row],[age]]&lt;=25,"18-25",IF(Table1[[#This Row],[age]]&lt;=35,"26-35",IF(Table1[[#This Row],[age]]&lt;=50,"36-50","51+")))</f>
        <v>36-50</v>
      </c>
      <c r="G382" t="s">
        <v>34</v>
      </c>
      <c r="H382" t="s">
        <v>25</v>
      </c>
      <c r="I382" t="s">
        <v>298</v>
      </c>
      <c r="J382" t="s">
        <v>63</v>
      </c>
      <c r="K382" t="s">
        <v>64</v>
      </c>
      <c r="L382">
        <v>5</v>
      </c>
      <c r="M382">
        <v>3466.72</v>
      </c>
      <c r="N382">
        <v>0.15</v>
      </c>
      <c r="O382">
        <v>22647.02</v>
      </c>
      <c r="P382">
        <v>8403.2999999999993</v>
      </c>
      <c r="Q382">
        <v>47.97</v>
      </c>
      <c r="R382" t="s">
        <v>92</v>
      </c>
      <c r="S382">
        <v>3</v>
      </c>
      <c r="T382" t="b">
        <v>0</v>
      </c>
      <c r="U382" t="s">
        <v>193</v>
      </c>
      <c r="V382">
        <v>8</v>
      </c>
    </row>
    <row r="383" spans="1:22" x14ac:dyDescent="0.25">
      <c r="A383" t="s">
        <v>1115</v>
      </c>
      <c r="B383" s="1">
        <v>44304</v>
      </c>
      <c r="C383" t="s">
        <v>1116</v>
      </c>
      <c r="D383" t="s">
        <v>1117</v>
      </c>
      <c r="E383">
        <v>31</v>
      </c>
      <c r="F383" t="str">
        <f>IF(Table1[[#This Row],[age]]&lt;=25,"18-25",IF(Table1[[#This Row],[age]]&lt;=35,"26-35",IF(Table1[[#This Row],[age]]&lt;=50,"36-50","51+")))</f>
        <v>26-35</v>
      </c>
      <c r="G383" t="s">
        <v>54</v>
      </c>
      <c r="H383" t="s">
        <v>61</v>
      </c>
      <c r="I383" t="s">
        <v>91</v>
      </c>
      <c r="J383" t="s">
        <v>27</v>
      </c>
      <c r="K383" t="s">
        <v>192</v>
      </c>
      <c r="L383">
        <v>7</v>
      </c>
      <c r="M383">
        <v>1384.15</v>
      </c>
      <c r="N383">
        <v>0.23</v>
      </c>
      <c r="O383">
        <v>10118.86</v>
      </c>
      <c r="P383">
        <v>4454.79</v>
      </c>
      <c r="Q383">
        <v>62.32</v>
      </c>
      <c r="R383" t="s">
        <v>29</v>
      </c>
      <c r="S383">
        <v>4</v>
      </c>
      <c r="T383" t="b">
        <v>0</v>
      </c>
      <c r="U383" t="s">
        <v>30</v>
      </c>
      <c r="V383">
        <v>9</v>
      </c>
    </row>
    <row r="384" spans="1:22" x14ac:dyDescent="0.25">
      <c r="A384" t="s">
        <v>1118</v>
      </c>
      <c r="B384" s="1">
        <v>43841</v>
      </c>
      <c r="C384" t="s">
        <v>1119</v>
      </c>
      <c r="D384" t="s">
        <v>879</v>
      </c>
      <c r="E384">
        <v>23</v>
      </c>
      <c r="F384" t="str">
        <f>IF(Table1[[#This Row],[age]]&lt;=25,"18-25",IF(Table1[[#This Row],[age]]&lt;=35,"26-35",IF(Table1[[#This Row],[age]]&lt;=50,"36-50","51+")))</f>
        <v>18-25</v>
      </c>
      <c r="G384" t="s">
        <v>24</v>
      </c>
      <c r="H384" t="s">
        <v>55</v>
      </c>
      <c r="I384" t="s">
        <v>114</v>
      </c>
      <c r="J384" t="s">
        <v>101</v>
      </c>
      <c r="K384" t="s">
        <v>102</v>
      </c>
      <c r="L384">
        <v>7</v>
      </c>
      <c r="M384">
        <v>12178.99</v>
      </c>
      <c r="N384">
        <v>0.01</v>
      </c>
      <c r="O384">
        <v>66009.55</v>
      </c>
      <c r="P384">
        <v>17076.439999999999</v>
      </c>
      <c r="Q384">
        <v>51.51</v>
      </c>
      <c r="R384" t="s">
        <v>65</v>
      </c>
      <c r="S384">
        <v>5</v>
      </c>
      <c r="T384" t="b">
        <v>0</v>
      </c>
      <c r="U384" t="s">
        <v>71</v>
      </c>
      <c r="V384">
        <v>10</v>
      </c>
    </row>
    <row r="385" spans="1:22" x14ac:dyDescent="0.25">
      <c r="A385" t="s">
        <v>1120</v>
      </c>
      <c r="B385" s="1">
        <v>45342</v>
      </c>
      <c r="C385" t="s">
        <v>1121</v>
      </c>
      <c r="D385" t="s">
        <v>797</v>
      </c>
      <c r="E385">
        <v>44</v>
      </c>
      <c r="F385" t="str">
        <f>IF(Table1[[#This Row],[age]]&lt;=25,"18-25",IF(Table1[[#This Row],[age]]&lt;=35,"26-35",IF(Table1[[#This Row],[age]]&lt;=50,"36-50","51+")))</f>
        <v>36-50</v>
      </c>
      <c r="G385" t="s">
        <v>54</v>
      </c>
      <c r="H385" t="s">
        <v>55</v>
      </c>
      <c r="I385" t="s">
        <v>97</v>
      </c>
      <c r="J385" t="s">
        <v>106</v>
      </c>
      <c r="K385" t="s">
        <v>718</v>
      </c>
      <c r="L385">
        <v>7</v>
      </c>
      <c r="M385">
        <v>447.52</v>
      </c>
      <c r="N385">
        <v>0.3</v>
      </c>
      <c r="O385">
        <v>2656.34</v>
      </c>
      <c r="P385">
        <v>182.91</v>
      </c>
      <c r="Q385">
        <v>47.41</v>
      </c>
      <c r="R385" t="s">
        <v>49</v>
      </c>
      <c r="S385">
        <v>3</v>
      </c>
      <c r="T385" t="b">
        <v>0</v>
      </c>
      <c r="U385" t="s">
        <v>30</v>
      </c>
      <c r="V385">
        <v>5</v>
      </c>
    </row>
    <row r="386" spans="1:22" x14ac:dyDescent="0.25">
      <c r="A386" t="s">
        <v>1122</v>
      </c>
      <c r="B386" s="1">
        <v>43981</v>
      </c>
      <c r="C386" t="s">
        <v>1123</v>
      </c>
      <c r="D386" t="s">
        <v>634</v>
      </c>
      <c r="E386">
        <v>26</v>
      </c>
      <c r="F386" t="str">
        <f>IF(Table1[[#This Row],[age]]&lt;=25,"18-25",IF(Table1[[#This Row],[age]]&lt;=35,"26-35",IF(Table1[[#This Row],[age]]&lt;=50,"36-50","51+")))</f>
        <v>26-35</v>
      </c>
      <c r="G386" t="s">
        <v>24</v>
      </c>
      <c r="H386" t="s">
        <v>69</v>
      </c>
      <c r="I386" t="s">
        <v>136</v>
      </c>
      <c r="J386" t="s">
        <v>63</v>
      </c>
      <c r="K386" t="s">
        <v>434</v>
      </c>
      <c r="L386">
        <v>10</v>
      </c>
      <c r="M386">
        <v>2738.51</v>
      </c>
      <c r="N386">
        <v>0.12</v>
      </c>
      <c r="O386">
        <v>31229.97</v>
      </c>
      <c r="P386">
        <v>10815.02</v>
      </c>
      <c r="Q386">
        <v>81.19</v>
      </c>
      <c r="R386" t="s">
        <v>57</v>
      </c>
      <c r="S386">
        <v>5</v>
      </c>
      <c r="T386" t="b">
        <v>0</v>
      </c>
      <c r="U386" t="s">
        <v>30</v>
      </c>
      <c r="V386">
        <v>4</v>
      </c>
    </row>
    <row r="387" spans="1:22" x14ac:dyDescent="0.25">
      <c r="A387" t="s">
        <v>1124</v>
      </c>
      <c r="B387" s="1">
        <v>44735</v>
      </c>
      <c r="C387" t="s">
        <v>1125</v>
      </c>
      <c r="D387" t="s">
        <v>1126</v>
      </c>
      <c r="E387">
        <v>29</v>
      </c>
      <c r="F387" t="str">
        <f>IF(Table1[[#This Row],[age]]&lt;=25,"18-25",IF(Table1[[#This Row],[age]]&lt;=35,"26-35",IF(Table1[[#This Row],[age]]&lt;=50,"36-50","51+")))</f>
        <v>26-35</v>
      </c>
      <c r="G387" t="s">
        <v>24</v>
      </c>
      <c r="H387" t="s">
        <v>80</v>
      </c>
      <c r="I387" t="s">
        <v>81</v>
      </c>
      <c r="J387" t="s">
        <v>115</v>
      </c>
      <c r="K387" t="s">
        <v>398</v>
      </c>
      <c r="L387">
        <v>8</v>
      </c>
      <c r="M387">
        <v>48445.16</v>
      </c>
      <c r="N387">
        <v>0.26</v>
      </c>
      <c r="O387">
        <v>371584.08</v>
      </c>
      <c r="P387">
        <v>63270.83</v>
      </c>
      <c r="Q387">
        <v>70.06</v>
      </c>
      <c r="R387" t="s">
        <v>49</v>
      </c>
      <c r="S387">
        <v>5</v>
      </c>
      <c r="T387" t="b">
        <v>0</v>
      </c>
      <c r="U387" t="s">
        <v>30</v>
      </c>
      <c r="V387">
        <v>8</v>
      </c>
    </row>
    <row r="388" spans="1:22" x14ac:dyDescent="0.25">
      <c r="A388" t="s">
        <v>1127</v>
      </c>
      <c r="B388" s="1">
        <v>44697</v>
      </c>
      <c r="C388" t="s">
        <v>1128</v>
      </c>
      <c r="D388" t="s">
        <v>1129</v>
      </c>
      <c r="E388">
        <v>32</v>
      </c>
      <c r="F388" t="str">
        <f>IF(Table1[[#This Row],[age]]&lt;=25,"18-25",IF(Table1[[#This Row],[age]]&lt;=35,"26-35",IF(Table1[[#This Row],[age]]&lt;=50,"36-50","51+")))</f>
        <v>26-35</v>
      </c>
      <c r="G388" t="s">
        <v>54</v>
      </c>
      <c r="H388" t="s">
        <v>25</v>
      </c>
      <c r="I388" t="s">
        <v>26</v>
      </c>
      <c r="J388" t="s">
        <v>101</v>
      </c>
      <c r="K388" t="s">
        <v>318</v>
      </c>
      <c r="L388">
        <v>6</v>
      </c>
      <c r="M388">
        <v>1826.8</v>
      </c>
      <c r="N388">
        <v>7.0000000000000007E-2</v>
      </c>
      <c r="O388">
        <v>14790.65</v>
      </c>
      <c r="P388">
        <v>3473.29</v>
      </c>
      <c r="Q388">
        <v>74.41</v>
      </c>
      <c r="R388" t="s">
        <v>57</v>
      </c>
      <c r="S388">
        <v>2</v>
      </c>
      <c r="T388" t="b">
        <v>1</v>
      </c>
      <c r="U388" t="s">
        <v>50</v>
      </c>
      <c r="V388">
        <v>6</v>
      </c>
    </row>
    <row r="389" spans="1:22" x14ac:dyDescent="0.25">
      <c r="A389" t="s">
        <v>1130</v>
      </c>
      <c r="B389" s="1">
        <v>43970</v>
      </c>
      <c r="C389" t="s">
        <v>1131</v>
      </c>
      <c r="D389" t="s">
        <v>637</v>
      </c>
      <c r="E389">
        <v>53</v>
      </c>
      <c r="F389" t="str">
        <f>IF(Table1[[#This Row],[age]]&lt;=25,"18-25",IF(Table1[[#This Row],[age]]&lt;=35,"26-35",IF(Table1[[#This Row],[age]]&lt;=50,"36-50","51+")))</f>
        <v>51+</v>
      </c>
      <c r="G389" t="s">
        <v>34</v>
      </c>
      <c r="H389" t="s">
        <v>80</v>
      </c>
      <c r="I389" t="s">
        <v>81</v>
      </c>
      <c r="J389" t="s">
        <v>106</v>
      </c>
      <c r="K389" t="s">
        <v>718</v>
      </c>
      <c r="L389">
        <v>4</v>
      </c>
      <c r="M389">
        <v>429.54</v>
      </c>
      <c r="N389">
        <v>0.06</v>
      </c>
      <c r="O389">
        <v>2163.54</v>
      </c>
      <c r="P389">
        <v>148.28</v>
      </c>
      <c r="Q389">
        <v>61.97</v>
      </c>
      <c r="R389" t="s">
        <v>57</v>
      </c>
      <c r="S389">
        <v>2</v>
      </c>
      <c r="T389" t="b">
        <v>1</v>
      </c>
      <c r="U389" t="s">
        <v>50</v>
      </c>
      <c r="V389">
        <v>7</v>
      </c>
    </row>
    <row r="390" spans="1:22" x14ac:dyDescent="0.25">
      <c r="A390" t="s">
        <v>1132</v>
      </c>
      <c r="B390" s="1">
        <v>45323</v>
      </c>
      <c r="C390" t="s">
        <v>1133</v>
      </c>
      <c r="D390" t="s">
        <v>910</v>
      </c>
      <c r="E390">
        <v>28</v>
      </c>
      <c r="F390" t="str">
        <f>IF(Table1[[#This Row],[age]]&lt;=25,"18-25",IF(Table1[[#This Row],[age]]&lt;=35,"26-35",IF(Table1[[#This Row],[age]]&lt;=50,"36-50","51+")))</f>
        <v>26-35</v>
      </c>
      <c r="G390" t="s">
        <v>24</v>
      </c>
      <c r="H390" t="s">
        <v>69</v>
      </c>
      <c r="I390" t="s">
        <v>221</v>
      </c>
      <c r="J390" t="s">
        <v>63</v>
      </c>
      <c r="K390" t="s">
        <v>82</v>
      </c>
      <c r="L390">
        <v>6</v>
      </c>
      <c r="M390">
        <v>604.17999999999995</v>
      </c>
      <c r="N390">
        <v>0.2</v>
      </c>
      <c r="O390">
        <v>2790.47</v>
      </c>
      <c r="P390">
        <v>661.77</v>
      </c>
      <c r="Q390">
        <v>84.73</v>
      </c>
      <c r="R390" t="s">
        <v>29</v>
      </c>
      <c r="S390">
        <v>5</v>
      </c>
      <c r="T390" t="b">
        <v>0</v>
      </c>
      <c r="U390" t="s">
        <v>30</v>
      </c>
      <c r="V390">
        <v>2</v>
      </c>
    </row>
    <row r="391" spans="1:22" x14ac:dyDescent="0.25">
      <c r="A391" t="s">
        <v>1134</v>
      </c>
      <c r="B391" s="1">
        <v>43971</v>
      </c>
      <c r="C391" t="s">
        <v>1135</v>
      </c>
      <c r="D391" t="s">
        <v>1136</v>
      </c>
      <c r="E391">
        <v>20</v>
      </c>
      <c r="F391" t="str">
        <f>IF(Table1[[#This Row],[age]]&lt;=25,"18-25",IF(Table1[[#This Row],[age]]&lt;=35,"26-35",IF(Table1[[#This Row],[age]]&lt;=50,"36-50","51+")))</f>
        <v>18-25</v>
      </c>
      <c r="G391" t="s">
        <v>34</v>
      </c>
      <c r="H391" t="s">
        <v>55</v>
      </c>
      <c r="I391" t="s">
        <v>75</v>
      </c>
      <c r="J391" t="s">
        <v>101</v>
      </c>
      <c r="K391" t="s">
        <v>164</v>
      </c>
      <c r="L391">
        <v>7</v>
      </c>
      <c r="M391">
        <v>4673.1899999999996</v>
      </c>
      <c r="N391">
        <v>0.33</v>
      </c>
      <c r="O391">
        <v>25140.26</v>
      </c>
      <c r="P391">
        <v>7454.48</v>
      </c>
      <c r="Q391">
        <v>59.8</v>
      </c>
      <c r="R391" t="s">
        <v>49</v>
      </c>
      <c r="S391">
        <v>1</v>
      </c>
      <c r="T391" t="b">
        <v>0</v>
      </c>
      <c r="U391" t="s">
        <v>30</v>
      </c>
      <c r="V391">
        <v>4</v>
      </c>
    </row>
    <row r="392" spans="1:22" x14ac:dyDescent="0.25">
      <c r="A392" t="s">
        <v>1137</v>
      </c>
      <c r="B392" s="1">
        <v>44825</v>
      </c>
      <c r="C392" t="s">
        <v>1138</v>
      </c>
      <c r="D392" t="s">
        <v>217</v>
      </c>
      <c r="E392">
        <v>41</v>
      </c>
      <c r="F392" t="str">
        <f>IF(Table1[[#This Row],[age]]&lt;=25,"18-25",IF(Table1[[#This Row],[age]]&lt;=35,"26-35",IF(Table1[[#This Row],[age]]&lt;=50,"36-50","51+")))</f>
        <v>36-50</v>
      </c>
      <c r="G392" t="s">
        <v>34</v>
      </c>
      <c r="H392" t="s">
        <v>69</v>
      </c>
      <c r="I392" t="s">
        <v>181</v>
      </c>
      <c r="J392" t="s">
        <v>101</v>
      </c>
      <c r="K392" t="s">
        <v>456</v>
      </c>
      <c r="L392">
        <v>2</v>
      </c>
      <c r="M392">
        <v>8645.73</v>
      </c>
      <c r="N392">
        <v>0.24</v>
      </c>
      <c r="O392">
        <v>14376.69</v>
      </c>
      <c r="P392">
        <v>3461.36</v>
      </c>
      <c r="Q392">
        <v>94.07</v>
      </c>
      <c r="R392" t="s">
        <v>43</v>
      </c>
      <c r="S392">
        <v>4</v>
      </c>
      <c r="T392" t="b">
        <v>1</v>
      </c>
      <c r="U392" t="s">
        <v>50</v>
      </c>
      <c r="V392">
        <v>3</v>
      </c>
    </row>
    <row r="393" spans="1:22" x14ac:dyDescent="0.25">
      <c r="A393" t="s">
        <v>1139</v>
      </c>
      <c r="B393" s="1">
        <v>45637</v>
      </c>
      <c r="C393" t="s">
        <v>1140</v>
      </c>
      <c r="D393" t="s">
        <v>1141</v>
      </c>
      <c r="E393">
        <v>22</v>
      </c>
      <c r="F393" t="str">
        <f>IF(Table1[[#This Row],[age]]&lt;=25,"18-25",IF(Table1[[#This Row],[age]]&lt;=35,"26-35",IF(Table1[[#This Row],[age]]&lt;=50,"36-50","51+")))</f>
        <v>18-25</v>
      </c>
      <c r="G393" t="s">
        <v>24</v>
      </c>
      <c r="H393" t="s">
        <v>80</v>
      </c>
      <c r="I393" t="s">
        <v>242</v>
      </c>
      <c r="J393" t="s">
        <v>106</v>
      </c>
      <c r="K393" t="s">
        <v>718</v>
      </c>
      <c r="L393">
        <v>3</v>
      </c>
      <c r="M393">
        <v>55.73</v>
      </c>
      <c r="N393">
        <v>0.25</v>
      </c>
      <c r="O393">
        <v>132.26</v>
      </c>
      <c r="P393">
        <v>9.16</v>
      </c>
      <c r="Q393">
        <v>67.069999999999993</v>
      </c>
      <c r="R393" t="s">
        <v>57</v>
      </c>
      <c r="S393">
        <v>4</v>
      </c>
      <c r="T393" t="b">
        <v>1</v>
      </c>
      <c r="U393" t="s">
        <v>50</v>
      </c>
      <c r="V393">
        <v>9</v>
      </c>
    </row>
    <row r="394" spans="1:22" x14ac:dyDescent="0.25">
      <c r="A394" t="s">
        <v>1142</v>
      </c>
      <c r="B394" s="1">
        <v>44754</v>
      </c>
      <c r="C394" t="s">
        <v>1143</v>
      </c>
      <c r="D394" t="s">
        <v>349</v>
      </c>
      <c r="E394">
        <v>39</v>
      </c>
      <c r="F394" t="str">
        <f>IF(Table1[[#This Row],[age]]&lt;=25,"18-25",IF(Table1[[#This Row],[age]]&lt;=35,"26-35",IF(Table1[[#This Row],[age]]&lt;=50,"36-50","51+")))</f>
        <v>36-50</v>
      </c>
      <c r="G394" t="s">
        <v>24</v>
      </c>
      <c r="H394" t="s">
        <v>80</v>
      </c>
      <c r="I394" t="s">
        <v>236</v>
      </c>
      <c r="J394" t="s">
        <v>27</v>
      </c>
      <c r="K394" t="s">
        <v>480</v>
      </c>
      <c r="L394">
        <v>4</v>
      </c>
      <c r="M394">
        <v>1632.26</v>
      </c>
      <c r="N394">
        <v>0.4</v>
      </c>
      <c r="O394">
        <v>5867.49</v>
      </c>
      <c r="P394">
        <v>2226.87</v>
      </c>
      <c r="Q394">
        <v>61.99</v>
      </c>
      <c r="R394" t="s">
        <v>65</v>
      </c>
      <c r="S394">
        <v>4</v>
      </c>
      <c r="T394" t="b">
        <v>0</v>
      </c>
      <c r="U394" t="s">
        <v>30</v>
      </c>
      <c r="V394">
        <v>7</v>
      </c>
    </row>
    <row r="395" spans="1:22" x14ac:dyDescent="0.25">
      <c r="A395" t="s">
        <v>1144</v>
      </c>
      <c r="B395" s="1">
        <v>43880</v>
      </c>
      <c r="C395" t="s">
        <v>1145</v>
      </c>
      <c r="D395" t="s">
        <v>224</v>
      </c>
      <c r="E395">
        <v>48</v>
      </c>
      <c r="F395" t="str">
        <f>IF(Table1[[#This Row],[age]]&lt;=25,"18-25",IF(Table1[[#This Row],[age]]&lt;=35,"26-35",IF(Table1[[#This Row],[age]]&lt;=50,"36-50","51+")))</f>
        <v>36-50</v>
      </c>
      <c r="G395" t="s">
        <v>34</v>
      </c>
      <c r="H395" t="s">
        <v>80</v>
      </c>
      <c r="I395" t="s">
        <v>81</v>
      </c>
      <c r="J395" t="s">
        <v>63</v>
      </c>
      <c r="K395" t="s">
        <v>64</v>
      </c>
      <c r="L395">
        <v>8</v>
      </c>
      <c r="M395">
        <v>967.73</v>
      </c>
      <c r="N395">
        <v>0.36</v>
      </c>
      <c r="O395">
        <v>4117.6000000000004</v>
      </c>
      <c r="P395">
        <v>1596.92</v>
      </c>
      <c r="Q395">
        <v>73.930000000000007</v>
      </c>
      <c r="R395" t="s">
        <v>57</v>
      </c>
      <c r="S395">
        <v>3</v>
      </c>
      <c r="T395" t="b">
        <v>1</v>
      </c>
      <c r="U395" t="s">
        <v>50</v>
      </c>
      <c r="V395">
        <v>6</v>
      </c>
    </row>
    <row r="396" spans="1:22" x14ac:dyDescent="0.25">
      <c r="A396" t="s">
        <v>1146</v>
      </c>
      <c r="B396" s="1">
        <v>45276</v>
      </c>
      <c r="C396" t="s">
        <v>1147</v>
      </c>
      <c r="D396" t="s">
        <v>580</v>
      </c>
      <c r="E396">
        <v>29</v>
      </c>
      <c r="F396" t="str">
        <f>IF(Table1[[#This Row],[age]]&lt;=25,"18-25",IF(Table1[[#This Row],[age]]&lt;=35,"26-35",IF(Table1[[#This Row],[age]]&lt;=50,"36-50","51+")))</f>
        <v>26-35</v>
      </c>
      <c r="G396" t="s">
        <v>24</v>
      </c>
      <c r="H396" t="s">
        <v>80</v>
      </c>
      <c r="I396" t="s">
        <v>242</v>
      </c>
      <c r="J396" t="s">
        <v>36</v>
      </c>
      <c r="K396" t="s">
        <v>230</v>
      </c>
      <c r="L396">
        <v>9</v>
      </c>
      <c r="M396">
        <v>14900.48</v>
      </c>
      <c r="N396">
        <v>0.2</v>
      </c>
      <c r="O396">
        <v>103163.26</v>
      </c>
      <c r="P396">
        <v>31355.08</v>
      </c>
      <c r="Q396">
        <v>45.89</v>
      </c>
      <c r="R396" t="s">
        <v>29</v>
      </c>
      <c r="S396">
        <v>4</v>
      </c>
      <c r="T396" t="b">
        <v>0</v>
      </c>
      <c r="U396" t="s">
        <v>30</v>
      </c>
      <c r="V396">
        <v>9</v>
      </c>
    </row>
    <row r="397" spans="1:22" x14ac:dyDescent="0.25">
      <c r="A397" t="s">
        <v>1148</v>
      </c>
      <c r="B397" s="1">
        <v>45034</v>
      </c>
      <c r="C397" t="s">
        <v>1149</v>
      </c>
      <c r="D397" t="s">
        <v>970</v>
      </c>
      <c r="E397">
        <v>37</v>
      </c>
      <c r="F397" t="str">
        <f>IF(Table1[[#This Row],[age]]&lt;=25,"18-25",IF(Table1[[#This Row],[age]]&lt;=35,"26-35",IF(Table1[[#This Row],[age]]&lt;=50,"36-50","51+")))</f>
        <v>36-50</v>
      </c>
      <c r="G397" t="s">
        <v>54</v>
      </c>
      <c r="H397" t="s">
        <v>55</v>
      </c>
      <c r="I397" t="s">
        <v>97</v>
      </c>
      <c r="J397" t="s">
        <v>27</v>
      </c>
      <c r="K397" t="s">
        <v>335</v>
      </c>
      <c r="L397">
        <v>8</v>
      </c>
      <c r="M397">
        <v>899.3</v>
      </c>
      <c r="N397">
        <v>0.17</v>
      </c>
      <c r="O397">
        <v>8975.56</v>
      </c>
      <c r="P397">
        <v>3421.59</v>
      </c>
      <c r="Q397">
        <v>71.55</v>
      </c>
      <c r="R397" t="s">
        <v>57</v>
      </c>
      <c r="S397">
        <v>2</v>
      </c>
      <c r="T397" t="b">
        <v>0</v>
      </c>
      <c r="U397" t="s">
        <v>30</v>
      </c>
      <c r="V397">
        <v>3</v>
      </c>
    </row>
    <row r="398" spans="1:22" x14ac:dyDescent="0.25">
      <c r="A398" t="s">
        <v>1150</v>
      </c>
      <c r="B398" s="1">
        <v>44544</v>
      </c>
      <c r="C398" t="s">
        <v>1151</v>
      </c>
      <c r="D398" t="s">
        <v>542</v>
      </c>
      <c r="E398">
        <v>25</v>
      </c>
      <c r="F398" t="str">
        <f>IF(Table1[[#This Row],[age]]&lt;=25,"18-25",IF(Table1[[#This Row],[age]]&lt;=35,"26-35",IF(Table1[[#This Row],[age]]&lt;=50,"36-50","51+")))</f>
        <v>18-25</v>
      </c>
      <c r="G398" t="s">
        <v>24</v>
      </c>
      <c r="H398" t="s">
        <v>55</v>
      </c>
      <c r="I398" t="s">
        <v>114</v>
      </c>
      <c r="J398" t="s">
        <v>27</v>
      </c>
      <c r="K398" t="s">
        <v>168</v>
      </c>
      <c r="L398">
        <v>1</v>
      </c>
      <c r="M398">
        <v>2412.42</v>
      </c>
      <c r="N398">
        <v>0.02</v>
      </c>
      <c r="O398">
        <v>1867.03</v>
      </c>
      <c r="P398">
        <v>770.96</v>
      </c>
      <c r="Q398">
        <v>51.08</v>
      </c>
      <c r="R398" t="s">
        <v>49</v>
      </c>
      <c r="S398">
        <v>1</v>
      </c>
      <c r="T398" t="b">
        <v>0</v>
      </c>
      <c r="U398" t="s">
        <v>30</v>
      </c>
      <c r="V398">
        <v>10</v>
      </c>
    </row>
    <row r="399" spans="1:22" x14ac:dyDescent="0.25">
      <c r="A399" t="s">
        <v>1152</v>
      </c>
      <c r="B399" s="1">
        <v>44974</v>
      </c>
      <c r="C399" t="s">
        <v>1153</v>
      </c>
      <c r="D399" t="s">
        <v>327</v>
      </c>
      <c r="E399">
        <v>50</v>
      </c>
      <c r="F399" t="str">
        <f>IF(Table1[[#This Row],[age]]&lt;=25,"18-25",IF(Table1[[#This Row],[age]]&lt;=35,"26-35",IF(Table1[[#This Row],[age]]&lt;=50,"36-50","51+")))</f>
        <v>36-50</v>
      </c>
      <c r="G399" t="s">
        <v>24</v>
      </c>
      <c r="H399" t="s">
        <v>25</v>
      </c>
      <c r="I399" t="s">
        <v>298</v>
      </c>
      <c r="J399" t="s">
        <v>101</v>
      </c>
      <c r="K399" t="s">
        <v>124</v>
      </c>
      <c r="L399">
        <v>6</v>
      </c>
      <c r="M399">
        <v>9703.74</v>
      </c>
      <c r="N399">
        <v>0.16</v>
      </c>
      <c r="O399">
        <v>52648.79</v>
      </c>
      <c r="P399">
        <v>8966.19</v>
      </c>
      <c r="Q399">
        <v>50.19</v>
      </c>
      <c r="R399" t="s">
        <v>43</v>
      </c>
      <c r="S399">
        <v>1</v>
      </c>
      <c r="T399" t="b">
        <v>0</v>
      </c>
      <c r="U399" t="s">
        <v>30</v>
      </c>
      <c r="V399">
        <v>7</v>
      </c>
    </row>
    <row r="400" spans="1:22" x14ac:dyDescent="0.25">
      <c r="A400" t="s">
        <v>1154</v>
      </c>
      <c r="B400" s="1">
        <v>45412</v>
      </c>
      <c r="C400" t="s">
        <v>1155</v>
      </c>
      <c r="D400" t="s">
        <v>1156</v>
      </c>
      <c r="E400">
        <v>19</v>
      </c>
      <c r="F400" t="str">
        <f>IF(Table1[[#This Row],[age]]&lt;=25,"18-25",IF(Table1[[#This Row],[age]]&lt;=35,"26-35",IF(Table1[[#This Row],[age]]&lt;=50,"36-50","51+")))</f>
        <v>18-25</v>
      </c>
      <c r="G400" t="s">
        <v>34</v>
      </c>
      <c r="H400" t="s">
        <v>55</v>
      </c>
      <c r="I400" t="s">
        <v>97</v>
      </c>
      <c r="J400" t="s">
        <v>27</v>
      </c>
      <c r="K400" t="s">
        <v>168</v>
      </c>
      <c r="L400">
        <v>3</v>
      </c>
      <c r="M400">
        <v>2213</v>
      </c>
      <c r="N400">
        <v>0.1</v>
      </c>
      <c r="O400">
        <v>9293.85</v>
      </c>
      <c r="P400">
        <v>4453.78</v>
      </c>
      <c r="Q400">
        <v>86.73</v>
      </c>
      <c r="R400" t="s">
        <v>43</v>
      </c>
      <c r="S400">
        <v>4</v>
      </c>
      <c r="T400" t="b">
        <v>0</v>
      </c>
      <c r="U400" t="s">
        <v>30</v>
      </c>
      <c r="V400">
        <v>10</v>
      </c>
    </row>
    <row r="401" spans="1:22" x14ac:dyDescent="0.25">
      <c r="A401" t="s">
        <v>1157</v>
      </c>
      <c r="B401" s="1">
        <v>45118</v>
      </c>
      <c r="C401" t="s">
        <v>1158</v>
      </c>
      <c r="D401" t="s">
        <v>317</v>
      </c>
      <c r="E401">
        <v>44</v>
      </c>
      <c r="F401" t="str">
        <f>IF(Table1[[#This Row],[age]]&lt;=25,"18-25",IF(Table1[[#This Row],[age]]&lt;=35,"26-35",IF(Table1[[#This Row],[age]]&lt;=50,"36-50","51+")))</f>
        <v>36-50</v>
      </c>
      <c r="G401" t="s">
        <v>34</v>
      </c>
      <c r="H401" t="s">
        <v>61</v>
      </c>
      <c r="I401" t="s">
        <v>62</v>
      </c>
      <c r="J401" t="s">
        <v>63</v>
      </c>
      <c r="K401" t="s">
        <v>87</v>
      </c>
      <c r="L401">
        <v>6</v>
      </c>
      <c r="M401">
        <v>1202.81</v>
      </c>
      <c r="N401">
        <v>0.08</v>
      </c>
      <c r="O401">
        <v>9663.61</v>
      </c>
      <c r="P401">
        <v>2700.5</v>
      </c>
      <c r="Q401">
        <v>84.89</v>
      </c>
      <c r="R401" t="s">
        <v>92</v>
      </c>
      <c r="S401">
        <v>1</v>
      </c>
      <c r="T401" t="b">
        <v>1</v>
      </c>
      <c r="U401" t="s">
        <v>50</v>
      </c>
      <c r="V401">
        <v>6</v>
      </c>
    </row>
    <row r="402" spans="1:22" x14ac:dyDescent="0.25">
      <c r="A402" t="s">
        <v>1159</v>
      </c>
      <c r="B402" s="1">
        <v>45484</v>
      </c>
      <c r="C402" t="s">
        <v>1160</v>
      </c>
      <c r="D402" t="s">
        <v>144</v>
      </c>
      <c r="E402">
        <v>38</v>
      </c>
      <c r="F402" t="str">
        <f>IF(Table1[[#This Row],[age]]&lt;=25,"18-25",IF(Table1[[#This Row],[age]]&lt;=35,"26-35",IF(Table1[[#This Row],[age]]&lt;=50,"36-50","51+")))</f>
        <v>36-50</v>
      </c>
      <c r="G402" t="s">
        <v>34</v>
      </c>
      <c r="H402" t="s">
        <v>25</v>
      </c>
      <c r="I402" t="s">
        <v>26</v>
      </c>
      <c r="J402" t="s">
        <v>101</v>
      </c>
      <c r="K402" t="s">
        <v>102</v>
      </c>
      <c r="L402">
        <v>2</v>
      </c>
      <c r="M402">
        <v>13574.46</v>
      </c>
      <c r="N402">
        <v>0.31</v>
      </c>
      <c r="O402">
        <v>32632.91</v>
      </c>
      <c r="P402">
        <v>9812.2999999999993</v>
      </c>
      <c r="Q402">
        <v>49.47</v>
      </c>
      <c r="R402" t="s">
        <v>92</v>
      </c>
      <c r="S402">
        <v>3</v>
      </c>
      <c r="T402" t="b">
        <v>0</v>
      </c>
      <c r="U402" t="s">
        <v>30</v>
      </c>
      <c r="V402">
        <v>7</v>
      </c>
    </row>
    <row r="403" spans="1:22" x14ac:dyDescent="0.25">
      <c r="A403" t="s">
        <v>1161</v>
      </c>
      <c r="B403" s="1">
        <v>44393</v>
      </c>
      <c r="C403" t="s">
        <v>1162</v>
      </c>
      <c r="D403" t="s">
        <v>1163</v>
      </c>
      <c r="E403">
        <v>52</v>
      </c>
      <c r="F403" t="str">
        <f>IF(Table1[[#This Row],[age]]&lt;=25,"18-25",IF(Table1[[#This Row],[age]]&lt;=35,"26-35",IF(Table1[[#This Row],[age]]&lt;=50,"36-50","51+")))</f>
        <v>51+</v>
      </c>
      <c r="G403" t="s">
        <v>24</v>
      </c>
      <c r="H403" t="s">
        <v>61</v>
      </c>
      <c r="I403" t="s">
        <v>141</v>
      </c>
      <c r="J403" t="s">
        <v>101</v>
      </c>
      <c r="K403" t="s">
        <v>164</v>
      </c>
      <c r="L403">
        <v>9</v>
      </c>
      <c r="M403">
        <v>10077.49</v>
      </c>
      <c r="N403">
        <v>0.34</v>
      </c>
      <c r="O403">
        <v>84123.31</v>
      </c>
      <c r="P403">
        <v>16599.27</v>
      </c>
      <c r="Q403">
        <v>71.95</v>
      </c>
      <c r="R403" t="s">
        <v>49</v>
      </c>
      <c r="S403">
        <v>3</v>
      </c>
      <c r="T403" t="b">
        <v>0</v>
      </c>
      <c r="U403" t="s">
        <v>30</v>
      </c>
      <c r="V403">
        <v>2</v>
      </c>
    </row>
    <row r="404" spans="1:22" x14ac:dyDescent="0.25">
      <c r="A404" t="s">
        <v>1164</v>
      </c>
      <c r="B404" s="1">
        <v>44050</v>
      </c>
      <c r="C404" t="s">
        <v>1165</v>
      </c>
      <c r="D404" t="s">
        <v>1166</v>
      </c>
      <c r="E404">
        <v>47</v>
      </c>
      <c r="F404" t="str">
        <f>IF(Table1[[#This Row],[age]]&lt;=25,"18-25",IF(Table1[[#This Row],[age]]&lt;=35,"26-35",IF(Table1[[#This Row],[age]]&lt;=50,"36-50","51+")))</f>
        <v>36-50</v>
      </c>
      <c r="G404" t="s">
        <v>54</v>
      </c>
      <c r="H404" t="s">
        <v>55</v>
      </c>
      <c r="I404" t="s">
        <v>97</v>
      </c>
      <c r="J404" t="s">
        <v>106</v>
      </c>
      <c r="K404" t="s">
        <v>331</v>
      </c>
      <c r="L404">
        <v>4</v>
      </c>
      <c r="M404">
        <v>443.03</v>
      </c>
      <c r="N404">
        <v>0.32</v>
      </c>
      <c r="O404">
        <v>1593.89</v>
      </c>
      <c r="P404">
        <v>115.6</v>
      </c>
      <c r="Q404">
        <v>71.819999999999993</v>
      </c>
      <c r="R404" t="s">
        <v>29</v>
      </c>
      <c r="S404">
        <v>4</v>
      </c>
      <c r="T404" t="b">
        <v>0</v>
      </c>
      <c r="U404" t="s">
        <v>93</v>
      </c>
      <c r="V404">
        <v>2</v>
      </c>
    </row>
    <row r="405" spans="1:22" x14ac:dyDescent="0.25">
      <c r="A405" t="s">
        <v>1167</v>
      </c>
      <c r="B405" s="1">
        <v>45305</v>
      </c>
      <c r="C405" t="s">
        <v>1168</v>
      </c>
      <c r="D405" t="s">
        <v>1136</v>
      </c>
      <c r="E405">
        <v>36</v>
      </c>
      <c r="F405" t="str">
        <f>IF(Table1[[#This Row],[age]]&lt;=25,"18-25",IF(Table1[[#This Row],[age]]&lt;=35,"26-35",IF(Table1[[#This Row],[age]]&lt;=50,"36-50","51+")))</f>
        <v>36-50</v>
      </c>
      <c r="G405" t="s">
        <v>24</v>
      </c>
      <c r="H405" t="s">
        <v>61</v>
      </c>
      <c r="I405" t="s">
        <v>141</v>
      </c>
      <c r="J405" t="s">
        <v>115</v>
      </c>
      <c r="K405" t="s">
        <v>398</v>
      </c>
      <c r="L405">
        <v>1</v>
      </c>
      <c r="M405">
        <v>16829.03</v>
      </c>
      <c r="N405">
        <v>0.04</v>
      </c>
      <c r="O405">
        <v>16558.810000000001</v>
      </c>
      <c r="P405">
        <v>2537.33</v>
      </c>
      <c r="Q405">
        <v>43.96</v>
      </c>
      <c r="R405" t="s">
        <v>57</v>
      </c>
      <c r="S405">
        <v>1</v>
      </c>
      <c r="T405" t="b">
        <v>1</v>
      </c>
      <c r="U405" t="s">
        <v>50</v>
      </c>
      <c r="V405">
        <v>9</v>
      </c>
    </row>
    <row r="406" spans="1:22" x14ac:dyDescent="0.25">
      <c r="A406" t="s">
        <v>1169</v>
      </c>
      <c r="B406" s="1">
        <v>45405</v>
      </c>
      <c r="C406" t="s">
        <v>1170</v>
      </c>
      <c r="D406" t="s">
        <v>1171</v>
      </c>
      <c r="E406">
        <v>24</v>
      </c>
      <c r="F406" t="str">
        <f>IF(Table1[[#This Row],[age]]&lt;=25,"18-25",IF(Table1[[#This Row],[age]]&lt;=35,"26-35",IF(Table1[[#This Row],[age]]&lt;=50,"36-50","51+")))</f>
        <v>18-25</v>
      </c>
      <c r="G406" t="s">
        <v>54</v>
      </c>
      <c r="H406" t="s">
        <v>69</v>
      </c>
      <c r="I406" t="s">
        <v>221</v>
      </c>
      <c r="J406" t="s">
        <v>63</v>
      </c>
      <c r="K406" t="s">
        <v>434</v>
      </c>
      <c r="L406">
        <v>10</v>
      </c>
      <c r="M406">
        <v>3066.81</v>
      </c>
      <c r="N406">
        <v>0.02</v>
      </c>
      <c r="O406">
        <v>47758.51</v>
      </c>
      <c r="P406">
        <v>19208.34</v>
      </c>
      <c r="Q406">
        <v>77.64</v>
      </c>
      <c r="R406" t="s">
        <v>92</v>
      </c>
      <c r="S406">
        <v>2</v>
      </c>
      <c r="T406" t="b">
        <v>0</v>
      </c>
      <c r="U406" t="s">
        <v>30</v>
      </c>
      <c r="V406">
        <v>9</v>
      </c>
    </row>
    <row r="407" spans="1:22" x14ac:dyDescent="0.25">
      <c r="A407" t="s">
        <v>1172</v>
      </c>
      <c r="B407" s="1">
        <v>45015</v>
      </c>
      <c r="C407" t="s">
        <v>1173</v>
      </c>
      <c r="D407" t="s">
        <v>1074</v>
      </c>
      <c r="E407">
        <v>26</v>
      </c>
      <c r="F407" t="str">
        <f>IF(Table1[[#This Row],[age]]&lt;=25,"18-25",IF(Table1[[#This Row],[age]]&lt;=35,"26-35",IF(Table1[[#This Row],[age]]&lt;=50,"36-50","51+")))</f>
        <v>26-35</v>
      </c>
      <c r="G407" t="s">
        <v>24</v>
      </c>
      <c r="H407" t="s">
        <v>25</v>
      </c>
      <c r="I407" t="s">
        <v>41</v>
      </c>
      <c r="J407" t="s">
        <v>63</v>
      </c>
      <c r="K407" t="s">
        <v>82</v>
      </c>
      <c r="L407">
        <v>8</v>
      </c>
      <c r="M407">
        <v>1829.04</v>
      </c>
      <c r="N407">
        <v>0.24</v>
      </c>
      <c r="O407">
        <v>14780.74</v>
      </c>
      <c r="P407">
        <v>6166.69</v>
      </c>
      <c r="Q407">
        <v>80.06</v>
      </c>
      <c r="R407" t="s">
        <v>92</v>
      </c>
      <c r="S407">
        <v>3</v>
      </c>
      <c r="T407" t="b">
        <v>0</v>
      </c>
      <c r="U407" t="s">
        <v>71</v>
      </c>
      <c r="V407">
        <v>4</v>
      </c>
    </row>
    <row r="408" spans="1:22" x14ac:dyDescent="0.25">
      <c r="A408" t="s">
        <v>1174</v>
      </c>
      <c r="B408" s="1">
        <v>44713</v>
      </c>
      <c r="C408" t="s">
        <v>1175</v>
      </c>
      <c r="D408" t="s">
        <v>68</v>
      </c>
      <c r="E408">
        <v>53</v>
      </c>
      <c r="F408" t="str">
        <f>IF(Table1[[#This Row],[age]]&lt;=25,"18-25",IF(Table1[[#This Row],[age]]&lt;=35,"26-35",IF(Table1[[#This Row],[age]]&lt;=50,"36-50","51+")))</f>
        <v>51+</v>
      </c>
      <c r="G408" t="s">
        <v>34</v>
      </c>
      <c r="H408" t="s">
        <v>25</v>
      </c>
      <c r="I408" t="s">
        <v>26</v>
      </c>
      <c r="J408" t="s">
        <v>27</v>
      </c>
      <c r="K408" t="s">
        <v>28</v>
      </c>
      <c r="L408">
        <v>7</v>
      </c>
      <c r="M408">
        <v>1167.8599999999999</v>
      </c>
      <c r="N408">
        <v>0.15</v>
      </c>
      <c r="O408">
        <v>10729.59</v>
      </c>
      <c r="P408">
        <v>5022.26</v>
      </c>
      <c r="Q408">
        <v>56.89</v>
      </c>
      <c r="R408" t="s">
        <v>29</v>
      </c>
      <c r="S408">
        <v>2</v>
      </c>
      <c r="T408" t="b">
        <v>0</v>
      </c>
      <c r="U408" t="s">
        <v>30</v>
      </c>
      <c r="V408">
        <v>8</v>
      </c>
    </row>
    <row r="409" spans="1:22" x14ac:dyDescent="0.25">
      <c r="A409" t="s">
        <v>1176</v>
      </c>
      <c r="B409" s="1">
        <v>45057</v>
      </c>
      <c r="C409" t="s">
        <v>1177</v>
      </c>
      <c r="D409" t="s">
        <v>1178</v>
      </c>
      <c r="E409">
        <v>25</v>
      </c>
      <c r="F409" t="str">
        <f>IF(Table1[[#This Row],[age]]&lt;=25,"18-25",IF(Table1[[#This Row],[age]]&lt;=35,"26-35",IF(Table1[[#This Row],[age]]&lt;=50,"36-50","51+")))</f>
        <v>18-25</v>
      </c>
      <c r="G409" t="s">
        <v>34</v>
      </c>
      <c r="H409" t="s">
        <v>61</v>
      </c>
      <c r="I409" t="s">
        <v>141</v>
      </c>
      <c r="J409" t="s">
        <v>115</v>
      </c>
      <c r="K409" t="s">
        <v>545</v>
      </c>
      <c r="L409">
        <v>9</v>
      </c>
      <c r="M409">
        <v>6647.49</v>
      </c>
      <c r="N409">
        <v>0.34</v>
      </c>
      <c r="O409">
        <v>68948.2</v>
      </c>
      <c r="P409">
        <v>8595.8799999999992</v>
      </c>
      <c r="Q409">
        <v>51.47</v>
      </c>
      <c r="R409" t="s">
        <v>49</v>
      </c>
      <c r="S409">
        <v>4</v>
      </c>
      <c r="T409" t="b">
        <v>0</v>
      </c>
      <c r="U409" t="s">
        <v>30</v>
      </c>
      <c r="V409">
        <v>8</v>
      </c>
    </row>
    <row r="410" spans="1:22" x14ac:dyDescent="0.25">
      <c r="A410" t="s">
        <v>1179</v>
      </c>
      <c r="B410" s="1">
        <v>44686</v>
      </c>
      <c r="C410" t="s">
        <v>1180</v>
      </c>
      <c r="D410" t="s">
        <v>606</v>
      </c>
      <c r="E410">
        <v>32</v>
      </c>
      <c r="F410" t="str">
        <f>IF(Table1[[#This Row],[age]]&lt;=25,"18-25",IF(Table1[[#This Row],[age]]&lt;=35,"26-35",IF(Table1[[#This Row],[age]]&lt;=50,"36-50","51+")))</f>
        <v>26-35</v>
      </c>
      <c r="G410" t="s">
        <v>24</v>
      </c>
      <c r="H410" t="s">
        <v>25</v>
      </c>
      <c r="I410" t="s">
        <v>298</v>
      </c>
      <c r="J410" t="s">
        <v>27</v>
      </c>
      <c r="K410" t="s">
        <v>480</v>
      </c>
      <c r="L410">
        <v>3</v>
      </c>
      <c r="M410">
        <v>1685.48</v>
      </c>
      <c r="N410">
        <v>0.05</v>
      </c>
      <c r="O410">
        <v>6564.17</v>
      </c>
      <c r="P410">
        <v>3034.89</v>
      </c>
      <c r="Q410">
        <v>79.19</v>
      </c>
      <c r="R410" t="s">
        <v>29</v>
      </c>
      <c r="S410">
        <v>1</v>
      </c>
      <c r="T410" t="b">
        <v>0</v>
      </c>
      <c r="U410" t="s">
        <v>71</v>
      </c>
      <c r="V410">
        <v>1</v>
      </c>
    </row>
    <row r="411" spans="1:22" x14ac:dyDescent="0.25">
      <c r="A411" t="s">
        <v>1181</v>
      </c>
      <c r="B411" s="1">
        <v>44650</v>
      </c>
      <c r="C411" t="s">
        <v>1182</v>
      </c>
      <c r="D411" t="s">
        <v>1183</v>
      </c>
      <c r="E411">
        <v>36</v>
      </c>
      <c r="F411" t="str">
        <f>IF(Table1[[#This Row],[age]]&lt;=25,"18-25",IF(Table1[[#This Row],[age]]&lt;=35,"26-35",IF(Table1[[#This Row],[age]]&lt;=50,"36-50","51+")))</f>
        <v>36-50</v>
      </c>
      <c r="G411" t="s">
        <v>24</v>
      </c>
      <c r="H411" t="s">
        <v>25</v>
      </c>
      <c r="I411" t="s">
        <v>35</v>
      </c>
      <c r="J411" t="s">
        <v>115</v>
      </c>
      <c r="K411" t="s">
        <v>197</v>
      </c>
      <c r="L411">
        <v>1</v>
      </c>
      <c r="M411">
        <v>28957.64</v>
      </c>
      <c r="N411">
        <v>0.33</v>
      </c>
      <c r="O411">
        <v>18619.849999999999</v>
      </c>
      <c r="P411">
        <v>1514.95</v>
      </c>
      <c r="Q411">
        <v>63.73</v>
      </c>
      <c r="R411" t="s">
        <v>29</v>
      </c>
      <c r="S411">
        <v>5</v>
      </c>
      <c r="T411" t="b">
        <v>0</v>
      </c>
      <c r="U411" t="s">
        <v>30</v>
      </c>
      <c r="V411">
        <v>10</v>
      </c>
    </row>
    <row r="412" spans="1:22" x14ac:dyDescent="0.25">
      <c r="A412" t="s">
        <v>1184</v>
      </c>
      <c r="B412" s="1">
        <v>45542</v>
      </c>
      <c r="C412" t="s">
        <v>1185</v>
      </c>
      <c r="D412" t="s">
        <v>250</v>
      </c>
      <c r="E412">
        <v>32</v>
      </c>
      <c r="F412" t="str">
        <f>IF(Table1[[#This Row],[age]]&lt;=25,"18-25",IF(Table1[[#This Row],[age]]&lt;=35,"26-35",IF(Table1[[#This Row],[age]]&lt;=50,"36-50","51+")))</f>
        <v>26-35</v>
      </c>
      <c r="G412" t="s">
        <v>34</v>
      </c>
      <c r="H412" t="s">
        <v>69</v>
      </c>
      <c r="I412" t="s">
        <v>221</v>
      </c>
      <c r="J412" t="s">
        <v>27</v>
      </c>
      <c r="K412" t="s">
        <v>335</v>
      </c>
      <c r="L412">
        <v>3</v>
      </c>
      <c r="M412">
        <v>1229.8800000000001</v>
      </c>
      <c r="N412">
        <v>0.16</v>
      </c>
      <c r="O412">
        <v>4385.2700000000004</v>
      </c>
      <c r="P412">
        <v>2310.7399999999998</v>
      </c>
      <c r="Q412">
        <v>75.88</v>
      </c>
      <c r="R412" t="s">
        <v>57</v>
      </c>
      <c r="S412">
        <v>5</v>
      </c>
      <c r="T412" t="b">
        <v>0</v>
      </c>
      <c r="U412" t="s">
        <v>193</v>
      </c>
      <c r="V412">
        <v>4</v>
      </c>
    </row>
    <row r="413" spans="1:22" x14ac:dyDescent="0.25">
      <c r="A413" t="s">
        <v>1186</v>
      </c>
      <c r="B413" s="1">
        <v>45090</v>
      </c>
      <c r="C413" t="s">
        <v>1187</v>
      </c>
      <c r="D413" t="s">
        <v>1188</v>
      </c>
      <c r="E413">
        <v>47</v>
      </c>
      <c r="F413" t="str">
        <f>IF(Table1[[#This Row],[age]]&lt;=25,"18-25",IF(Table1[[#This Row],[age]]&lt;=35,"26-35",IF(Table1[[#This Row],[age]]&lt;=50,"36-50","51+")))</f>
        <v>36-50</v>
      </c>
      <c r="G413" t="s">
        <v>24</v>
      </c>
      <c r="H413" t="s">
        <v>80</v>
      </c>
      <c r="I413" t="s">
        <v>236</v>
      </c>
      <c r="J413" t="s">
        <v>63</v>
      </c>
      <c r="K413" t="s">
        <v>64</v>
      </c>
      <c r="L413">
        <v>2</v>
      </c>
      <c r="M413">
        <v>1474.66</v>
      </c>
      <c r="N413">
        <v>0.16</v>
      </c>
      <c r="O413">
        <v>3493.62</v>
      </c>
      <c r="P413">
        <v>1237.1500000000001</v>
      </c>
      <c r="Q413">
        <v>83</v>
      </c>
      <c r="R413" t="s">
        <v>49</v>
      </c>
      <c r="S413">
        <v>2</v>
      </c>
      <c r="T413" t="b">
        <v>0</v>
      </c>
      <c r="U413" t="s">
        <v>30</v>
      </c>
      <c r="V413">
        <v>9</v>
      </c>
    </row>
    <row r="414" spans="1:22" x14ac:dyDescent="0.25">
      <c r="A414" t="s">
        <v>1189</v>
      </c>
      <c r="B414" s="1">
        <v>45168</v>
      </c>
      <c r="C414" t="s">
        <v>1190</v>
      </c>
      <c r="D414" t="s">
        <v>378</v>
      </c>
      <c r="E414">
        <v>35</v>
      </c>
      <c r="F414" t="str">
        <f>IF(Table1[[#This Row],[age]]&lt;=25,"18-25",IF(Table1[[#This Row],[age]]&lt;=35,"26-35",IF(Table1[[#This Row],[age]]&lt;=50,"36-50","51+")))</f>
        <v>26-35</v>
      </c>
      <c r="G414" t="s">
        <v>54</v>
      </c>
      <c r="H414" t="s">
        <v>69</v>
      </c>
      <c r="I414" t="s">
        <v>70</v>
      </c>
      <c r="J414" t="s">
        <v>106</v>
      </c>
      <c r="K414" t="s">
        <v>247</v>
      </c>
      <c r="L414">
        <v>9</v>
      </c>
      <c r="M414">
        <v>132.91</v>
      </c>
      <c r="N414">
        <v>0.37</v>
      </c>
      <c r="O414">
        <v>1379.32</v>
      </c>
      <c r="P414">
        <v>95.16</v>
      </c>
      <c r="Q414">
        <v>84.31</v>
      </c>
      <c r="R414" t="s">
        <v>49</v>
      </c>
      <c r="S414">
        <v>1</v>
      </c>
      <c r="T414" t="b">
        <v>0</v>
      </c>
      <c r="U414" t="s">
        <v>30</v>
      </c>
      <c r="V414">
        <v>4</v>
      </c>
    </row>
    <row r="415" spans="1:22" x14ac:dyDescent="0.25">
      <c r="A415" t="s">
        <v>1191</v>
      </c>
      <c r="B415" s="1">
        <v>44785</v>
      </c>
      <c r="C415" t="s">
        <v>1192</v>
      </c>
      <c r="D415" t="s">
        <v>711</v>
      </c>
      <c r="E415">
        <v>37</v>
      </c>
      <c r="F415" t="str">
        <f>IF(Table1[[#This Row],[age]]&lt;=25,"18-25",IF(Table1[[#This Row],[age]]&lt;=35,"26-35",IF(Table1[[#This Row],[age]]&lt;=50,"36-50","51+")))</f>
        <v>36-50</v>
      </c>
      <c r="G415" t="s">
        <v>24</v>
      </c>
      <c r="H415" t="s">
        <v>80</v>
      </c>
      <c r="I415" t="s">
        <v>86</v>
      </c>
      <c r="J415" t="s">
        <v>27</v>
      </c>
      <c r="K415" t="s">
        <v>480</v>
      </c>
      <c r="L415">
        <v>2</v>
      </c>
      <c r="M415">
        <v>2364.83</v>
      </c>
      <c r="N415">
        <v>7.0000000000000007E-2</v>
      </c>
      <c r="O415">
        <v>5331.18</v>
      </c>
      <c r="P415">
        <v>2254.41</v>
      </c>
      <c r="Q415">
        <v>60.96</v>
      </c>
      <c r="R415" t="s">
        <v>43</v>
      </c>
      <c r="S415">
        <v>1</v>
      </c>
      <c r="T415" t="b">
        <v>0</v>
      </c>
      <c r="U415" t="s">
        <v>30</v>
      </c>
      <c r="V415">
        <v>4</v>
      </c>
    </row>
    <row r="416" spans="1:22" x14ac:dyDescent="0.25">
      <c r="A416" t="s">
        <v>1193</v>
      </c>
      <c r="B416" s="1">
        <v>45142</v>
      </c>
      <c r="C416" t="s">
        <v>1194</v>
      </c>
      <c r="D416" t="s">
        <v>446</v>
      </c>
      <c r="E416">
        <v>26</v>
      </c>
      <c r="F416" t="str">
        <f>IF(Table1[[#This Row],[age]]&lt;=25,"18-25",IF(Table1[[#This Row],[age]]&lt;=35,"26-35",IF(Table1[[#This Row],[age]]&lt;=50,"36-50","51+")))</f>
        <v>26-35</v>
      </c>
      <c r="G416" t="s">
        <v>54</v>
      </c>
      <c r="H416" t="s">
        <v>25</v>
      </c>
      <c r="I416" t="s">
        <v>298</v>
      </c>
      <c r="J416" t="s">
        <v>101</v>
      </c>
      <c r="K416" t="s">
        <v>456</v>
      </c>
      <c r="L416">
        <v>10</v>
      </c>
      <c r="M416">
        <v>10231.86</v>
      </c>
      <c r="N416">
        <v>0.33</v>
      </c>
      <c r="O416">
        <v>98825.46</v>
      </c>
      <c r="P416">
        <v>17642.86</v>
      </c>
      <c r="Q416">
        <v>40.200000000000003</v>
      </c>
      <c r="R416" t="s">
        <v>57</v>
      </c>
      <c r="S416">
        <v>2</v>
      </c>
      <c r="T416" t="b">
        <v>0</v>
      </c>
      <c r="U416" t="s">
        <v>30</v>
      </c>
      <c r="V416">
        <v>9</v>
      </c>
    </row>
    <row r="417" spans="1:22" x14ac:dyDescent="0.25">
      <c r="A417" t="s">
        <v>1195</v>
      </c>
      <c r="B417" s="1">
        <v>45396</v>
      </c>
      <c r="C417" t="s">
        <v>1196</v>
      </c>
      <c r="D417" t="s">
        <v>437</v>
      </c>
      <c r="E417">
        <v>22</v>
      </c>
      <c r="F417" t="str">
        <f>IF(Table1[[#This Row],[age]]&lt;=25,"18-25",IF(Table1[[#This Row],[age]]&lt;=35,"26-35",IF(Table1[[#This Row],[age]]&lt;=50,"36-50","51+")))</f>
        <v>18-25</v>
      </c>
      <c r="G417" t="s">
        <v>54</v>
      </c>
      <c r="H417" t="s">
        <v>69</v>
      </c>
      <c r="I417" t="s">
        <v>70</v>
      </c>
      <c r="J417" t="s">
        <v>47</v>
      </c>
      <c r="K417" t="s">
        <v>600</v>
      </c>
      <c r="L417">
        <v>1</v>
      </c>
      <c r="M417">
        <v>675.6</v>
      </c>
      <c r="N417">
        <v>0.09</v>
      </c>
      <c r="O417">
        <v>960.99</v>
      </c>
      <c r="P417">
        <v>301.26</v>
      </c>
      <c r="Q417">
        <v>94.17</v>
      </c>
      <c r="R417" t="s">
        <v>92</v>
      </c>
      <c r="S417">
        <v>5</v>
      </c>
      <c r="T417" t="b">
        <v>0</v>
      </c>
      <c r="U417" t="s">
        <v>93</v>
      </c>
      <c r="V417">
        <v>5</v>
      </c>
    </row>
    <row r="418" spans="1:22" x14ac:dyDescent="0.25">
      <c r="A418" t="s">
        <v>1197</v>
      </c>
      <c r="B418" s="1">
        <v>45113</v>
      </c>
      <c r="C418" t="s">
        <v>1198</v>
      </c>
      <c r="D418" t="s">
        <v>734</v>
      </c>
      <c r="E418">
        <v>34</v>
      </c>
      <c r="F418" t="str">
        <f>IF(Table1[[#This Row],[age]]&lt;=25,"18-25",IF(Table1[[#This Row],[age]]&lt;=35,"26-35",IF(Table1[[#This Row],[age]]&lt;=50,"36-50","51+")))</f>
        <v>26-35</v>
      </c>
      <c r="G418" t="s">
        <v>54</v>
      </c>
      <c r="H418" t="s">
        <v>55</v>
      </c>
      <c r="I418" t="s">
        <v>97</v>
      </c>
      <c r="J418" t="s">
        <v>115</v>
      </c>
      <c r="K418" t="s">
        <v>137</v>
      </c>
      <c r="L418">
        <v>3</v>
      </c>
      <c r="M418">
        <v>69702.559999999998</v>
      </c>
      <c r="N418">
        <v>0.36</v>
      </c>
      <c r="O418">
        <v>204235.41</v>
      </c>
      <c r="P418">
        <v>30667.19</v>
      </c>
      <c r="Q418">
        <v>72.010000000000005</v>
      </c>
      <c r="R418" t="s">
        <v>43</v>
      </c>
      <c r="S418">
        <v>5</v>
      </c>
      <c r="T418" t="b">
        <v>0</v>
      </c>
      <c r="U418" t="s">
        <v>30</v>
      </c>
      <c r="V418">
        <v>2</v>
      </c>
    </row>
    <row r="419" spans="1:22" x14ac:dyDescent="0.25">
      <c r="A419" t="s">
        <v>1199</v>
      </c>
      <c r="B419" s="1">
        <v>45280</v>
      </c>
      <c r="C419" t="s">
        <v>1200</v>
      </c>
      <c r="D419" t="s">
        <v>235</v>
      </c>
      <c r="E419">
        <v>59</v>
      </c>
      <c r="F419" t="str">
        <f>IF(Table1[[#This Row],[age]]&lt;=25,"18-25",IF(Table1[[#This Row],[age]]&lt;=35,"26-35",IF(Table1[[#This Row],[age]]&lt;=50,"36-50","51+")))</f>
        <v>51+</v>
      </c>
      <c r="G419" t="s">
        <v>34</v>
      </c>
      <c r="H419" t="s">
        <v>69</v>
      </c>
      <c r="I419" t="s">
        <v>221</v>
      </c>
      <c r="J419" t="s">
        <v>27</v>
      </c>
      <c r="K419" t="s">
        <v>168</v>
      </c>
      <c r="L419">
        <v>4</v>
      </c>
      <c r="M419">
        <v>1670.09</v>
      </c>
      <c r="N419">
        <v>0.39</v>
      </c>
      <c r="O419">
        <v>3402.85</v>
      </c>
      <c r="P419">
        <v>1861.74</v>
      </c>
      <c r="Q419">
        <v>94.95</v>
      </c>
      <c r="R419" t="s">
        <v>65</v>
      </c>
      <c r="S419">
        <v>1</v>
      </c>
      <c r="T419" t="b">
        <v>1</v>
      </c>
      <c r="U419" t="s">
        <v>50</v>
      </c>
      <c r="V419">
        <v>6</v>
      </c>
    </row>
    <row r="420" spans="1:22" x14ac:dyDescent="0.25">
      <c r="A420" t="s">
        <v>1201</v>
      </c>
      <c r="B420" s="1">
        <v>45524</v>
      </c>
      <c r="C420" t="s">
        <v>1202</v>
      </c>
      <c r="D420" t="s">
        <v>1203</v>
      </c>
      <c r="E420">
        <v>20</v>
      </c>
      <c r="F420" t="str">
        <f>IF(Table1[[#This Row],[age]]&lt;=25,"18-25",IF(Table1[[#This Row],[age]]&lt;=35,"26-35",IF(Table1[[#This Row],[age]]&lt;=50,"36-50","51+")))</f>
        <v>18-25</v>
      </c>
      <c r="G420" t="s">
        <v>54</v>
      </c>
      <c r="H420" t="s">
        <v>25</v>
      </c>
      <c r="I420" t="s">
        <v>41</v>
      </c>
      <c r="J420" t="s">
        <v>36</v>
      </c>
      <c r="K420" t="s">
        <v>42</v>
      </c>
      <c r="L420">
        <v>7</v>
      </c>
      <c r="M420">
        <v>14200.86</v>
      </c>
      <c r="N420">
        <v>0.14000000000000001</v>
      </c>
      <c r="O420">
        <v>123743.08</v>
      </c>
      <c r="P420">
        <v>37065.68</v>
      </c>
      <c r="Q420">
        <v>54.52</v>
      </c>
      <c r="R420" t="s">
        <v>29</v>
      </c>
      <c r="S420">
        <v>2</v>
      </c>
      <c r="T420" t="b">
        <v>0</v>
      </c>
      <c r="U420" t="s">
        <v>30</v>
      </c>
      <c r="V420">
        <v>10</v>
      </c>
    </row>
    <row r="421" spans="1:22" x14ac:dyDescent="0.25">
      <c r="A421" t="s">
        <v>1204</v>
      </c>
      <c r="B421" s="1">
        <v>44469</v>
      </c>
      <c r="C421" t="s">
        <v>1205</v>
      </c>
      <c r="D421" t="s">
        <v>246</v>
      </c>
      <c r="E421">
        <v>31</v>
      </c>
      <c r="F421" t="str">
        <f>IF(Table1[[#This Row],[age]]&lt;=25,"18-25",IF(Table1[[#This Row],[age]]&lt;=35,"26-35",IF(Table1[[#This Row],[age]]&lt;=50,"36-50","51+")))</f>
        <v>26-35</v>
      </c>
      <c r="G421" t="s">
        <v>24</v>
      </c>
      <c r="H421" t="s">
        <v>69</v>
      </c>
      <c r="I421" t="s">
        <v>70</v>
      </c>
      <c r="J421" t="s">
        <v>47</v>
      </c>
      <c r="K421" t="s">
        <v>120</v>
      </c>
      <c r="L421">
        <v>3</v>
      </c>
      <c r="M421">
        <v>751.24</v>
      </c>
      <c r="N421">
        <v>0.34</v>
      </c>
      <c r="O421">
        <v>1754.21</v>
      </c>
      <c r="P421">
        <v>458.13</v>
      </c>
      <c r="Q421">
        <v>103.5</v>
      </c>
      <c r="R421" t="s">
        <v>29</v>
      </c>
      <c r="S421">
        <v>3</v>
      </c>
      <c r="T421" t="b">
        <v>0</v>
      </c>
      <c r="U421" t="s">
        <v>30</v>
      </c>
      <c r="V421">
        <v>10</v>
      </c>
    </row>
    <row r="422" spans="1:22" x14ac:dyDescent="0.25">
      <c r="A422" t="s">
        <v>1206</v>
      </c>
      <c r="B422" s="1">
        <v>45156</v>
      </c>
      <c r="C422" t="s">
        <v>1207</v>
      </c>
      <c r="D422" t="s">
        <v>838</v>
      </c>
      <c r="E422">
        <v>50</v>
      </c>
      <c r="F422" t="str">
        <f>IF(Table1[[#This Row],[age]]&lt;=25,"18-25",IF(Table1[[#This Row],[age]]&lt;=35,"26-35",IF(Table1[[#This Row],[age]]&lt;=50,"36-50","51+")))</f>
        <v>36-50</v>
      </c>
      <c r="G422" t="s">
        <v>54</v>
      </c>
      <c r="H422" t="s">
        <v>80</v>
      </c>
      <c r="I422" t="s">
        <v>236</v>
      </c>
      <c r="J422" t="s">
        <v>36</v>
      </c>
      <c r="K422" t="s">
        <v>76</v>
      </c>
      <c r="L422">
        <v>7</v>
      </c>
      <c r="M422">
        <v>34829.83</v>
      </c>
      <c r="N422">
        <v>0.27</v>
      </c>
      <c r="O422">
        <v>251225.51</v>
      </c>
      <c r="P422">
        <v>87253.16</v>
      </c>
      <c r="Q422">
        <v>74.92</v>
      </c>
      <c r="R422" t="s">
        <v>43</v>
      </c>
      <c r="S422">
        <v>1</v>
      </c>
      <c r="T422" t="b">
        <v>0</v>
      </c>
      <c r="U422" t="s">
        <v>30</v>
      </c>
      <c r="V422">
        <v>9</v>
      </c>
    </row>
    <row r="423" spans="1:22" x14ac:dyDescent="0.25">
      <c r="A423" t="s">
        <v>1208</v>
      </c>
      <c r="B423" s="1">
        <v>44021</v>
      </c>
      <c r="C423" t="s">
        <v>1209</v>
      </c>
      <c r="D423" t="s">
        <v>361</v>
      </c>
      <c r="E423">
        <v>36</v>
      </c>
      <c r="F423" t="str">
        <f>IF(Table1[[#This Row],[age]]&lt;=25,"18-25",IF(Table1[[#This Row],[age]]&lt;=35,"26-35",IF(Table1[[#This Row],[age]]&lt;=50,"36-50","51+")))</f>
        <v>36-50</v>
      </c>
      <c r="G423" t="s">
        <v>34</v>
      </c>
      <c r="H423" t="s">
        <v>80</v>
      </c>
      <c r="I423" t="s">
        <v>242</v>
      </c>
      <c r="J423" t="s">
        <v>63</v>
      </c>
      <c r="K423" t="s">
        <v>111</v>
      </c>
      <c r="L423">
        <v>2</v>
      </c>
      <c r="M423">
        <v>2956.54</v>
      </c>
      <c r="N423">
        <v>0.38</v>
      </c>
      <c r="O423">
        <v>4033.47</v>
      </c>
      <c r="P423">
        <v>1730.04</v>
      </c>
      <c r="Q423">
        <v>80.22</v>
      </c>
      <c r="R423" t="s">
        <v>29</v>
      </c>
      <c r="S423">
        <v>4</v>
      </c>
      <c r="T423" t="b">
        <v>0</v>
      </c>
      <c r="U423" t="s">
        <v>30</v>
      </c>
      <c r="V423">
        <v>3</v>
      </c>
    </row>
    <row r="424" spans="1:22" x14ac:dyDescent="0.25">
      <c r="A424" t="s">
        <v>1210</v>
      </c>
      <c r="B424" s="1">
        <v>45158</v>
      </c>
      <c r="C424" t="s">
        <v>1211</v>
      </c>
      <c r="D424" t="s">
        <v>1212</v>
      </c>
      <c r="E424">
        <v>29</v>
      </c>
      <c r="F424" t="str">
        <f>IF(Table1[[#This Row],[age]]&lt;=25,"18-25",IF(Table1[[#This Row],[age]]&lt;=35,"26-35",IF(Table1[[#This Row],[age]]&lt;=50,"36-50","51+")))</f>
        <v>26-35</v>
      </c>
      <c r="G424" t="s">
        <v>24</v>
      </c>
      <c r="H424" t="s">
        <v>55</v>
      </c>
      <c r="I424" t="s">
        <v>56</v>
      </c>
      <c r="J424" t="s">
        <v>101</v>
      </c>
      <c r="K424" t="s">
        <v>164</v>
      </c>
      <c r="L424">
        <v>4</v>
      </c>
      <c r="M424">
        <v>5660.42</v>
      </c>
      <c r="N424">
        <v>0.24</v>
      </c>
      <c r="O424">
        <v>22682.85</v>
      </c>
      <c r="P424">
        <v>4781.05</v>
      </c>
      <c r="Q424">
        <v>52.61</v>
      </c>
      <c r="R424" t="s">
        <v>65</v>
      </c>
      <c r="S424">
        <v>5</v>
      </c>
      <c r="T424" t="b">
        <v>0</v>
      </c>
      <c r="U424" t="s">
        <v>93</v>
      </c>
      <c r="V424">
        <v>6</v>
      </c>
    </row>
    <row r="425" spans="1:22" x14ac:dyDescent="0.25">
      <c r="A425" t="s">
        <v>1213</v>
      </c>
      <c r="B425" s="1">
        <v>43853</v>
      </c>
      <c r="C425" t="s">
        <v>1214</v>
      </c>
      <c r="D425" t="s">
        <v>1215</v>
      </c>
      <c r="E425">
        <v>53</v>
      </c>
      <c r="F425" t="str">
        <f>IF(Table1[[#This Row],[age]]&lt;=25,"18-25",IF(Table1[[#This Row],[age]]&lt;=35,"26-35",IF(Table1[[#This Row],[age]]&lt;=50,"36-50","51+")))</f>
        <v>51+</v>
      </c>
      <c r="G425" t="s">
        <v>54</v>
      </c>
      <c r="H425" t="s">
        <v>61</v>
      </c>
      <c r="I425" t="s">
        <v>163</v>
      </c>
      <c r="J425" t="s">
        <v>63</v>
      </c>
      <c r="K425" t="s">
        <v>434</v>
      </c>
      <c r="L425">
        <v>1</v>
      </c>
      <c r="M425">
        <v>3054</v>
      </c>
      <c r="N425">
        <v>0.03</v>
      </c>
      <c r="O425">
        <v>2217.29</v>
      </c>
      <c r="P425">
        <v>558.25</v>
      </c>
      <c r="Q425">
        <v>82.49</v>
      </c>
      <c r="R425" t="s">
        <v>43</v>
      </c>
      <c r="S425">
        <v>4</v>
      </c>
      <c r="T425" t="b">
        <v>0</v>
      </c>
      <c r="U425" t="s">
        <v>30</v>
      </c>
      <c r="V425">
        <v>9</v>
      </c>
    </row>
    <row r="426" spans="1:22" x14ac:dyDescent="0.25">
      <c r="A426" t="s">
        <v>1216</v>
      </c>
      <c r="B426" s="1">
        <v>45543</v>
      </c>
      <c r="C426" t="s">
        <v>1217</v>
      </c>
      <c r="D426" t="s">
        <v>217</v>
      </c>
      <c r="E426">
        <v>28</v>
      </c>
      <c r="F426" t="str">
        <f>IF(Table1[[#This Row],[age]]&lt;=25,"18-25",IF(Table1[[#This Row],[age]]&lt;=35,"26-35",IF(Table1[[#This Row],[age]]&lt;=50,"36-50","51+")))</f>
        <v>26-35</v>
      </c>
      <c r="G426" t="s">
        <v>34</v>
      </c>
      <c r="H426" t="s">
        <v>25</v>
      </c>
      <c r="I426" t="s">
        <v>41</v>
      </c>
      <c r="J426" t="s">
        <v>63</v>
      </c>
      <c r="K426" t="s">
        <v>152</v>
      </c>
      <c r="L426">
        <v>1</v>
      </c>
      <c r="M426">
        <v>3018.11</v>
      </c>
      <c r="N426">
        <v>0</v>
      </c>
      <c r="O426">
        <v>3776.1</v>
      </c>
      <c r="P426">
        <v>922.32</v>
      </c>
      <c r="Q426">
        <v>65.86</v>
      </c>
      <c r="R426" t="s">
        <v>29</v>
      </c>
      <c r="S426">
        <v>3</v>
      </c>
      <c r="T426" t="b">
        <v>0</v>
      </c>
      <c r="U426" t="s">
        <v>71</v>
      </c>
      <c r="V426">
        <v>3</v>
      </c>
    </row>
    <row r="427" spans="1:22" x14ac:dyDescent="0.25">
      <c r="A427" t="s">
        <v>1218</v>
      </c>
      <c r="B427" s="1">
        <v>44028</v>
      </c>
      <c r="C427" t="s">
        <v>1219</v>
      </c>
      <c r="D427" t="s">
        <v>1220</v>
      </c>
      <c r="E427">
        <v>20</v>
      </c>
      <c r="F427" t="str">
        <f>IF(Table1[[#This Row],[age]]&lt;=25,"18-25",IF(Table1[[#This Row],[age]]&lt;=35,"26-35",IF(Table1[[#This Row],[age]]&lt;=50,"36-50","51+")))</f>
        <v>18-25</v>
      </c>
      <c r="G427" t="s">
        <v>34</v>
      </c>
      <c r="H427" t="s">
        <v>69</v>
      </c>
      <c r="I427" t="s">
        <v>70</v>
      </c>
      <c r="J427" t="s">
        <v>47</v>
      </c>
      <c r="K427" t="s">
        <v>600</v>
      </c>
      <c r="L427">
        <v>4</v>
      </c>
      <c r="M427">
        <v>585.03</v>
      </c>
      <c r="N427">
        <v>0.39</v>
      </c>
      <c r="O427">
        <v>1538.2</v>
      </c>
      <c r="P427">
        <v>656.23</v>
      </c>
      <c r="Q427">
        <v>105.88</v>
      </c>
      <c r="R427" t="s">
        <v>92</v>
      </c>
      <c r="S427">
        <v>5</v>
      </c>
      <c r="T427" t="b">
        <v>0</v>
      </c>
      <c r="U427" t="s">
        <v>30</v>
      </c>
      <c r="V427">
        <v>1</v>
      </c>
    </row>
    <row r="428" spans="1:22" x14ac:dyDescent="0.25">
      <c r="A428" t="s">
        <v>1221</v>
      </c>
      <c r="B428" s="1">
        <v>43906</v>
      </c>
      <c r="C428" t="s">
        <v>1222</v>
      </c>
      <c r="D428" t="s">
        <v>1223</v>
      </c>
      <c r="E428">
        <v>35</v>
      </c>
      <c r="F428" t="str">
        <f>IF(Table1[[#This Row],[age]]&lt;=25,"18-25",IF(Table1[[#This Row],[age]]&lt;=35,"26-35",IF(Table1[[#This Row],[age]]&lt;=50,"36-50","51+")))</f>
        <v>26-35</v>
      </c>
      <c r="G428" t="s">
        <v>34</v>
      </c>
      <c r="H428" t="s">
        <v>61</v>
      </c>
      <c r="I428" t="s">
        <v>141</v>
      </c>
      <c r="J428" t="s">
        <v>106</v>
      </c>
      <c r="K428" t="s">
        <v>331</v>
      </c>
      <c r="L428">
        <v>9</v>
      </c>
      <c r="M428">
        <v>167.67</v>
      </c>
      <c r="N428">
        <v>0.25</v>
      </c>
      <c r="O428">
        <v>1072.27</v>
      </c>
      <c r="P428">
        <v>93.59</v>
      </c>
      <c r="Q428">
        <v>68.23</v>
      </c>
      <c r="R428" t="s">
        <v>49</v>
      </c>
      <c r="S428">
        <v>1</v>
      </c>
      <c r="T428" t="b">
        <v>0</v>
      </c>
      <c r="U428" t="s">
        <v>30</v>
      </c>
      <c r="V428">
        <v>7</v>
      </c>
    </row>
    <row r="429" spans="1:22" x14ac:dyDescent="0.25">
      <c r="A429" t="s">
        <v>1224</v>
      </c>
      <c r="B429" s="1">
        <v>45403</v>
      </c>
      <c r="C429" t="s">
        <v>1225</v>
      </c>
      <c r="D429" t="s">
        <v>455</v>
      </c>
      <c r="E429">
        <v>46</v>
      </c>
      <c r="F429" t="str">
        <f>IF(Table1[[#This Row],[age]]&lt;=25,"18-25",IF(Table1[[#This Row],[age]]&lt;=35,"26-35",IF(Table1[[#This Row],[age]]&lt;=50,"36-50","51+")))</f>
        <v>36-50</v>
      </c>
      <c r="G429" t="s">
        <v>54</v>
      </c>
      <c r="H429" t="s">
        <v>61</v>
      </c>
      <c r="I429" t="s">
        <v>91</v>
      </c>
      <c r="J429" t="s">
        <v>47</v>
      </c>
      <c r="K429" t="s">
        <v>204</v>
      </c>
      <c r="L429">
        <v>9</v>
      </c>
      <c r="M429">
        <v>518.92999999999995</v>
      </c>
      <c r="N429">
        <v>0.18</v>
      </c>
      <c r="O429">
        <v>6095.48</v>
      </c>
      <c r="P429">
        <v>2092.3200000000002</v>
      </c>
      <c r="Q429">
        <v>33.549999999999997</v>
      </c>
      <c r="R429" t="s">
        <v>92</v>
      </c>
      <c r="S429">
        <v>3</v>
      </c>
      <c r="T429" t="b">
        <v>0</v>
      </c>
      <c r="U429" t="s">
        <v>30</v>
      </c>
      <c r="V429">
        <v>3</v>
      </c>
    </row>
    <row r="430" spans="1:22" x14ac:dyDescent="0.25">
      <c r="A430" t="s">
        <v>1226</v>
      </c>
      <c r="B430" s="1">
        <v>45611</v>
      </c>
      <c r="C430" t="s">
        <v>1227</v>
      </c>
      <c r="D430" t="s">
        <v>1171</v>
      </c>
      <c r="E430">
        <v>23</v>
      </c>
      <c r="F430" t="str">
        <f>IF(Table1[[#This Row],[age]]&lt;=25,"18-25",IF(Table1[[#This Row],[age]]&lt;=35,"26-35",IF(Table1[[#This Row],[age]]&lt;=50,"36-50","51+")))</f>
        <v>18-25</v>
      </c>
      <c r="G430" t="s">
        <v>24</v>
      </c>
      <c r="H430" t="s">
        <v>80</v>
      </c>
      <c r="I430" t="s">
        <v>236</v>
      </c>
      <c r="J430" t="s">
        <v>36</v>
      </c>
      <c r="K430" t="s">
        <v>230</v>
      </c>
      <c r="L430">
        <v>9</v>
      </c>
      <c r="M430">
        <v>21959.46</v>
      </c>
      <c r="N430">
        <v>0.26</v>
      </c>
      <c r="O430">
        <v>157002.59</v>
      </c>
      <c r="P430">
        <v>28723.82</v>
      </c>
      <c r="Q430">
        <v>58.03</v>
      </c>
      <c r="R430" t="s">
        <v>29</v>
      </c>
      <c r="S430">
        <v>1</v>
      </c>
      <c r="T430" t="b">
        <v>0</v>
      </c>
      <c r="U430" t="s">
        <v>30</v>
      </c>
      <c r="V430">
        <v>3</v>
      </c>
    </row>
    <row r="431" spans="1:22" x14ac:dyDescent="0.25">
      <c r="A431" t="s">
        <v>1228</v>
      </c>
      <c r="B431" s="1">
        <v>45232</v>
      </c>
      <c r="C431" t="s">
        <v>1229</v>
      </c>
      <c r="D431" t="s">
        <v>572</v>
      </c>
      <c r="E431">
        <v>36</v>
      </c>
      <c r="F431" t="str">
        <f>IF(Table1[[#This Row],[age]]&lt;=25,"18-25",IF(Table1[[#This Row],[age]]&lt;=35,"26-35",IF(Table1[[#This Row],[age]]&lt;=50,"36-50","51+")))</f>
        <v>36-50</v>
      </c>
      <c r="G431" t="s">
        <v>34</v>
      </c>
      <c r="H431" t="s">
        <v>55</v>
      </c>
      <c r="I431" t="s">
        <v>97</v>
      </c>
      <c r="J431" t="s">
        <v>36</v>
      </c>
      <c r="K431" t="s">
        <v>42</v>
      </c>
      <c r="L431">
        <v>6</v>
      </c>
      <c r="M431">
        <v>12617.99</v>
      </c>
      <c r="N431">
        <v>0.05</v>
      </c>
      <c r="O431">
        <v>66859.47</v>
      </c>
      <c r="P431">
        <v>19527.7</v>
      </c>
      <c r="Q431">
        <v>32.57</v>
      </c>
      <c r="R431" t="s">
        <v>29</v>
      </c>
      <c r="S431">
        <v>4</v>
      </c>
      <c r="T431" t="b">
        <v>0</v>
      </c>
      <c r="U431" t="s">
        <v>30</v>
      </c>
      <c r="V431">
        <v>9</v>
      </c>
    </row>
    <row r="432" spans="1:22" x14ac:dyDescent="0.25">
      <c r="A432" t="s">
        <v>1230</v>
      </c>
      <c r="B432" s="1">
        <v>43893</v>
      </c>
      <c r="C432" t="s">
        <v>1231</v>
      </c>
      <c r="D432" t="s">
        <v>352</v>
      </c>
      <c r="E432">
        <v>35</v>
      </c>
      <c r="F432" t="str">
        <f>IF(Table1[[#This Row],[age]]&lt;=25,"18-25",IF(Table1[[#This Row],[age]]&lt;=35,"26-35",IF(Table1[[#This Row],[age]]&lt;=50,"36-50","51+")))</f>
        <v>26-35</v>
      </c>
      <c r="G432" t="s">
        <v>54</v>
      </c>
      <c r="H432" t="s">
        <v>69</v>
      </c>
      <c r="I432" t="s">
        <v>221</v>
      </c>
      <c r="J432" t="s">
        <v>47</v>
      </c>
      <c r="K432" t="s">
        <v>156</v>
      </c>
      <c r="L432">
        <v>1</v>
      </c>
      <c r="M432">
        <v>928.19</v>
      </c>
      <c r="N432">
        <v>0.28999999999999998</v>
      </c>
      <c r="O432">
        <v>699.17</v>
      </c>
      <c r="P432">
        <v>249.77</v>
      </c>
      <c r="Q432">
        <v>65.349999999999994</v>
      </c>
      <c r="R432" t="s">
        <v>92</v>
      </c>
      <c r="S432">
        <v>5</v>
      </c>
      <c r="T432" t="b">
        <v>0</v>
      </c>
      <c r="U432" t="s">
        <v>71</v>
      </c>
      <c r="V432">
        <v>9</v>
      </c>
    </row>
    <row r="433" spans="1:22" x14ac:dyDescent="0.25">
      <c r="A433" t="s">
        <v>1232</v>
      </c>
      <c r="B433" s="1">
        <v>44465</v>
      </c>
      <c r="C433" t="s">
        <v>927</v>
      </c>
      <c r="D433" t="s">
        <v>1233</v>
      </c>
      <c r="E433">
        <v>31</v>
      </c>
      <c r="F433" t="str">
        <f>IF(Table1[[#This Row],[age]]&lt;=25,"18-25",IF(Table1[[#This Row],[age]]&lt;=35,"26-35",IF(Table1[[#This Row],[age]]&lt;=50,"36-50","51+")))</f>
        <v>26-35</v>
      </c>
      <c r="G433" t="s">
        <v>34</v>
      </c>
      <c r="H433" t="s">
        <v>25</v>
      </c>
      <c r="I433" t="s">
        <v>26</v>
      </c>
      <c r="J433" t="s">
        <v>63</v>
      </c>
      <c r="K433" t="s">
        <v>87</v>
      </c>
      <c r="L433">
        <v>6</v>
      </c>
      <c r="M433">
        <v>1744.18</v>
      </c>
      <c r="N433">
        <v>0.2</v>
      </c>
      <c r="O433">
        <v>8503.76</v>
      </c>
      <c r="P433">
        <v>2737.92</v>
      </c>
      <c r="Q433">
        <v>72.31</v>
      </c>
      <c r="R433" t="s">
        <v>49</v>
      </c>
      <c r="S433">
        <v>5</v>
      </c>
      <c r="T433" t="b">
        <v>0</v>
      </c>
      <c r="U433" t="s">
        <v>93</v>
      </c>
      <c r="V433">
        <v>5</v>
      </c>
    </row>
    <row r="434" spans="1:22" x14ac:dyDescent="0.25">
      <c r="A434" t="s">
        <v>1234</v>
      </c>
      <c r="B434" s="1">
        <v>44880</v>
      </c>
      <c r="C434" t="s">
        <v>1235</v>
      </c>
      <c r="D434" t="s">
        <v>1236</v>
      </c>
      <c r="E434">
        <v>36</v>
      </c>
      <c r="F434" t="str">
        <f>IF(Table1[[#This Row],[age]]&lt;=25,"18-25",IF(Table1[[#This Row],[age]]&lt;=35,"26-35",IF(Table1[[#This Row],[age]]&lt;=50,"36-50","51+")))</f>
        <v>36-50</v>
      </c>
      <c r="G434" t="s">
        <v>24</v>
      </c>
      <c r="H434" t="s">
        <v>61</v>
      </c>
      <c r="I434" t="s">
        <v>141</v>
      </c>
      <c r="J434" t="s">
        <v>101</v>
      </c>
      <c r="K434" t="s">
        <v>102</v>
      </c>
      <c r="L434">
        <v>4</v>
      </c>
      <c r="M434">
        <v>1627.2</v>
      </c>
      <c r="N434">
        <v>0.35</v>
      </c>
      <c r="O434">
        <v>3842.87</v>
      </c>
      <c r="P434">
        <v>894.8</v>
      </c>
      <c r="Q434">
        <v>32.06</v>
      </c>
      <c r="R434" t="s">
        <v>43</v>
      </c>
      <c r="S434">
        <v>4</v>
      </c>
      <c r="T434" t="b">
        <v>0</v>
      </c>
      <c r="U434" t="s">
        <v>30</v>
      </c>
      <c r="V434">
        <v>1</v>
      </c>
    </row>
    <row r="435" spans="1:22" x14ac:dyDescent="0.25">
      <c r="A435" t="s">
        <v>1237</v>
      </c>
      <c r="B435" s="1">
        <v>44546</v>
      </c>
      <c r="C435" t="s">
        <v>1238</v>
      </c>
      <c r="D435" t="s">
        <v>998</v>
      </c>
      <c r="E435">
        <v>29</v>
      </c>
      <c r="F435" t="str">
        <f>IF(Table1[[#This Row],[age]]&lt;=25,"18-25",IF(Table1[[#This Row],[age]]&lt;=35,"26-35",IF(Table1[[#This Row],[age]]&lt;=50,"36-50","51+")))</f>
        <v>26-35</v>
      </c>
      <c r="G435" t="s">
        <v>54</v>
      </c>
      <c r="H435" t="s">
        <v>25</v>
      </c>
      <c r="I435" t="s">
        <v>35</v>
      </c>
      <c r="J435" t="s">
        <v>63</v>
      </c>
      <c r="K435" t="s">
        <v>82</v>
      </c>
      <c r="L435">
        <v>1</v>
      </c>
      <c r="M435">
        <v>3977.51</v>
      </c>
      <c r="N435">
        <v>0.3</v>
      </c>
      <c r="O435">
        <v>1958.29</v>
      </c>
      <c r="P435">
        <v>447.76</v>
      </c>
      <c r="Q435">
        <v>61.65</v>
      </c>
      <c r="R435" t="s">
        <v>65</v>
      </c>
      <c r="S435">
        <v>1</v>
      </c>
      <c r="T435" t="b">
        <v>0</v>
      </c>
      <c r="U435" t="s">
        <v>30</v>
      </c>
      <c r="V435">
        <v>9</v>
      </c>
    </row>
    <row r="436" spans="1:22" x14ac:dyDescent="0.25">
      <c r="A436" t="s">
        <v>1239</v>
      </c>
      <c r="B436" s="1">
        <v>45513</v>
      </c>
      <c r="C436" t="s">
        <v>1240</v>
      </c>
      <c r="D436" t="s">
        <v>1241</v>
      </c>
      <c r="E436">
        <v>22</v>
      </c>
      <c r="F436" t="str">
        <f>IF(Table1[[#This Row],[age]]&lt;=25,"18-25",IF(Table1[[#This Row],[age]]&lt;=35,"26-35",IF(Table1[[#This Row],[age]]&lt;=50,"36-50","51+")))</f>
        <v>18-25</v>
      </c>
      <c r="G436" t="s">
        <v>34</v>
      </c>
      <c r="H436" t="s">
        <v>25</v>
      </c>
      <c r="I436" t="s">
        <v>26</v>
      </c>
      <c r="J436" t="s">
        <v>47</v>
      </c>
      <c r="K436" t="s">
        <v>156</v>
      </c>
      <c r="L436">
        <v>10</v>
      </c>
      <c r="M436">
        <v>742.8</v>
      </c>
      <c r="N436">
        <v>0.27</v>
      </c>
      <c r="O436">
        <v>7769.9</v>
      </c>
      <c r="P436">
        <v>2273.34</v>
      </c>
      <c r="Q436">
        <v>49.53</v>
      </c>
      <c r="R436" t="s">
        <v>49</v>
      </c>
      <c r="S436">
        <v>5</v>
      </c>
      <c r="T436" t="b">
        <v>0</v>
      </c>
      <c r="U436" t="s">
        <v>30</v>
      </c>
      <c r="V436">
        <v>2</v>
      </c>
    </row>
    <row r="437" spans="1:22" x14ac:dyDescent="0.25">
      <c r="A437" t="s">
        <v>1242</v>
      </c>
      <c r="B437" s="1">
        <v>44056</v>
      </c>
      <c r="C437" t="s">
        <v>1243</v>
      </c>
      <c r="D437" t="s">
        <v>443</v>
      </c>
      <c r="E437">
        <v>21</v>
      </c>
      <c r="F437" t="str">
        <f>IF(Table1[[#This Row],[age]]&lt;=25,"18-25",IF(Table1[[#This Row],[age]]&lt;=35,"26-35",IF(Table1[[#This Row],[age]]&lt;=50,"36-50","51+")))</f>
        <v>18-25</v>
      </c>
      <c r="G437" t="s">
        <v>34</v>
      </c>
      <c r="H437" t="s">
        <v>25</v>
      </c>
      <c r="I437" t="s">
        <v>35</v>
      </c>
      <c r="J437" t="s">
        <v>106</v>
      </c>
      <c r="K437" t="s">
        <v>188</v>
      </c>
      <c r="L437">
        <v>10</v>
      </c>
      <c r="M437">
        <v>321.17</v>
      </c>
      <c r="N437">
        <v>0.36</v>
      </c>
      <c r="O437">
        <v>2171.58</v>
      </c>
      <c r="P437">
        <v>181.47</v>
      </c>
      <c r="Q437">
        <v>51.28</v>
      </c>
      <c r="R437" t="s">
        <v>92</v>
      </c>
      <c r="S437">
        <v>5</v>
      </c>
      <c r="T437" t="b">
        <v>0</v>
      </c>
      <c r="U437" t="s">
        <v>30</v>
      </c>
      <c r="V437">
        <v>1</v>
      </c>
    </row>
    <row r="438" spans="1:22" x14ac:dyDescent="0.25">
      <c r="A438" t="s">
        <v>1244</v>
      </c>
      <c r="B438" s="1">
        <v>45044</v>
      </c>
      <c r="C438" t="s">
        <v>1245</v>
      </c>
      <c r="D438" t="s">
        <v>572</v>
      </c>
      <c r="E438">
        <v>35</v>
      </c>
      <c r="F438" t="str">
        <f>IF(Table1[[#This Row],[age]]&lt;=25,"18-25",IF(Table1[[#This Row],[age]]&lt;=35,"26-35",IF(Table1[[#This Row],[age]]&lt;=50,"36-50","51+")))</f>
        <v>26-35</v>
      </c>
      <c r="G438" t="s">
        <v>54</v>
      </c>
      <c r="H438" t="s">
        <v>80</v>
      </c>
      <c r="I438" t="s">
        <v>236</v>
      </c>
      <c r="J438" t="s">
        <v>106</v>
      </c>
      <c r="K438" t="s">
        <v>331</v>
      </c>
      <c r="L438">
        <v>10</v>
      </c>
      <c r="M438">
        <v>310.75</v>
      </c>
      <c r="N438">
        <v>0.28000000000000003</v>
      </c>
      <c r="O438">
        <v>2966.57</v>
      </c>
      <c r="P438">
        <v>220.38</v>
      </c>
      <c r="Q438">
        <v>68.83</v>
      </c>
      <c r="R438" t="s">
        <v>43</v>
      </c>
      <c r="S438">
        <v>3</v>
      </c>
      <c r="T438" t="b">
        <v>0</v>
      </c>
      <c r="U438" t="s">
        <v>30</v>
      </c>
      <c r="V438">
        <v>7</v>
      </c>
    </row>
    <row r="439" spans="1:22" x14ac:dyDescent="0.25">
      <c r="A439" t="s">
        <v>1246</v>
      </c>
      <c r="B439" s="1">
        <v>45218</v>
      </c>
      <c r="C439" t="s">
        <v>1247</v>
      </c>
      <c r="D439" t="s">
        <v>1248</v>
      </c>
      <c r="E439">
        <v>23</v>
      </c>
      <c r="F439" t="str">
        <f>IF(Table1[[#This Row],[age]]&lt;=25,"18-25",IF(Table1[[#This Row],[age]]&lt;=35,"26-35",IF(Table1[[#This Row],[age]]&lt;=50,"36-50","51+")))</f>
        <v>18-25</v>
      </c>
      <c r="G439" t="s">
        <v>54</v>
      </c>
      <c r="H439" t="s">
        <v>55</v>
      </c>
      <c r="I439" t="s">
        <v>114</v>
      </c>
      <c r="J439" t="s">
        <v>101</v>
      </c>
      <c r="K439" t="s">
        <v>214</v>
      </c>
      <c r="L439">
        <v>3</v>
      </c>
      <c r="M439">
        <v>13795.34</v>
      </c>
      <c r="N439">
        <v>0.33</v>
      </c>
      <c r="O439">
        <v>30187.27</v>
      </c>
      <c r="P439">
        <v>7482.85</v>
      </c>
      <c r="Q439">
        <v>39.479999999999997</v>
      </c>
      <c r="R439" t="s">
        <v>57</v>
      </c>
      <c r="S439">
        <v>5</v>
      </c>
      <c r="T439" t="b">
        <v>0</v>
      </c>
      <c r="U439" t="s">
        <v>30</v>
      </c>
      <c r="V439">
        <v>9</v>
      </c>
    </row>
    <row r="440" spans="1:22" x14ac:dyDescent="0.25">
      <c r="A440" t="s">
        <v>1249</v>
      </c>
      <c r="B440" s="1">
        <v>45026</v>
      </c>
      <c r="C440" t="s">
        <v>1250</v>
      </c>
      <c r="D440" t="s">
        <v>1251</v>
      </c>
      <c r="E440">
        <v>49</v>
      </c>
      <c r="F440" t="str">
        <f>IF(Table1[[#This Row],[age]]&lt;=25,"18-25",IF(Table1[[#This Row],[age]]&lt;=35,"26-35",IF(Table1[[#This Row],[age]]&lt;=50,"36-50","51+")))</f>
        <v>36-50</v>
      </c>
      <c r="G440" t="s">
        <v>24</v>
      </c>
      <c r="H440" t="s">
        <v>25</v>
      </c>
      <c r="I440" t="s">
        <v>298</v>
      </c>
      <c r="J440" t="s">
        <v>101</v>
      </c>
      <c r="K440" t="s">
        <v>214</v>
      </c>
      <c r="L440">
        <v>3</v>
      </c>
      <c r="M440">
        <v>11672.79</v>
      </c>
      <c r="N440">
        <v>0.26</v>
      </c>
      <c r="O440">
        <v>39508.65</v>
      </c>
      <c r="P440">
        <v>10514.43</v>
      </c>
      <c r="Q440">
        <v>77.349999999999994</v>
      </c>
      <c r="R440" t="s">
        <v>43</v>
      </c>
      <c r="S440">
        <v>2</v>
      </c>
      <c r="T440" t="b">
        <v>0</v>
      </c>
      <c r="U440" t="s">
        <v>93</v>
      </c>
      <c r="V440">
        <v>2</v>
      </c>
    </row>
    <row r="441" spans="1:22" x14ac:dyDescent="0.25">
      <c r="A441" t="s">
        <v>1252</v>
      </c>
      <c r="B441" s="1">
        <v>44675</v>
      </c>
      <c r="C441" t="s">
        <v>1253</v>
      </c>
      <c r="D441" t="s">
        <v>440</v>
      </c>
      <c r="E441">
        <v>18</v>
      </c>
      <c r="F441" t="str">
        <f>IF(Table1[[#This Row],[age]]&lt;=25,"18-25",IF(Table1[[#This Row],[age]]&lt;=35,"26-35",IF(Table1[[#This Row],[age]]&lt;=50,"36-50","51+")))</f>
        <v>18-25</v>
      </c>
      <c r="G441" t="s">
        <v>54</v>
      </c>
      <c r="H441" t="s">
        <v>55</v>
      </c>
      <c r="I441" t="s">
        <v>75</v>
      </c>
      <c r="J441" t="s">
        <v>115</v>
      </c>
      <c r="K441" t="s">
        <v>197</v>
      </c>
      <c r="L441">
        <v>1</v>
      </c>
      <c r="M441">
        <v>23696.79</v>
      </c>
      <c r="N441">
        <v>0.36</v>
      </c>
      <c r="O441">
        <v>19360.650000000001</v>
      </c>
      <c r="P441">
        <v>2981.96</v>
      </c>
      <c r="Q441">
        <v>18.02</v>
      </c>
      <c r="R441" t="s">
        <v>43</v>
      </c>
      <c r="S441">
        <v>4</v>
      </c>
      <c r="T441" t="b">
        <v>0</v>
      </c>
      <c r="U441" t="s">
        <v>30</v>
      </c>
      <c r="V441">
        <v>9</v>
      </c>
    </row>
    <row r="442" spans="1:22" x14ac:dyDescent="0.25">
      <c r="A442" t="s">
        <v>1254</v>
      </c>
      <c r="B442" s="1">
        <v>45509</v>
      </c>
      <c r="C442" t="s">
        <v>1255</v>
      </c>
      <c r="D442" t="s">
        <v>455</v>
      </c>
      <c r="E442">
        <v>48</v>
      </c>
      <c r="F442" t="str">
        <f>IF(Table1[[#This Row],[age]]&lt;=25,"18-25",IF(Table1[[#This Row],[age]]&lt;=35,"26-35",IF(Table1[[#This Row],[age]]&lt;=50,"36-50","51+")))</f>
        <v>36-50</v>
      </c>
      <c r="G442" t="s">
        <v>24</v>
      </c>
      <c r="H442" t="s">
        <v>80</v>
      </c>
      <c r="I442" t="s">
        <v>86</v>
      </c>
      <c r="J442" t="s">
        <v>115</v>
      </c>
      <c r="K442" t="s">
        <v>116</v>
      </c>
      <c r="L442">
        <v>8</v>
      </c>
      <c r="M442">
        <v>50411.34</v>
      </c>
      <c r="N442">
        <v>0.17</v>
      </c>
      <c r="O442">
        <v>538833.63</v>
      </c>
      <c r="P442">
        <v>74291.94</v>
      </c>
      <c r="Q442">
        <v>56.86</v>
      </c>
      <c r="R442" t="s">
        <v>65</v>
      </c>
      <c r="S442">
        <v>2</v>
      </c>
      <c r="T442" t="b">
        <v>0</v>
      </c>
      <c r="U442" t="s">
        <v>30</v>
      </c>
      <c r="V442">
        <v>7</v>
      </c>
    </row>
    <row r="443" spans="1:22" x14ac:dyDescent="0.25">
      <c r="A443" t="s">
        <v>1256</v>
      </c>
      <c r="B443" s="1">
        <v>44168</v>
      </c>
      <c r="C443" t="s">
        <v>1257</v>
      </c>
      <c r="D443" t="s">
        <v>556</v>
      </c>
      <c r="E443">
        <v>36</v>
      </c>
      <c r="F443" t="str">
        <f>IF(Table1[[#This Row],[age]]&lt;=25,"18-25",IF(Table1[[#This Row],[age]]&lt;=35,"26-35",IF(Table1[[#This Row],[age]]&lt;=50,"36-50","51+")))</f>
        <v>36-50</v>
      </c>
      <c r="G443" t="s">
        <v>54</v>
      </c>
      <c r="H443" t="s">
        <v>69</v>
      </c>
      <c r="I443" t="s">
        <v>181</v>
      </c>
      <c r="J443" t="s">
        <v>27</v>
      </c>
      <c r="K443" t="s">
        <v>168</v>
      </c>
      <c r="L443">
        <v>5</v>
      </c>
      <c r="M443">
        <v>1245.93</v>
      </c>
      <c r="N443">
        <v>0.14000000000000001</v>
      </c>
      <c r="O443">
        <v>3724.57</v>
      </c>
      <c r="P443">
        <v>1585.85</v>
      </c>
      <c r="Q443">
        <v>84.66</v>
      </c>
      <c r="R443" t="s">
        <v>49</v>
      </c>
      <c r="S443">
        <v>4</v>
      </c>
      <c r="T443" t="b">
        <v>0</v>
      </c>
      <c r="U443" t="s">
        <v>30</v>
      </c>
      <c r="V443">
        <v>4</v>
      </c>
    </row>
    <row r="444" spans="1:22" x14ac:dyDescent="0.25">
      <c r="A444" t="s">
        <v>1258</v>
      </c>
      <c r="B444" s="1">
        <v>45304</v>
      </c>
      <c r="C444" t="s">
        <v>1259</v>
      </c>
      <c r="D444" t="s">
        <v>367</v>
      </c>
      <c r="E444">
        <v>43</v>
      </c>
      <c r="F444" t="str">
        <f>IF(Table1[[#This Row],[age]]&lt;=25,"18-25",IF(Table1[[#This Row],[age]]&lt;=35,"26-35",IF(Table1[[#This Row],[age]]&lt;=50,"36-50","51+")))</f>
        <v>36-50</v>
      </c>
      <c r="G444" t="s">
        <v>24</v>
      </c>
      <c r="H444" t="s">
        <v>61</v>
      </c>
      <c r="I444" t="s">
        <v>163</v>
      </c>
      <c r="J444" t="s">
        <v>36</v>
      </c>
      <c r="K444" t="s">
        <v>42</v>
      </c>
      <c r="L444">
        <v>4</v>
      </c>
      <c r="M444">
        <v>10877.51</v>
      </c>
      <c r="N444">
        <v>0.4</v>
      </c>
      <c r="O444">
        <v>25389.56</v>
      </c>
      <c r="P444">
        <v>5507.59</v>
      </c>
      <c r="Q444">
        <v>72.069999999999993</v>
      </c>
      <c r="R444" t="s">
        <v>92</v>
      </c>
      <c r="S444">
        <v>5</v>
      </c>
      <c r="T444" t="b">
        <v>0</v>
      </c>
      <c r="U444" t="s">
        <v>30</v>
      </c>
      <c r="V444">
        <v>9</v>
      </c>
    </row>
    <row r="445" spans="1:22" x14ac:dyDescent="0.25">
      <c r="A445" t="s">
        <v>1260</v>
      </c>
      <c r="B445" s="1">
        <v>45167</v>
      </c>
      <c r="C445" t="s">
        <v>1261</v>
      </c>
      <c r="D445" t="s">
        <v>1262</v>
      </c>
      <c r="E445">
        <v>32</v>
      </c>
      <c r="F445" t="str">
        <f>IF(Table1[[#This Row],[age]]&lt;=25,"18-25",IF(Table1[[#This Row],[age]]&lt;=35,"26-35",IF(Table1[[#This Row],[age]]&lt;=50,"36-50","51+")))</f>
        <v>26-35</v>
      </c>
      <c r="G445" t="s">
        <v>34</v>
      </c>
      <c r="H445" t="s">
        <v>80</v>
      </c>
      <c r="I445" t="s">
        <v>86</v>
      </c>
      <c r="J445" t="s">
        <v>36</v>
      </c>
      <c r="K445" t="s">
        <v>230</v>
      </c>
      <c r="L445">
        <v>6</v>
      </c>
      <c r="M445">
        <v>11929.15</v>
      </c>
      <c r="N445">
        <v>0.13</v>
      </c>
      <c r="O445">
        <v>90019.76</v>
      </c>
      <c r="P445">
        <v>15285.49</v>
      </c>
      <c r="Q445">
        <v>66.849999999999994</v>
      </c>
      <c r="R445" t="s">
        <v>92</v>
      </c>
      <c r="S445">
        <v>5</v>
      </c>
      <c r="T445" t="b">
        <v>0</v>
      </c>
      <c r="U445" t="s">
        <v>71</v>
      </c>
      <c r="V445">
        <v>4</v>
      </c>
    </row>
    <row r="446" spans="1:22" x14ac:dyDescent="0.25">
      <c r="A446" t="s">
        <v>1263</v>
      </c>
      <c r="B446" s="1">
        <v>44729</v>
      </c>
      <c r="C446" t="s">
        <v>1264</v>
      </c>
      <c r="D446" t="s">
        <v>611</v>
      </c>
      <c r="E446">
        <v>21</v>
      </c>
      <c r="F446" t="str">
        <f>IF(Table1[[#This Row],[age]]&lt;=25,"18-25",IF(Table1[[#This Row],[age]]&lt;=35,"26-35",IF(Table1[[#This Row],[age]]&lt;=50,"36-50","51+")))</f>
        <v>18-25</v>
      </c>
      <c r="G446" t="s">
        <v>34</v>
      </c>
      <c r="H446" t="s">
        <v>61</v>
      </c>
      <c r="I446" t="s">
        <v>163</v>
      </c>
      <c r="J446" t="s">
        <v>27</v>
      </c>
      <c r="K446" t="s">
        <v>128</v>
      </c>
      <c r="L446">
        <v>9</v>
      </c>
      <c r="M446">
        <v>217.37</v>
      </c>
      <c r="N446">
        <v>0.23</v>
      </c>
      <c r="O446">
        <v>2271.02</v>
      </c>
      <c r="P446">
        <v>949.07</v>
      </c>
      <c r="Q446">
        <v>51.63</v>
      </c>
      <c r="R446" t="s">
        <v>43</v>
      </c>
      <c r="S446">
        <v>2</v>
      </c>
      <c r="T446" t="b">
        <v>1</v>
      </c>
      <c r="U446" t="s">
        <v>50</v>
      </c>
      <c r="V446">
        <v>8</v>
      </c>
    </row>
    <row r="447" spans="1:22" x14ac:dyDescent="0.25">
      <c r="A447" t="s">
        <v>1265</v>
      </c>
      <c r="B447" s="1">
        <v>45289</v>
      </c>
      <c r="C447" t="s">
        <v>1266</v>
      </c>
      <c r="D447" t="s">
        <v>1267</v>
      </c>
      <c r="E447">
        <v>33</v>
      </c>
      <c r="F447" t="str">
        <f>IF(Table1[[#This Row],[age]]&lt;=25,"18-25",IF(Table1[[#This Row],[age]]&lt;=35,"26-35",IF(Table1[[#This Row],[age]]&lt;=50,"36-50","51+")))</f>
        <v>26-35</v>
      </c>
      <c r="G447" t="s">
        <v>34</v>
      </c>
      <c r="H447" t="s">
        <v>55</v>
      </c>
      <c r="I447" t="s">
        <v>56</v>
      </c>
      <c r="J447" t="s">
        <v>115</v>
      </c>
      <c r="K447" t="s">
        <v>545</v>
      </c>
      <c r="L447">
        <v>4</v>
      </c>
      <c r="M447">
        <v>76576.240000000005</v>
      </c>
      <c r="N447">
        <v>0.36</v>
      </c>
      <c r="O447">
        <v>154095.35999999999</v>
      </c>
      <c r="P447">
        <v>19680.310000000001</v>
      </c>
      <c r="Q447">
        <v>60.02</v>
      </c>
      <c r="R447" t="s">
        <v>92</v>
      </c>
      <c r="S447">
        <v>5</v>
      </c>
      <c r="T447" t="b">
        <v>0</v>
      </c>
      <c r="U447" t="s">
        <v>30</v>
      </c>
      <c r="V447">
        <v>2</v>
      </c>
    </row>
    <row r="448" spans="1:22" x14ac:dyDescent="0.25">
      <c r="A448" t="s">
        <v>1268</v>
      </c>
      <c r="B448" s="1">
        <v>44162</v>
      </c>
      <c r="C448" t="s">
        <v>1269</v>
      </c>
      <c r="D448" t="s">
        <v>634</v>
      </c>
      <c r="E448">
        <v>25</v>
      </c>
      <c r="F448" t="str">
        <f>IF(Table1[[#This Row],[age]]&lt;=25,"18-25",IF(Table1[[#This Row],[age]]&lt;=35,"26-35",IF(Table1[[#This Row],[age]]&lt;=50,"36-50","51+")))</f>
        <v>18-25</v>
      </c>
      <c r="G448" t="s">
        <v>34</v>
      </c>
      <c r="H448" t="s">
        <v>61</v>
      </c>
      <c r="I448" t="s">
        <v>91</v>
      </c>
      <c r="J448" t="s">
        <v>101</v>
      </c>
      <c r="K448" t="s">
        <v>456</v>
      </c>
      <c r="L448">
        <v>1</v>
      </c>
      <c r="M448">
        <v>8581.84</v>
      </c>
      <c r="N448">
        <v>0.17</v>
      </c>
      <c r="O448">
        <v>4599.3500000000004</v>
      </c>
      <c r="P448">
        <v>941.93</v>
      </c>
      <c r="Q448">
        <v>62.41</v>
      </c>
      <c r="R448" t="s">
        <v>65</v>
      </c>
      <c r="S448">
        <v>3</v>
      </c>
      <c r="T448" t="b">
        <v>0</v>
      </c>
      <c r="U448" t="s">
        <v>30</v>
      </c>
      <c r="V448">
        <v>6</v>
      </c>
    </row>
    <row r="449" spans="1:22" x14ac:dyDescent="0.25">
      <c r="A449" t="s">
        <v>1270</v>
      </c>
      <c r="B449" s="1">
        <v>44216</v>
      </c>
      <c r="C449" t="s">
        <v>1271</v>
      </c>
      <c r="D449" t="s">
        <v>452</v>
      </c>
      <c r="E449">
        <v>28</v>
      </c>
      <c r="F449" t="str">
        <f>IF(Table1[[#This Row],[age]]&lt;=25,"18-25",IF(Table1[[#This Row],[age]]&lt;=35,"26-35",IF(Table1[[#This Row],[age]]&lt;=50,"36-50","51+")))</f>
        <v>26-35</v>
      </c>
      <c r="G449" t="s">
        <v>54</v>
      </c>
      <c r="H449" t="s">
        <v>69</v>
      </c>
      <c r="I449" t="s">
        <v>181</v>
      </c>
      <c r="J449" t="s">
        <v>106</v>
      </c>
      <c r="K449" t="s">
        <v>718</v>
      </c>
      <c r="L449">
        <v>4</v>
      </c>
      <c r="M449">
        <v>246.81</v>
      </c>
      <c r="N449">
        <v>0.32</v>
      </c>
      <c r="O449">
        <v>564.98</v>
      </c>
      <c r="P449">
        <v>41.55</v>
      </c>
      <c r="Q449">
        <v>95.51</v>
      </c>
      <c r="R449" t="s">
        <v>49</v>
      </c>
      <c r="S449">
        <v>2</v>
      </c>
      <c r="T449" t="b">
        <v>0</v>
      </c>
      <c r="U449" t="s">
        <v>71</v>
      </c>
      <c r="V449">
        <v>6</v>
      </c>
    </row>
    <row r="450" spans="1:22" x14ac:dyDescent="0.25">
      <c r="A450" t="s">
        <v>1272</v>
      </c>
      <c r="B450" s="1">
        <v>44803</v>
      </c>
      <c r="C450" t="s">
        <v>1273</v>
      </c>
      <c r="D450" t="s">
        <v>1274</v>
      </c>
      <c r="E450">
        <v>36</v>
      </c>
      <c r="F450" t="str">
        <f>IF(Table1[[#This Row],[age]]&lt;=25,"18-25",IF(Table1[[#This Row],[age]]&lt;=35,"26-35",IF(Table1[[#This Row],[age]]&lt;=50,"36-50","51+")))</f>
        <v>36-50</v>
      </c>
      <c r="G450" t="s">
        <v>34</v>
      </c>
      <c r="H450" t="s">
        <v>69</v>
      </c>
      <c r="I450" t="s">
        <v>221</v>
      </c>
      <c r="J450" t="s">
        <v>101</v>
      </c>
      <c r="K450" t="s">
        <v>318</v>
      </c>
      <c r="L450">
        <v>5</v>
      </c>
      <c r="M450">
        <v>13503.49</v>
      </c>
      <c r="N450">
        <v>7.0000000000000007E-2</v>
      </c>
      <c r="O450">
        <v>73166.710000000006</v>
      </c>
      <c r="P450">
        <v>10338.379999999999</v>
      </c>
      <c r="Q450">
        <v>81.11</v>
      </c>
      <c r="R450" t="s">
        <v>29</v>
      </c>
      <c r="S450">
        <v>3</v>
      </c>
      <c r="T450" t="b">
        <v>0</v>
      </c>
      <c r="U450" t="s">
        <v>30</v>
      </c>
      <c r="V450">
        <v>9</v>
      </c>
    </row>
    <row r="451" spans="1:22" x14ac:dyDescent="0.25">
      <c r="A451" t="s">
        <v>1275</v>
      </c>
      <c r="B451" s="1">
        <v>44999</v>
      </c>
      <c r="C451" t="s">
        <v>1276</v>
      </c>
      <c r="D451" t="s">
        <v>583</v>
      </c>
      <c r="E451">
        <v>49</v>
      </c>
      <c r="F451" t="str">
        <f>IF(Table1[[#This Row],[age]]&lt;=25,"18-25",IF(Table1[[#This Row],[age]]&lt;=35,"26-35",IF(Table1[[#This Row],[age]]&lt;=50,"36-50","51+")))</f>
        <v>36-50</v>
      </c>
      <c r="G451" t="s">
        <v>54</v>
      </c>
      <c r="H451" t="s">
        <v>61</v>
      </c>
      <c r="I451" t="s">
        <v>141</v>
      </c>
      <c r="J451" t="s">
        <v>63</v>
      </c>
      <c r="K451" t="s">
        <v>111</v>
      </c>
      <c r="L451">
        <v>9</v>
      </c>
      <c r="M451">
        <v>3251.19</v>
      </c>
      <c r="N451">
        <v>0.13</v>
      </c>
      <c r="O451">
        <v>25267.42</v>
      </c>
      <c r="P451">
        <v>8081.15</v>
      </c>
      <c r="Q451">
        <v>70.98</v>
      </c>
      <c r="R451" t="s">
        <v>29</v>
      </c>
      <c r="S451">
        <v>2</v>
      </c>
      <c r="T451" t="b">
        <v>1</v>
      </c>
      <c r="U451" t="s">
        <v>50</v>
      </c>
      <c r="V451">
        <v>9</v>
      </c>
    </row>
    <row r="452" spans="1:22" x14ac:dyDescent="0.25">
      <c r="A452" t="s">
        <v>1277</v>
      </c>
      <c r="B452" s="1">
        <v>45239</v>
      </c>
      <c r="C452" t="s">
        <v>1278</v>
      </c>
      <c r="D452" t="s">
        <v>151</v>
      </c>
      <c r="E452">
        <v>41</v>
      </c>
      <c r="F452" t="str">
        <f>IF(Table1[[#This Row],[age]]&lt;=25,"18-25",IF(Table1[[#This Row],[age]]&lt;=35,"26-35",IF(Table1[[#This Row],[age]]&lt;=50,"36-50","51+")))</f>
        <v>36-50</v>
      </c>
      <c r="G452" t="s">
        <v>54</v>
      </c>
      <c r="H452" t="s">
        <v>55</v>
      </c>
      <c r="I452" t="s">
        <v>56</v>
      </c>
      <c r="J452" t="s">
        <v>27</v>
      </c>
      <c r="K452" t="s">
        <v>128</v>
      </c>
      <c r="L452">
        <v>4</v>
      </c>
      <c r="M452">
        <v>1738.78</v>
      </c>
      <c r="N452">
        <v>7.0000000000000007E-2</v>
      </c>
      <c r="O452">
        <v>5920.27</v>
      </c>
      <c r="P452">
        <v>1693.39</v>
      </c>
      <c r="Q452">
        <v>61.38</v>
      </c>
      <c r="R452" t="s">
        <v>92</v>
      </c>
      <c r="S452">
        <v>1</v>
      </c>
      <c r="T452" t="b">
        <v>1</v>
      </c>
      <c r="U452" t="s">
        <v>50</v>
      </c>
      <c r="V452">
        <v>2</v>
      </c>
    </row>
    <row r="453" spans="1:22" x14ac:dyDescent="0.25">
      <c r="A453" t="s">
        <v>1279</v>
      </c>
      <c r="B453" s="1">
        <v>44110</v>
      </c>
      <c r="C453" t="s">
        <v>1280</v>
      </c>
      <c r="D453" t="s">
        <v>1281</v>
      </c>
      <c r="E453">
        <v>44</v>
      </c>
      <c r="F453" t="str">
        <f>IF(Table1[[#This Row],[age]]&lt;=25,"18-25",IF(Table1[[#This Row],[age]]&lt;=35,"26-35",IF(Table1[[#This Row],[age]]&lt;=50,"36-50","51+")))</f>
        <v>36-50</v>
      </c>
      <c r="G453" t="s">
        <v>24</v>
      </c>
      <c r="H453" t="s">
        <v>69</v>
      </c>
      <c r="I453" t="s">
        <v>221</v>
      </c>
      <c r="J453" t="s">
        <v>115</v>
      </c>
      <c r="K453" t="s">
        <v>398</v>
      </c>
      <c r="L453">
        <v>8</v>
      </c>
      <c r="M453">
        <v>67654.44</v>
      </c>
      <c r="N453">
        <v>0.02</v>
      </c>
      <c r="O453">
        <v>436216.85</v>
      </c>
      <c r="P453">
        <v>54905.07</v>
      </c>
      <c r="Q453">
        <v>62.12</v>
      </c>
      <c r="R453" t="s">
        <v>43</v>
      </c>
      <c r="S453">
        <v>2</v>
      </c>
      <c r="T453" t="b">
        <v>0</v>
      </c>
      <c r="U453" t="s">
        <v>193</v>
      </c>
      <c r="V453">
        <v>6</v>
      </c>
    </row>
    <row r="454" spans="1:22" x14ac:dyDescent="0.25">
      <c r="A454" t="s">
        <v>1282</v>
      </c>
      <c r="B454" s="1">
        <v>45050</v>
      </c>
      <c r="C454" t="s">
        <v>1283</v>
      </c>
      <c r="D454" t="s">
        <v>904</v>
      </c>
      <c r="E454">
        <v>31</v>
      </c>
      <c r="F454" t="str">
        <f>IF(Table1[[#This Row],[age]]&lt;=25,"18-25",IF(Table1[[#This Row],[age]]&lt;=35,"26-35",IF(Table1[[#This Row],[age]]&lt;=50,"36-50","51+")))</f>
        <v>26-35</v>
      </c>
      <c r="G454" t="s">
        <v>24</v>
      </c>
      <c r="H454" t="s">
        <v>69</v>
      </c>
      <c r="I454" t="s">
        <v>181</v>
      </c>
      <c r="J454" t="s">
        <v>63</v>
      </c>
      <c r="K454" t="s">
        <v>152</v>
      </c>
      <c r="L454">
        <v>3</v>
      </c>
      <c r="M454">
        <v>3314.75</v>
      </c>
      <c r="N454">
        <v>0.06</v>
      </c>
      <c r="O454">
        <v>15452.12</v>
      </c>
      <c r="P454">
        <v>3519.97</v>
      </c>
      <c r="Q454">
        <v>85.4</v>
      </c>
      <c r="R454" t="s">
        <v>29</v>
      </c>
      <c r="S454">
        <v>2</v>
      </c>
      <c r="T454" t="b">
        <v>0</v>
      </c>
      <c r="U454" t="s">
        <v>30</v>
      </c>
      <c r="V454">
        <v>8</v>
      </c>
    </row>
    <row r="455" spans="1:22" x14ac:dyDescent="0.25">
      <c r="A455" t="s">
        <v>1284</v>
      </c>
      <c r="B455" s="1">
        <v>44790</v>
      </c>
      <c r="C455" t="s">
        <v>1285</v>
      </c>
      <c r="D455" t="s">
        <v>384</v>
      </c>
      <c r="E455">
        <v>25</v>
      </c>
      <c r="F455" t="str">
        <f>IF(Table1[[#This Row],[age]]&lt;=25,"18-25",IF(Table1[[#This Row],[age]]&lt;=35,"26-35",IF(Table1[[#This Row],[age]]&lt;=50,"36-50","51+")))</f>
        <v>18-25</v>
      </c>
      <c r="G455" t="s">
        <v>24</v>
      </c>
      <c r="H455" t="s">
        <v>25</v>
      </c>
      <c r="I455" t="s">
        <v>35</v>
      </c>
      <c r="J455" t="s">
        <v>115</v>
      </c>
      <c r="K455" t="s">
        <v>137</v>
      </c>
      <c r="L455">
        <v>4</v>
      </c>
      <c r="M455">
        <v>67647.58</v>
      </c>
      <c r="N455">
        <v>7.0000000000000007E-2</v>
      </c>
      <c r="O455">
        <v>353527.87</v>
      </c>
      <c r="P455">
        <v>36275.65</v>
      </c>
      <c r="Q455">
        <v>52.43</v>
      </c>
      <c r="R455" t="s">
        <v>43</v>
      </c>
      <c r="S455">
        <v>2</v>
      </c>
      <c r="T455" t="b">
        <v>0</v>
      </c>
      <c r="U455" t="s">
        <v>30</v>
      </c>
      <c r="V455">
        <v>8</v>
      </c>
    </row>
    <row r="456" spans="1:22" x14ac:dyDescent="0.25">
      <c r="A456" t="s">
        <v>1286</v>
      </c>
      <c r="B456" s="1">
        <v>45042</v>
      </c>
      <c r="C456" t="s">
        <v>1287</v>
      </c>
      <c r="D456" t="s">
        <v>1288</v>
      </c>
      <c r="E456">
        <v>26</v>
      </c>
      <c r="F456" t="str">
        <f>IF(Table1[[#This Row],[age]]&lt;=25,"18-25",IF(Table1[[#This Row],[age]]&lt;=35,"26-35",IF(Table1[[#This Row],[age]]&lt;=50,"36-50","51+")))</f>
        <v>26-35</v>
      </c>
      <c r="G456" t="s">
        <v>24</v>
      </c>
      <c r="H456" t="s">
        <v>25</v>
      </c>
      <c r="I456" t="s">
        <v>26</v>
      </c>
      <c r="J456" t="s">
        <v>27</v>
      </c>
      <c r="K456" t="s">
        <v>480</v>
      </c>
      <c r="L456">
        <v>8</v>
      </c>
      <c r="M456">
        <v>566.96</v>
      </c>
      <c r="N456">
        <v>0.36</v>
      </c>
      <c r="O456">
        <v>4268.95</v>
      </c>
      <c r="P456">
        <v>2029.92</v>
      </c>
      <c r="Q456">
        <v>60.59</v>
      </c>
      <c r="R456" t="s">
        <v>29</v>
      </c>
      <c r="S456">
        <v>3</v>
      </c>
      <c r="T456" t="b">
        <v>0</v>
      </c>
      <c r="U456" t="s">
        <v>30</v>
      </c>
      <c r="V456">
        <v>5</v>
      </c>
    </row>
    <row r="457" spans="1:22" x14ac:dyDescent="0.25">
      <c r="A457" t="s">
        <v>1289</v>
      </c>
      <c r="B457" s="1">
        <v>43868</v>
      </c>
      <c r="C457" t="s">
        <v>1290</v>
      </c>
      <c r="D457" t="s">
        <v>1291</v>
      </c>
      <c r="E457">
        <v>27</v>
      </c>
      <c r="F457" t="str">
        <f>IF(Table1[[#This Row],[age]]&lt;=25,"18-25",IF(Table1[[#This Row],[age]]&lt;=35,"26-35",IF(Table1[[#This Row],[age]]&lt;=50,"36-50","51+")))</f>
        <v>26-35</v>
      </c>
      <c r="G457" t="s">
        <v>34</v>
      </c>
      <c r="H457" t="s">
        <v>80</v>
      </c>
      <c r="I457" t="s">
        <v>86</v>
      </c>
      <c r="J457" t="s">
        <v>27</v>
      </c>
      <c r="K457" t="s">
        <v>128</v>
      </c>
      <c r="L457">
        <v>1</v>
      </c>
      <c r="M457">
        <v>918.65</v>
      </c>
      <c r="N457">
        <v>0.09</v>
      </c>
      <c r="O457">
        <v>643.64</v>
      </c>
      <c r="P457">
        <v>333.85</v>
      </c>
      <c r="Q457">
        <v>73.92</v>
      </c>
      <c r="R457" t="s">
        <v>57</v>
      </c>
      <c r="S457">
        <v>3</v>
      </c>
      <c r="T457" t="b">
        <v>0</v>
      </c>
      <c r="U457" t="s">
        <v>93</v>
      </c>
      <c r="V457">
        <v>10</v>
      </c>
    </row>
    <row r="458" spans="1:22" x14ac:dyDescent="0.25">
      <c r="A458" t="s">
        <v>1292</v>
      </c>
      <c r="B458" s="1">
        <v>45172</v>
      </c>
      <c r="C458" t="s">
        <v>1293</v>
      </c>
      <c r="D458" t="s">
        <v>1294</v>
      </c>
      <c r="E458">
        <v>25</v>
      </c>
      <c r="F458" t="str">
        <f>IF(Table1[[#This Row],[age]]&lt;=25,"18-25",IF(Table1[[#This Row],[age]]&lt;=35,"26-35",IF(Table1[[#This Row],[age]]&lt;=50,"36-50","51+")))</f>
        <v>18-25</v>
      </c>
      <c r="G458" t="s">
        <v>24</v>
      </c>
      <c r="H458" t="s">
        <v>55</v>
      </c>
      <c r="I458" t="s">
        <v>75</v>
      </c>
      <c r="J458" t="s">
        <v>36</v>
      </c>
      <c r="K458" t="s">
        <v>42</v>
      </c>
      <c r="L458">
        <v>1</v>
      </c>
      <c r="M458">
        <v>11522.93</v>
      </c>
      <c r="N458">
        <v>0.02</v>
      </c>
      <c r="O458">
        <v>10840.71</v>
      </c>
      <c r="P458">
        <v>3173.42</v>
      </c>
      <c r="Q458">
        <v>65.430000000000007</v>
      </c>
      <c r="R458" t="s">
        <v>65</v>
      </c>
      <c r="S458">
        <v>5</v>
      </c>
      <c r="T458" t="b">
        <v>0</v>
      </c>
      <c r="U458" t="s">
        <v>30</v>
      </c>
      <c r="V458">
        <v>5</v>
      </c>
    </row>
    <row r="459" spans="1:22" x14ac:dyDescent="0.25">
      <c r="A459" t="s">
        <v>1295</v>
      </c>
      <c r="B459" s="1">
        <v>45416</v>
      </c>
      <c r="C459" t="s">
        <v>1296</v>
      </c>
      <c r="D459" t="s">
        <v>998</v>
      </c>
      <c r="E459">
        <v>28</v>
      </c>
      <c r="F459" t="str">
        <f>IF(Table1[[#This Row],[age]]&lt;=25,"18-25",IF(Table1[[#This Row],[age]]&lt;=35,"26-35",IF(Table1[[#This Row],[age]]&lt;=50,"36-50","51+")))</f>
        <v>26-35</v>
      </c>
      <c r="G459" t="s">
        <v>24</v>
      </c>
      <c r="H459" t="s">
        <v>25</v>
      </c>
      <c r="I459" t="s">
        <v>41</v>
      </c>
      <c r="J459" t="s">
        <v>115</v>
      </c>
      <c r="K459" t="s">
        <v>197</v>
      </c>
      <c r="L459">
        <v>2</v>
      </c>
      <c r="M459">
        <v>32171.040000000001</v>
      </c>
      <c r="N459">
        <v>0.1</v>
      </c>
      <c r="O459">
        <v>95994.28</v>
      </c>
      <c r="P459">
        <v>9495.02</v>
      </c>
      <c r="Q459">
        <v>70.88</v>
      </c>
      <c r="R459" t="s">
        <v>29</v>
      </c>
      <c r="S459">
        <v>3</v>
      </c>
      <c r="T459" t="b">
        <v>1</v>
      </c>
      <c r="U459" t="s">
        <v>50</v>
      </c>
      <c r="V459">
        <v>7</v>
      </c>
    </row>
    <row r="460" spans="1:22" x14ac:dyDescent="0.25">
      <c r="A460" t="s">
        <v>1297</v>
      </c>
      <c r="B460" s="1">
        <v>44847</v>
      </c>
      <c r="C460" t="s">
        <v>1298</v>
      </c>
      <c r="D460" t="s">
        <v>692</v>
      </c>
      <c r="E460">
        <v>55</v>
      </c>
      <c r="F460" t="str">
        <f>IF(Table1[[#This Row],[age]]&lt;=25,"18-25",IF(Table1[[#This Row],[age]]&lt;=35,"26-35",IF(Table1[[#This Row],[age]]&lt;=50,"36-50","51+")))</f>
        <v>51+</v>
      </c>
      <c r="G460" t="s">
        <v>34</v>
      </c>
      <c r="H460" t="s">
        <v>55</v>
      </c>
      <c r="I460" t="s">
        <v>97</v>
      </c>
      <c r="J460" t="s">
        <v>115</v>
      </c>
      <c r="K460" t="s">
        <v>116</v>
      </c>
      <c r="L460">
        <v>7</v>
      </c>
      <c r="M460">
        <v>16843.150000000001</v>
      </c>
      <c r="N460">
        <v>0.36</v>
      </c>
      <c r="O460">
        <v>63975.839999999997</v>
      </c>
      <c r="P460">
        <v>8190.65</v>
      </c>
      <c r="Q460">
        <v>81.28</v>
      </c>
      <c r="R460" t="s">
        <v>49</v>
      </c>
      <c r="S460">
        <v>3</v>
      </c>
      <c r="T460" t="b">
        <v>0</v>
      </c>
      <c r="U460" t="s">
        <v>30</v>
      </c>
      <c r="V460">
        <v>3</v>
      </c>
    </row>
    <row r="461" spans="1:22" x14ac:dyDescent="0.25">
      <c r="A461" t="s">
        <v>1299</v>
      </c>
      <c r="B461" s="1">
        <v>45107</v>
      </c>
      <c r="C461" t="s">
        <v>1300</v>
      </c>
      <c r="D461" t="s">
        <v>1100</v>
      </c>
      <c r="E461">
        <v>41</v>
      </c>
      <c r="F461" t="str">
        <f>IF(Table1[[#This Row],[age]]&lt;=25,"18-25",IF(Table1[[#This Row],[age]]&lt;=35,"26-35",IF(Table1[[#This Row],[age]]&lt;=50,"36-50","51+")))</f>
        <v>36-50</v>
      </c>
      <c r="G461" t="s">
        <v>34</v>
      </c>
      <c r="H461" t="s">
        <v>61</v>
      </c>
      <c r="I461" t="s">
        <v>62</v>
      </c>
      <c r="J461" t="s">
        <v>101</v>
      </c>
      <c r="K461" t="s">
        <v>318</v>
      </c>
      <c r="L461">
        <v>7</v>
      </c>
      <c r="M461">
        <v>4046</v>
      </c>
      <c r="N461">
        <v>0.11</v>
      </c>
      <c r="O461">
        <v>44053.34</v>
      </c>
      <c r="P461">
        <v>9372.6299999999992</v>
      </c>
      <c r="Q461">
        <v>42.33</v>
      </c>
      <c r="R461" t="s">
        <v>29</v>
      </c>
      <c r="S461">
        <v>2</v>
      </c>
      <c r="T461" t="b">
        <v>0</v>
      </c>
      <c r="U461" t="s">
        <v>30</v>
      </c>
      <c r="V461">
        <v>6</v>
      </c>
    </row>
    <row r="462" spans="1:22" x14ac:dyDescent="0.25">
      <c r="A462" t="s">
        <v>1301</v>
      </c>
      <c r="B462" s="1">
        <v>45163</v>
      </c>
      <c r="C462" t="s">
        <v>1302</v>
      </c>
      <c r="D462" t="s">
        <v>1303</v>
      </c>
      <c r="E462">
        <v>31</v>
      </c>
      <c r="F462" t="str">
        <f>IF(Table1[[#This Row],[age]]&lt;=25,"18-25",IF(Table1[[#This Row],[age]]&lt;=35,"26-35",IF(Table1[[#This Row],[age]]&lt;=50,"36-50","51+")))</f>
        <v>26-35</v>
      </c>
      <c r="G462" t="s">
        <v>34</v>
      </c>
      <c r="H462" t="s">
        <v>61</v>
      </c>
      <c r="I462" t="s">
        <v>163</v>
      </c>
      <c r="J462" t="s">
        <v>47</v>
      </c>
      <c r="K462" t="s">
        <v>204</v>
      </c>
      <c r="L462">
        <v>10</v>
      </c>
      <c r="M462">
        <v>260.93</v>
      </c>
      <c r="N462">
        <v>0.13</v>
      </c>
      <c r="O462">
        <v>3566.39</v>
      </c>
      <c r="P462">
        <v>1435.04</v>
      </c>
      <c r="Q462">
        <v>28.36</v>
      </c>
      <c r="R462" t="s">
        <v>49</v>
      </c>
      <c r="S462">
        <v>3</v>
      </c>
      <c r="T462" t="b">
        <v>0</v>
      </c>
      <c r="U462" t="s">
        <v>30</v>
      </c>
      <c r="V462">
        <v>1</v>
      </c>
    </row>
    <row r="463" spans="1:22" x14ac:dyDescent="0.25">
      <c r="A463" t="s">
        <v>1304</v>
      </c>
      <c r="B463" s="1">
        <v>43873</v>
      </c>
      <c r="C463" t="s">
        <v>1305</v>
      </c>
      <c r="D463" t="s">
        <v>802</v>
      </c>
      <c r="E463">
        <v>52</v>
      </c>
      <c r="F463" t="str">
        <f>IF(Table1[[#This Row],[age]]&lt;=25,"18-25",IF(Table1[[#This Row],[age]]&lt;=35,"26-35",IF(Table1[[#This Row],[age]]&lt;=50,"36-50","51+")))</f>
        <v>51+</v>
      </c>
      <c r="G463" t="s">
        <v>24</v>
      </c>
      <c r="H463" t="s">
        <v>69</v>
      </c>
      <c r="I463" t="s">
        <v>70</v>
      </c>
      <c r="J463" t="s">
        <v>101</v>
      </c>
      <c r="K463" t="s">
        <v>164</v>
      </c>
      <c r="L463">
        <v>4</v>
      </c>
      <c r="M463">
        <v>5949.42</v>
      </c>
      <c r="N463">
        <v>0.34</v>
      </c>
      <c r="O463">
        <v>11315.53</v>
      </c>
      <c r="P463">
        <v>2670.63</v>
      </c>
      <c r="Q463">
        <v>82.54</v>
      </c>
      <c r="R463" t="s">
        <v>43</v>
      </c>
      <c r="S463">
        <v>5</v>
      </c>
      <c r="T463" t="b">
        <v>0</v>
      </c>
      <c r="U463" t="s">
        <v>30</v>
      </c>
      <c r="V463">
        <v>4</v>
      </c>
    </row>
    <row r="464" spans="1:22" x14ac:dyDescent="0.25">
      <c r="A464" t="s">
        <v>1306</v>
      </c>
      <c r="B464" s="1">
        <v>44958</v>
      </c>
      <c r="C464" t="s">
        <v>1307</v>
      </c>
      <c r="D464" t="s">
        <v>485</v>
      </c>
      <c r="E464">
        <v>40</v>
      </c>
      <c r="F464" t="str">
        <f>IF(Table1[[#This Row],[age]]&lt;=25,"18-25",IF(Table1[[#This Row],[age]]&lt;=35,"26-35",IF(Table1[[#This Row],[age]]&lt;=50,"36-50","51+")))</f>
        <v>36-50</v>
      </c>
      <c r="G464" t="s">
        <v>24</v>
      </c>
      <c r="H464" t="s">
        <v>55</v>
      </c>
      <c r="I464" t="s">
        <v>75</v>
      </c>
      <c r="J464" t="s">
        <v>27</v>
      </c>
      <c r="K464" t="s">
        <v>480</v>
      </c>
      <c r="L464">
        <v>3</v>
      </c>
      <c r="M464">
        <v>2052.63</v>
      </c>
      <c r="N464">
        <v>0.2</v>
      </c>
      <c r="O464">
        <v>5621.99</v>
      </c>
      <c r="P464">
        <v>2360.34</v>
      </c>
      <c r="Q464">
        <v>38.92</v>
      </c>
      <c r="R464" t="s">
        <v>49</v>
      </c>
      <c r="S464">
        <v>5</v>
      </c>
      <c r="T464" t="b">
        <v>0</v>
      </c>
      <c r="U464" t="s">
        <v>30</v>
      </c>
      <c r="V464">
        <v>8</v>
      </c>
    </row>
    <row r="465" spans="1:22" x14ac:dyDescent="0.25">
      <c r="A465" t="s">
        <v>1308</v>
      </c>
      <c r="B465" s="1">
        <v>45291</v>
      </c>
      <c r="C465" t="s">
        <v>1309</v>
      </c>
      <c r="D465" t="s">
        <v>904</v>
      </c>
      <c r="E465">
        <v>47</v>
      </c>
      <c r="F465" t="str">
        <f>IF(Table1[[#This Row],[age]]&lt;=25,"18-25",IF(Table1[[#This Row],[age]]&lt;=35,"26-35",IF(Table1[[#This Row],[age]]&lt;=50,"36-50","51+")))</f>
        <v>36-50</v>
      </c>
      <c r="G465" t="s">
        <v>54</v>
      </c>
      <c r="H465" t="s">
        <v>80</v>
      </c>
      <c r="I465" t="s">
        <v>86</v>
      </c>
      <c r="J465" t="s">
        <v>101</v>
      </c>
      <c r="K465" t="s">
        <v>456</v>
      </c>
      <c r="L465">
        <v>3</v>
      </c>
      <c r="M465">
        <v>2123.23</v>
      </c>
      <c r="N465">
        <v>0.11</v>
      </c>
      <c r="O465">
        <v>4790.25</v>
      </c>
      <c r="P465">
        <v>1126.6600000000001</v>
      </c>
      <c r="Q465">
        <v>78.63</v>
      </c>
      <c r="R465" t="s">
        <v>92</v>
      </c>
      <c r="S465">
        <v>1</v>
      </c>
      <c r="T465" t="b">
        <v>0</v>
      </c>
      <c r="U465" t="s">
        <v>30</v>
      </c>
      <c r="V465">
        <v>10</v>
      </c>
    </row>
    <row r="466" spans="1:22" x14ac:dyDescent="0.25">
      <c r="A466" t="s">
        <v>1310</v>
      </c>
      <c r="B466" s="1">
        <v>44642</v>
      </c>
      <c r="C466" t="s">
        <v>1311</v>
      </c>
      <c r="D466" t="s">
        <v>1312</v>
      </c>
      <c r="E466">
        <v>44</v>
      </c>
      <c r="F466" t="str">
        <f>IF(Table1[[#This Row],[age]]&lt;=25,"18-25",IF(Table1[[#This Row],[age]]&lt;=35,"26-35",IF(Table1[[#This Row],[age]]&lt;=50,"36-50","51+")))</f>
        <v>36-50</v>
      </c>
      <c r="G466" t="s">
        <v>34</v>
      </c>
      <c r="H466" t="s">
        <v>55</v>
      </c>
      <c r="I466" t="s">
        <v>75</v>
      </c>
      <c r="J466" t="s">
        <v>27</v>
      </c>
      <c r="K466" t="s">
        <v>168</v>
      </c>
      <c r="L466">
        <v>1</v>
      </c>
      <c r="M466">
        <v>2044.93</v>
      </c>
      <c r="N466">
        <v>0.23</v>
      </c>
      <c r="O466">
        <v>1828.13</v>
      </c>
      <c r="P466">
        <v>565</v>
      </c>
      <c r="Q466">
        <v>44.76</v>
      </c>
      <c r="R466" t="s">
        <v>65</v>
      </c>
      <c r="S466">
        <v>2</v>
      </c>
      <c r="T466" t="b">
        <v>1</v>
      </c>
      <c r="U466" t="s">
        <v>50</v>
      </c>
      <c r="V466">
        <v>2</v>
      </c>
    </row>
    <row r="467" spans="1:22" x14ac:dyDescent="0.25">
      <c r="A467" t="s">
        <v>1313</v>
      </c>
      <c r="B467" s="1">
        <v>45239</v>
      </c>
      <c r="C467" t="s">
        <v>1314</v>
      </c>
      <c r="D467" t="s">
        <v>96</v>
      </c>
      <c r="E467">
        <v>32</v>
      </c>
      <c r="F467" t="str">
        <f>IF(Table1[[#This Row],[age]]&lt;=25,"18-25",IF(Table1[[#This Row],[age]]&lt;=35,"26-35",IF(Table1[[#This Row],[age]]&lt;=50,"36-50","51+")))</f>
        <v>26-35</v>
      </c>
      <c r="G467" t="s">
        <v>24</v>
      </c>
      <c r="H467" t="s">
        <v>80</v>
      </c>
      <c r="I467" t="s">
        <v>86</v>
      </c>
      <c r="J467" t="s">
        <v>115</v>
      </c>
      <c r="K467" t="s">
        <v>116</v>
      </c>
      <c r="L467">
        <v>4</v>
      </c>
      <c r="M467">
        <v>71997.600000000006</v>
      </c>
      <c r="N467">
        <v>0.08</v>
      </c>
      <c r="O467">
        <v>238162.29</v>
      </c>
      <c r="P467">
        <v>25389.57</v>
      </c>
      <c r="Q467">
        <v>76.900000000000006</v>
      </c>
      <c r="R467" t="s">
        <v>49</v>
      </c>
      <c r="S467">
        <v>2</v>
      </c>
      <c r="T467" t="b">
        <v>0</v>
      </c>
      <c r="U467" t="s">
        <v>30</v>
      </c>
      <c r="V467">
        <v>3</v>
      </c>
    </row>
    <row r="468" spans="1:22" x14ac:dyDescent="0.25">
      <c r="A468" t="s">
        <v>1315</v>
      </c>
      <c r="B468" s="1">
        <v>44807</v>
      </c>
      <c r="C468" t="s">
        <v>1316</v>
      </c>
      <c r="D468" t="s">
        <v>849</v>
      </c>
      <c r="E468">
        <v>57</v>
      </c>
      <c r="F468" t="str">
        <f>IF(Table1[[#This Row],[age]]&lt;=25,"18-25",IF(Table1[[#This Row],[age]]&lt;=35,"26-35",IF(Table1[[#This Row],[age]]&lt;=50,"36-50","51+")))</f>
        <v>51+</v>
      </c>
      <c r="G468" t="s">
        <v>34</v>
      </c>
      <c r="H468" t="s">
        <v>25</v>
      </c>
      <c r="I468" t="s">
        <v>298</v>
      </c>
      <c r="J468" t="s">
        <v>63</v>
      </c>
      <c r="K468" t="s">
        <v>111</v>
      </c>
      <c r="L468">
        <v>3</v>
      </c>
      <c r="M468">
        <v>3199.67</v>
      </c>
      <c r="N468">
        <v>0.02</v>
      </c>
      <c r="O468">
        <v>9330.68</v>
      </c>
      <c r="P468">
        <v>3697.29</v>
      </c>
      <c r="Q468">
        <v>67.55</v>
      </c>
      <c r="R468" t="s">
        <v>65</v>
      </c>
      <c r="S468">
        <v>5</v>
      </c>
      <c r="T468" t="b">
        <v>0</v>
      </c>
      <c r="U468" t="s">
        <v>30</v>
      </c>
      <c r="V468">
        <v>9</v>
      </c>
    </row>
    <row r="469" spans="1:22" x14ac:dyDescent="0.25">
      <c r="A469" t="s">
        <v>1317</v>
      </c>
      <c r="B469" s="1">
        <v>44249</v>
      </c>
      <c r="C469" t="s">
        <v>1318</v>
      </c>
      <c r="D469" t="s">
        <v>854</v>
      </c>
      <c r="E469">
        <v>38</v>
      </c>
      <c r="F469" t="str">
        <f>IF(Table1[[#This Row],[age]]&lt;=25,"18-25",IF(Table1[[#This Row],[age]]&lt;=35,"26-35",IF(Table1[[#This Row],[age]]&lt;=50,"36-50","51+")))</f>
        <v>36-50</v>
      </c>
      <c r="G469" t="s">
        <v>34</v>
      </c>
      <c r="H469" t="s">
        <v>25</v>
      </c>
      <c r="I469" t="s">
        <v>41</v>
      </c>
      <c r="J469" t="s">
        <v>47</v>
      </c>
      <c r="K469" t="s">
        <v>272</v>
      </c>
      <c r="L469">
        <v>4</v>
      </c>
      <c r="M469">
        <v>386.28</v>
      </c>
      <c r="N469">
        <v>0.3</v>
      </c>
      <c r="O469">
        <v>1032.77</v>
      </c>
      <c r="P469">
        <v>513.15</v>
      </c>
      <c r="Q469">
        <v>50.89</v>
      </c>
      <c r="R469" t="s">
        <v>43</v>
      </c>
      <c r="S469">
        <v>5</v>
      </c>
      <c r="T469" t="b">
        <v>0</v>
      </c>
      <c r="U469" t="s">
        <v>30</v>
      </c>
      <c r="V469">
        <v>5</v>
      </c>
    </row>
    <row r="470" spans="1:22" x14ac:dyDescent="0.25">
      <c r="A470" t="s">
        <v>1319</v>
      </c>
      <c r="B470" s="1">
        <v>44200</v>
      </c>
      <c r="C470" t="s">
        <v>1320</v>
      </c>
      <c r="D470" t="s">
        <v>364</v>
      </c>
      <c r="E470">
        <v>26</v>
      </c>
      <c r="F470" t="str">
        <f>IF(Table1[[#This Row],[age]]&lt;=25,"18-25",IF(Table1[[#This Row],[age]]&lt;=35,"26-35",IF(Table1[[#This Row],[age]]&lt;=50,"36-50","51+")))</f>
        <v>26-35</v>
      </c>
      <c r="G470" t="s">
        <v>54</v>
      </c>
      <c r="H470" t="s">
        <v>25</v>
      </c>
      <c r="I470" t="s">
        <v>298</v>
      </c>
      <c r="J470" t="s">
        <v>36</v>
      </c>
      <c r="K470" t="s">
        <v>230</v>
      </c>
      <c r="L470">
        <v>2</v>
      </c>
      <c r="M470">
        <v>7006.2</v>
      </c>
      <c r="N470">
        <v>0.24</v>
      </c>
      <c r="O470">
        <v>8461.81</v>
      </c>
      <c r="P470">
        <v>2133.62</v>
      </c>
      <c r="Q470">
        <v>67.349999999999994</v>
      </c>
      <c r="R470" t="s">
        <v>65</v>
      </c>
      <c r="S470">
        <v>2</v>
      </c>
      <c r="T470" t="b">
        <v>0</v>
      </c>
      <c r="U470" t="s">
        <v>30</v>
      </c>
      <c r="V470">
        <v>7</v>
      </c>
    </row>
    <row r="471" spans="1:22" x14ac:dyDescent="0.25">
      <c r="A471" t="s">
        <v>1321</v>
      </c>
      <c r="B471" s="1">
        <v>44021</v>
      </c>
      <c r="C471" t="s">
        <v>1322</v>
      </c>
      <c r="D471" t="s">
        <v>510</v>
      </c>
      <c r="E471">
        <v>28</v>
      </c>
      <c r="F471" t="str">
        <f>IF(Table1[[#This Row],[age]]&lt;=25,"18-25",IF(Table1[[#This Row],[age]]&lt;=35,"26-35",IF(Table1[[#This Row],[age]]&lt;=50,"36-50","51+")))</f>
        <v>26-35</v>
      </c>
      <c r="G471" t="s">
        <v>34</v>
      </c>
      <c r="H471" t="s">
        <v>69</v>
      </c>
      <c r="I471" t="s">
        <v>221</v>
      </c>
      <c r="J471" t="s">
        <v>47</v>
      </c>
      <c r="K471" t="s">
        <v>48</v>
      </c>
      <c r="L471">
        <v>2</v>
      </c>
      <c r="M471">
        <v>472.49</v>
      </c>
      <c r="N471">
        <v>0.2</v>
      </c>
      <c r="O471">
        <v>1015.04</v>
      </c>
      <c r="P471">
        <v>475.52</v>
      </c>
      <c r="Q471">
        <v>89.97</v>
      </c>
      <c r="R471" t="s">
        <v>57</v>
      </c>
      <c r="S471">
        <v>2</v>
      </c>
      <c r="T471" t="b">
        <v>0</v>
      </c>
      <c r="U471" t="s">
        <v>30</v>
      </c>
      <c r="V471">
        <v>1</v>
      </c>
    </row>
    <row r="472" spans="1:22" x14ac:dyDescent="0.25">
      <c r="A472" t="s">
        <v>1323</v>
      </c>
      <c r="B472" s="1">
        <v>45514</v>
      </c>
      <c r="C472" t="s">
        <v>1324</v>
      </c>
      <c r="D472" t="s">
        <v>1074</v>
      </c>
      <c r="E472">
        <v>32</v>
      </c>
      <c r="F472" t="str">
        <f>IF(Table1[[#This Row],[age]]&lt;=25,"18-25",IF(Table1[[#This Row],[age]]&lt;=35,"26-35",IF(Table1[[#This Row],[age]]&lt;=50,"36-50","51+")))</f>
        <v>26-35</v>
      </c>
      <c r="G472" t="s">
        <v>24</v>
      </c>
      <c r="H472" t="s">
        <v>69</v>
      </c>
      <c r="I472" t="s">
        <v>70</v>
      </c>
      <c r="J472" t="s">
        <v>27</v>
      </c>
      <c r="K472" t="s">
        <v>168</v>
      </c>
      <c r="L472">
        <v>6</v>
      </c>
      <c r="M472">
        <v>1237.08</v>
      </c>
      <c r="N472">
        <v>0.08</v>
      </c>
      <c r="O472">
        <v>10495.02</v>
      </c>
      <c r="P472">
        <v>5178.08</v>
      </c>
      <c r="Q472">
        <v>78.37</v>
      </c>
      <c r="R472" t="s">
        <v>43</v>
      </c>
      <c r="S472">
        <v>3</v>
      </c>
      <c r="T472" t="b">
        <v>0</v>
      </c>
      <c r="U472" t="s">
        <v>30</v>
      </c>
      <c r="V472">
        <v>10</v>
      </c>
    </row>
    <row r="473" spans="1:22" x14ac:dyDescent="0.25">
      <c r="A473" t="s">
        <v>1325</v>
      </c>
      <c r="B473" s="1">
        <v>45134</v>
      </c>
      <c r="C473" t="s">
        <v>1326</v>
      </c>
      <c r="D473" t="s">
        <v>1327</v>
      </c>
      <c r="E473">
        <v>43</v>
      </c>
      <c r="F473" t="str">
        <f>IF(Table1[[#This Row],[age]]&lt;=25,"18-25",IF(Table1[[#This Row],[age]]&lt;=35,"26-35",IF(Table1[[#This Row],[age]]&lt;=50,"36-50","51+")))</f>
        <v>36-50</v>
      </c>
      <c r="G473" t="s">
        <v>34</v>
      </c>
      <c r="H473" t="s">
        <v>80</v>
      </c>
      <c r="I473" t="s">
        <v>81</v>
      </c>
      <c r="J473" t="s">
        <v>115</v>
      </c>
      <c r="K473" t="s">
        <v>398</v>
      </c>
      <c r="L473">
        <v>4</v>
      </c>
      <c r="M473">
        <v>14557.67</v>
      </c>
      <c r="N473">
        <v>0.17</v>
      </c>
      <c r="O473">
        <v>78608.45</v>
      </c>
      <c r="P473">
        <v>9451.4500000000007</v>
      </c>
      <c r="Q473">
        <v>67.92</v>
      </c>
      <c r="R473" t="s">
        <v>29</v>
      </c>
      <c r="S473">
        <v>2</v>
      </c>
      <c r="T473" t="b">
        <v>0</v>
      </c>
      <c r="U473" t="s">
        <v>93</v>
      </c>
      <c r="V473">
        <v>5</v>
      </c>
    </row>
    <row r="474" spans="1:22" x14ac:dyDescent="0.25">
      <c r="A474" t="s">
        <v>1328</v>
      </c>
      <c r="B474" s="1">
        <v>44390</v>
      </c>
      <c r="C474" t="s">
        <v>1329</v>
      </c>
      <c r="D474" t="s">
        <v>1330</v>
      </c>
      <c r="E474">
        <v>36</v>
      </c>
      <c r="F474" t="str">
        <f>IF(Table1[[#This Row],[age]]&lt;=25,"18-25",IF(Table1[[#This Row],[age]]&lt;=35,"26-35",IF(Table1[[#This Row],[age]]&lt;=50,"36-50","51+")))</f>
        <v>36-50</v>
      </c>
      <c r="G474" t="s">
        <v>54</v>
      </c>
      <c r="H474" t="s">
        <v>25</v>
      </c>
      <c r="I474" t="s">
        <v>298</v>
      </c>
      <c r="J474" t="s">
        <v>106</v>
      </c>
      <c r="K474" t="s">
        <v>718</v>
      </c>
      <c r="L474">
        <v>4</v>
      </c>
      <c r="M474">
        <v>88.17</v>
      </c>
      <c r="N474">
        <v>0.18</v>
      </c>
      <c r="O474">
        <v>435.55</v>
      </c>
      <c r="P474">
        <v>36.130000000000003</v>
      </c>
      <c r="Q474">
        <v>74.3</v>
      </c>
      <c r="R474" t="s">
        <v>49</v>
      </c>
      <c r="S474">
        <v>1</v>
      </c>
      <c r="T474" t="b">
        <v>1</v>
      </c>
      <c r="U474" t="s">
        <v>50</v>
      </c>
      <c r="V474">
        <v>7</v>
      </c>
    </row>
    <row r="475" spans="1:22" x14ac:dyDescent="0.25">
      <c r="A475" t="s">
        <v>1331</v>
      </c>
      <c r="B475" s="1">
        <v>43835</v>
      </c>
      <c r="C475" t="s">
        <v>1332</v>
      </c>
      <c r="D475" t="s">
        <v>1333</v>
      </c>
      <c r="E475">
        <v>41</v>
      </c>
      <c r="F475" t="str">
        <f>IF(Table1[[#This Row],[age]]&lt;=25,"18-25",IF(Table1[[#This Row],[age]]&lt;=35,"26-35",IF(Table1[[#This Row],[age]]&lt;=50,"36-50","51+")))</f>
        <v>36-50</v>
      </c>
      <c r="G475" t="s">
        <v>24</v>
      </c>
      <c r="H475" t="s">
        <v>80</v>
      </c>
      <c r="I475" t="s">
        <v>86</v>
      </c>
      <c r="J475" t="s">
        <v>106</v>
      </c>
      <c r="K475" t="s">
        <v>314</v>
      </c>
      <c r="L475">
        <v>6</v>
      </c>
      <c r="M475">
        <v>375.14</v>
      </c>
      <c r="N475">
        <v>0.19</v>
      </c>
      <c r="O475">
        <v>1288.33</v>
      </c>
      <c r="P475">
        <v>89.5</v>
      </c>
      <c r="Q475">
        <v>54.85</v>
      </c>
      <c r="R475" t="s">
        <v>29</v>
      </c>
      <c r="S475">
        <v>1</v>
      </c>
      <c r="T475" t="b">
        <v>0</v>
      </c>
      <c r="U475" t="s">
        <v>30</v>
      </c>
      <c r="V475">
        <v>9</v>
      </c>
    </row>
    <row r="476" spans="1:22" x14ac:dyDescent="0.25">
      <c r="A476" t="s">
        <v>1334</v>
      </c>
      <c r="B476" s="1">
        <v>45473</v>
      </c>
      <c r="C476" t="s">
        <v>1335</v>
      </c>
      <c r="D476" t="s">
        <v>123</v>
      </c>
      <c r="E476">
        <v>38</v>
      </c>
      <c r="F476" t="str">
        <f>IF(Table1[[#This Row],[age]]&lt;=25,"18-25",IF(Table1[[#This Row],[age]]&lt;=35,"26-35",IF(Table1[[#This Row],[age]]&lt;=50,"36-50","51+")))</f>
        <v>36-50</v>
      </c>
      <c r="G476" t="s">
        <v>54</v>
      </c>
      <c r="H476" t="s">
        <v>69</v>
      </c>
      <c r="I476" t="s">
        <v>221</v>
      </c>
      <c r="J476" t="s">
        <v>63</v>
      </c>
      <c r="K476" t="s">
        <v>152</v>
      </c>
      <c r="L476">
        <v>1</v>
      </c>
      <c r="M476">
        <v>940.26</v>
      </c>
      <c r="N476">
        <v>0.15</v>
      </c>
      <c r="O476">
        <v>1246.04</v>
      </c>
      <c r="P476">
        <v>538.04</v>
      </c>
      <c r="Q476">
        <v>74.319999999999993</v>
      </c>
      <c r="R476" t="s">
        <v>29</v>
      </c>
      <c r="S476">
        <v>5</v>
      </c>
      <c r="T476" t="b">
        <v>0</v>
      </c>
      <c r="U476" t="s">
        <v>30</v>
      </c>
      <c r="V476">
        <v>4</v>
      </c>
    </row>
    <row r="477" spans="1:22" x14ac:dyDescent="0.25">
      <c r="A477" t="s">
        <v>1336</v>
      </c>
      <c r="B477" s="1">
        <v>45529</v>
      </c>
      <c r="C477" t="s">
        <v>1337</v>
      </c>
      <c r="D477" t="s">
        <v>1338</v>
      </c>
      <c r="E477">
        <v>37</v>
      </c>
      <c r="F477" t="str">
        <f>IF(Table1[[#This Row],[age]]&lt;=25,"18-25",IF(Table1[[#This Row],[age]]&lt;=35,"26-35",IF(Table1[[#This Row],[age]]&lt;=50,"36-50","51+")))</f>
        <v>36-50</v>
      </c>
      <c r="G477" t="s">
        <v>24</v>
      </c>
      <c r="H477" t="s">
        <v>55</v>
      </c>
      <c r="I477" t="s">
        <v>97</v>
      </c>
      <c r="J477" t="s">
        <v>47</v>
      </c>
      <c r="K477" t="s">
        <v>272</v>
      </c>
      <c r="L477">
        <v>4</v>
      </c>
      <c r="M477">
        <v>504.03</v>
      </c>
      <c r="N477">
        <v>0.09</v>
      </c>
      <c r="O477">
        <v>2819.84</v>
      </c>
      <c r="P477">
        <v>1074.69</v>
      </c>
      <c r="Q477">
        <v>58.2</v>
      </c>
      <c r="R477" t="s">
        <v>43</v>
      </c>
      <c r="S477">
        <v>5</v>
      </c>
      <c r="T477" t="b">
        <v>0</v>
      </c>
      <c r="U477" t="s">
        <v>30</v>
      </c>
      <c r="V477">
        <v>1</v>
      </c>
    </row>
    <row r="478" spans="1:22" x14ac:dyDescent="0.25">
      <c r="A478" t="s">
        <v>1339</v>
      </c>
      <c r="B478" s="1">
        <v>45335</v>
      </c>
      <c r="C478" t="s">
        <v>1340</v>
      </c>
      <c r="D478" t="s">
        <v>1341</v>
      </c>
      <c r="E478">
        <v>38</v>
      </c>
      <c r="F478" t="str">
        <f>IF(Table1[[#This Row],[age]]&lt;=25,"18-25",IF(Table1[[#This Row],[age]]&lt;=35,"26-35",IF(Table1[[#This Row],[age]]&lt;=50,"36-50","51+")))</f>
        <v>36-50</v>
      </c>
      <c r="G478" t="s">
        <v>54</v>
      </c>
      <c r="H478" t="s">
        <v>80</v>
      </c>
      <c r="I478" t="s">
        <v>86</v>
      </c>
      <c r="J478" t="s">
        <v>106</v>
      </c>
      <c r="K478" t="s">
        <v>107</v>
      </c>
      <c r="L478">
        <v>9</v>
      </c>
      <c r="M478">
        <v>121.9</v>
      </c>
      <c r="N478">
        <v>0.27</v>
      </c>
      <c r="O478">
        <v>818.88</v>
      </c>
      <c r="P478">
        <v>88.91</v>
      </c>
      <c r="Q478">
        <v>66.37</v>
      </c>
      <c r="R478" t="s">
        <v>29</v>
      </c>
      <c r="S478">
        <v>5</v>
      </c>
      <c r="T478" t="b">
        <v>0</v>
      </c>
      <c r="U478" t="s">
        <v>30</v>
      </c>
      <c r="V478">
        <v>9</v>
      </c>
    </row>
    <row r="479" spans="1:22" x14ac:dyDescent="0.25">
      <c r="A479" t="s">
        <v>1342</v>
      </c>
      <c r="B479" s="1">
        <v>44137</v>
      </c>
      <c r="C479" t="s">
        <v>1343</v>
      </c>
      <c r="D479" t="s">
        <v>1294</v>
      </c>
      <c r="E479">
        <v>40</v>
      </c>
      <c r="F479" t="str">
        <f>IF(Table1[[#This Row],[age]]&lt;=25,"18-25",IF(Table1[[#This Row],[age]]&lt;=35,"26-35",IF(Table1[[#This Row],[age]]&lt;=50,"36-50","51+")))</f>
        <v>36-50</v>
      </c>
      <c r="G479" t="s">
        <v>24</v>
      </c>
      <c r="H479" t="s">
        <v>61</v>
      </c>
      <c r="I479" t="s">
        <v>62</v>
      </c>
      <c r="J479" t="s">
        <v>115</v>
      </c>
      <c r="K479" t="s">
        <v>137</v>
      </c>
      <c r="L479">
        <v>10</v>
      </c>
      <c r="M479">
        <v>28972.39</v>
      </c>
      <c r="N479">
        <v>0.33</v>
      </c>
      <c r="O479">
        <v>130564.4</v>
      </c>
      <c r="P479">
        <v>13703.51</v>
      </c>
      <c r="Q479">
        <v>50.2</v>
      </c>
      <c r="R479" t="s">
        <v>43</v>
      </c>
      <c r="S479">
        <v>3</v>
      </c>
      <c r="T479" t="b">
        <v>0</v>
      </c>
      <c r="U479" t="s">
        <v>30</v>
      </c>
      <c r="V479">
        <v>8</v>
      </c>
    </row>
    <row r="480" spans="1:22" x14ac:dyDescent="0.25">
      <c r="A480" t="s">
        <v>1344</v>
      </c>
      <c r="B480" s="1">
        <v>44054</v>
      </c>
      <c r="C480" t="s">
        <v>1345</v>
      </c>
      <c r="D480" t="s">
        <v>1183</v>
      </c>
      <c r="E480">
        <v>38</v>
      </c>
      <c r="F480" t="str">
        <f>IF(Table1[[#This Row],[age]]&lt;=25,"18-25",IF(Table1[[#This Row],[age]]&lt;=35,"26-35",IF(Table1[[#This Row],[age]]&lt;=50,"36-50","51+")))</f>
        <v>36-50</v>
      </c>
      <c r="G480" t="s">
        <v>24</v>
      </c>
      <c r="H480" t="s">
        <v>80</v>
      </c>
      <c r="I480" t="s">
        <v>236</v>
      </c>
      <c r="J480" t="s">
        <v>101</v>
      </c>
      <c r="K480" t="s">
        <v>102</v>
      </c>
      <c r="L480">
        <v>10</v>
      </c>
      <c r="M480">
        <v>12293.17</v>
      </c>
      <c r="N480">
        <v>0.28000000000000003</v>
      </c>
      <c r="O480">
        <v>106448.38</v>
      </c>
      <c r="P480">
        <v>22757.35</v>
      </c>
      <c r="Q480">
        <v>56.34</v>
      </c>
      <c r="R480" t="s">
        <v>43</v>
      </c>
      <c r="S480">
        <v>4</v>
      </c>
      <c r="T480" t="b">
        <v>0</v>
      </c>
      <c r="U480" t="s">
        <v>30</v>
      </c>
      <c r="V480">
        <v>6</v>
      </c>
    </row>
    <row r="481" spans="1:22" x14ac:dyDescent="0.25">
      <c r="A481" t="s">
        <v>1346</v>
      </c>
      <c r="B481" s="1">
        <v>44569</v>
      </c>
      <c r="C481" t="s">
        <v>1347</v>
      </c>
      <c r="D481" t="s">
        <v>1348</v>
      </c>
      <c r="E481">
        <v>32</v>
      </c>
      <c r="F481" t="str">
        <f>IF(Table1[[#This Row],[age]]&lt;=25,"18-25",IF(Table1[[#This Row],[age]]&lt;=35,"26-35",IF(Table1[[#This Row],[age]]&lt;=50,"36-50","51+")))</f>
        <v>26-35</v>
      </c>
      <c r="G481" t="s">
        <v>24</v>
      </c>
      <c r="H481" t="s">
        <v>25</v>
      </c>
      <c r="I481" t="s">
        <v>26</v>
      </c>
      <c r="J481" t="s">
        <v>27</v>
      </c>
      <c r="K481" t="s">
        <v>28</v>
      </c>
      <c r="L481">
        <v>2</v>
      </c>
      <c r="M481">
        <v>332.8</v>
      </c>
      <c r="N481">
        <v>0.24</v>
      </c>
      <c r="O481">
        <v>429.47</v>
      </c>
      <c r="P481">
        <v>235.77</v>
      </c>
      <c r="Q481">
        <v>47.12</v>
      </c>
      <c r="R481" t="s">
        <v>92</v>
      </c>
      <c r="S481">
        <v>1</v>
      </c>
      <c r="T481" t="b">
        <v>0</v>
      </c>
      <c r="U481" t="s">
        <v>30</v>
      </c>
      <c r="V481">
        <v>2</v>
      </c>
    </row>
    <row r="482" spans="1:22" x14ac:dyDescent="0.25">
      <c r="A482" t="s">
        <v>1349</v>
      </c>
      <c r="B482" s="1">
        <v>45288</v>
      </c>
      <c r="C482" t="s">
        <v>1350</v>
      </c>
      <c r="D482" t="s">
        <v>1351</v>
      </c>
      <c r="E482">
        <v>20</v>
      </c>
      <c r="F482" t="str">
        <f>IF(Table1[[#This Row],[age]]&lt;=25,"18-25",IF(Table1[[#This Row],[age]]&lt;=35,"26-35",IF(Table1[[#This Row],[age]]&lt;=50,"36-50","51+")))</f>
        <v>18-25</v>
      </c>
      <c r="G482" t="s">
        <v>54</v>
      </c>
      <c r="H482" t="s">
        <v>61</v>
      </c>
      <c r="I482" t="s">
        <v>141</v>
      </c>
      <c r="J482" t="s">
        <v>63</v>
      </c>
      <c r="K482" t="s">
        <v>111</v>
      </c>
      <c r="L482">
        <v>3</v>
      </c>
      <c r="M482">
        <v>2696.4</v>
      </c>
      <c r="N482">
        <v>0.19</v>
      </c>
      <c r="O482">
        <v>5511.95</v>
      </c>
      <c r="P482">
        <v>1848.17</v>
      </c>
      <c r="Q482">
        <v>57.33</v>
      </c>
      <c r="R482" t="s">
        <v>57</v>
      </c>
      <c r="S482">
        <v>5</v>
      </c>
      <c r="T482" t="b">
        <v>0</v>
      </c>
      <c r="U482" t="s">
        <v>30</v>
      </c>
      <c r="V482">
        <v>10</v>
      </c>
    </row>
    <row r="483" spans="1:22" x14ac:dyDescent="0.25">
      <c r="A483" t="s">
        <v>1352</v>
      </c>
      <c r="B483" s="1">
        <v>44591</v>
      </c>
      <c r="C483" t="s">
        <v>1353</v>
      </c>
      <c r="D483" t="s">
        <v>1354</v>
      </c>
      <c r="E483">
        <v>54</v>
      </c>
      <c r="F483" t="str">
        <f>IF(Table1[[#This Row],[age]]&lt;=25,"18-25",IF(Table1[[#This Row],[age]]&lt;=35,"26-35",IF(Table1[[#This Row],[age]]&lt;=50,"36-50","51+")))</f>
        <v>51+</v>
      </c>
      <c r="G483" t="s">
        <v>34</v>
      </c>
      <c r="H483" t="s">
        <v>25</v>
      </c>
      <c r="I483" t="s">
        <v>26</v>
      </c>
      <c r="J483" t="s">
        <v>36</v>
      </c>
      <c r="K483" t="s">
        <v>76</v>
      </c>
      <c r="L483">
        <v>5</v>
      </c>
      <c r="M483">
        <v>15638.22</v>
      </c>
      <c r="N483">
        <v>0.12</v>
      </c>
      <c r="O483">
        <v>53952.69</v>
      </c>
      <c r="P483">
        <v>13304.82</v>
      </c>
      <c r="Q483">
        <v>71.64</v>
      </c>
      <c r="R483" t="s">
        <v>57</v>
      </c>
      <c r="S483">
        <v>1</v>
      </c>
      <c r="T483" t="b">
        <v>0</v>
      </c>
      <c r="U483" t="s">
        <v>30</v>
      </c>
      <c r="V483">
        <v>4</v>
      </c>
    </row>
    <row r="484" spans="1:22" x14ac:dyDescent="0.25">
      <c r="A484" t="s">
        <v>1355</v>
      </c>
      <c r="B484" s="1">
        <v>43849</v>
      </c>
      <c r="C484" t="s">
        <v>1356</v>
      </c>
      <c r="D484" t="s">
        <v>859</v>
      </c>
      <c r="E484">
        <v>30</v>
      </c>
      <c r="F484" t="str">
        <f>IF(Table1[[#This Row],[age]]&lt;=25,"18-25",IF(Table1[[#This Row],[age]]&lt;=35,"26-35",IF(Table1[[#This Row],[age]]&lt;=50,"36-50","51+")))</f>
        <v>26-35</v>
      </c>
      <c r="G484" t="s">
        <v>34</v>
      </c>
      <c r="H484" t="s">
        <v>80</v>
      </c>
      <c r="I484" t="s">
        <v>236</v>
      </c>
      <c r="J484" t="s">
        <v>63</v>
      </c>
      <c r="K484" t="s">
        <v>87</v>
      </c>
      <c r="L484">
        <v>9</v>
      </c>
      <c r="M484">
        <v>1560.64</v>
      </c>
      <c r="N484">
        <v>0.03</v>
      </c>
      <c r="O484">
        <v>9605.16</v>
      </c>
      <c r="P484">
        <v>2702.45</v>
      </c>
      <c r="Q484">
        <v>71.03</v>
      </c>
      <c r="R484" t="s">
        <v>49</v>
      </c>
      <c r="S484">
        <v>5</v>
      </c>
      <c r="T484" t="b">
        <v>0</v>
      </c>
      <c r="U484" t="s">
        <v>30</v>
      </c>
      <c r="V484">
        <v>4</v>
      </c>
    </row>
    <row r="485" spans="1:22" x14ac:dyDescent="0.25">
      <c r="A485" t="s">
        <v>1357</v>
      </c>
      <c r="B485" s="1">
        <v>45196</v>
      </c>
      <c r="C485" t="s">
        <v>1358</v>
      </c>
      <c r="D485" t="s">
        <v>1359</v>
      </c>
      <c r="E485">
        <v>39</v>
      </c>
      <c r="F485" t="str">
        <f>IF(Table1[[#This Row],[age]]&lt;=25,"18-25",IF(Table1[[#This Row],[age]]&lt;=35,"26-35",IF(Table1[[#This Row],[age]]&lt;=50,"36-50","51+")))</f>
        <v>36-50</v>
      </c>
      <c r="G485" t="s">
        <v>24</v>
      </c>
      <c r="H485" t="s">
        <v>69</v>
      </c>
      <c r="I485" t="s">
        <v>70</v>
      </c>
      <c r="J485" t="s">
        <v>101</v>
      </c>
      <c r="K485" t="s">
        <v>318</v>
      </c>
      <c r="L485">
        <v>5</v>
      </c>
      <c r="M485">
        <v>3167.34</v>
      </c>
      <c r="N485">
        <v>0.17</v>
      </c>
      <c r="O485">
        <v>17024.05</v>
      </c>
      <c r="P485">
        <v>2543.83</v>
      </c>
      <c r="Q485">
        <v>66.83</v>
      </c>
      <c r="R485" t="s">
        <v>65</v>
      </c>
      <c r="S485">
        <v>4</v>
      </c>
      <c r="T485" t="b">
        <v>0</v>
      </c>
      <c r="U485" t="s">
        <v>30</v>
      </c>
      <c r="V485">
        <v>10</v>
      </c>
    </row>
    <row r="486" spans="1:22" x14ac:dyDescent="0.25">
      <c r="A486" t="s">
        <v>1360</v>
      </c>
      <c r="B486" s="1">
        <v>44606</v>
      </c>
      <c r="C486" t="s">
        <v>1361</v>
      </c>
      <c r="D486" t="s">
        <v>1362</v>
      </c>
      <c r="E486">
        <v>30</v>
      </c>
      <c r="F486" t="str">
        <f>IF(Table1[[#This Row],[age]]&lt;=25,"18-25",IF(Table1[[#This Row],[age]]&lt;=35,"26-35",IF(Table1[[#This Row],[age]]&lt;=50,"36-50","51+")))</f>
        <v>26-35</v>
      </c>
      <c r="G486" t="s">
        <v>24</v>
      </c>
      <c r="H486" t="s">
        <v>61</v>
      </c>
      <c r="I486" t="s">
        <v>91</v>
      </c>
      <c r="J486" t="s">
        <v>63</v>
      </c>
      <c r="K486" t="s">
        <v>152</v>
      </c>
      <c r="L486">
        <v>4</v>
      </c>
      <c r="M486">
        <v>3616.81</v>
      </c>
      <c r="N486">
        <v>0.01</v>
      </c>
      <c r="O486">
        <v>14243.78</v>
      </c>
      <c r="P486">
        <v>3640.83</v>
      </c>
      <c r="Q486">
        <v>40.58</v>
      </c>
      <c r="R486" t="s">
        <v>29</v>
      </c>
      <c r="S486">
        <v>4</v>
      </c>
      <c r="T486" t="b">
        <v>0</v>
      </c>
      <c r="U486" t="s">
        <v>93</v>
      </c>
      <c r="V486">
        <v>2</v>
      </c>
    </row>
    <row r="487" spans="1:22" x14ac:dyDescent="0.25">
      <c r="A487" t="s">
        <v>1363</v>
      </c>
      <c r="B487" s="1">
        <v>44578</v>
      </c>
      <c r="C487" t="s">
        <v>1364</v>
      </c>
      <c r="D487" t="s">
        <v>1365</v>
      </c>
      <c r="E487">
        <v>44</v>
      </c>
      <c r="F487" t="str">
        <f>IF(Table1[[#This Row],[age]]&lt;=25,"18-25",IF(Table1[[#This Row],[age]]&lt;=35,"26-35",IF(Table1[[#This Row],[age]]&lt;=50,"36-50","51+")))</f>
        <v>36-50</v>
      </c>
      <c r="G487" t="s">
        <v>34</v>
      </c>
      <c r="H487" t="s">
        <v>55</v>
      </c>
      <c r="I487" t="s">
        <v>56</v>
      </c>
      <c r="J487" t="s">
        <v>27</v>
      </c>
      <c r="K487" t="s">
        <v>192</v>
      </c>
      <c r="L487">
        <v>9</v>
      </c>
      <c r="M487">
        <v>1064.67</v>
      </c>
      <c r="N487">
        <v>0.33</v>
      </c>
      <c r="O487">
        <v>5679.24</v>
      </c>
      <c r="P487">
        <v>3280.89</v>
      </c>
      <c r="Q487">
        <v>74.790000000000006</v>
      </c>
      <c r="R487" t="s">
        <v>49</v>
      </c>
      <c r="S487">
        <v>4</v>
      </c>
      <c r="T487" t="b">
        <v>1</v>
      </c>
      <c r="U487" t="s">
        <v>50</v>
      </c>
      <c r="V487">
        <v>10</v>
      </c>
    </row>
    <row r="488" spans="1:22" x14ac:dyDescent="0.25">
      <c r="A488" t="s">
        <v>1366</v>
      </c>
      <c r="B488" s="1">
        <v>44257</v>
      </c>
      <c r="C488" t="s">
        <v>1367</v>
      </c>
      <c r="D488" t="s">
        <v>611</v>
      </c>
      <c r="E488">
        <v>32</v>
      </c>
      <c r="F488" t="str">
        <f>IF(Table1[[#This Row],[age]]&lt;=25,"18-25",IF(Table1[[#This Row],[age]]&lt;=35,"26-35",IF(Table1[[#This Row],[age]]&lt;=50,"36-50","51+")))</f>
        <v>26-35</v>
      </c>
      <c r="G488" t="s">
        <v>24</v>
      </c>
      <c r="H488" t="s">
        <v>61</v>
      </c>
      <c r="I488" t="s">
        <v>91</v>
      </c>
      <c r="J488" t="s">
        <v>106</v>
      </c>
      <c r="K488" t="s">
        <v>188</v>
      </c>
      <c r="L488">
        <v>9</v>
      </c>
      <c r="M488">
        <v>172.48</v>
      </c>
      <c r="N488">
        <v>0.16</v>
      </c>
      <c r="O488">
        <v>1373.62</v>
      </c>
      <c r="P488">
        <v>111.05</v>
      </c>
      <c r="Q488">
        <v>48.27</v>
      </c>
      <c r="R488" t="s">
        <v>29</v>
      </c>
      <c r="S488">
        <v>2</v>
      </c>
      <c r="T488" t="b">
        <v>0</v>
      </c>
      <c r="U488" t="s">
        <v>30</v>
      </c>
      <c r="V488">
        <v>6</v>
      </c>
    </row>
    <row r="489" spans="1:22" x14ac:dyDescent="0.25">
      <c r="A489" t="s">
        <v>1368</v>
      </c>
      <c r="B489" s="1">
        <v>44812</v>
      </c>
      <c r="C489" t="s">
        <v>1369</v>
      </c>
      <c r="D489" t="s">
        <v>1370</v>
      </c>
      <c r="E489">
        <v>26</v>
      </c>
      <c r="F489" t="str">
        <f>IF(Table1[[#This Row],[age]]&lt;=25,"18-25",IF(Table1[[#This Row],[age]]&lt;=35,"26-35",IF(Table1[[#This Row],[age]]&lt;=50,"36-50","51+")))</f>
        <v>26-35</v>
      </c>
      <c r="G489" t="s">
        <v>34</v>
      </c>
      <c r="H489" t="s">
        <v>25</v>
      </c>
      <c r="I489" t="s">
        <v>35</v>
      </c>
      <c r="J489" t="s">
        <v>36</v>
      </c>
      <c r="K489" t="s">
        <v>42</v>
      </c>
      <c r="L489">
        <v>2</v>
      </c>
      <c r="M489">
        <v>21391.95</v>
      </c>
      <c r="N489">
        <v>0.09</v>
      </c>
      <c r="O489">
        <v>42758.89</v>
      </c>
      <c r="P489">
        <v>8615.36</v>
      </c>
      <c r="Q489">
        <v>88.4</v>
      </c>
      <c r="R489" t="s">
        <v>29</v>
      </c>
      <c r="S489">
        <v>2</v>
      </c>
      <c r="T489" t="b">
        <v>1</v>
      </c>
      <c r="U489" t="s">
        <v>50</v>
      </c>
      <c r="V489">
        <v>3</v>
      </c>
    </row>
    <row r="490" spans="1:22" x14ac:dyDescent="0.25">
      <c r="A490" t="s">
        <v>1371</v>
      </c>
      <c r="B490" s="1">
        <v>44036</v>
      </c>
      <c r="C490" t="s">
        <v>1372</v>
      </c>
      <c r="D490" t="s">
        <v>1373</v>
      </c>
      <c r="E490">
        <v>35</v>
      </c>
      <c r="F490" t="str">
        <f>IF(Table1[[#This Row],[age]]&lt;=25,"18-25",IF(Table1[[#This Row],[age]]&lt;=35,"26-35",IF(Table1[[#This Row],[age]]&lt;=50,"36-50","51+")))</f>
        <v>26-35</v>
      </c>
      <c r="G490" t="s">
        <v>54</v>
      </c>
      <c r="H490" t="s">
        <v>55</v>
      </c>
      <c r="I490" t="s">
        <v>97</v>
      </c>
      <c r="J490" t="s">
        <v>63</v>
      </c>
      <c r="K490" t="s">
        <v>111</v>
      </c>
      <c r="L490">
        <v>1</v>
      </c>
      <c r="M490">
        <v>2855.2</v>
      </c>
      <c r="N490">
        <v>0.19</v>
      </c>
      <c r="O490">
        <v>3015.82</v>
      </c>
      <c r="P490">
        <v>1580.35</v>
      </c>
      <c r="Q490">
        <v>65.12</v>
      </c>
      <c r="R490" t="s">
        <v>49</v>
      </c>
      <c r="S490">
        <v>1</v>
      </c>
      <c r="T490" t="b">
        <v>0</v>
      </c>
      <c r="U490" t="s">
        <v>30</v>
      </c>
      <c r="V490">
        <v>1</v>
      </c>
    </row>
    <row r="491" spans="1:22" x14ac:dyDescent="0.25">
      <c r="A491" t="s">
        <v>1374</v>
      </c>
      <c r="B491" s="1">
        <v>44515</v>
      </c>
      <c r="C491" t="s">
        <v>1375</v>
      </c>
      <c r="D491" t="s">
        <v>144</v>
      </c>
      <c r="E491">
        <v>45</v>
      </c>
      <c r="F491" t="str">
        <f>IF(Table1[[#This Row],[age]]&lt;=25,"18-25",IF(Table1[[#This Row],[age]]&lt;=35,"26-35",IF(Table1[[#This Row],[age]]&lt;=50,"36-50","51+")))</f>
        <v>36-50</v>
      </c>
      <c r="G491" t="s">
        <v>24</v>
      </c>
      <c r="H491" t="s">
        <v>25</v>
      </c>
      <c r="I491" t="s">
        <v>35</v>
      </c>
      <c r="J491" t="s">
        <v>63</v>
      </c>
      <c r="K491" t="s">
        <v>87</v>
      </c>
      <c r="L491">
        <v>2</v>
      </c>
      <c r="M491">
        <v>1623.15</v>
      </c>
      <c r="N491">
        <v>0.33</v>
      </c>
      <c r="O491">
        <v>1938.25</v>
      </c>
      <c r="P491">
        <v>726.9</v>
      </c>
      <c r="Q491">
        <v>45.5</v>
      </c>
      <c r="R491" t="s">
        <v>57</v>
      </c>
      <c r="S491">
        <v>3</v>
      </c>
      <c r="T491" t="b">
        <v>0</v>
      </c>
      <c r="U491" t="s">
        <v>193</v>
      </c>
      <c r="V491">
        <v>2</v>
      </c>
    </row>
    <row r="492" spans="1:22" x14ac:dyDescent="0.25">
      <c r="A492" t="s">
        <v>1376</v>
      </c>
      <c r="B492" s="1">
        <v>44456</v>
      </c>
      <c r="C492" t="s">
        <v>1377</v>
      </c>
      <c r="D492" t="s">
        <v>90</v>
      </c>
      <c r="E492">
        <v>38</v>
      </c>
      <c r="F492" t="str">
        <f>IF(Table1[[#This Row],[age]]&lt;=25,"18-25",IF(Table1[[#This Row],[age]]&lt;=35,"26-35",IF(Table1[[#This Row],[age]]&lt;=50,"36-50","51+")))</f>
        <v>36-50</v>
      </c>
      <c r="G492" t="s">
        <v>34</v>
      </c>
      <c r="H492" t="s">
        <v>69</v>
      </c>
      <c r="I492" t="s">
        <v>181</v>
      </c>
      <c r="J492" t="s">
        <v>63</v>
      </c>
      <c r="K492" t="s">
        <v>111</v>
      </c>
      <c r="L492">
        <v>1</v>
      </c>
      <c r="M492">
        <v>581.13</v>
      </c>
      <c r="N492">
        <v>0.01</v>
      </c>
      <c r="O492">
        <v>664.52</v>
      </c>
      <c r="P492">
        <v>237.69</v>
      </c>
      <c r="Q492">
        <v>85.55</v>
      </c>
      <c r="R492" t="s">
        <v>49</v>
      </c>
      <c r="S492">
        <v>2</v>
      </c>
      <c r="T492" t="b">
        <v>0</v>
      </c>
      <c r="U492" t="s">
        <v>30</v>
      </c>
      <c r="V492">
        <v>4</v>
      </c>
    </row>
    <row r="493" spans="1:22" x14ac:dyDescent="0.25">
      <c r="A493" t="s">
        <v>1378</v>
      </c>
      <c r="B493" s="1">
        <v>43994</v>
      </c>
      <c r="C493" t="s">
        <v>1379</v>
      </c>
      <c r="D493" t="s">
        <v>449</v>
      </c>
      <c r="E493">
        <v>39</v>
      </c>
      <c r="F493" t="str">
        <f>IF(Table1[[#This Row],[age]]&lt;=25,"18-25",IF(Table1[[#This Row],[age]]&lt;=35,"26-35",IF(Table1[[#This Row],[age]]&lt;=50,"36-50","51+")))</f>
        <v>36-50</v>
      </c>
      <c r="G493" t="s">
        <v>24</v>
      </c>
      <c r="H493" t="s">
        <v>55</v>
      </c>
      <c r="I493" t="s">
        <v>75</v>
      </c>
      <c r="J493" t="s">
        <v>63</v>
      </c>
      <c r="K493" t="s">
        <v>111</v>
      </c>
      <c r="L493">
        <v>8</v>
      </c>
      <c r="M493">
        <v>2755.32</v>
      </c>
      <c r="N493">
        <v>0.2</v>
      </c>
      <c r="O493">
        <v>24539.81</v>
      </c>
      <c r="P493">
        <v>6803.51</v>
      </c>
      <c r="Q493">
        <v>48.26</v>
      </c>
      <c r="R493" t="s">
        <v>65</v>
      </c>
      <c r="S493">
        <v>1</v>
      </c>
      <c r="T493" t="b">
        <v>0</v>
      </c>
      <c r="U493" t="s">
        <v>30</v>
      </c>
      <c r="V493">
        <v>4</v>
      </c>
    </row>
    <row r="494" spans="1:22" x14ac:dyDescent="0.25">
      <c r="A494" t="s">
        <v>1380</v>
      </c>
      <c r="B494" s="1">
        <v>44517</v>
      </c>
      <c r="C494" t="s">
        <v>1381</v>
      </c>
      <c r="D494" t="s">
        <v>682</v>
      </c>
      <c r="E494">
        <v>28</v>
      </c>
      <c r="F494" t="str">
        <f>IF(Table1[[#This Row],[age]]&lt;=25,"18-25",IF(Table1[[#This Row],[age]]&lt;=35,"26-35",IF(Table1[[#This Row],[age]]&lt;=50,"36-50","51+")))</f>
        <v>26-35</v>
      </c>
      <c r="G494" t="s">
        <v>34</v>
      </c>
      <c r="H494" t="s">
        <v>69</v>
      </c>
      <c r="I494" t="s">
        <v>136</v>
      </c>
      <c r="J494" t="s">
        <v>106</v>
      </c>
      <c r="K494" t="s">
        <v>247</v>
      </c>
      <c r="L494">
        <v>4</v>
      </c>
      <c r="M494">
        <v>421.33</v>
      </c>
      <c r="N494">
        <v>0.14000000000000001</v>
      </c>
      <c r="O494">
        <v>1026.6500000000001</v>
      </c>
      <c r="P494">
        <v>97.18</v>
      </c>
      <c r="Q494">
        <v>82</v>
      </c>
      <c r="R494" t="s">
        <v>57</v>
      </c>
      <c r="S494">
        <v>1</v>
      </c>
      <c r="T494" t="b">
        <v>0</v>
      </c>
      <c r="U494" t="s">
        <v>30</v>
      </c>
      <c r="V494">
        <v>10</v>
      </c>
    </row>
    <row r="495" spans="1:22" x14ac:dyDescent="0.25">
      <c r="A495" t="s">
        <v>1382</v>
      </c>
      <c r="B495" s="1">
        <v>45098</v>
      </c>
      <c r="C495" t="s">
        <v>1383</v>
      </c>
      <c r="D495" t="s">
        <v>1294</v>
      </c>
      <c r="E495">
        <v>29</v>
      </c>
      <c r="F495" t="str">
        <f>IF(Table1[[#This Row],[age]]&lt;=25,"18-25",IF(Table1[[#This Row],[age]]&lt;=35,"26-35",IF(Table1[[#This Row],[age]]&lt;=50,"36-50","51+")))</f>
        <v>26-35</v>
      </c>
      <c r="G495" t="s">
        <v>24</v>
      </c>
      <c r="H495" t="s">
        <v>25</v>
      </c>
      <c r="I495" t="s">
        <v>41</v>
      </c>
      <c r="J495" t="s">
        <v>27</v>
      </c>
      <c r="K495" t="s">
        <v>480</v>
      </c>
      <c r="L495">
        <v>10</v>
      </c>
      <c r="M495">
        <v>325.56</v>
      </c>
      <c r="N495">
        <v>0.28999999999999998</v>
      </c>
      <c r="O495">
        <v>3569.04</v>
      </c>
      <c r="P495">
        <v>1816.65</v>
      </c>
      <c r="Q495">
        <v>46.14</v>
      </c>
      <c r="R495" t="s">
        <v>57</v>
      </c>
      <c r="S495">
        <v>1</v>
      </c>
      <c r="T495" t="b">
        <v>0</v>
      </c>
      <c r="U495" t="s">
        <v>71</v>
      </c>
      <c r="V495">
        <v>3</v>
      </c>
    </row>
    <row r="496" spans="1:22" x14ac:dyDescent="0.25">
      <c r="A496" t="s">
        <v>1384</v>
      </c>
      <c r="B496" s="1">
        <v>44480</v>
      </c>
      <c r="C496" t="s">
        <v>1385</v>
      </c>
      <c r="D496" t="s">
        <v>640</v>
      </c>
      <c r="E496">
        <v>36</v>
      </c>
      <c r="F496" t="str">
        <f>IF(Table1[[#This Row],[age]]&lt;=25,"18-25",IF(Table1[[#This Row],[age]]&lt;=35,"26-35",IF(Table1[[#This Row],[age]]&lt;=50,"36-50","51+")))</f>
        <v>36-50</v>
      </c>
      <c r="G496" t="s">
        <v>34</v>
      </c>
      <c r="H496" t="s">
        <v>61</v>
      </c>
      <c r="I496" t="s">
        <v>62</v>
      </c>
      <c r="J496" t="s">
        <v>47</v>
      </c>
      <c r="K496" t="s">
        <v>272</v>
      </c>
      <c r="L496">
        <v>10</v>
      </c>
      <c r="M496">
        <v>1279.2</v>
      </c>
      <c r="N496">
        <v>0.17</v>
      </c>
      <c r="O496">
        <v>10694.49</v>
      </c>
      <c r="P496">
        <v>4612.59</v>
      </c>
      <c r="Q496">
        <v>38.619999999999997</v>
      </c>
      <c r="R496" t="s">
        <v>43</v>
      </c>
      <c r="S496">
        <v>1</v>
      </c>
      <c r="T496" t="b">
        <v>0</v>
      </c>
      <c r="U496" t="s">
        <v>93</v>
      </c>
      <c r="V496">
        <v>6</v>
      </c>
    </row>
    <row r="497" spans="1:22" x14ac:dyDescent="0.25">
      <c r="A497" t="s">
        <v>1386</v>
      </c>
      <c r="B497" s="1">
        <v>45261</v>
      </c>
      <c r="C497" t="s">
        <v>1387</v>
      </c>
      <c r="D497" t="s">
        <v>519</v>
      </c>
      <c r="E497">
        <v>46</v>
      </c>
      <c r="F497" t="str">
        <f>IF(Table1[[#This Row],[age]]&lt;=25,"18-25",IF(Table1[[#This Row],[age]]&lt;=35,"26-35",IF(Table1[[#This Row],[age]]&lt;=50,"36-50","51+")))</f>
        <v>36-50</v>
      </c>
      <c r="G497" t="s">
        <v>24</v>
      </c>
      <c r="H497" t="s">
        <v>61</v>
      </c>
      <c r="I497" t="s">
        <v>62</v>
      </c>
      <c r="J497" t="s">
        <v>27</v>
      </c>
      <c r="K497" t="s">
        <v>480</v>
      </c>
      <c r="L497">
        <v>1</v>
      </c>
      <c r="M497">
        <v>2427.6999999999998</v>
      </c>
      <c r="N497">
        <v>0.11</v>
      </c>
      <c r="O497">
        <v>1734.31</v>
      </c>
      <c r="P497">
        <v>605.52</v>
      </c>
      <c r="Q497">
        <v>48.85</v>
      </c>
      <c r="R497" t="s">
        <v>57</v>
      </c>
      <c r="S497">
        <v>2</v>
      </c>
      <c r="T497" t="b">
        <v>0</v>
      </c>
      <c r="U497" t="s">
        <v>30</v>
      </c>
      <c r="V497">
        <v>1</v>
      </c>
    </row>
    <row r="498" spans="1:22" x14ac:dyDescent="0.25">
      <c r="A498" t="s">
        <v>1388</v>
      </c>
      <c r="B498" s="1">
        <v>44559</v>
      </c>
      <c r="C498" t="s">
        <v>1389</v>
      </c>
      <c r="D498" t="s">
        <v>346</v>
      </c>
      <c r="E498">
        <v>55</v>
      </c>
      <c r="F498" t="str">
        <f>IF(Table1[[#This Row],[age]]&lt;=25,"18-25",IF(Table1[[#This Row],[age]]&lt;=35,"26-35",IF(Table1[[#This Row],[age]]&lt;=50,"36-50","51+")))</f>
        <v>51+</v>
      </c>
      <c r="G498" t="s">
        <v>34</v>
      </c>
      <c r="H498" t="s">
        <v>61</v>
      </c>
      <c r="I498" t="s">
        <v>141</v>
      </c>
      <c r="J498" t="s">
        <v>63</v>
      </c>
      <c r="K498" t="s">
        <v>87</v>
      </c>
      <c r="L498">
        <v>6</v>
      </c>
      <c r="M498">
        <v>2259.04</v>
      </c>
      <c r="N498">
        <v>0.36</v>
      </c>
      <c r="O498">
        <v>6753.1</v>
      </c>
      <c r="P498">
        <v>2777.61</v>
      </c>
      <c r="Q498">
        <v>41.85</v>
      </c>
      <c r="R498" t="s">
        <v>92</v>
      </c>
      <c r="S498">
        <v>2</v>
      </c>
      <c r="T498" t="b">
        <v>0</v>
      </c>
      <c r="U498" t="s">
        <v>30</v>
      </c>
      <c r="V498">
        <v>6</v>
      </c>
    </row>
    <row r="499" spans="1:22" x14ac:dyDescent="0.25">
      <c r="A499" t="s">
        <v>1390</v>
      </c>
      <c r="B499" s="1">
        <v>44180</v>
      </c>
      <c r="C499" t="s">
        <v>1391</v>
      </c>
      <c r="D499" t="s">
        <v>1392</v>
      </c>
      <c r="E499">
        <v>50</v>
      </c>
      <c r="F499" t="str">
        <f>IF(Table1[[#This Row],[age]]&lt;=25,"18-25",IF(Table1[[#This Row],[age]]&lt;=35,"26-35",IF(Table1[[#This Row],[age]]&lt;=50,"36-50","51+")))</f>
        <v>36-50</v>
      </c>
      <c r="G499" t="s">
        <v>54</v>
      </c>
      <c r="H499" t="s">
        <v>61</v>
      </c>
      <c r="I499" t="s">
        <v>141</v>
      </c>
      <c r="J499" t="s">
        <v>36</v>
      </c>
      <c r="K499" t="s">
        <v>37</v>
      </c>
      <c r="L499">
        <v>1</v>
      </c>
      <c r="M499">
        <v>21726.1</v>
      </c>
      <c r="N499">
        <v>0.28000000000000003</v>
      </c>
      <c r="O499">
        <v>9976.2800000000007</v>
      </c>
      <c r="P499">
        <v>2817.21</v>
      </c>
      <c r="Q499">
        <v>57.05</v>
      </c>
      <c r="R499" t="s">
        <v>57</v>
      </c>
      <c r="S499">
        <v>4</v>
      </c>
      <c r="T499" t="b">
        <v>0</v>
      </c>
      <c r="U499" t="s">
        <v>71</v>
      </c>
      <c r="V499">
        <v>7</v>
      </c>
    </row>
    <row r="500" spans="1:22" x14ac:dyDescent="0.25">
      <c r="A500" t="s">
        <v>1393</v>
      </c>
      <c r="B500" s="1">
        <v>45539</v>
      </c>
      <c r="C500" t="s">
        <v>1394</v>
      </c>
      <c r="D500" t="s">
        <v>415</v>
      </c>
      <c r="E500">
        <v>41</v>
      </c>
      <c r="F500" t="str">
        <f>IF(Table1[[#This Row],[age]]&lt;=25,"18-25",IF(Table1[[#This Row],[age]]&lt;=35,"26-35",IF(Table1[[#This Row],[age]]&lt;=50,"36-50","51+")))</f>
        <v>36-50</v>
      </c>
      <c r="G500" t="s">
        <v>34</v>
      </c>
      <c r="H500" t="s">
        <v>55</v>
      </c>
      <c r="I500" t="s">
        <v>56</v>
      </c>
      <c r="J500" t="s">
        <v>101</v>
      </c>
      <c r="K500" t="s">
        <v>318</v>
      </c>
      <c r="L500">
        <v>9</v>
      </c>
      <c r="M500">
        <v>796.29</v>
      </c>
      <c r="N500">
        <v>0.21</v>
      </c>
      <c r="O500">
        <v>7659.05</v>
      </c>
      <c r="P500">
        <v>1887.36</v>
      </c>
      <c r="Q500">
        <v>52.86</v>
      </c>
      <c r="R500" t="s">
        <v>65</v>
      </c>
      <c r="S500">
        <v>2</v>
      </c>
      <c r="T500" t="b">
        <v>0</v>
      </c>
      <c r="U500" t="s">
        <v>30</v>
      </c>
      <c r="V500">
        <v>2</v>
      </c>
    </row>
    <row r="501" spans="1:22" x14ac:dyDescent="0.25">
      <c r="A501" t="s">
        <v>1395</v>
      </c>
      <c r="B501" s="1">
        <v>44668</v>
      </c>
      <c r="C501" t="s">
        <v>1396</v>
      </c>
      <c r="D501" t="s">
        <v>564</v>
      </c>
      <c r="E501">
        <v>23</v>
      </c>
      <c r="F501" t="str">
        <f>IF(Table1[[#This Row],[age]]&lt;=25,"18-25",IF(Table1[[#This Row],[age]]&lt;=35,"26-35",IF(Table1[[#This Row],[age]]&lt;=50,"36-50","51+")))</f>
        <v>18-25</v>
      </c>
      <c r="G501" t="s">
        <v>54</v>
      </c>
      <c r="H501" t="s">
        <v>69</v>
      </c>
      <c r="I501" t="s">
        <v>221</v>
      </c>
      <c r="J501" t="s">
        <v>101</v>
      </c>
      <c r="K501" t="s">
        <v>124</v>
      </c>
      <c r="L501">
        <v>1</v>
      </c>
      <c r="M501">
        <v>8106.93</v>
      </c>
      <c r="N501">
        <v>0.27</v>
      </c>
      <c r="O501">
        <v>7375.32</v>
      </c>
      <c r="P501">
        <v>1061.19</v>
      </c>
      <c r="Q501">
        <v>82.98</v>
      </c>
      <c r="R501" t="s">
        <v>57</v>
      </c>
      <c r="S501">
        <v>3</v>
      </c>
      <c r="T501" t="b">
        <v>0</v>
      </c>
      <c r="U501" t="s">
        <v>30</v>
      </c>
      <c r="V501">
        <v>4</v>
      </c>
    </row>
    <row r="502" spans="1:22" x14ac:dyDescent="0.25">
      <c r="A502" t="s">
        <v>1397</v>
      </c>
      <c r="B502" s="1">
        <v>44730</v>
      </c>
      <c r="C502" t="s">
        <v>1398</v>
      </c>
      <c r="D502" t="s">
        <v>1233</v>
      </c>
      <c r="E502">
        <v>29</v>
      </c>
      <c r="F502" t="str">
        <f>IF(Table1[[#This Row],[age]]&lt;=25,"18-25",IF(Table1[[#This Row],[age]]&lt;=35,"26-35",IF(Table1[[#This Row],[age]]&lt;=50,"36-50","51+")))</f>
        <v>26-35</v>
      </c>
      <c r="G502" t="s">
        <v>24</v>
      </c>
      <c r="H502" t="s">
        <v>69</v>
      </c>
      <c r="I502" t="s">
        <v>221</v>
      </c>
      <c r="J502" t="s">
        <v>115</v>
      </c>
      <c r="K502" t="s">
        <v>398</v>
      </c>
      <c r="L502">
        <v>8</v>
      </c>
      <c r="M502">
        <v>15107.58</v>
      </c>
      <c r="N502">
        <v>0.15</v>
      </c>
      <c r="O502">
        <v>173570.72</v>
      </c>
      <c r="P502">
        <v>21830.12</v>
      </c>
      <c r="Q502">
        <v>77.28</v>
      </c>
      <c r="R502" t="s">
        <v>49</v>
      </c>
      <c r="S502">
        <v>4</v>
      </c>
      <c r="T502" t="b">
        <v>0</v>
      </c>
      <c r="U502" t="s">
        <v>30</v>
      </c>
      <c r="V502">
        <v>10</v>
      </c>
    </row>
    <row r="503" spans="1:22" x14ac:dyDescent="0.25">
      <c r="A503" t="s">
        <v>1399</v>
      </c>
      <c r="B503" s="1">
        <v>43859</v>
      </c>
      <c r="C503" t="s">
        <v>1400</v>
      </c>
      <c r="D503" t="s">
        <v>1401</v>
      </c>
      <c r="E503">
        <v>21</v>
      </c>
      <c r="F503" t="str">
        <f>IF(Table1[[#This Row],[age]]&lt;=25,"18-25",IF(Table1[[#This Row],[age]]&lt;=35,"26-35",IF(Table1[[#This Row],[age]]&lt;=50,"36-50","51+")))</f>
        <v>18-25</v>
      </c>
      <c r="G503" t="s">
        <v>34</v>
      </c>
      <c r="H503" t="s">
        <v>80</v>
      </c>
      <c r="I503" t="s">
        <v>81</v>
      </c>
      <c r="J503" t="s">
        <v>36</v>
      </c>
      <c r="K503" t="s">
        <v>243</v>
      </c>
      <c r="L503">
        <v>7</v>
      </c>
      <c r="M503">
        <v>4470.7299999999996</v>
      </c>
      <c r="N503">
        <v>0.09</v>
      </c>
      <c r="O503">
        <v>22350.68</v>
      </c>
      <c r="P503">
        <v>8417.6200000000008</v>
      </c>
      <c r="Q503">
        <v>45.52</v>
      </c>
      <c r="R503" t="s">
        <v>49</v>
      </c>
      <c r="S503">
        <v>4</v>
      </c>
      <c r="T503" t="b">
        <v>0</v>
      </c>
      <c r="U503" t="s">
        <v>30</v>
      </c>
      <c r="V503">
        <v>6</v>
      </c>
    </row>
    <row r="504" spans="1:22" x14ac:dyDescent="0.25">
      <c r="A504" t="s">
        <v>1402</v>
      </c>
      <c r="B504" s="1">
        <v>43963</v>
      </c>
      <c r="C504" t="s">
        <v>1403</v>
      </c>
      <c r="D504" t="s">
        <v>449</v>
      </c>
      <c r="E504">
        <v>35</v>
      </c>
      <c r="F504" t="str">
        <f>IF(Table1[[#This Row],[age]]&lt;=25,"18-25",IF(Table1[[#This Row],[age]]&lt;=35,"26-35",IF(Table1[[#This Row],[age]]&lt;=50,"36-50","51+")))</f>
        <v>26-35</v>
      </c>
      <c r="G504" t="s">
        <v>34</v>
      </c>
      <c r="H504" t="s">
        <v>69</v>
      </c>
      <c r="I504" t="s">
        <v>181</v>
      </c>
      <c r="J504" t="s">
        <v>101</v>
      </c>
      <c r="K504" t="s">
        <v>456</v>
      </c>
      <c r="L504">
        <v>5</v>
      </c>
      <c r="M504">
        <v>6852.57</v>
      </c>
      <c r="N504">
        <v>0.19</v>
      </c>
      <c r="O504">
        <v>30208.26</v>
      </c>
      <c r="P504">
        <v>8215.56</v>
      </c>
      <c r="Q504">
        <v>100.86</v>
      </c>
      <c r="R504" t="s">
        <v>43</v>
      </c>
      <c r="S504">
        <v>5</v>
      </c>
      <c r="T504" t="b">
        <v>0</v>
      </c>
      <c r="U504" t="s">
        <v>30</v>
      </c>
      <c r="V504">
        <v>10</v>
      </c>
    </row>
    <row r="505" spans="1:22" x14ac:dyDescent="0.25">
      <c r="A505" t="s">
        <v>1404</v>
      </c>
      <c r="B505" s="1">
        <v>44582</v>
      </c>
      <c r="C505" t="s">
        <v>1405</v>
      </c>
      <c r="D505" t="s">
        <v>1406</v>
      </c>
      <c r="E505">
        <v>36</v>
      </c>
      <c r="F505" t="str">
        <f>IF(Table1[[#This Row],[age]]&lt;=25,"18-25",IF(Table1[[#This Row],[age]]&lt;=35,"26-35",IF(Table1[[#This Row],[age]]&lt;=50,"36-50","51+")))</f>
        <v>36-50</v>
      </c>
      <c r="G505" t="s">
        <v>34</v>
      </c>
      <c r="H505" t="s">
        <v>61</v>
      </c>
      <c r="I505" t="s">
        <v>91</v>
      </c>
      <c r="J505" t="s">
        <v>101</v>
      </c>
      <c r="K505" t="s">
        <v>124</v>
      </c>
      <c r="L505">
        <v>1</v>
      </c>
      <c r="M505">
        <v>14530.7</v>
      </c>
      <c r="N505">
        <v>0.16</v>
      </c>
      <c r="O505">
        <v>10169.91</v>
      </c>
      <c r="P505">
        <v>2350.09</v>
      </c>
      <c r="Q505">
        <v>60.97</v>
      </c>
      <c r="R505" t="s">
        <v>65</v>
      </c>
      <c r="S505">
        <v>3</v>
      </c>
      <c r="T505" t="b">
        <v>1</v>
      </c>
      <c r="U505" t="s">
        <v>50</v>
      </c>
      <c r="V505">
        <v>8</v>
      </c>
    </row>
    <row r="506" spans="1:22" x14ac:dyDescent="0.25">
      <c r="A506" t="s">
        <v>1407</v>
      </c>
      <c r="B506" s="1">
        <v>44973</v>
      </c>
      <c r="C506" t="s">
        <v>1408</v>
      </c>
      <c r="D506" t="s">
        <v>1409</v>
      </c>
      <c r="E506">
        <v>35</v>
      </c>
      <c r="F506" t="str">
        <f>IF(Table1[[#This Row],[age]]&lt;=25,"18-25",IF(Table1[[#This Row],[age]]&lt;=35,"26-35",IF(Table1[[#This Row],[age]]&lt;=50,"36-50","51+")))</f>
        <v>26-35</v>
      </c>
      <c r="G506" t="s">
        <v>24</v>
      </c>
      <c r="H506" t="s">
        <v>80</v>
      </c>
      <c r="I506" t="s">
        <v>81</v>
      </c>
      <c r="J506" t="s">
        <v>47</v>
      </c>
      <c r="K506" t="s">
        <v>272</v>
      </c>
      <c r="L506">
        <v>6</v>
      </c>
      <c r="M506">
        <v>893.91</v>
      </c>
      <c r="N506">
        <v>0.15</v>
      </c>
      <c r="O506">
        <v>5253.1</v>
      </c>
      <c r="P506">
        <v>1937.64</v>
      </c>
      <c r="Q506">
        <v>87.48</v>
      </c>
      <c r="R506" t="s">
        <v>29</v>
      </c>
      <c r="S506">
        <v>4</v>
      </c>
      <c r="T506" t="b">
        <v>0</v>
      </c>
      <c r="U506" t="s">
        <v>93</v>
      </c>
      <c r="V506">
        <v>4</v>
      </c>
    </row>
    <row r="507" spans="1:22" x14ac:dyDescent="0.25">
      <c r="A507" t="s">
        <v>1410</v>
      </c>
      <c r="B507" s="1">
        <v>43922</v>
      </c>
      <c r="C507" t="s">
        <v>1411</v>
      </c>
      <c r="D507" t="s">
        <v>144</v>
      </c>
      <c r="E507">
        <v>31</v>
      </c>
      <c r="F507" t="str">
        <f>IF(Table1[[#This Row],[age]]&lt;=25,"18-25",IF(Table1[[#This Row],[age]]&lt;=35,"26-35",IF(Table1[[#This Row],[age]]&lt;=50,"36-50","51+")))</f>
        <v>26-35</v>
      </c>
      <c r="G507" t="s">
        <v>24</v>
      </c>
      <c r="H507" t="s">
        <v>69</v>
      </c>
      <c r="I507" t="s">
        <v>181</v>
      </c>
      <c r="J507" t="s">
        <v>106</v>
      </c>
      <c r="K507" t="s">
        <v>718</v>
      </c>
      <c r="L507">
        <v>5</v>
      </c>
      <c r="M507">
        <v>380.73</v>
      </c>
      <c r="N507">
        <v>0.38</v>
      </c>
      <c r="O507">
        <v>891.35</v>
      </c>
      <c r="P507">
        <v>63.05</v>
      </c>
      <c r="Q507">
        <v>69.349999999999994</v>
      </c>
      <c r="R507" t="s">
        <v>65</v>
      </c>
      <c r="S507">
        <v>5</v>
      </c>
      <c r="T507" t="b">
        <v>0</v>
      </c>
      <c r="U507" t="s">
        <v>93</v>
      </c>
      <c r="V507">
        <v>4</v>
      </c>
    </row>
    <row r="508" spans="1:22" x14ac:dyDescent="0.25">
      <c r="A508" t="s">
        <v>1412</v>
      </c>
      <c r="B508" s="1">
        <v>45637</v>
      </c>
      <c r="C508" t="s">
        <v>1413</v>
      </c>
      <c r="D508" t="s">
        <v>1414</v>
      </c>
      <c r="E508">
        <v>19</v>
      </c>
      <c r="F508" t="str">
        <f>IF(Table1[[#This Row],[age]]&lt;=25,"18-25",IF(Table1[[#This Row],[age]]&lt;=35,"26-35",IF(Table1[[#This Row],[age]]&lt;=50,"36-50","51+")))</f>
        <v>18-25</v>
      </c>
      <c r="G508" t="s">
        <v>24</v>
      </c>
      <c r="H508" t="s">
        <v>80</v>
      </c>
      <c r="I508" t="s">
        <v>81</v>
      </c>
      <c r="J508" t="s">
        <v>115</v>
      </c>
      <c r="K508" t="s">
        <v>145</v>
      </c>
      <c r="L508">
        <v>10</v>
      </c>
      <c r="M508">
        <v>19562.84</v>
      </c>
      <c r="N508">
        <v>0.24</v>
      </c>
      <c r="O508">
        <v>159763.82</v>
      </c>
      <c r="P508">
        <v>22214.02</v>
      </c>
      <c r="Q508">
        <v>80.650000000000006</v>
      </c>
      <c r="R508" t="s">
        <v>43</v>
      </c>
      <c r="S508">
        <v>5</v>
      </c>
      <c r="T508" t="b">
        <v>0</v>
      </c>
      <c r="U508" t="s">
        <v>93</v>
      </c>
      <c r="V508">
        <v>10</v>
      </c>
    </row>
    <row r="509" spans="1:22" x14ac:dyDescent="0.25">
      <c r="A509" t="s">
        <v>1415</v>
      </c>
      <c r="B509" s="1">
        <v>45160</v>
      </c>
      <c r="C509" t="s">
        <v>1416</v>
      </c>
      <c r="D509" t="s">
        <v>1417</v>
      </c>
      <c r="E509">
        <v>37</v>
      </c>
      <c r="F509" t="str">
        <f>IF(Table1[[#This Row],[age]]&lt;=25,"18-25",IF(Table1[[#This Row],[age]]&lt;=35,"26-35",IF(Table1[[#This Row],[age]]&lt;=50,"36-50","51+")))</f>
        <v>36-50</v>
      </c>
      <c r="G509" t="s">
        <v>34</v>
      </c>
      <c r="H509" t="s">
        <v>55</v>
      </c>
      <c r="I509" t="s">
        <v>97</v>
      </c>
      <c r="J509" t="s">
        <v>106</v>
      </c>
      <c r="K509" t="s">
        <v>331</v>
      </c>
      <c r="L509">
        <v>9</v>
      </c>
      <c r="M509">
        <v>460.52</v>
      </c>
      <c r="N509">
        <v>0.37</v>
      </c>
      <c r="O509">
        <v>3659.71</v>
      </c>
      <c r="P509">
        <v>327.33999999999997</v>
      </c>
      <c r="Q509">
        <v>48.79</v>
      </c>
      <c r="R509" t="s">
        <v>43</v>
      </c>
      <c r="S509">
        <v>5</v>
      </c>
      <c r="T509" t="b">
        <v>0</v>
      </c>
      <c r="U509" t="s">
        <v>193</v>
      </c>
      <c r="V509">
        <v>7</v>
      </c>
    </row>
    <row r="510" spans="1:22" x14ac:dyDescent="0.25">
      <c r="A510" t="s">
        <v>1418</v>
      </c>
      <c r="B510" s="1">
        <v>45011</v>
      </c>
      <c r="C510" t="s">
        <v>1419</v>
      </c>
      <c r="D510" t="s">
        <v>1420</v>
      </c>
      <c r="E510">
        <v>52</v>
      </c>
      <c r="F510" t="str">
        <f>IF(Table1[[#This Row],[age]]&lt;=25,"18-25",IF(Table1[[#This Row],[age]]&lt;=35,"26-35",IF(Table1[[#This Row],[age]]&lt;=50,"36-50","51+")))</f>
        <v>51+</v>
      </c>
      <c r="G510" t="s">
        <v>34</v>
      </c>
      <c r="H510" t="s">
        <v>80</v>
      </c>
      <c r="I510" t="s">
        <v>86</v>
      </c>
      <c r="J510" t="s">
        <v>106</v>
      </c>
      <c r="K510" t="s">
        <v>107</v>
      </c>
      <c r="L510">
        <v>7</v>
      </c>
      <c r="M510">
        <v>448.17</v>
      </c>
      <c r="N510">
        <v>0.11</v>
      </c>
      <c r="O510">
        <v>3507.4</v>
      </c>
      <c r="P510">
        <v>212.91</v>
      </c>
      <c r="Q510">
        <v>34.25</v>
      </c>
      <c r="R510" t="s">
        <v>43</v>
      </c>
      <c r="S510">
        <v>5</v>
      </c>
      <c r="T510" t="b">
        <v>0</v>
      </c>
      <c r="U510" t="s">
        <v>30</v>
      </c>
      <c r="V510">
        <v>2</v>
      </c>
    </row>
    <row r="511" spans="1:22" x14ac:dyDescent="0.25">
      <c r="A511" t="s">
        <v>1421</v>
      </c>
      <c r="B511" s="1">
        <v>44837</v>
      </c>
      <c r="C511" t="s">
        <v>1422</v>
      </c>
      <c r="D511" t="s">
        <v>1423</v>
      </c>
      <c r="E511">
        <v>37</v>
      </c>
      <c r="F511" t="str">
        <f>IF(Table1[[#This Row],[age]]&lt;=25,"18-25",IF(Table1[[#This Row],[age]]&lt;=35,"26-35",IF(Table1[[#This Row],[age]]&lt;=50,"36-50","51+")))</f>
        <v>36-50</v>
      </c>
      <c r="G511" t="s">
        <v>34</v>
      </c>
      <c r="H511" t="s">
        <v>61</v>
      </c>
      <c r="I511" t="s">
        <v>163</v>
      </c>
      <c r="J511" t="s">
        <v>106</v>
      </c>
      <c r="K511" t="s">
        <v>718</v>
      </c>
      <c r="L511">
        <v>4</v>
      </c>
      <c r="M511">
        <v>385.4</v>
      </c>
      <c r="N511">
        <v>0.06</v>
      </c>
      <c r="O511">
        <v>1455</v>
      </c>
      <c r="P511">
        <v>86.48</v>
      </c>
      <c r="Q511">
        <v>49.02</v>
      </c>
      <c r="R511" t="s">
        <v>49</v>
      </c>
      <c r="S511">
        <v>5</v>
      </c>
      <c r="T511" t="b">
        <v>0</v>
      </c>
      <c r="U511" t="s">
        <v>30</v>
      </c>
      <c r="V511">
        <v>9</v>
      </c>
    </row>
    <row r="512" spans="1:22" x14ac:dyDescent="0.25">
      <c r="A512" t="s">
        <v>1424</v>
      </c>
      <c r="B512" s="1">
        <v>44084</v>
      </c>
      <c r="C512" t="s">
        <v>1425</v>
      </c>
      <c r="D512" t="s">
        <v>797</v>
      </c>
      <c r="E512">
        <v>49</v>
      </c>
      <c r="F512" t="str">
        <f>IF(Table1[[#This Row],[age]]&lt;=25,"18-25",IF(Table1[[#This Row],[age]]&lt;=35,"26-35",IF(Table1[[#This Row],[age]]&lt;=50,"36-50","51+")))</f>
        <v>36-50</v>
      </c>
      <c r="G512" t="s">
        <v>54</v>
      </c>
      <c r="H512" t="s">
        <v>25</v>
      </c>
      <c r="I512" t="s">
        <v>41</v>
      </c>
      <c r="J512" t="s">
        <v>36</v>
      </c>
      <c r="K512" t="s">
        <v>42</v>
      </c>
      <c r="L512">
        <v>9</v>
      </c>
      <c r="M512">
        <v>31653.11</v>
      </c>
      <c r="N512">
        <v>0.37</v>
      </c>
      <c r="O512">
        <v>185665.67</v>
      </c>
      <c r="P512">
        <v>62381.83</v>
      </c>
      <c r="Q512">
        <v>74.88</v>
      </c>
      <c r="R512" t="s">
        <v>29</v>
      </c>
      <c r="S512">
        <v>3</v>
      </c>
      <c r="T512" t="b">
        <v>0</v>
      </c>
      <c r="U512" t="s">
        <v>30</v>
      </c>
      <c r="V512">
        <v>2</v>
      </c>
    </row>
    <row r="513" spans="1:22" x14ac:dyDescent="0.25">
      <c r="A513" t="s">
        <v>1426</v>
      </c>
      <c r="B513" s="1">
        <v>44234</v>
      </c>
      <c r="C513" t="s">
        <v>1427</v>
      </c>
      <c r="D513" t="s">
        <v>618</v>
      </c>
      <c r="E513">
        <v>45</v>
      </c>
      <c r="F513" t="str">
        <f>IF(Table1[[#This Row],[age]]&lt;=25,"18-25",IF(Table1[[#This Row],[age]]&lt;=35,"26-35",IF(Table1[[#This Row],[age]]&lt;=50,"36-50","51+")))</f>
        <v>36-50</v>
      </c>
      <c r="G513" t="s">
        <v>54</v>
      </c>
      <c r="H513" t="s">
        <v>69</v>
      </c>
      <c r="I513" t="s">
        <v>221</v>
      </c>
      <c r="J513" t="s">
        <v>115</v>
      </c>
      <c r="K513" t="s">
        <v>545</v>
      </c>
      <c r="L513">
        <v>3</v>
      </c>
      <c r="M513">
        <v>72774.78</v>
      </c>
      <c r="N513">
        <v>0.13</v>
      </c>
      <c r="O513">
        <v>179559.91</v>
      </c>
      <c r="P513">
        <v>15904.32</v>
      </c>
      <c r="Q513">
        <v>90.91</v>
      </c>
      <c r="R513" t="s">
        <v>65</v>
      </c>
      <c r="S513">
        <v>5</v>
      </c>
      <c r="T513" t="b">
        <v>0</v>
      </c>
      <c r="U513" t="s">
        <v>30</v>
      </c>
      <c r="V513">
        <v>6</v>
      </c>
    </row>
    <row r="514" spans="1:22" x14ac:dyDescent="0.25">
      <c r="A514" t="s">
        <v>1428</v>
      </c>
      <c r="B514" s="1">
        <v>44815</v>
      </c>
      <c r="C514" t="s">
        <v>1429</v>
      </c>
      <c r="D514" t="s">
        <v>1430</v>
      </c>
      <c r="E514">
        <v>25</v>
      </c>
      <c r="F514" t="str">
        <f>IF(Table1[[#This Row],[age]]&lt;=25,"18-25",IF(Table1[[#This Row],[age]]&lt;=35,"26-35",IF(Table1[[#This Row],[age]]&lt;=50,"36-50","51+")))</f>
        <v>18-25</v>
      </c>
      <c r="G514" t="s">
        <v>24</v>
      </c>
      <c r="H514" t="s">
        <v>25</v>
      </c>
      <c r="I514" t="s">
        <v>41</v>
      </c>
      <c r="J514" t="s">
        <v>115</v>
      </c>
      <c r="K514" t="s">
        <v>145</v>
      </c>
      <c r="L514">
        <v>5</v>
      </c>
      <c r="M514">
        <v>48089.2</v>
      </c>
      <c r="N514">
        <v>0.19</v>
      </c>
      <c r="O514">
        <v>248755.47</v>
      </c>
      <c r="P514">
        <v>16926</v>
      </c>
      <c r="Q514">
        <v>96.45</v>
      </c>
      <c r="R514" t="s">
        <v>29</v>
      </c>
      <c r="S514">
        <v>4</v>
      </c>
      <c r="T514" t="b">
        <v>0</v>
      </c>
      <c r="U514" t="s">
        <v>30</v>
      </c>
      <c r="V514">
        <v>9</v>
      </c>
    </row>
    <row r="515" spans="1:22" x14ac:dyDescent="0.25">
      <c r="A515" t="s">
        <v>1431</v>
      </c>
      <c r="B515" s="1">
        <v>45633</v>
      </c>
      <c r="C515" t="s">
        <v>1432</v>
      </c>
      <c r="D515" t="s">
        <v>1433</v>
      </c>
      <c r="E515">
        <v>23</v>
      </c>
      <c r="F515" t="str">
        <f>IF(Table1[[#This Row],[age]]&lt;=25,"18-25",IF(Table1[[#This Row],[age]]&lt;=35,"26-35",IF(Table1[[#This Row],[age]]&lt;=50,"36-50","51+")))</f>
        <v>18-25</v>
      </c>
      <c r="G515" t="s">
        <v>34</v>
      </c>
      <c r="H515" t="s">
        <v>61</v>
      </c>
      <c r="I515" t="s">
        <v>91</v>
      </c>
      <c r="J515" t="s">
        <v>106</v>
      </c>
      <c r="K515" t="s">
        <v>718</v>
      </c>
      <c r="L515">
        <v>4</v>
      </c>
      <c r="M515">
        <v>471.4</v>
      </c>
      <c r="N515">
        <v>0.3</v>
      </c>
      <c r="O515">
        <v>1216.57</v>
      </c>
      <c r="P515">
        <v>70.680000000000007</v>
      </c>
      <c r="Q515">
        <v>52.55</v>
      </c>
      <c r="R515" t="s">
        <v>43</v>
      </c>
      <c r="S515">
        <v>4</v>
      </c>
      <c r="T515" t="b">
        <v>0</v>
      </c>
      <c r="U515" t="s">
        <v>30</v>
      </c>
      <c r="V515">
        <v>9</v>
      </c>
    </row>
    <row r="516" spans="1:22" x14ac:dyDescent="0.25">
      <c r="A516" t="s">
        <v>1434</v>
      </c>
      <c r="B516" s="1">
        <v>44387</v>
      </c>
      <c r="C516" t="s">
        <v>1435</v>
      </c>
      <c r="D516" t="s">
        <v>1436</v>
      </c>
      <c r="E516">
        <v>25</v>
      </c>
      <c r="F516" t="str">
        <f>IF(Table1[[#This Row],[age]]&lt;=25,"18-25",IF(Table1[[#This Row],[age]]&lt;=35,"26-35",IF(Table1[[#This Row],[age]]&lt;=50,"36-50","51+")))</f>
        <v>18-25</v>
      </c>
      <c r="G516" t="s">
        <v>34</v>
      </c>
      <c r="H516" t="s">
        <v>69</v>
      </c>
      <c r="I516" t="s">
        <v>70</v>
      </c>
      <c r="J516" t="s">
        <v>47</v>
      </c>
      <c r="K516" t="s">
        <v>204</v>
      </c>
      <c r="L516">
        <v>2</v>
      </c>
      <c r="M516">
        <v>986.99</v>
      </c>
      <c r="N516">
        <v>0.37</v>
      </c>
      <c r="O516">
        <v>1052.33</v>
      </c>
      <c r="P516">
        <v>405.51</v>
      </c>
      <c r="Q516">
        <v>79.62</v>
      </c>
      <c r="R516" t="s">
        <v>29</v>
      </c>
      <c r="S516">
        <v>2</v>
      </c>
      <c r="T516" t="b">
        <v>1</v>
      </c>
      <c r="U516" t="s">
        <v>50</v>
      </c>
      <c r="V516">
        <v>4</v>
      </c>
    </row>
    <row r="517" spans="1:22" x14ac:dyDescent="0.25">
      <c r="A517" t="s">
        <v>1437</v>
      </c>
      <c r="B517" s="1">
        <v>45080</v>
      </c>
      <c r="C517" t="s">
        <v>1438</v>
      </c>
      <c r="D517" t="s">
        <v>1439</v>
      </c>
      <c r="E517">
        <v>33</v>
      </c>
      <c r="F517" t="str">
        <f>IF(Table1[[#This Row],[age]]&lt;=25,"18-25",IF(Table1[[#This Row],[age]]&lt;=35,"26-35",IF(Table1[[#This Row],[age]]&lt;=50,"36-50","51+")))</f>
        <v>26-35</v>
      </c>
      <c r="G517" t="s">
        <v>54</v>
      </c>
      <c r="H517" t="s">
        <v>25</v>
      </c>
      <c r="I517" t="s">
        <v>298</v>
      </c>
      <c r="J517" t="s">
        <v>47</v>
      </c>
      <c r="K517" t="s">
        <v>272</v>
      </c>
      <c r="L517">
        <v>1</v>
      </c>
      <c r="M517">
        <v>1090.31</v>
      </c>
      <c r="N517">
        <v>0.26</v>
      </c>
      <c r="O517">
        <v>1249.54</v>
      </c>
      <c r="P517">
        <v>613.99</v>
      </c>
      <c r="Q517">
        <v>61.28</v>
      </c>
      <c r="R517" t="s">
        <v>92</v>
      </c>
      <c r="S517">
        <v>3</v>
      </c>
      <c r="T517" t="b">
        <v>0</v>
      </c>
      <c r="U517" t="s">
        <v>30</v>
      </c>
      <c r="V517">
        <v>9</v>
      </c>
    </row>
    <row r="518" spans="1:22" x14ac:dyDescent="0.25">
      <c r="A518" t="s">
        <v>1440</v>
      </c>
      <c r="B518" s="1">
        <v>44065</v>
      </c>
      <c r="C518" t="s">
        <v>1441</v>
      </c>
      <c r="D518" t="s">
        <v>1442</v>
      </c>
      <c r="E518">
        <v>27</v>
      </c>
      <c r="F518" t="str">
        <f>IF(Table1[[#This Row],[age]]&lt;=25,"18-25",IF(Table1[[#This Row],[age]]&lt;=35,"26-35",IF(Table1[[#This Row],[age]]&lt;=50,"36-50","51+")))</f>
        <v>26-35</v>
      </c>
      <c r="G518" t="s">
        <v>54</v>
      </c>
      <c r="H518" t="s">
        <v>80</v>
      </c>
      <c r="I518" t="s">
        <v>242</v>
      </c>
      <c r="J518" t="s">
        <v>101</v>
      </c>
      <c r="K518" t="s">
        <v>102</v>
      </c>
      <c r="L518">
        <v>7</v>
      </c>
      <c r="M518">
        <v>9110.75</v>
      </c>
      <c r="N518">
        <v>0.25</v>
      </c>
      <c r="O518">
        <v>47812.7</v>
      </c>
      <c r="P518">
        <v>10019.9</v>
      </c>
      <c r="Q518">
        <v>90.53</v>
      </c>
      <c r="R518" t="s">
        <v>57</v>
      </c>
      <c r="S518">
        <v>2</v>
      </c>
      <c r="T518" t="b">
        <v>0</v>
      </c>
      <c r="U518" t="s">
        <v>30</v>
      </c>
      <c r="V518">
        <v>7</v>
      </c>
    </row>
    <row r="519" spans="1:22" x14ac:dyDescent="0.25">
      <c r="A519" t="s">
        <v>1443</v>
      </c>
      <c r="B519" s="1">
        <v>44471</v>
      </c>
      <c r="C519" t="s">
        <v>1444</v>
      </c>
      <c r="D519" t="s">
        <v>1445</v>
      </c>
      <c r="E519">
        <v>37</v>
      </c>
      <c r="F519" t="str">
        <f>IF(Table1[[#This Row],[age]]&lt;=25,"18-25",IF(Table1[[#This Row],[age]]&lt;=35,"26-35",IF(Table1[[#This Row],[age]]&lt;=50,"36-50","51+")))</f>
        <v>36-50</v>
      </c>
      <c r="G519" t="s">
        <v>34</v>
      </c>
      <c r="H519" t="s">
        <v>61</v>
      </c>
      <c r="I519" t="s">
        <v>62</v>
      </c>
      <c r="J519" t="s">
        <v>101</v>
      </c>
      <c r="K519" t="s">
        <v>124</v>
      </c>
      <c r="L519">
        <v>10</v>
      </c>
      <c r="M519">
        <v>12010.26</v>
      </c>
      <c r="N519">
        <v>0.36</v>
      </c>
      <c r="O519">
        <v>68019.81</v>
      </c>
      <c r="P519">
        <v>13038.75</v>
      </c>
      <c r="Q519">
        <v>77.19</v>
      </c>
      <c r="R519" t="s">
        <v>65</v>
      </c>
      <c r="S519">
        <v>1</v>
      </c>
      <c r="T519" t="b">
        <v>0</v>
      </c>
      <c r="U519" t="s">
        <v>30</v>
      </c>
      <c r="V519">
        <v>10</v>
      </c>
    </row>
    <row r="520" spans="1:22" x14ac:dyDescent="0.25">
      <c r="A520" t="s">
        <v>1446</v>
      </c>
      <c r="B520" s="1">
        <v>44232</v>
      </c>
      <c r="C520" t="s">
        <v>1447</v>
      </c>
      <c r="D520" t="s">
        <v>1445</v>
      </c>
      <c r="E520">
        <v>47</v>
      </c>
      <c r="F520" t="str">
        <f>IF(Table1[[#This Row],[age]]&lt;=25,"18-25",IF(Table1[[#This Row],[age]]&lt;=35,"26-35",IF(Table1[[#This Row],[age]]&lt;=50,"36-50","51+")))</f>
        <v>36-50</v>
      </c>
      <c r="G520" t="s">
        <v>24</v>
      </c>
      <c r="H520" t="s">
        <v>69</v>
      </c>
      <c r="I520" t="s">
        <v>70</v>
      </c>
      <c r="J520" t="s">
        <v>47</v>
      </c>
      <c r="K520" t="s">
        <v>48</v>
      </c>
      <c r="L520">
        <v>10</v>
      </c>
      <c r="M520">
        <v>1043.44</v>
      </c>
      <c r="N520">
        <v>0.34</v>
      </c>
      <c r="O520">
        <v>5862.96</v>
      </c>
      <c r="P520">
        <v>2186.1999999999998</v>
      </c>
      <c r="Q520">
        <v>79.989999999999995</v>
      </c>
      <c r="R520" t="s">
        <v>29</v>
      </c>
      <c r="S520">
        <v>2</v>
      </c>
      <c r="T520" t="b">
        <v>0</v>
      </c>
      <c r="U520" t="s">
        <v>30</v>
      </c>
      <c r="V520">
        <v>6</v>
      </c>
    </row>
    <row r="521" spans="1:22" x14ac:dyDescent="0.25">
      <c r="A521" t="s">
        <v>1448</v>
      </c>
      <c r="B521" s="1">
        <v>44356</v>
      </c>
      <c r="C521" t="s">
        <v>1449</v>
      </c>
      <c r="D521" t="s">
        <v>275</v>
      </c>
      <c r="E521">
        <v>33</v>
      </c>
      <c r="F521" t="str">
        <f>IF(Table1[[#This Row],[age]]&lt;=25,"18-25",IF(Table1[[#This Row],[age]]&lt;=35,"26-35",IF(Table1[[#This Row],[age]]&lt;=50,"36-50","51+")))</f>
        <v>26-35</v>
      </c>
      <c r="G521" t="s">
        <v>54</v>
      </c>
      <c r="H521" t="s">
        <v>80</v>
      </c>
      <c r="I521" t="s">
        <v>86</v>
      </c>
      <c r="J521" t="s">
        <v>36</v>
      </c>
      <c r="K521" t="s">
        <v>132</v>
      </c>
      <c r="L521">
        <v>3</v>
      </c>
      <c r="M521">
        <v>33795.769999999997</v>
      </c>
      <c r="N521">
        <v>0.35</v>
      </c>
      <c r="O521">
        <v>90617.58</v>
      </c>
      <c r="P521">
        <v>32809.370000000003</v>
      </c>
      <c r="Q521">
        <v>71.569999999999993</v>
      </c>
      <c r="R521" t="s">
        <v>65</v>
      </c>
      <c r="S521">
        <v>5</v>
      </c>
      <c r="T521" t="b">
        <v>0</v>
      </c>
      <c r="U521" t="s">
        <v>30</v>
      </c>
      <c r="V521">
        <v>9</v>
      </c>
    </row>
    <row r="522" spans="1:22" x14ac:dyDescent="0.25">
      <c r="A522" t="s">
        <v>1450</v>
      </c>
      <c r="B522" s="1">
        <v>45410</v>
      </c>
      <c r="C522" t="s">
        <v>1451</v>
      </c>
      <c r="D522" t="s">
        <v>797</v>
      </c>
      <c r="E522">
        <v>35</v>
      </c>
      <c r="F522" t="str">
        <f>IF(Table1[[#This Row],[age]]&lt;=25,"18-25",IF(Table1[[#This Row],[age]]&lt;=35,"26-35",IF(Table1[[#This Row],[age]]&lt;=50,"36-50","51+")))</f>
        <v>26-35</v>
      </c>
      <c r="G522" t="s">
        <v>34</v>
      </c>
      <c r="H522" t="s">
        <v>55</v>
      </c>
      <c r="I522" t="s">
        <v>75</v>
      </c>
      <c r="J522" t="s">
        <v>47</v>
      </c>
      <c r="K522" t="s">
        <v>48</v>
      </c>
      <c r="L522">
        <v>9</v>
      </c>
      <c r="M522">
        <v>499.65</v>
      </c>
      <c r="N522">
        <v>0.02</v>
      </c>
      <c r="O522">
        <v>7343.37</v>
      </c>
      <c r="P522">
        <v>2521.34</v>
      </c>
      <c r="Q522">
        <v>39.04</v>
      </c>
      <c r="R522" t="s">
        <v>57</v>
      </c>
      <c r="S522">
        <v>2</v>
      </c>
      <c r="T522" t="b">
        <v>0</v>
      </c>
      <c r="U522" t="s">
        <v>30</v>
      </c>
      <c r="V522">
        <v>2</v>
      </c>
    </row>
    <row r="523" spans="1:22" x14ac:dyDescent="0.25">
      <c r="A523" t="s">
        <v>1452</v>
      </c>
      <c r="B523" s="1">
        <v>45116</v>
      </c>
      <c r="C523" t="s">
        <v>1453</v>
      </c>
      <c r="D523" t="s">
        <v>862</v>
      </c>
      <c r="E523">
        <v>35</v>
      </c>
      <c r="F523" t="str">
        <f>IF(Table1[[#This Row],[age]]&lt;=25,"18-25",IF(Table1[[#This Row],[age]]&lt;=35,"26-35",IF(Table1[[#This Row],[age]]&lt;=50,"36-50","51+")))</f>
        <v>26-35</v>
      </c>
      <c r="G523" t="s">
        <v>54</v>
      </c>
      <c r="H523" t="s">
        <v>80</v>
      </c>
      <c r="I523" t="s">
        <v>81</v>
      </c>
      <c r="J523" t="s">
        <v>47</v>
      </c>
      <c r="K523" t="s">
        <v>48</v>
      </c>
      <c r="L523">
        <v>7</v>
      </c>
      <c r="M523">
        <v>900.55</v>
      </c>
      <c r="N523">
        <v>0.37</v>
      </c>
      <c r="O523">
        <v>6552.28</v>
      </c>
      <c r="P523">
        <v>1538.11</v>
      </c>
      <c r="Q523">
        <v>67.3</v>
      </c>
      <c r="R523" t="s">
        <v>92</v>
      </c>
      <c r="S523">
        <v>5</v>
      </c>
      <c r="T523" t="b">
        <v>0</v>
      </c>
      <c r="U523" t="s">
        <v>30</v>
      </c>
      <c r="V523">
        <v>3</v>
      </c>
    </row>
    <row r="524" spans="1:22" x14ac:dyDescent="0.25">
      <c r="A524" t="s">
        <v>1454</v>
      </c>
      <c r="B524" s="1">
        <v>44333</v>
      </c>
      <c r="C524" t="s">
        <v>1455</v>
      </c>
      <c r="D524" t="s">
        <v>1456</v>
      </c>
      <c r="E524">
        <v>34</v>
      </c>
      <c r="F524" t="str">
        <f>IF(Table1[[#This Row],[age]]&lt;=25,"18-25",IF(Table1[[#This Row],[age]]&lt;=35,"26-35",IF(Table1[[#This Row],[age]]&lt;=50,"36-50","51+")))</f>
        <v>26-35</v>
      </c>
      <c r="G524" t="s">
        <v>54</v>
      </c>
      <c r="H524" t="s">
        <v>61</v>
      </c>
      <c r="I524" t="s">
        <v>91</v>
      </c>
      <c r="J524" t="s">
        <v>115</v>
      </c>
      <c r="K524" t="s">
        <v>145</v>
      </c>
      <c r="L524">
        <v>7</v>
      </c>
      <c r="M524">
        <v>46170.239999999998</v>
      </c>
      <c r="N524">
        <v>0.37</v>
      </c>
      <c r="O524">
        <v>258421.55</v>
      </c>
      <c r="P524">
        <v>33391.1</v>
      </c>
      <c r="Q524">
        <v>40.35</v>
      </c>
      <c r="R524" t="s">
        <v>92</v>
      </c>
      <c r="S524">
        <v>5</v>
      </c>
      <c r="T524" t="b">
        <v>0</v>
      </c>
      <c r="U524" t="s">
        <v>30</v>
      </c>
      <c r="V524">
        <v>2</v>
      </c>
    </row>
    <row r="525" spans="1:22" x14ac:dyDescent="0.25">
      <c r="A525" t="s">
        <v>1457</v>
      </c>
      <c r="B525" s="1">
        <v>45483</v>
      </c>
      <c r="C525" t="s">
        <v>1458</v>
      </c>
      <c r="D525" t="s">
        <v>271</v>
      </c>
      <c r="E525">
        <v>27</v>
      </c>
      <c r="F525" t="str">
        <f>IF(Table1[[#This Row],[age]]&lt;=25,"18-25",IF(Table1[[#This Row],[age]]&lt;=35,"26-35",IF(Table1[[#This Row],[age]]&lt;=50,"36-50","51+")))</f>
        <v>26-35</v>
      </c>
      <c r="G525" t="s">
        <v>54</v>
      </c>
      <c r="H525" t="s">
        <v>80</v>
      </c>
      <c r="I525" t="s">
        <v>236</v>
      </c>
      <c r="J525" t="s">
        <v>101</v>
      </c>
      <c r="K525" t="s">
        <v>456</v>
      </c>
      <c r="L525">
        <v>10</v>
      </c>
      <c r="M525">
        <v>9793.2999999999993</v>
      </c>
      <c r="N525">
        <v>0.26</v>
      </c>
      <c r="O525">
        <v>101289.99</v>
      </c>
      <c r="P525">
        <v>21064.94</v>
      </c>
      <c r="Q525">
        <v>62.81</v>
      </c>
      <c r="R525" t="s">
        <v>49</v>
      </c>
      <c r="S525">
        <v>2</v>
      </c>
      <c r="T525" t="b">
        <v>0</v>
      </c>
      <c r="U525" t="s">
        <v>30</v>
      </c>
      <c r="V525">
        <v>9</v>
      </c>
    </row>
    <row r="526" spans="1:22" x14ac:dyDescent="0.25">
      <c r="A526" t="s">
        <v>1459</v>
      </c>
      <c r="B526" s="1">
        <v>45377</v>
      </c>
      <c r="C526" t="s">
        <v>1460</v>
      </c>
      <c r="D526" t="s">
        <v>1351</v>
      </c>
      <c r="E526">
        <v>48</v>
      </c>
      <c r="F526" t="str">
        <f>IF(Table1[[#This Row],[age]]&lt;=25,"18-25",IF(Table1[[#This Row],[age]]&lt;=35,"26-35",IF(Table1[[#This Row],[age]]&lt;=50,"36-50","51+")))</f>
        <v>36-50</v>
      </c>
      <c r="G526" t="s">
        <v>54</v>
      </c>
      <c r="H526" t="s">
        <v>55</v>
      </c>
      <c r="I526" t="s">
        <v>97</v>
      </c>
      <c r="J526" t="s">
        <v>101</v>
      </c>
      <c r="K526" t="s">
        <v>318</v>
      </c>
      <c r="L526">
        <v>4</v>
      </c>
      <c r="M526">
        <v>1266.6400000000001</v>
      </c>
      <c r="N526">
        <v>0.09</v>
      </c>
      <c r="O526">
        <v>6923.51</v>
      </c>
      <c r="P526">
        <v>754.21</v>
      </c>
      <c r="Q526">
        <v>67.58</v>
      </c>
      <c r="R526" t="s">
        <v>92</v>
      </c>
      <c r="S526">
        <v>3</v>
      </c>
      <c r="T526" t="b">
        <v>0</v>
      </c>
      <c r="U526" t="s">
        <v>30</v>
      </c>
      <c r="V526">
        <v>3</v>
      </c>
    </row>
    <row r="527" spans="1:22" x14ac:dyDescent="0.25">
      <c r="A527" t="s">
        <v>1461</v>
      </c>
      <c r="B527" s="1">
        <v>44694</v>
      </c>
      <c r="C527" t="s">
        <v>1462</v>
      </c>
      <c r="D527" t="s">
        <v>85</v>
      </c>
      <c r="E527">
        <v>44</v>
      </c>
      <c r="F527" t="str">
        <f>IF(Table1[[#This Row],[age]]&lt;=25,"18-25",IF(Table1[[#This Row],[age]]&lt;=35,"26-35",IF(Table1[[#This Row],[age]]&lt;=50,"36-50","51+")))</f>
        <v>36-50</v>
      </c>
      <c r="G527" t="s">
        <v>24</v>
      </c>
      <c r="H527" t="s">
        <v>69</v>
      </c>
      <c r="I527" t="s">
        <v>70</v>
      </c>
      <c r="J527" t="s">
        <v>106</v>
      </c>
      <c r="K527" t="s">
        <v>107</v>
      </c>
      <c r="L527">
        <v>3</v>
      </c>
      <c r="M527">
        <v>284.88</v>
      </c>
      <c r="N527">
        <v>0.26</v>
      </c>
      <c r="O527">
        <v>817.39</v>
      </c>
      <c r="P527">
        <v>50.93</v>
      </c>
      <c r="Q527">
        <v>105.48</v>
      </c>
      <c r="R527" t="s">
        <v>65</v>
      </c>
      <c r="S527">
        <v>3</v>
      </c>
      <c r="T527" t="b">
        <v>1</v>
      </c>
      <c r="U527" t="s">
        <v>50</v>
      </c>
      <c r="V527">
        <v>10</v>
      </c>
    </row>
    <row r="528" spans="1:22" x14ac:dyDescent="0.25">
      <c r="A528" t="s">
        <v>1463</v>
      </c>
      <c r="B528" s="1">
        <v>45550</v>
      </c>
      <c r="C528" t="s">
        <v>1464</v>
      </c>
      <c r="D528" t="s">
        <v>1281</v>
      </c>
      <c r="E528">
        <v>39</v>
      </c>
      <c r="F528" t="str">
        <f>IF(Table1[[#This Row],[age]]&lt;=25,"18-25",IF(Table1[[#This Row],[age]]&lt;=35,"26-35",IF(Table1[[#This Row],[age]]&lt;=50,"36-50","51+")))</f>
        <v>36-50</v>
      </c>
      <c r="G528" t="s">
        <v>24</v>
      </c>
      <c r="H528" t="s">
        <v>80</v>
      </c>
      <c r="I528" t="s">
        <v>81</v>
      </c>
      <c r="J528" t="s">
        <v>101</v>
      </c>
      <c r="K528" t="s">
        <v>318</v>
      </c>
      <c r="L528">
        <v>2</v>
      </c>
      <c r="M528">
        <v>10400.51</v>
      </c>
      <c r="N528">
        <v>0.39</v>
      </c>
      <c r="O528">
        <v>16571.32</v>
      </c>
      <c r="P528">
        <v>3945.31</v>
      </c>
      <c r="Q528">
        <v>79.88</v>
      </c>
      <c r="R528" t="s">
        <v>43</v>
      </c>
      <c r="S528">
        <v>2</v>
      </c>
      <c r="T528" t="b">
        <v>0</v>
      </c>
      <c r="U528" t="s">
        <v>30</v>
      </c>
      <c r="V528">
        <v>5</v>
      </c>
    </row>
    <row r="529" spans="1:22" x14ac:dyDescent="0.25">
      <c r="A529" t="s">
        <v>1465</v>
      </c>
      <c r="B529" s="1">
        <v>44183</v>
      </c>
      <c r="C529" t="s">
        <v>1466</v>
      </c>
      <c r="D529" t="s">
        <v>1442</v>
      </c>
      <c r="E529">
        <v>38</v>
      </c>
      <c r="F529" t="str">
        <f>IF(Table1[[#This Row],[age]]&lt;=25,"18-25",IF(Table1[[#This Row],[age]]&lt;=35,"26-35",IF(Table1[[#This Row],[age]]&lt;=50,"36-50","51+")))</f>
        <v>36-50</v>
      </c>
      <c r="G529" t="s">
        <v>54</v>
      </c>
      <c r="H529" t="s">
        <v>61</v>
      </c>
      <c r="I529" t="s">
        <v>141</v>
      </c>
      <c r="J529" t="s">
        <v>101</v>
      </c>
      <c r="K529" t="s">
        <v>456</v>
      </c>
      <c r="L529">
        <v>3</v>
      </c>
      <c r="M529">
        <v>3464.74</v>
      </c>
      <c r="N529">
        <v>0.22</v>
      </c>
      <c r="O529">
        <v>5170.4799999999996</v>
      </c>
      <c r="P529">
        <v>757.08</v>
      </c>
      <c r="Q529">
        <v>50.42</v>
      </c>
      <c r="R529" t="s">
        <v>92</v>
      </c>
      <c r="S529">
        <v>3</v>
      </c>
      <c r="T529" t="b">
        <v>0</v>
      </c>
      <c r="U529" t="s">
        <v>30</v>
      </c>
      <c r="V529">
        <v>7</v>
      </c>
    </row>
    <row r="530" spans="1:22" x14ac:dyDescent="0.25">
      <c r="A530" t="s">
        <v>1467</v>
      </c>
      <c r="B530" s="1">
        <v>44751</v>
      </c>
      <c r="C530" t="s">
        <v>1468</v>
      </c>
      <c r="D530" t="s">
        <v>1059</v>
      </c>
      <c r="E530">
        <v>44</v>
      </c>
      <c r="F530" t="str">
        <f>IF(Table1[[#This Row],[age]]&lt;=25,"18-25",IF(Table1[[#This Row],[age]]&lt;=35,"26-35",IF(Table1[[#This Row],[age]]&lt;=50,"36-50","51+")))</f>
        <v>36-50</v>
      </c>
      <c r="G530" t="s">
        <v>54</v>
      </c>
      <c r="H530" t="s">
        <v>80</v>
      </c>
      <c r="I530" t="s">
        <v>86</v>
      </c>
      <c r="J530" t="s">
        <v>115</v>
      </c>
      <c r="K530" t="s">
        <v>398</v>
      </c>
      <c r="L530">
        <v>4</v>
      </c>
      <c r="M530">
        <v>6126.05</v>
      </c>
      <c r="N530">
        <v>0.17</v>
      </c>
      <c r="O530">
        <v>32461.48</v>
      </c>
      <c r="P530">
        <v>3172.94</v>
      </c>
      <c r="Q530">
        <v>65.78</v>
      </c>
      <c r="R530" t="s">
        <v>43</v>
      </c>
      <c r="S530">
        <v>4</v>
      </c>
      <c r="T530" t="b">
        <v>0</v>
      </c>
      <c r="U530" t="s">
        <v>30</v>
      </c>
      <c r="V530">
        <v>10</v>
      </c>
    </row>
    <row r="531" spans="1:22" x14ac:dyDescent="0.25">
      <c r="A531" t="s">
        <v>1469</v>
      </c>
      <c r="B531" s="1">
        <v>44519</v>
      </c>
      <c r="C531" t="s">
        <v>1470</v>
      </c>
      <c r="D531" t="s">
        <v>580</v>
      </c>
      <c r="E531">
        <v>44</v>
      </c>
      <c r="F531" t="str">
        <f>IF(Table1[[#This Row],[age]]&lt;=25,"18-25",IF(Table1[[#This Row],[age]]&lt;=35,"26-35",IF(Table1[[#This Row],[age]]&lt;=50,"36-50","51+")))</f>
        <v>36-50</v>
      </c>
      <c r="G531" t="s">
        <v>24</v>
      </c>
      <c r="H531" t="s">
        <v>61</v>
      </c>
      <c r="I531" t="s">
        <v>62</v>
      </c>
      <c r="J531" t="s">
        <v>115</v>
      </c>
      <c r="K531" t="s">
        <v>116</v>
      </c>
      <c r="L531">
        <v>7</v>
      </c>
      <c r="M531">
        <v>37336.980000000003</v>
      </c>
      <c r="N531">
        <v>0.14000000000000001</v>
      </c>
      <c r="O531">
        <v>165469.13</v>
      </c>
      <c r="P531">
        <v>22951.1</v>
      </c>
      <c r="Q531">
        <v>40.450000000000003</v>
      </c>
      <c r="R531" t="s">
        <v>43</v>
      </c>
      <c r="S531">
        <v>2</v>
      </c>
      <c r="T531" t="b">
        <v>0</v>
      </c>
      <c r="U531" t="s">
        <v>30</v>
      </c>
      <c r="V531">
        <v>2</v>
      </c>
    </row>
    <row r="532" spans="1:22" x14ac:dyDescent="0.25">
      <c r="A532" t="s">
        <v>1471</v>
      </c>
      <c r="B532" s="1">
        <v>44434</v>
      </c>
      <c r="C532" t="s">
        <v>1472</v>
      </c>
      <c r="D532" t="s">
        <v>1473</v>
      </c>
      <c r="E532">
        <v>18</v>
      </c>
      <c r="F532" t="str">
        <f>IF(Table1[[#This Row],[age]]&lt;=25,"18-25",IF(Table1[[#This Row],[age]]&lt;=35,"26-35",IF(Table1[[#This Row],[age]]&lt;=50,"36-50","51+")))</f>
        <v>18-25</v>
      </c>
      <c r="G532" t="s">
        <v>34</v>
      </c>
      <c r="H532" t="s">
        <v>61</v>
      </c>
      <c r="I532" t="s">
        <v>163</v>
      </c>
      <c r="J532" t="s">
        <v>106</v>
      </c>
      <c r="K532" t="s">
        <v>107</v>
      </c>
      <c r="L532">
        <v>7</v>
      </c>
      <c r="M532">
        <v>438.39</v>
      </c>
      <c r="N532">
        <v>0.11</v>
      </c>
      <c r="O532">
        <v>3296.41</v>
      </c>
      <c r="P532">
        <v>234.24</v>
      </c>
      <c r="Q532">
        <v>28.61</v>
      </c>
      <c r="R532" t="s">
        <v>57</v>
      </c>
      <c r="S532">
        <v>4</v>
      </c>
      <c r="T532" t="b">
        <v>0</v>
      </c>
      <c r="U532" t="s">
        <v>93</v>
      </c>
      <c r="V532">
        <v>3</v>
      </c>
    </row>
    <row r="533" spans="1:22" x14ac:dyDescent="0.25">
      <c r="A533" t="s">
        <v>1474</v>
      </c>
      <c r="B533" s="1">
        <v>44159</v>
      </c>
      <c r="C533" t="s">
        <v>1475</v>
      </c>
      <c r="D533" t="s">
        <v>516</v>
      </c>
      <c r="E533">
        <v>32</v>
      </c>
      <c r="F533" t="str">
        <f>IF(Table1[[#This Row],[age]]&lt;=25,"18-25",IF(Table1[[#This Row],[age]]&lt;=35,"26-35",IF(Table1[[#This Row],[age]]&lt;=50,"36-50","51+")))</f>
        <v>26-35</v>
      </c>
      <c r="G533" t="s">
        <v>54</v>
      </c>
      <c r="H533" t="s">
        <v>25</v>
      </c>
      <c r="I533" t="s">
        <v>41</v>
      </c>
      <c r="J533" t="s">
        <v>106</v>
      </c>
      <c r="K533" t="s">
        <v>718</v>
      </c>
      <c r="L533">
        <v>6</v>
      </c>
      <c r="M533">
        <v>79.33</v>
      </c>
      <c r="N533">
        <v>0.21</v>
      </c>
      <c r="O533">
        <v>270.5</v>
      </c>
      <c r="P533">
        <v>23.07</v>
      </c>
      <c r="Q533">
        <v>33.119999999999997</v>
      </c>
      <c r="R533" t="s">
        <v>92</v>
      </c>
      <c r="S533">
        <v>1</v>
      </c>
      <c r="T533" t="b">
        <v>0</v>
      </c>
      <c r="U533" t="s">
        <v>30</v>
      </c>
      <c r="V533">
        <v>2</v>
      </c>
    </row>
    <row r="534" spans="1:22" x14ac:dyDescent="0.25">
      <c r="A534" t="s">
        <v>1476</v>
      </c>
      <c r="B534" s="1">
        <v>44166</v>
      </c>
      <c r="C534" t="s">
        <v>1477</v>
      </c>
      <c r="D534" t="s">
        <v>1478</v>
      </c>
      <c r="E534">
        <v>38</v>
      </c>
      <c r="F534" t="str">
        <f>IF(Table1[[#This Row],[age]]&lt;=25,"18-25",IF(Table1[[#This Row],[age]]&lt;=35,"26-35",IF(Table1[[#This Row],[age]]&lt;=50,"36-50","51+")))</f>
        <v>36-50</v>
      </c>
      <c r="G534" t="s">
        <v>34</v>
      </c>
      <c r="H534" t="s">
        <v>61</v>
      </c>
      <c r="I534" t="s">
        <v>163</v>
      </c>
      <c r="J534" t="s">
        <v>36</v>
      </c>
      <c r="K534" t="s">
        <v>42</v>
      </c>
      <c r="L534">
        <v>10</v>
      </c>
      <c r="M534">
        <v>19507.14</v>
      </c>
      <c r="N534">
        <v>0.23</v>
      </c>
      <c r="O534">
        <v>102410.73</v>
      </c>
      <c r="P534">
        <v>29631.5</v>
      </c>
      <c r="Q534">
        <v>47.48</v>
      </c>
      <c r="R534" t="s">
        <v>29</v>
      </c>
      <c r="S534">
        <v>2</v>
      </c>
      <c r="T534" t="b">
        <v>1</v>
      </c>
      <c r="U534" t="s">
        <v>50</v>
      </c>
      <c r="V534">
        <v>2</v>
      </c>
    </row>
    <row r="535" spans="1:22" x14ac:dyDescent="0.25">
      <c r="A535" t="s">
        <v>1479</v>
      </c>
      <c r="B535" s="1">
        <v>44303</v>
      </c>
      <c r="C535" t="s">
        <v>1480</v>
      </c>
      <c r="D535" t="s">
        <v>871</v>
      </c>
      <c r="E535">
        <v>26</v>
      </c>
      <c r="F535" t="str">
        <f>IF(Table1[[#This Row],[age]]&lt;=25,"18-25",IF(Table1[[#This Row],[age]]&lt;=35,"26-35",IF(Table1[[#This Row],[age]]&lt;=50,"36-50","51+")))</f>
        <v>26-35</v>
      </c>
      <c r="G535" t="s">
        <v>34</v>
      </c>
      <c r="H535" t="s">
        <v>80</v>
      </c>
      <c r="I535" t="s">
        <v>236</v>
      </c>
      <c r="J535" t="s">
        <v>106</v>
      </c>
      <c r="K535" t="s">
        <v>718</v>
      </c>
      <c r="L535">
        <v>7</v>
      </c>
      <c r="M535">
        <v>481.39</v>
      </c>
      <c r="N535">
        <v>0.2</v>
      </c>
      <c r="O535">
        <v>3271.29</v>
      </c>
      <c r="P535">
        <v>361.25</v>
      </c>
      <c r="Q535">
        <v>82.25</v>
      </c>
      <c r="R535" t="s">
        <v>92</v>
      </c>
      <c r="S535">
        <v>1</v>
      </c>
      <c r="T535" t="b">
        <v>0</v>
      </c>
      <c r="U535" t="s">
        <v>30</v>
      </c>
      <c r="V535">
        <v>7</v>
      </c>
    </row>
    <row r="536" spans="1:22" x14ac:dyDescent="0.25">
      <c r="A536" t="s">
        <v>1481</v>
      </c>
      <c r="B536" s="1">
        <v>45240</v>
      </c>
      <c r="C536" t="s">
        <v>1482</v>
      </c>
      <c r="D536" t="s">
        <v>1483</v>
      </c>
      <c r="E536">
        <v>23</v>
      </c>
      <c r="F536" t="str">
        <f>IF(Table1[[#This Row],[age]]&lt;=25,"18-25",IF(Table1[[#This Row],[age]]&lt;=35,"26-35",IF(Table1[[#This Row],[age]]&lt;=50,"36-50","51+")))</f>
        <v>18-25</v>
      </c>
      <c r="G536" t="s">
        <v>34</v>
      </c>
      <c r="H536" t="s">
        <v>61</v>
      </c>
      <c r="I536" t="s">
        <v>141</v>
      </c>
      <c r="J536" t="s">
        <v>36</v>
      </c>
      <c r="K536" t="s">
        <v>76</v>
      </c>
      <c r="L536">
        <v>7</v>
      </c>
      <c r="M536">
        <v>31424.240000000002</v>
      </c>
      <c r="N536">
        <v>0.31</v>
      </c>
      <c r="O536">
        <v>128843.9</v>
      </c>
      <c r="P536">
        <v>46085.23</v>
      </c>
      <c r="Q536">
        <v>53.66</v>
      </c>
      <c r="R536" t="s">
        <v>29</v>
      </c>
      <c r="S536">
        <v>5</v>
      </c>
      <c r="T536" t="b">
        <v>0</v>
      </c>
      <c r="U536" t="s">
        <v>30</v>
      </c>
      <c r="V536">
        <v>8</v>
      </c>
    </row>
    <row r="537" spans="1:22" x14ac:dyDescent="0.25">
      <c r="A537" t="s">
        <v>1484</v>
      </c>
      <c r="B537" s="1">
        <v>44335</v>
      </c>
      <c r="C537" t="s">
        <v>1485</v>
      </c>
      <c r="D537" t="s">
        <v>235</v>
      </c>
      <c r="E537">
        <v>30</v>
      </c>
      <c r="F537" t="str">
        <f>IF(Table1[[#This Row],[age]]&lt;=25,"18-25",IF(Table1[[#This Row],[age]]&lt;=35,"26-35",IF(Table1[[#This Row],[age]]&lt;=50,"36-50","51+")))</f>
        <v>26-35</v>
      </c>
      <c r="G537" t="s">
        <v>24</v>
      </c>
      <c r="H537" t="s">
        <v>55</v>
      </c>
      <c r="I537" t="s">
        <v>56</v>
      </c>
      <c r="J537" t="s">
        <v>36</v>
      </c>
      <c r="K537" t="s">
        <v>76</v>
      </c>
      <c r="L537">
        <v>4</v>
      </c>
      <c r="M537">
        <v>3717.76</v>
      </c>
      <c r="N537">
        <v>0.18</v>
      </c>
      <c r="O537">
        <v>16660.91</v>
      </c>
      <c r="P537">
        <v>4463.8999999999996</v>
      </c>
      <c r="Q537">
        <v>8.31</v>
      </c>
      <c r="R537" t="s">
        <v>43</v>
      </c>
      <c r="S537">
        <v>2</v>
      </c>
      <c r="T537" t="b">
        <v>0</v>
      </c>
      <c r="U537" t="s">
        <v>71</v>
      </c>
      <c r="V537">
        <v>9</v>
      </c>
    </row>
    <row r="538" spans="1:22" x14ac:dyDescent="0.25">
      <c r="A538" t="s">
        <v>1486</v>
      </c>
      <c r="B538" s="1">
        <v>44528</v>
      </c>
      <c r="C538" t="s">
        <v>1487</v>
      </c>
      <c r="D538" t="s">
        <v>407</v>
      </c>
      <c r="E538">
        <v>26</v>
      </c>
      <c r="F538" t="str">
        <f>IF(Table1[[#This Row],[age]]&lt;=25,"18-25",IF(Table1[[#This Row],[age]]&lt;=35,"26-35",IF(Table1[[#This Row],[age]]&lt;=50,"36-50","51+")))</f>
        <v>26-35</v>
      </c>
      <c r="G538" t="s">
        <v>54</v>
      </c>
      <c r="H538" t="s">
        <v>69</v>
      </c>
      <c r="I538" t="s">
        <v>70</v>
      </c>
      <c r="J538" t="s">
        <v>47</v>
      </c>
      <c r="K538" t="s">
        <v>272</v>
      </c>
      <c r="L538">
        <v>6</v>
      </c>
      <c r="M538">
        <v>730.36</v>
      </c>
      <c r="N538">
        <v>0.27</v>
      </c>
      <c r="O538">
        <v>2369.15</v>
      </c>
      <c r="P538">
        <v>1034.9100000000001</v>
      </c>
      <c r="Q538">
        <v>94.11</v>
      </c>
      <c r="R538" t="s">
        <v>49</v>
      </c>
      <c r="S538">
        <v>3</v>
      </c>
      <c r="T538" t="b">
        <v>0</v>
      </c>
      <c r="U538" t="s">
        <v>30</v>
      </c>
      <c r="V538">
        <v>8</v>
      </c>
    </row>
    <row r="539" spans="1:22" x14ac:dyDescent="0.25">
      <c r="A539" t="s">
        <v>1488</v>
      </c>
      <c r="B539" s="1">
        <v>43865</v>
      </c>
      <c r="C539" t="s">
        <v>1489</v>
      </c>
      <c r="D539" t="s">
        <v>767</v>
      </c>
      <c r="E539">
        <v>19</v>
      </c>
      <c r="F539" t="str">
        <f>IF(Table1[[#This Row],[age]]&lt;=25,"18-25",IF(Table1[[#This Row],[age]]&lt;=35,"26-35",IF(Table1[[#This Row],[age]]&lt;=50,"36-50","51+")))</f>
        <v>18-25</v>
      </c>
      <c r="G539" t="s">
        <v>54</v>
      </c>
      <c r="H539" t="s">
        <v>80</v>
      </c>
      <c r="I539" t="s">
        <v>236</v>
      </c>
      <c r="J539" t="s">
        <v>36</v>
      </c>
      <c r="K539" t="s">
        <v>230</v>
      </c>
      <c r="L539">
        <v>9</v>
      </c>
      <c r="M539">
        <v>31457.07</v>
      </c>
      <c r="N539">
        <v>0.1</v>
      </c>
      <c r="O539">
        <v>190620.36</v>
      </c>
      <c r="P539">
        <v>52175.19</v>
      </c>
      <c r="Q539">
        <v>103.27</v>
      </c>
      <c r="R539" t="s">
        <v>49</v>
      </c>
      <c r="S539">
        <v>3</v>
      </c>
      <c r="T539" t="b">
        <v>0</v>
      </c>
      <c r="U539" t="s">
        <v>30</v>
      </c>
      <c r="V539">
        <v>6</v>
      </c>
    </row>
    <row r="540" spans="1:22" x14ac:dyDescent="0.25">
      <c r="A540" t="s">
        <v>1490</v>
      </c>
      <c r="B540" s="1">
        <v>44310</v>
      </c>
      <c r="C540" t="s">
        <v>1491</v>
      </c>
      <c r="D540" t="s">
        <v>1166</v>
      </c>
      <c r="E540">
        <v>21</v>
      </c>
      <c r="F540" t="str">
        <f>IF(Table1[[#This Row],[age]]&lt;=25,"18-25",IF(Table1[[#This Row],[age]]&lt;=35,"26-35",IF(Table1[[#This Row],[age]]&lt;=50,"36-50","51+")))</f>
        <v>18-25</v>
      </c>
      <c r="G540" t="s">
        <v>54</v>
      </c>
      <c r="H540" t="s">
        <v>55</v>
      </c>
      <c r="I540" t="s">
        <v>97</v>
      </c>
      <c r="J540" t="s">
        <v>63</v>
      </c>
      <c r="K540" t="s">
        <v>434</v>
      </c>
      <c r="L540">
        <v>9</v>
      </c>
      <c r="M540">
        <v>905.46</v>
      </c>
      <c r="N540">
        <v>0.26</v>
      </c>
      <c r="O540">
        <v>6527.94</v>
      </c>
      <c r="P540">
        <v>2985.32</v>
      </c>
      <c r="Q540">
        <v>40.75</v>
      </c>
      <c r="R540" t="s">
        <v>92</v>
      </c>
      <c r="S540">
        <v>3</v>
      </c>
      <c r="T540" t="b">
        <v>1</v>
      </c>
      <c r="U540" t="s">
        <v>50</v>
      </c>
      <c r="V540">
        <v>2</v>
      </c>
    </row>
    <row r="541" spans="1:22" x14ac:dyDescent="0.25">
      <c r="A541" t="s">
        <v>1492</v>
      </c>
      <c r="B541" s="1">
        <v>44393</v>
      </c>
      <c r="C541" t="s">
        <v>1493</v>
      </c>
      <c r="D541" t="s">
        <v>1171</v>
      </c>
      <c r="E541">
        <v>28</v>
      </c>
      <c r="F541" t="str">
        <f>IF(Table1[[#This Row],[age]]&lt;=25,"18-25",IF(Table1[[#This Row],[age]]&lt;=35,"26-35",IF(Table1[[#This Row],[age]]&lt;=50,"36-50","51+")))</f>
        <v>26-35</v>
      </c>
      <c r="G541" t="s">
        <v>34</v>
      </c>
      <c r="H541" t="s">
        <v>25</v>
      </c>
      <c r="I541" t="s">
        <v>35</v>
      </c>
      <c r="J541" t="s">
        <v>63</v>
      </c>
      <c r="K541" t="s">
        <v>82</v>
      </c>
      <c r="L541">
        <v>3</v>
      </c>
      <c r="M541">
        <v>1871.08</v>
      </c>
      <c r="N541">
        <v>0.03</v>
      </c>
      <c r="O541">
        <v>7720.71</v>
      </c>
      <c r="P541">
        <v>2716.63</v>
      </c>
      <c r="Q541">
        <v>65.48</v>
      </c>
      <c r="R541" t="s">
        <v>49</v>
      </c>
      <c r="S541">
        <v>1</v>
      </c>
      <c r="T541" t="b">
        <v>0</v>
      </c>
      <c r="U541" t="s">
        <v>30</v>
      </c>
      <c r="V541">
        <v>7</v>
      </c>
    </row>
    <row r="542" spans="1:22" x14ac:dyDescent="0.25">
      <c r="A542" t="s">
        <v>1494</v>
      </c>
      <c r="B542" s="1">
        <v>44126</v>
      </c>
      <c r="C542" t="s">
        <v>1495</v>
      </c>
      <c r="D542" t="s">
        <v>310</v>
      </c>
      <c r="E542">
        <v>21</v>
      </c>
      <c r="F542" t="str">
        <f>IF(Table1[[#This Row],[age]]&lt;=25,"18-25",IF(Table1[[#This Row],[age]]&lt;=35,"26-35",IF(Table1[[#This Row],[age]]&lt;=50,"36-50","51+")))</f>
        <v>18-25</v>
      </c>
      <c r="G542" t="s">
        <v>24</v>
      </c>
      <c r="H542" t="s">
        <v>69</v>
      </c>
      <c r="I542" t="s">
        <v>221</v>
      </c>
      <c r="J542" t="s">
        <v>115</v>
      </c>
      <c r="K542" t="s">
        <v>545</v>
      </c>
      <c r="L542">
        <v>7</v>
      </c>
      <c r="M542">
        <v>53035.199999999997</v>
      </c>
      <c r="N542">
        <v>0.26</v>
      </c>
      <c r="O542">
        <v>212011.56</v>
      </c>
      <c r="P542">
        <v>26192.61</v>
      </c>
      <c r="Q542">
        <v>82.3</v>
      </c>
      <c r="R542" t="s">
        <v>65</v>
      </c>
      <c r="S542">
        <v>1</v>
      </c>
      <c r="T542" t="b">
        <v>1</v>
      </c>
      <c r="U542" t="s">
        <v>50</v>
      </c>
      <c r="V542">
        <v>6</v>
      </c>
    </row>
    <row r="543" spans="1:22" x14ac:dyDescent="0.25">
      <c r="A543" t="s">
        <v>1496</v>
      </c>
      <c r="B543" s="1">
        <v>44226</v>
      </c>
      <c r="C543" t="s">
        <v>1497</v>
      </c>
      <c r="D543" t="s">
        <v>1498</v>
      </c>
      <c r="E543">
        <v>59</v>
      </c>
      <c r="F543" t="str">
        <f>IF(Table1[[#This Row],[age]]&lt;=25,"18-25",IF(Table1[[#This Row],[age]]&lt;=35,"26-35",IF(Table1[[#This Row],[age]]&lt;=50,"36-50","51+")))</f>
        <v>51+</v>
      </c>
      <c r="G543" t="s">
        <v>24</v>
      </c>
      <c r="H543" t="s">
        <v>55</v>
      </c>
      <c r="I543" t="s">
        <v>56</v>
      </c>
      <c r="J543" t="s">
        <v>115</v>
      </c>
      <c r="K543" t="s">
        <v>197</v>
      </c>
      <c r="L543">
        <v>3</v>
      </c>
      <c r="M543">
        <v>69155.55</v>
      </c>
      <c r="N543">
        <v>0.25</v>
      </c>
      <c r="O543">
        <v>102960.53</v>
      </c>
      <c r="P543">
        <v>11911.08</v>
      </c>
      <c r="Q543">
        <v>54.42</v>
      </c>
      <c r="R543" t="s">
        <v>43</v>
      </c>
      <c r="S543">
        <v>3</v>
      </c>
      <c r="T543" t="b">
        <v>0</v>
      </c>
      <c r="U543" t="s">
        <v>30</v>
      </c>
      <c r="V543">
        <v>9</v>
      </c>
    </row>
    <row r="544" spans="1:22" x14ac:dyDescent="0.25">
      <c r="A544" t="s">
        <v>1499</v>
      </c>
      <c r="B544" s="1">
        <v>44987</v>
      </c>
      <c r="C544" t="s">
        <v>1500</v>
      </c>
      <c r="D544" t="s">
        <v>1136</v>
      </c>
      <c r="E544">
        <v>27</v>
      </c>
      <c r="F544" t="str">
        <f>IF(Table1[[#This Row],[age]]&lt;=25,"18-25",IF(Table1[[#This Row],[age]]&lt;=35,"26-35",IF(Table1[[#This Row],[age]]&lt;=50,"36-50","51+")))</f>
        <v>26-35</v>
      </c>
      <c r="G544" t="s">
        <v>24</v>
      </c>
      <c r="H544" t="s">
        <v>61</v>
      </c>
      <c r="I544" t="s">
        <v>91</v>
      </c>
      <c r="J544" t="s">
        <v>27</v>
      </c>
      <c r="K544" t="s">
        <v>128</v>
      </c>
      <c r="L544">
        <v>2</v>
      </c>
      <c r="M544">
        <v>920.67</v>
      </c>
      <c r="N544">
        <v>0.24</v>
      </c>
      <c r="O544">
        <v>1821.82</v>
      </c>
      <c r="P544">
        <v>918.21</v>
      </c>
      <c r="Q544">
        <v>61.3</v>
      </c>
      <c r="R544" t="s">
        <v>57</v>
      </c>
      <c r="S544">
        <v>4</v>
      </c>
      <c r="T544" t="b">
        <v>0</v>
      </c>
      <c r="U544" t="s">
        <v>30</v>
      </c>
      <c r="V544">
        <v>3</v>
      </c>
    </row>
    <row r="545" spans="1:22" x14ac:dyDescent="0.25">
      <c r="A545" t="s">
        <v>1501</v>
      </c>
      <c r="B545" s="1">
        <v>44515</v>
      </c>
      <c r="C545" t="s">
        <v>1502</v>
      </c>
      <c r="D545" t="s">
        <v>1503</v>
      </c>
      <c r="E545">
        <v>39</v>
      </c>
      <c r="F545" t="str">
        <f>IF(Table1[[#This Row],[age]]&lt;=25,"18-25",IF(Table1[[#This Row],[age]]&lt;=35,"26-35",IF(Table1[[#This Row],[age]]&lt;=50,"36-50","51+")))</f>
        <v>36-50</v>
      </c>
      <c r="G545" t="s">
        <v>54</v>
      </c>
      <c r="H545" t="s">
        <v>55</v>
      </c>
      <c r="I545" t="s">
        <v>114</v>
      </c>
      <c r="J545" t="s">
        <v>106</v>
      </c>
      <c r="K545" t="s">
        <v>718</v>
      </c>
      <c r="L545">
        <v>2</v>
      </c>
      <c r="M545">
        <v>260.24</v>
      </c>
      <c r="N545">
        <v>0.22</v>
      </c>
      <c r="O545">
        <v>245.84</v>
      </c>
      <c r="P545">
        <v>24.47</v>
      </c>
      <c r="Q545">
        <v>73.44</v>
      </c>
      <c r="R545" t="s">
        <v>65</v>
      </c>
      <c r="S545">
        <v>5</v>
      </c>
      <c r="T545" t="b">
        <v>0</v>
      </c>
      <c r="U545" t="s">
        <v>30</v>
      </c>
      <c r="V545">
        <v>2</v>
      </c>
    </row>
    <row r="546" spans="1:22" x14ac:dyDescent="0.25">
      <c r="A546" t="s">
        <v>1504</v>
      </c>
      <c r="B546" s="1">
        <v>44043</v>
      </c>
      <c r="C546" t="s">
        <v>1505</v>
      </c>
      <c r="D546" t="s">
        <v>207</v>
      </c>
      <c r="E546">
        <v>28</v>
      </c>
      <c r="F546" t="str">
        <f>IF(Table1[[#This Row],[age]]&lt;=25,"18-25",IF(Table1[[#This Row],[age]]&lt;=35,"26-35",IF(Table1[[#This Row],[age]]&lt;=50,"36-50","51+")))</f>
        <v>26-35</v>
      </c>
      <c r="G546" t="s">
        <v>54</v>
      </c>
      <c r="H546" t="s">
        <v>25</v>
      </c>
      <c r="I546" t="s">
        <v>41</v>
      </c>
      <c r="J546" t="s">
        <v>63</v>
      </c>
      <c r="K546" t="s">
        <v>87</v>
      </c>
      <c r="L546">
        <v>8</v>
      </c>
      <c r="M546">
        <v>3369.18</v>
      </c>
      <c r="N546">
        <v>0.05</v>
      </c>
      <c r="O546">
        <v>29990.07</v>
      </c>
      <c r="P546">
        <v>10760.08</v>
      </c>
      <c r="Q546">
        <v>65.099999999999994</v>
      </c>
      <c r="R546" t="s">
        <v>65</v>
      </c>
      <c r="S546">
        <v>3</v>
      </c>
      <c r="T546" t="b">
        <v>0</v>
      </c>
      <c r="U546" t="s">
        <v>30</v>
      </c>
      <c r="V546">
        <v>10</v>
      </c>
    </row>
    <row r="547" spans="1:22" x14ac:dyDescent="0.25">
      <c r="A547" t="s">
        <v>1506</v>
      </c>
      <c r="B547" s="1">
        <v>45543</v>
      </c>
      <c r="C547" t="s">
        <v>1507</v>
      </c>
      <c r="D547" t="s">
        <v>833</v>
      </c>
      <c r="E547">
        <v>25</v>
      </c>
      <c r="F547" t="str">
        <f>IF(Table1[[#This Row],[age]]&lt;=25,"18-25",IF(Table1[[#This Row],[age]]&lt;=35,"26-35",IF(Table1[[#This Row],[age]]&lt;=50,"36-50","51+")))</f>
        <v>18-25</v>
      </c>
      <c r="G547" t="s">
        <v>54</v>
      </c>
      <c r="H547" t="s">
        <v>80</v>
      </c>
      <c r="I547" t="s">
        <v>81</v>
      </c>
      <c r="J547" t="s">
        <v>106</v>
      </c>
      <c r="K547" t="s">
        <v>188</v>
      </c>
      <c r="L547">
        <v>3</v>
      </c>
      <c r="M547">
        <v>449.53</v>
      </c>
      <c r="N547">
        <v>0.2</v>
      </c>
      <c r="O547">
        <v>1417.4</v>
      </c>
      <c r="P547">
        <v>70.52</v>
      </c>
      <c r="Q547">
        <v>77.45</v>
      </c>
      <c r="R547" t="s">
        <v>65</v>
      </c>
      <c r="S547">
        <v>4</v>
      </c>
      <c r="T547" t="b">
        <v>0</v>
      </c>
      <c r="U547" t="s">
        <v>193</v>
      </c>
      <c r="V547">
        <v>10</v>
      </c>
    </row>
    <row r="548" spans="1:22" x14ac:dyDescent="0.25">
      <c r="A548" t="s">
        <v>1508</v>
      </c>
      <c r="B548" s="1">
        <v>44655</v>
      </c>
      <c r="C548" t="s">
        <v>1509</v>
      </c>
      <c r="D548" t="s">
        <v>334</v>
      </c>
      <c r="E548">
        <v>45</v>
      </c>
      <c r="F548" t="str">
        <f>IF(Table1[[#This Row],[age]]&lt;=25,"18-25",IF(Table1[[#This Row],[age]]&lt;=35,"26-35",IF(Table1[[#This Row],[age]]&lt;=50,"36-50","51+")))</f>
        <v>36-50</v>
      </c>
      <c r="G548" t="s">
        <v>34</v>
      </c>
      <c r="H548" t="s">
        <v>69</v>
      </c>
      <c r="I548" t="s">
        <v>221</v>
      </c>
      <c r="J548" t="s">
        <v>101</v>
      </c>
      <c r="K548" t="s">
        <v>102</v>
      </c>
      <c r="L548">
        <v>3</v>
      </c>
      <c r="M548">
        <v>1955.47</v>
      </c>
      <c r="N548">
        <v>0.16</v>
      </c>
      <c r="O548">
        <v>6238.78</v>
      </c>
      <c r="P548">
        <v>1430</v>
      </c>
      <c r="Q548">
        <v>93.12</v>
      </c>
      <c r="R548" t="s">
        <v>49</v>
      </c>
      <c r="S548">
        <v>3</v>
      </c>
      <c r="T548" t="b">
        <v>0</v>
      </c>
      <c r="U548" t="s">
        <v>93</v>
      </c>
      <c r="V548">
        <v>3</v>
      </c>
    </row>
    <row r="549" spans="1:22" x14ac:dyDescent="0.25">
      <c r="A549" t="s">
        <v>1510</v>
      </c>
      <c r="B549" s="1">
        <v>45206</v>
      </c>
      <c r="C549" t="s">
        <v>1511</v>
      </c>
      <c r="D549" t="s">
        <v>1166</v>
      </c>
      <c r="E549">
        <v>22</v>
      </c>
      <c r="F549" t="str">
        <f>IF(Table1[[#This Row],[age]]&lt;=25,"18-25",IF(Table1[[#This Row],[age]]&lt;=35,"26-35",IF(Table1[[#This Row],[age]]&lt;=50,"36-50","51+")))</f>
        <v>18-25</v>
      </c>
      <c r="G549" t="s">
        <v>24</v>
      </c>
      <c r="H549" t="s">
        <v>61</v>
      </c>
      <c r="I549" t="s">
        <v>163</v>
      </c>
      <c r="J549" t="s">
        <v>106</v>
      </c>
      <c r="K549" t="s">
        <v>314</v>
      </c>
      <c r="L549">
        <v>2</v>
      </c>
      <c r="M549">
        <v>216.82</v>
      </c>
      <c r="N549">
        <v>0.28000000000000003</v>
      </c>
      <c r="O549">
        <v>255.27</v>
      </c>
      <c r="P549">
        <v>22.97</v>
      </c>
      <c r="Q549">
        <v>53.52</v>
      </c>
      <c r="R549" t="s">
        <v>92</v>
      </c>
      <c r="S549">
        <v>5</v>
      </c>
      <c r="T549" t="b">
        <v>1</v>
      </c>
      <c r="U549" t="s">
        <v>50</v>
      </c>
      <c r="V549">
        <v>4</v>
      </c>
    </row>
    <row r="550" spans="1:22" x14ac:dyDescent="0.25">
      <c r="A550" t="s">
        <v>1512</v>
      </c>
      <c r="B550" s="1">
        <v>44086</v>
      </c>
      <c r="C550" t="s">
        <v>1513</v>
      </c>
      <c r="D550" t="s">
        <v>823</v>
      </c>
      <c r="E550">
        <v>46</v>
      </c>
      <c r="F550" t="str">
        <f>IF(Table1[[#This Row],[age]]&lt;=25,"18-25",IF(Table1[[#This Row],[age]]&lt;=35,"26-35",IF(Table1[[#This Row],[age]]&lt;=50,"36-50","51+")))</f>
        <v>36-50</v>
      </c>
      <c r="G550" t="s">
        <v>34</v>
      </c>
      <c r="H550" t="s">
        <v>61</v>
      </c>
      <c r="I550" t="s">
        <v>163</v>
      </c>
      <c r="J550" t="s">
        <v>101</v>
      </c>
      <c r="K550" t="s">
        <v>456</v>
      </c>
      <c r="L550">
        <v>2</v>
      </c>
      <c r="M550">
        <v>7907.75</v>
      </c>
      <c r="N550">
        <v>0.23</v>
      </c>
      <c r="O550">
        <v>11417.09</v>
      </c>
      <c r="P550">
        <v>2439.2600000000002</v>
      </c>
      <c r="Q550">
        <v>30.79</v>
      </c>
      <c r="R550" t="s">
        <v>65</v>
      </c>
      <c r="S550">
        <v>4</v>
      </c>
      <c r="T550" t="b">
        <v>0</v>
      </c>
      <c r="U550" t="s">
        <v>193</v>
      </c>
      <c r="V550">
        <v>10</v>
      </c>
    </row>
    <row r="551" spans="1:22" x14ac:dyDescent="0.25">
      <c r="A551" t="s">
        <v>1514</v>
      </c>
      <c r="B551" s="1">
        <v>43867</v>
      </c>
      <c r="C551" t="s">
        <v>1515</v>
      </c>
      <c r="D551" t="s">
        <v>1516</v>
      </c>
      <c r="E551">
        <v>30</v>
      </c>
      <c r="F551" t="str">
        <f>IF(Table1[[#This Row],[age]]&lt;=25,"18-25",IF(Table1[[#This Row],[age]]&lt;=35,"26-35",IF(Table1[[#This Row],[age]]&lt;=50,"36-50","51+")))</f>
        <v>26-35</v>
      </c>
      <c r="G551" t="s">
        <v>24</v>
      </c>
      <c r="H551" t="s">
        <v>55</v>
      </c>
      <c r="I551" t="s">
        <v>97</v>
      </c>
      <c r="J551" t="s">
        <v>27</v>
      </c>
      <c r="K551" t="s">
        <v>168</v>
      </c>
      <c r="L551">
        <v>5</v>
      </c>
      <c r="M551">
        <v>1398.56</v>
      </c>
      <c r="N551">
        <v>0.11</v>
      </c>
      <c r="O551">
        <v>5755.36</v>
      </c>
      <c r="P551">
        <v>2371.83</v>
      </c>
      <c r="Q551">
        <v>41.33</v>
      </c>
      <c r="R551" t="s">
        <v>49</v>
      </c>
      <c r="S551">
        <v>1</v>
      </c>
      <c r="T551" t="b">
        <v>0</v>
      </c>
      <c r="U551" t="s">
        <v>30</v>
      </c>
      <c r="V551">
        <v>2</v>
      </c>
    </row>
    <row r="552" spans="1:22" x14ac:dyDescent="0.25">
      <c r="A552" t="s">
        <v>1517</v>
      </c>
      <c r="B552" s="1">
        <v>43995</v>
      </c>
      <c r="C552" t="s">
        <v>1518</v>
      </c>
      <c r="D552" t="s">
        <v>203</v>
      </c>
      <c r="E552">
        <v>18</v>
      </c>
      <c r="F552" t="str">
        <f>IF(Table1[[#This Row],[age]]&lt;=25,"18-25",IF(Table1[[#This Row],[age]]&lt;=35,"26-35",IF(Table1[[#This Row],[age]]&lt;=50,"36-50","51+")))</f>
        <v>18-25</v>
      </c>
      <c r="G552" t="s">
        <v>54</v>
      </c>
      <c r="H552" t="s">
        <v>80</v>
      </c>
      <c r="I552" t="s">
        <v>236</v>
      </c>
      <c r="J552" t="s">
        <v>106</v>
      </c>
      <c r="K552" t="s">
        <v>188</v>
      </c>
      <c r="L552">
        <v>9</v>
      </c>
      <c r="M552">
        <v>264.60000000000002</v>
      </c>
      <c r="N552">
        <v>0.39</v>
      </c>
      <c r="O552">
        <v>1805.25</v>
      </c>
      <c r="P552">
        <v>107.92</v>
      </c>
      <c r="Q552">
        <v>70.83</v>
      </c>
      <c r="R552" t="s">
        <v>29</v>
      </c>
      <c r="S552">
        <v>5</v>
      </c>
      <c r="T552" t="b">
        <v>0</v>
      </c>
      <c r="U552" t="s">
        <v>30</v>
      </c>
      <c r="V552">
        <v>1</v>
      </c>
    </row>
    <row r="553" spans="1:22" x14ac:dyDescent="0.25">
      <c r="A553" t="s">
        <v>1519</v>
      </c>
      <c r="B553" s="1">
        <v>44424</v>
      </c>
      <c r="C553" t="s">
        <v>1520</v>
      </c>
      <c r="D553" t="s">
        <v>1521</v>
      </c>
      <c r="E553">
        <v>42</v>
      </c>
      <c r="F553" t="str">
        <f>IF(Table1[[#This Row],[age]]&lt;=25,"18-25",IF(Table1[[#This Row],[age]]&lt;=35,"26-35",IF(Table1[[#This Row],[age]]&lt;=50,"36-50","51+")))</f>
        <v>36-50</v>
      </c>
      <c r="G553" t="s">
        <v>54</v>
      </c>
      <c r="H553" t="s">
        <v>55</v>
      </c>
      <c r="I553" t="s">
        <v>56</v>
      </c>
      <c r="J553" t="s">
        <v>47</v>
      </c>
      <c r="K553" t="s">
        <v>48</v>
      </c>
      <c r="L553">
        <v>3</v>
      </c>
      <c r="M553">
        <v>886.35</v>
      </c>
      <c r="N553">
        <v>0.25</v>
      </c>
      <c r="O553">
        <v>2878.52</v>
      </c>
      <c r="P553">
        <v>1205.8900000000001</v>
      </c>
      <c r="Q553">
        <v>51.22</v>
      </c>
      <c r="R553" t="s">
        <v>43</v>
      </c>
      <c r="S553">
        <v>1</v>
      </c>
      <c r="T553" t="b">
        <v>0</v>
      </c>
      <c r="U553" t="s">
        <v>30</v>
      </c>
      <c r="V553">
        <v>6</v>
      </c>
    </row>
    <row r="554" spans="1:22" x14ac:dyDescent="0.25">
      <c r="A554" t="s">
        <v>1522</v>
      </c>
      <c r="B554" s="1">
        <v>45317</v>
      </c>
      <c r="C554" t="s">
        <v>1523</v>
      </c>
      <c r="D554" t="s">
        <v>1521</v>
      </c>
      <c r="E554">
        <v>35</v>
      </c>
      <c r="F554" t="str">
        <f>IF(Table1[[#This Row],[age]]&lt;=25,"18-25",IF(Table1[[#This Row],[age]]&lt;=35,"26-35",IF(Table1[[#This Row],[age]]&lt;=50,"36-50","51+")))</f>
        <v>26-35</v>
      </c>
      <c r="G554" t="s">
        <v>24</v>
      </c>
      <c r="H554" t="s">
        <v>25</v>
      </c>
      <c r="I554" t="s">
        <v>41</v>
      </c>
      <c r="J554" t="s">
        <v>47</v>
      </c>
      <c r="K554" t="s">
        <v>272</v>
      </c>
      <c r="L554">
        <v>6</v>
      </c>
      <c r="M554">
        <v>589.55999999999995</v>
      </c>
      <c r="N554">
        <v>0.33</v>
      </c>
      <c r="O554">
        <v>2123.41</v>
      </c>
      <c r="P554">
        <v>728.31</v>
      </c>
      <c r="Q554">
        <v>73.88</v>
      </c>
      <c r="R554" t="s">
        <v>49</v>
      </c>
      <c r="S554">
        <v>2</v>
      </c>
      <c r="T554" t="b">
        <v>1</v>
      </c>
      <c r="U554" t="s">
        <v>50</v>
      </c>
      <c r="V554">
        <v>3</v>
      </c>
    </row>
    <row r="555" spans="1:22" x14ac:dyDescent="0.25">
      <c r="A555" t="s">
        <v>1524</v>
      </c>
      <c r="B555" s="1">
        <v>44711</v>
      </c>
      <c r="C555" t="s">
        <v>1525</v>
      </c>
      <c r="D555" t="s">
        <v>307</v>
      </c>
      <c r="E555">
        <v>25</v>
      </c>
      <c r="F555" t="str">
        <f>IF(Table1[[#This Row],[age]]&lt;=25,"18-25",IF(Table1[[#This Row],[age]]&lt;=35,"26-35",IF(Table1[[#This Row],[age]]&lt;=50,"36-50","51+")))</f>
        <v>18-25</v>
      </c>
      <c r="G555" t="s">
        <v>24</v>
      </c>
      <c r="H555" t="s">
        <v>69</v>
      </c>
      <c r="I555" t="s">
        <v>181</v>
      </c>
      <c r="J555" t="s">
        <v>106</v>
      </c>
      <c r="K555" t="s">
        <v>314</v>
      </c>
      <c r="L555">
        <v>9</v>
      </c>
      <c r="M555">
        <v>363.51</v>
      </c>
      <c r="N555">
        <v>0.23</v>
      </c>
      <c r="O555">
        <v>3460.81</v>
      </c>
      <c r="P555">
        <v>307.14999999999998</v>
      </c>
      <c r="Q555">
        <v>84.69</v>
      </c>
      <c r="R555" t="s">
        <v>49</v>
      </c>
      <c r="S555">
        <v>4</v>
      </c>
      <c r="T555" t="b">
        <v>1</v>
      </c>
      <c r="U555" t="s">
        <v>50</v>
      </c>
      <c r="V555">
        <v>7</v>
      </c>
    </row>
    <row r="556" spans="1:22" x14ac:dyDescent="0.25">
      <c r="A556" t="s">
        <v>1526</v>
      </c>
      <c r="B556" s="1">
        <v>44932</v>
      </c>
      <c r="C556" t="s">
        <v>1527</v>
      </c>
      <c r="D556" t="s">
        <v>527</v>
      </c>
      <c r="E556">
        <v>22</v>
      </c>
      <c r="F556" t="str">
        <f>IF(Table1[[#This Row],[age]]&lt;=25,"18-25",IF(Table1[[#This Row],[age]]&lt;=35,"26-35",IF(Table1[[#This Row],[age]]&lt;=50,"36-50","51+")))</f>
        <v>18-25</v>
      </c>
      <c r="G556" t="s">
        <v>54</v>
      </c>
      <c r="H556" t="s">
        <v>61</v>
      </c>
      <c r="I556" t="s">
        <v>91</v>
      </c>
      <c r="J556" t="s">
        <v>106</v>
      </c>
      <c r="K556" t="s">
        <v>331</v>
      </c>
      <c r="L556">
        <v>6</v>
      </c>
      <c r="M556">
        <v>303.67</v>
      </c>
      <c r="N556">
        <v>0.05</v>
      </c>
      <c r="O556">
        <v>1631.61</v>
      </c>
      <c r="P556">
        <v>129.1</v>
      </c>
      <c r="Q556">
        <v>66.2</v>
      </c>
      <c r="R556" t="s">
        <v>92</v>
      </c>
      <c r="S556">
        <v>1</v>
      </c>
      <c r="T556" t="b">
        <v>0</v>
      </c>
      <c r="U556" t="s">
        <v>193</v>
      </c>
      <c r="V556">
        <v>7</v>
      </c>
    </row>
    <row r="557" spans="1:22" x14ac:dyDescent="0.25">
      <c r="A557" t="s">
        <v>1528</v>
      </c>
      <c r="B557" s="1">
        <v>44455</v>
      </c>
      <c r="C557" t="s">
        <v>1529</v>
      </c>
      <c r="D557" t="s">
        <v>375</v>
      </c>
      <c r="E557">
        <v>52</v>
      </c>
      <c r="F557" t="str">
        <f>IF(Table1[[#This Row],[age]]&lt;=25,"18-25",IF(Table1[[#This Row],[age]]&lt;=35,"26-35",IF(Table1[[#This Row],[age]]&lt;=50,"36-50","51+")))</f>
        <v>51+</v>
      </c>
      <c r="G557" t="s">
        <v>54</v>
      </c>
      <c r="H557" t="s">
        <v>25</v>
      </c>
      <c r="I557" t="s">
        <v>35</v>
      </c>
      <c r="J557" t="s">
        <v>36</v>
      </c>
      <c r="K557" t="s">
        <v>42</v>
      </c>
      <c r="L557">
        <v>9</v>
      </c>
      <c r="M557">
        <v>28138.720000000001</v>
      </c>
      <c r="N557">
        <v>0</v>
      </c>
      <c r="O557">
        <v>267856.83</v>
      </c>
      <c r="P557">
        <v>58224.65</v>
      </c>
      <c r="Q557">
        <v>61.16</v>
      </c>
      <c r="R557" t="s">
        <v>29</v>
      </c>
      <c r="S557">
        <v>4</v>
      </c>
      <c r="T557" t="b">
        <v>0</v>
      </c>
      <c r="U557" t="s">
        <v>30</v>
      </c>
      <c r="V557">
        <v>1</v>
      </c>
    </row>
    <row r="558" spans="1:22" x14ac:dyDescent="0.25">
      <c r="A558" t="s">
        <v>1530</v>
      </c>
      <c r="B558" s="1">
        <v>44455</v>
      </c>
      <c r="C558" t="s">
        <v>1531</v>
      </c>
      <c r="D558" t="s">
        <v>433</v>
      </c>
      <c r="E558">
        <v>41</v>
      </c>
      <c r="F558" t="str">
        <f>IF(Table1[[#This Row],[age]]&lt;=25,"18-25",IF(Table1[[#This Row],[age]]&lt;=35,"26-35",IF(Table1[[#This Row],[age]]&lt;=50,"36-50","51+")))</f>
        <v>36-50</v>
      </c>
      <c r="G558" t="s">
        <v>24</v>
      </c>
      <c r="H558" t="s">
        <v>61</v>
      </c>
      <c r="I558" t="s">
        <v>62</v>
      </c>
      <c r="J558" t="s">
        <v>101</v>
      </c>
      <c r="K558" t="s">
        <v>214</v>
      </c>
      <c r="L558">
        <v>6</v>
      </c>
      <c r="M558">
        <v>3598.68</v>
      </c>
      <c r="N558">
        <v>0.09</v>
      </c>
      <c r="O558">
        <v>22421.86</v>
      </c>
      <c r="P558">
        <v>6008.67</v>
      </c>
      <c r="Q558">
        <v>56.7</v>
      </c>
      <c r="R558" t="s">
        <v>92</v>
      </c>
      <c r="S558">
        <v>2</v>
      </c>
      <c r="T558" t="b">
        <v>0</v>
      </c>
      <c r="U558" t="s">
        <v>30</v>
      </c>
      <c r="V558">
        <v>8</v>
      </c>
    </row>
    <row r="559" spans="1:22" x14ac:dyDescent="0.25">
      <c r="A559" t="s">
        <v>1532</v>
      </c>
      <c r="B559" s="1">
        <v>44548</v>
      </c>
      <c r="C559" t="s">
        <v>1533</v>
      </c>
      <c r="D559" t="s">
        <v>1103</v>
      </c>
      <c r="E559">
        <v>66</v>
      </c>
      <c r="F559" t="str">
        <f>IF(Table1[[#This Row],[age]]&lt;=25,"18-25",IF(Table1[[#This Row],[age]]&lt;=35,"26-35",IF(Table1[[#This Row],[age]]&lt;=50,"36-50","51+")))</f>
        <v>51+</v>
      </c>
      <c r="G559" t="s">
        <v>34</v>
      </c>
      <c r="H559" t="s">
        <v>61</v>
      </c>
      <c r="I559" t="s">
        <v>163</v>
      </c>
      <c r="J559" t="s">
        <v>47</v>
      </c>
      <c r="K559" t="s">
        <v>600</v>
      </c>
      <c r="L559">
        <v>5</v>
      </c>
      <c r="M559">
        <v>199.85</v>
      </c>
      <c r="N559">
        <v>7.0000000000000007E-2</v>
      </c>
      <c r="O559">
        <v>616.48</v>
      </c>
      <c r="P559">
        <v>277.39999999999998</v>
      </c>
      <c r="Q559">
        <v>37.229999999999997</v>
      </c>
      <c r="R559" t="s">
        <v>57</v>
      </c>
      <c r="S559">
        <v>3</v>
      </c>
      <c r="T559" t="b">
        <v>0</v>
      </c>
      <c r="U559" t="s">
        <v>30</v>
      </c>
      <c r="V559">
        <v>2</v>
      </c>
    </row>
    <row r="560" spans="1:22" x14ac:dyDescent="0.25">
      <c r="A560" t="s">
        <v>1534</v>
      </c>
      <c r="B560" s="1">
        <v>44707</v>
      </c>
      <c r="C560" t="s">
        <v>1535</v>
      </c>
      <c r="D560" t="s">
        <v>297</v>
      </c>
      <c r="E560">
        <v>26</v>
      </c>
      <c r="F560" t="str">
        <f>IF(Table1[[#This Row],[age]]&lt;=25,"18-25",IF(Table1[[#This Row],[age]]&lt;=35,"26-35",IF(Table1[[#This Row],[age]]&lt;=50,"36-50","51+")))</f>
        <v>26-35</v>
      </c>
      <c r="G560" t="s">
        <v>34</v>
      </c>
      <c r="H560" t="s">
        <v>55</v>
      </c>
      <c r="I560" t="s">
        <v>97</v>
      </c>
      <c r="J560" t="s">
        <v>101</v>
      </c>
      <c r="K560" t="s">
        <v>318</v>
      </c>
      <c r="L560">
        <v>3</v>
      </c>
      <c r="M560">
        <v>6064.09</v>
      </c>
      <c r="N560">
        <v>0.03</v>
      </c>
      <c r="O560">
        <v>24706.43</v>
      </c>
      <c r="P560">
        <v>6641.4</v>
      </c>
      <c r="Q560">
        <v>55.09</v>
      </c>
      <c r="R560" t="s">
        <v>57</v>
      </c>
      <c r="S560">
        <v>2</v>
      </c>
      <c r="T560" t="b">
        <v>0</v>
      </c>
      <c r="U560" t="s">
        <v>30</v>
      </c>
      <c r="V560">
        <v>6</v>
      </c>
    </row>
    <row r="561" spans="1:22" x14ac:dyDescent="0.25">
      <c r="A561" t="s">
        <v>1536</v>
      </c>
      <c r="B561" s="1">
        <v>44519</v>
      </c>
      <c r="C561" t="s">
        <v>1537</v>
      </c>
      <c r="D561" t="s">
        <v>1538</v>
      </c>
      <c r="E561">
        <v>33</v>
      </c>
      <c r="F561" t="str">
        <f>IF(Table1[[#This Row],[age]]&lt;=25,"18-25",IF(Table1[[#This Row],[age]]&lt;=35,"26-35",IF(Table1[[#This Row],[age]]&lt;=50,"36-50","51+")))</f>
        <v>26-35</v>
      </c>
      <c r="G561" t="s">
        <v>34</v>
      </c>
      <c r="H561" t="s">
        <v>69</v>
      </c>
      <c r="I561" t="s">
        <v>70</v>
      </c>
      <c r="J561" t="s">
        <v>63</v>
      </c>
      <c r="K561" t="s">
        <v>82</v>
      </c>
      <c r="L561">
        <v>8</v>
      </c>
      <c r="M561">
        <v>1386.86</v>
      </c>
      <c r="N561">
        <v>0.03</v>
      </c>
      <c r="O561">
        <v>8547.02</v>
      </c>
      <c r="P561">
        <v>2698.05</v>
      </c>
      <c r="Q561">
        <v>71.34</v>
      </c>
      <c r="R561" t="s">
        <v>43</v>
      </c>
      <c r="S561">
        <v>4</v>
      </c>
      <c r="T561" t="b">
        <v>0</v>
      </c>
      <c r="U561" t="s">
        <v>30</v>
      </c>
      <c r="V561">
        <v>9</v>
      </c>
    </row>
    <row r="562" spans="1:22" x14ac:dyDescent="0.25">
      <c r="A562" t="s">
        <v>1539</v>
      </c>
      <c r="B562" s="1">
        <v>44191</v>
      </c>
      <c r="C562" t="s">
        <v>1540</v>
      </c>
      <c r="D562" t="s">
        <v>519</v>
      </c>
      <c r="E562">
        <v>36</v>
      </c>
      <c r="F562" t="str">
        <f>IF(Table1[[#This Row],[age]]&lt;=25,"18-25",IF(Table1[[#This Row],[age]]&lt;=35,"26-35",IF(Table1[[#This Row],[age]]&lt;=50,"36-50","51+")))</f>
        <v>36-50</v>
      </c>
      <c r="G562" t="s">
        <v>24</v>
      </c>
      <c r="H562" t="s">
        <v>80</v>
      </c>
      <c r="I562" t="s">
        <v>242</v>
      </c>
      <c r="J562" t="s">
        <v>106</v>
      </c>
      <c r="K562" t="s">
        <v>314</v>
      </c>
      <c r="L562">
        <v>8</v>
      </c>
      <c r="M562">
        <v>312.61</v>
      </c>
      <c r="N562">
        <v>0.28999999999999998</v>
      </c>
      <c r="O562">
        <v>1360.85</v>
      </c>
      <c r="P562">
        <v>78.900000000000006</v>
      </c>
      <c r="Q562">
        <v>88.49</v>
      </c>
      <c r="R562" t="s">
        <v>92</v>
      </c>
      <c r="S562">
        <v>4</v>
      </c>
      <c r="T562" t="b">
        <v>0</v>
      </c>
      <c r="U562" t="s">
        <v>30</v>
      </c>
      <c r="V562">
        <v>9</v>
      </c>
    </row>
    <row r="563" spans="1:22" x14ac:dyDescent="0.25">
      <c r="A563" t="s">
        <v>1541</v>
      </c>
      <c r="B563" s="1">
        <v>45125</v>
      </c>
      <c r="C563" t="s">
        <v>1542</v>
      </c>
      <c r="D563" t="s">
        <v>1074</v>
      </c>
      <c r="E563">
        <v>27</v>
      </c>
      <c r="F563" t="str">
        <f>IF(Table1[[#This Row],[age]]&lt;=25,"18-25",IF(Table1[[#This Row],[age]]&lt;=35,"26-35",IF(Table1[[#This Row],[age]]&lt;=50,"36-50","51+")))</f>
        <v>26-35</v>
      </c>
      <c r="G563" t="s">
        <v>24</v>
      </c>
      <c r="H563" t="s">
        <v>55</v>
      </c>
      <c r="I563" t="s">
        <v>114</v>
      </c>
      <c r="J563" t="s">
        <v>115</v>
      </c>
      <c r="K563" t="s">
        <v>398</v>
      </c>
      <c r="L563">
        <v>2</v>
      </c>
      <c r="M563">
        <v>30216.69</v>
      </c>
      <c r="N563">
        <v>0.16</v>
      </c>
      <c r="O563">
        <v>77559.67</v>
      </c>
      <c r="P563">
        <v>9624.5300000000007</v>
      </c>
      <c r="Q563">
        <v>80.069999999999993</v>
      </c>
      <c r="R563" t="s">
        <v>43</v>
      </c>
      <c r="S563">
        <v>2</v>
      </c>
      <c r="T563" t="b">
        <v>0</v>
      </c>
      <c r="U563" t="s">
        <v>93</v>
      </c>
      <c r="V563">
        <v>5</v>
      </c>
    </row>
    <row r="564" spans="1:22" x14ac:dyDescent="0.25">
      <c r="A564" t="s">
        <v>1543</v>
      </c>
      <c r="B564" s="1">
        <v>44593</v>
      </c>
      <c r="C564" t="s">
        <v>1544</v>
      </c>
      <c r="D564" t="s">
        <v>1545</v>
      </c>
      <c r="E564">
        <v>22</v>
      </c>
      <c r="F564" t="str">
        <f>IF(Table1[[#This Row],[age]]&lt;=25,"18-25",IF(Table1[[#This Row],[age]]&lt;=35,"26-35",IF(Table1[[#This Row],[age]]&lt;=50,"36-50","51+")))</f>
        <v>18-25</v>
      </c>
      <c r="G564" t="s">
        <v>24</v>
      </c>
      <c r="H564" t="s">
        <v>80</v>
      </c>
      <c r="I564" t="s">
        <v>242</v>
      </c>
      <c r="J564" t="s">
        <v>63</v>
      </c>
      <c r="K564" t="s">
        <v>111</v>
      </c>
      <c r="L564">
        <v>9</v>
      </c>
      <c r="M564">
        <v>766.29</v>
      </c>
      <c r="N564">
        <v>0.28000000000000003</v>
      </c>
      <c r="O564">
        <v>4890.43</v>
      </c>
      <c r="P564">
        <v>1599.31</v>
      </c>
      <c r="Q564">
        <v>46.79</v>
      </c>
      <c r="R564" t="s">
        <v>65</v>
      </c>
      <c r="S564">
        <v>1</v>
      </c>
      <c r="T564" t="b">
        <v>0</v>
      </c>
      <c r="U564" t="s">
        <v>30</v>
      </c>
      <c r="V564">
        <v>7</v>
      </c>
    </row>
    <row r="565" spans="1:22" x14ac:dyDescent="0.25">
      <c r="A565" t="s">
        <v>1546</v>
      </c>
      <c r="B565" s="1">
        <v>44799</v>
      </c>
      <c r="C565" t="s">
        <v>1547</v>
      </c>
      <c r="D565" t="s">
        <v>281</v>
      </c>
      <c r="E565">
        <v>63</v>
      </c>
      <c r="F565" t="str">
        <f>IF(Table1[[#This Row],[age]]&lt;=25,"18-25",IF(Table1[[#This Row],[age]]&lt;=35,"26-35",IF(Table1[[#This Row],[age]]&lt;=50,"36-50","51+")))</f>
        <v>51+</v>
      </c>
      <c r="G565" t="s">
        <v>54</v>
      </c>
      <c r="H565" t="s">
        <v>25</v>
      </c>
      <c r="I565" t="s">
        <v>41</v>
      </c>
      <c r="J565" t="s">
        <v>101</v>
      </c>
      <c r="K565" t="s">
        <v>164</v>
      </c>
      <c r="L565">
        <v>1</v>
      </c>
      <c r="M565">
        <v>9516.5400000000009</v>
      </c>
      <c r="N565">
        <v>7.0000000000000007E-2</v>
      </c>
      <c r="O565">
        <v>11604.33</v>
      </c>
      <c r="P565">
        <v>2275.4</v>
      </c>
      <c r="Q565">
        <v>75.61</v>
      </c>
      <c r="R565" t="s">
        <v>29</v>
      </c>
      <c r="S565">
        <v>4</v>
      </c>
      <c r="T565" t="b">
        <v>0</v>
      </c>
      <c r="U565" t="s">
        <v>93</v>
      </c>
      <c r="V565">
        <v>4</v>
      </c>
    </row>
    <row r="566" spans="1:22" x14ac:dyDescent="0.25">
      <c r="A566" t="s">
        <v>1548</v>
      </c>
      <c r="B566" s="1">
        <v>45590</v>
      </c>
      <c r="C566" t="s">
        <v>1549</v>
      </c>
      <c r="D566" t="s">
        <v>998</v>
      </c>
      <c r="E566">
        <v>37</v>
      </c>
      <c r="F566" t="str">
        <f>IF(Table1[[#This Row],[age]]&lt;=25,"18-25",IF(Table1[[#This Row],[age]]&lt;=35,"26-35",IF(Table1[[#This Row],[age]]&lt;=50,"36-50","51+")))</f>
        <v>36-50</v>
      </c>
      <c r="G566" t="s">
        <v>54</v>
      </c>
      <c r="H566" t="s">
        <v>61</v>
      </c>
      <c r="I566" t="s">
        <v>62</v>
      </c>
      <c r="J566" t="s">
        <v>63</v>
      </c>
      <c r="K566" t="s">
        <v>111</v>
      </c>
      <c r="L566">
        <v>3</v>
      </c>
      <c r="M566">
        <v>1187.4000000000001</v>
      </c>
      <c r="N566">
        <v>0.35</v>
      </c>
      <c r="O566">
        <v>2772.19</v>
      </c>
      <c r="P566">
        <v>1166.8800000000001</v>
      </c>
      <c r="Q566">
        <v>39.79</v>
      </c>
      <c r="R566" t="s">
        <v>49</v>
      </c>
      <c r="S566">
        <v>5</v>
      </c>
      <c r="T566" t="b">
        <v>0</v>
      </c>
      <c r="U566" t="s">
        <v>30</v>
      </c>
      <c r="V566">
        <v>7</v>
      </c>
    </row>
    <row r="567" spans="1:22" x14ac:dyDescent="0.25">
      <c r="A567" t="s">
        <v>1550</v>
      </c>
      <c r="B567" s="1">
        <v>45510</v>
      </c>
      <c r="C567" t="s">
        <v>1551</v>
      </c>
      <c r="D567" t="s">
        <v>1095</v>
      </c>
      <c r="E567">
        <v>40</v>
      </c>
      <c r="F567" t="str">
        <f>IF(Table1[[#This Row],[age]]&lt;=25,"18-25",IF(Table1[[#This Row],[age]]&lt;=35,"26-35",IF(Table1[[#This Row],[age]]&lt;=50,"36-50","51+")))</f>
        <v>36-50</v>
      </c>
      <c r="G567" t="s">
        <v>24</v>
      </c>
      <c r="H567" t="s">
        <v>80</v>
      </c>
      <c r="I567" t="s">
        <v>236</v>
      </c>
      <c r="J567" t="s">
        <v>36</v>
      </c>
      <c r="K567" t="s">
        <v>37</v>
      </c>
      <c r="L567">
        <v>8</v>
      </c>
      <c r="M567">
        <v>29325.03</v>
      </c>
      <c r="N567">
        <v>0.33</v>
      </c>
      <c r="O567">
        <v>238669.42</v>
      </c>
      <c r="P567">
        <v>54334.41</v>
      </c>
      <c r="Q567">
        <v>57.12</v>
      </c>
      <c r="R567" t="s">
        <v>49</v>
      </c>
      <c r="S567">
        <v>5</v>
      </c>
      <c r="T567" t="b">
        <v>0</v>
      </c>
      <c r="U567" t="s">
        <v>30</v>
      </c>
      <c r="V567">
        <v>2</v>
      </c>
    </row>
    <row r="568" spans="1:22" x14ac:dyDescent="0.25">
      <c r="A568" t="s">
        <v>1552</v>
      </c>
      <c r="B568" s="1">
        <v>45085</v>
      </c>
      <c r="C568" t="s">
        <v>1553</v>
      </c>
      <c r="D568" t="s">
        <v>412</v>
      </c>
      <c r="E568">
        <v>39</v>
      </c>
      <c r="F568" t="str">
        <f>IF(Table1[[#This Row],[age]]&lt;=25,"18-25",IF(Table1[[#This Row],[age]]&lt;=35,"26-35",IF(Table1[[#This Row],[age]]&lt;=50,"36-50","51+")))</f>
        <v>36-50</v>
      </c>
      <c r="G568" t="s">
        <v>54</v>
      </c>
      <c r="H568" t="s">
        <v>55</v>
      </c>
      <c r="I568" t="s">
        <v>97</v>
      </c>
      <c r="J568" t="s">
        <v>63</v>
      </c>
      <c r="K568" t="s">
        <v>87</v>
      </c>
      <c r="L568">
        <v>7</v>
      </c>
      <c r="M568">
        <v>983.45</v>
      </c>
      <c r="N568">
        <v>0.03</v>
      </c>
      <c r="O568">
        <v>11834.57</v>
      </c>
      <c r="P568">
        <v>3889.86</v>
      </c>
      <c r="Q568">
        <v>67.48</v>
      </c>
      <c r="R568" t="s">
        <v>29</v>
      </c>
      <c r="S568">
        <v>4</v>
      </c>
      <c r="T568" t="b">
        <v>1</v>
      </c>
      <c r="U568" t="s">
        <v>50</v>
      </c>
      <c r="V568">
        <v>10</v>
      </c>
    </row>
    <row r="569" spans="1:22" x14ac:dyDescent="0.25">
      <c r="A569" t="s">
        <v>1554</v>
      </c>
      <c r="B569" s="1">
        <v>44742</v>
      </c>
      <c r="C569" t="s">
        <v>1555</v>
      </c>
      <c r="D569" t="s">
        <v>1436</v>
      </c>
      <c r="E569">
        <v>31</v>
      </c>
      <c r="F569" t="str">
        <f>IF(Table1[[#This Row],[age]]&lt;=25,"18-25",IF(Table1[[#This Row],[age]]&lt;=35,"26-35",IF(Table1[[#This Row],[age]]&lt;=50,"36-50","51+")))</f>
        <v>26-35</v>
      </c>
      <c r="G569" t="s">
        <v>24</v>
      </c>
      <c r="H569" t="s">
        <v>69</v>
      </c>
      <c r="I569" t="s">
        <v>136</v>
      </c>
      <c r="J569" t="s">
        <v>27</v>
      </c>
      <c r="K569" t="s">
        <v>192</v>
      </c>
      <c r="L569">
        <v>3</v>
      </c>
      <c r="M569">
        <v>1275.56</v>
      </c>
      <c r="N569">
        <v>0.37</v>
      </c>
      <c r="O569">
        <v>3369.84</v>
      </c>
      <c r="P569">
        <v>1461.23</v>
      </c>
      <c r="Q569">
        <v>99.3</v>
      </c>
      <c r="R569" t="s">
        <v>49</v>
      </c>
      <c r="S569">
        <v>5</v>
      </c>
      <c r="T569" t="b">
        <v>0</v>
      </c>
      <c r="U569" t="s">
        <v>30</v>
      </c>
      <c r="V569">
        <v>2</v>
      </c>
    </row>
    <row r="570" spans="1:22" x14ac:dyDescent="0.25">
      <c r="A570" t="s">
        <v>1556</v>
      </c>
      <c r="B570" s="1">
        <v>45225</v>
      </c>
      <c r="C570" t="s">
        <v>1557</v>
      </c>
      <c r="D570" t="s">
        <v>1327</v>
      </c>
      <c r="E570">
        <v>44</v>
      </c>
      <c r="F570" t="str">
        <f>IF(Table1[[#This Row],[age]]&lt;=25,"18-25",IF(Table1[[#This Row],[age]]&lt;=35,"26-35",IF(Table1[[#This Row],[age]]&lt;=50,"36-50","51+")))</f>
        <v>36-50</v>
      </c>
      <c r="G570" t="s">
        <v>24</v>
      </c>
      <c r="H570" t="s">
        <v>55</v>
      </c>
      <c r="I570" t="s">
        <v>97</v>
      </c>
      <c r="J570" t="s">
        <v>47</v>
      </c>
      <c r="K570" t="s">
        <v>204</v>
      </c>
      <c r="L570">
        <v>2</v>
      </c>
      <c r="M570">
        <v>357.54</v>
      </c>
      <c r="N570">
        <v>0.39</v>
      </c>
      <c r="O570">
        <v>449.09</v>
      </c>
      <c r="P570">
        <v>210.08</v>
      </c>
      <c r="Q570">
        <v>68.599999999999994</v>
      </c>
      <c r="R570" t="s">
        <v>92</v>
      </c>
      <c r="S570">
        <v>4</v>
      </c>
      <c r="T570" t="b">
        <v>0</v>
      </c>
      <c r="U570" t="s">
        <v>30</v>
      </c>
      <c r="V570">
        <v>2</v>
      </c>
    </row>
    <row r="571" spans="1:22" x14ac:dyDescent="0.25">
      <c r="A571" t="s">
        <v>1558</v>
      </c>
      <c r="B571" s="1">
        <v>44964</v>
      </c>
      <c r="C571" t="s">
        <v>1559</v>
      </c>
      <c r="D571" t="s">
        <v>649</v>
      </c>
      <c r="E571">
        <v>24</v>
      </c>
      <c r="F571" t="str">
        <f>IF(Table1[[#This Row],[age]]&lt;=25,"18-25",IF(Table1[[#This Row],[age]]&lt;=35,"26-35",IF(Table1[[#This Row],[age]]&lt;=50,"36-50","51+")))</f>
        <v>18-25</v>
      </c>
      <c r="G571" t="s">
        <v>54</v>
      </c>
      <c r="H571" t="s">
        <v>61</v>
      </c>
      <c r="I571" t="s">
        <v>163</v>
      </c>
      <c r="J571" t="s">
        <v>47</v>
      </c>
      <c r="K571" t="s">
        <v>120</v>
      </c>
      <c r="L571">
        <v>9</v>
      </c>
      <c r="M571">
        <v>1219.1099999999999</v>
      </c>
      <c r="N571">
        <v>0.09</v>
      </c>
      <c r="O571">
        <v>11967.15</v>
      </c>
      <c r="P571">
        <v>4663.6899999999996</v>
      </c>
      <c r="Q571">
        <v>73.88</v>
      </c>
      <c r="R571" t="s">
        <v>29</v>
      </c>
      <c r="S571">
        <v>1</v>
      </c>
      <c r="T571" t="b">
        <v>0</v>
      </c>
      <c r="U571" t="s">
        <v>30</v>
      </c>
      <c r="V571">
        <v>9</v>
      </c>
    </row>
    <row r="572" spans="1:22" x14ac:dyDescent="0.25">
      <c r="A572" t="s">
        <v>1560</v>
      </c>
      <c r="B572" s="1">
        <v>43958</v>
      </c>
      <c r="C572" t="s">
        <v>1561</v>
      </c>
      <c r="D572" t="s">
        <v>455</v>
      </c>
      <c r="E572">
        <v>38</v>
      </c>
      <c r="F572" t="str">
        <f>IF(Table1[[#This Row],[age]]&lt;=25,"18-25",IF(Table1[[#This Row],[age]]&lt;=35,"26-35",IF(Table1[[#This Row],[age]]&lt;=50,"36-50","51+")))</f>
        <v>36-50</v>
      </c>
      <c r="G572" t="s">
        <v>24</v>
      </c>
      <c r="H572" t="s">
        <v>25</v>
      </c>
      <c r="I572" t="s">
        <v>26</v>
      </c>
      <c r="J572" t="s">
        <v>47</v>
      </c>
      <c r="K572" t="s">
        <v>156</v>
      </c>
      <c r="L572">
        <v>2</v>
      </c>
      <c r="M572">
        <v>713.5</v>
      </c>
      <c r="N572">
        <v>0.03</v>
      </c>
      <c r="O572">
        <v>1825.08</v>
      </c>
      <c r="P572">
        <v>867.87</v>
      </c>
      <c r="Q572">
        <v>54.38</v>
      </c>
      <c r="R572" t="s">
        <v>29</v>
      </c>
      <c r="S572">
        <v>3</v>
      </c>
      <c r="T572" t="b">
        <v>0</v>
      </c>
      <c r="U572" t="s">
        <v>30</v>
      </c>
      <c r="V572">
        <v>3</v>
      </c>
    </row>
    <row r="573" spans="1:22" x14ac:dyDescent="0.25">
      <c r="A573" t="s">
        <v>1562</v>
      </c>
      <c r="B573" s="1">
        <v>44268</v>
      </c>
      <c r="C573" t="s">
        <v>1563</v>
      </c>
      <c r="D573" t="s">
        <v>1327</v>
      </c>
      <c r="E573">
        <v>51</v>
      </c>
      <c r="F573" t="str">
        <f>IF(Table1[[#This Row],[age]]&lt;=25,"18-25",IF(Table1[[#This Row],[age]]&lt;=35,"26-35",IF(Table1[[#This Row],[age]]&lt;=50,"36-50","51+")))</f>
        <v>51+</v>
      </c>
      <c r="G573" t="s">
        <v>54</v>
      </c>
      <c r="H573" t="s">
        <v>61</v>
      </c>
      <c r="I573" t="s">
        <v>91</v>
      </c>
      <c r="J573" t="s">
        <v>106</v>
      </c>
      <c r="K573" t="s">
        <v>188</v>
      </c>
      <c r="L573">
        <v>5</v>
      </c>
      <c r="M573">
        <v>432.25</v>
      </c>
      <c r="N573">
        <v>0.01</v>
      </c>
      <c r="O573">
        <v>2079.81</v>
      </c>
      <c r="P573">
        <v>177.78</v>
      </c>
      <c r="Q573">
        <v>37.049999999999997</v>
      </c>
      <c r="R573" t="s">
        <v>43</v>
      </c>
      <c r="S573">
        <v>2</v>
      </c>
      <c r="T573" t="b">
        <v>0</v>
      </c>
      <c r="U573" t="s">
        <v>30</v>
      </c>
      <c r="V573">
        <v>10</v>
      </c>
    </row>
    <row r="574" spans="1:22" x14ac:dyDescent="0.25">
      <c r="A574" t="s">
        <v>1564</v>
      </c>
      <c r="B574" s="1">
        <v>44238</v>
      </c>
      <c r="C574" t="s">
        <v>1565</v>
      </c>
      <c r="D574" t="s">
        <v>1566</v>
      </c>
      <c r="E574">
        <v>21</v>
      </c>
      <c r="F574" t="str">
        <f>IF(Table1[[#This Row],[age]]&lt;=25,"18-25",IF(Table1[[#This Row],[age]]&lt;=35,"26-35",IF(Table1[[#This Row],[age]]&lt;=50,"36-50","51+")))</f>
        <v>18-25</v>
      </c>
      <c r="G574" t="s">
        <v>54</v>
      </c>
      <c r="H574" t="s">
        <v>69</v>
      </c>
      <c r="I574" t="s">
        <v>136</v>
      </c>
      <c r="J574" t="s">
        <v>101</v>
      </c>
      <c r="K574" t="s">
        <v>102</v>
      </c>
      <c r="L574">
        <v>6</v>
      </c>
      <c r="M574">
        <v>9644.7800000000007</v>
      </c>
      <c r="N574">
        <v>0.12</v>
      </c>
      <c r="O574">
        <v>53077.760000000002</v>
      </c>
      <c r="P574">
        <v>12558.1</v>
      </c>
      <c r="Q574">
        <v>95.75</v>
      </c>
      <c r="R574" t="s">
        <v>29</v>
      </c>
      <c r="S574">
        <v>3</v>
      </c>
      <c r="T574" t="b">
        <v>0</v>
      </c>
      <c r="U574" t="s">
        <v>93</v>
      </c>
      <c r="V574">
        <v>9</v>
      </c>
    </row>
    <row r="575" spans="1:22" x14ac:dyDescent="0.25">
      <c r="A575" t="s">
        <v>1567</v>
      </c>
      <c r="B575" s="1">
        <v>45064</v>
      </c>
      <c r="C575" t="s">
        <v>1568</v>
      </c>
      <c r="D575" t="s">
        <v>959</v>
      </c>
      <c r="E575">
        <v>51</v>
      </c>
      <c r="F575" t="str">
        <f>IF(Table1[[#This Row],[age]]&lt;=25,"18-25",IF(Table1[[#This Row],[age]]&lt;=35,"26-35",IF(Table1[[#This Row],[age]]&lt;=50,"36-50","51+")))</f>
        <v>51+</v>
      </c>
      <c r="G575" t="s">
        <v>24</v>
      </c>
      <c r="H575" t="s">
        <v>61</v>
      </c>
      <c r="I575" t="s">
        <v>141</v>
      </c>
      <c r="J575" t="s">
        <v>47</v>
      </c>
      <c r="K575" t="s">
        <v>272</v>
      </c>
      <c r="L575">
        <v>6</v>
      </c>
      <c r="M575">
        <v>473</v>
      </c>
      <c r="N575">
        <v>0.16</v>
      </c>
      <c r="O575">
        <v>4064.17</v>
      </c>
      <c r="P575">
        <v>1153.73</v>
      </c>
      <c r="Q575">
        <v>55.81</v>
      </c>
      <c r="R575" t="s">
        <v>57</v>
      </c>
      <c r="S575">
        <v>1</v>
      </c>
      <c r="T575" t="b">
        <v>1</v>
      </c>
      <c r="U575" t="s">
        <v>50</v>
      </c>
      <c r="V575">
        <v>4</v>
      </c>
    </row>
    <row r="576" spans="1:22" x14ac:dyDescent="0.25">
      <c r="A576" t="s">
        <v>1569</v>
      </c>
      <c r="B576" s="1">
        <v>44144</v>
      </c>
      <c r="C576" t="s">
        <v>1570</v>
      </c>
      <c r="D576" t="s">
        <v>871</v>
      </c>
      <c r="E576">
        <v>36</v>
      </c>
      <c r="F576" t="str">
        <f>IF(Table1[[#This Row],[age]]&lt;=25,"18-25",IF(Table1[[#This Row],[age]]&lt;=35,"26-35",IF(Table1[[#This Row],[age]]&lt;=50,"36-50","51+")))</f>
        <v>36-50</v>
      </c>
      <c r="G576" t="s">
        <v>24</v>
      </c>
      <c r="H576" t="s">
        <v>80</v>
      </c>
      <c r="I576" t="s">
        <v>236</v>
      </c>
      <c r="J576" t="s">
        <v>63</v>
      </c>
      <c r="K576" t="s">
        <v>64</v>
      </c>
      <c r="L576">
        <v>9</v>
      </c>
      <c r="M576">
        <v>1818.25</v>
      </c>
      <c r="N576">
        <v>0.15</v>
      </c>
      <c r="O576">
        <v>10464.16</v>
      </c>
      <c r="P576">
        <v>4513.75</v>
      </c>
      <c r="Q576">
        <v>74.959999999999994</v>
      </c>
      <c r="R576" t="s">
        <v>43</v>
      </c>
      <c r="S576">
        <v>4</v>
      </c>
      <c r="T576" t="b">
        <v>0</v>
      </c>
      <c r="U576" t="s">
        <v>30</v>
      </c>
      <c r="V576">
        <v>4</v>
      </c>
    </row>
    <row r="577" spans="1:22" x14ac:dyDescent="0.25">
      <c r="A577" t="s">
        <v>1571</v>
      </c>
      <c r="B577" s="1">
        <v>44751</v>
      </c>
      <c r="C577" t="s">
        <v>1572</v>
      </c>
      <c r="D577" t="s">
        <v>1573</v>
      </c>
      <c r="E577">
        <v>25</v>
      </c>
      <c r="F577" t="str">
        <f>IF(Table1[[#This Row],[age]]&lt;=25,"18-25",IF(Table1[[#This Row],[age]]&lt;=35,"26-35",IF(Table1[[#This Row],[age]]&lt;=50,"36-50","51+")))</f>
        <v>18-25</v>
      </c>
      <c r="G577" t="s">
        <v>24</v>
      </c>
      <c r="H577" t="s">
        <v>61</v>
      </c>
      <c r="I577" t="s">
        <v>163</v>
      </c>
      <c r="J577" t="s">
        <v>36</v>
      </c>
      <c r="K577" t="s">
        <v>42</v>
      </c>
      <c r="L577">
        <v>6</v>
      </c>
      <c r="M577">
        <v>28297.1</v>
      </c>
      <c r="N577">
        <v>0.3</v>
      </c>
      <c r="O577">
        <v>183102.21</v>
      </c>
      <c r="P577">
        <v>41267.82</v>
      </c>
      <c r="Q577">
        <v>77.25</v>
      </c>
      <c r="R577" t="s">
        <v>57</v>
      </c>
      <c r="S577">
        <v>1</v>
      </c>
      <c r="T577" t="b">
        <v>0</v>
      </c>
      <c r="U577" t="s">
        <v>30</v>
      </c>
      <c r="V577">
        <v>3</v>
      </c>
    </row>
    <row r="578" spans="1:22" x14ac:dyDescent="0.25">
      <c r="A578" t="s">
        <v>1574</v>
      </c>
      <c r="B578" s="1">
        <v>45195</v>
      </c>
      <c r="C578" t="s">
        <v>1575</v>
      </c>
      <c r="D578" t="s">
        <v>1117</v>
      </c>
      <c r="E578">
        <v>29</v>
      </c>
      <c r="F578" t="str">
        <f>IF(Table1[[#This Row],[age]]&lt;=25,"18-25",IF(Table1[[#This Row],[age]]&lt;=35,"26-35",IF(Table1[[#This Row],[age]]&lt;=50,"36-50","51+")))</f>
        <v>26-35</v>
      </c>
      <c r="G578" t="s">
        <v>34</v>
      </c>
      <c r="H578" t="s">
        <v>80</v>
      </c>
      <c r="I578" t="s">
        <v>81</v>
      </c>
      <c r="J578" t="s">
        <v>101</v>
      </c>
      <c r="K578" t="s">
        <v>102</v>
      </c>
      <c r="L578">
        <v>1</v>
      </c>
      <c r="M578">
        <v>12275.23</v>
      </c>
      <c r="N578">
        <v>0.09</v>
      </c>
      <c r="O578">
        <v>12167.28</v>
      </c>
      <c r="P578">
        <v>2949.77</v>
      </c>
      <c r="Q578">
        <v>58.94</v>
      </c>
      <c r="R578" t="s">
        <v>29</v>
      </c>
      <c r="S578">
        <v>3</v>
      </c>
      <c r="T578" t="b">
        <v>1</v>
      </c>
      <c r="U578" t="s">
        <v>50</v>
      </c>
      <c r="V578">
        <v>6</v>
      </c>
    </row>
    <row r="579" spans="1:22" x14ac:dyDescent="0.25">
      <c r="A579" t="s">
        <v>1576</v>
      </c>
      <c r="B579" s="1">
        <v>44755</v>
      </c>
      <c r="C579" t="s">
        <v>1577</v>
      </c>
      <c r="D579" t="s">
        <v>1578</v>
      </c>
      <c r="E579">
        <v>28</v>
      </c>
      <c r="F579" t="str">
        <f>IF(Table1[[#This Row],[age]]&lt;=25,"18-25",IF(Table1[[#This Row],[age]]&lt;=35,"26-35",IF(Table1[[#This Row],[age]]&lt;=50,"36-50","51+")))</f>
        <v>26-35</v>
      </c>
      <c r="G579" t="s">
        <v>34</v>
      </c>
      <c r="H579" t="s">
        <v>55</v>
      </c>
      <c r="I579" t="s">
        <v>75</v>
      </c>
      <c r="J579" t="s">
        <v>106</v>
      </c>
      <c r="K579" t="s">
        <v>718</v>
      </c>
      <c r="L579">
        <v>2</v>
      </c>
      <c r="M579">
        <v>116.27</v>
      </c>
      <c r="N579">
        <v>0.28000000000000003</v>
      </c>
      <c r="O579">
        <v>240.6</v>
      </c>
      <c r="P579">
        <v>20.5</v>
      </c>
      <c r="Q579">
        <v>46.11</v>
      </c>
      <c r="R579" t="s">
        <v>49</v>
      </c>
      <c r="S579">
        <v>2</v>
      </c>
      <c r="T579" t="b">
        <v>0</v>
      </c>
      <c r="U579" t="s">
        <v>193</v>
      </c>
      <c r="V579">
        <v>9</v>
      </c>
    </row>
    <row r="580" spans="1:22" x14ac:dyDescent="0.25">
      <c r="A580" t="s">
        <v>1579</v>
      </c>
      <c r="B580" s="1">
        <v>44971</v>
      </c>
      <c r="C580" t="s">
        <v>1580</v>
      </c>
      <c r="D580" t="s">
        <v>407</v>
      </c>
      <c r="E580">
        <v>47</v>
      </c>
      <c r="F580" t="str">
        <f>IF(Table1[[#This Row],[age]]&lt;=25,"18-25",IF(Table1[[#This Row],[age]]&lt;=35,"26-35",IF(Table1[[#This Row],[age]]&lt;=50,"36-50","51+")))</f>
        <v>36-50</v>
      </c>
      <c r="G580" t="s">
        <v>34</v>
      </c>
      <c r="H580" t="s">
        <v>61</v>
      </c>
      <c r="I580" t="s">
        <v>141</v>
      </c>
      <c r="J580" t="s">
        <v>115</v>
      </c>
      <c r="K580" t="s">
        <v>398</v>
      </c>
      <c r="L580">
        <v>10</v>
      </c>
      <c r="M580">
        <v>19057.82</v>
      </c>
      <c r="N580">
        <v>0.26</v>
      </c>
      <c r="O580">
        <v>148714.97</v>
      </c>
      <c r="P580">
        <v>19803.29</v>
      </c>
      <c r="Q580">
        <v>66.52</v>
      </c>
      <c r="R580" t="s">
        <v>92</v>
      </c>
      <c r="S580">
        <v>1</v>
      </c>
      <c r="T580" t="b">
        <v>1</v>
      </c>
      <c r="U580" t="s">
        <v>50</v>
      </c>
      <c r="V580">
        <v>10</v>
      </c>
    </row>
    <row r="581" spans="1:22" x14ac:dyDescent="0.25">
      <c r="A581" t="s">
        <v>1581</v>
      </c>
      <c r="B581" s="1">
        <v>44748</v>
      </c>
      <c r="C581" t="s">
        <v>1582</v>
      </c>
      <c r="D581" t="s">
        <v>1430</v>
      </c>
      <c r="E581">
        <v>42</v>
      </c>
      <c r="F581" t="str">
        <f>IF(Table1[[#This Row],[age]]&lt;=25,"18-25",IF(Table1[[#This Row],[age]]&lt;=35,"26-35",IF(Table1[[#This Row],[age]]&lt;=50,"36-50","51+")))</f>
        <v>36-50</v>
      </c>
      <c r="G581" t="s">
        <v>24</v>
      </c>
      <c r="H581" t="s">
        <v>80</v>
      </c>
      <c r="I581" t="s">
        <v>86</v>
      </c>
      <c r="J581" t="s">
        <v>63</v>
      </c>
      <c r="K581" t="s">
        <v>111</v>
      </c>
      <c r="L581">
        <v>8</v>
      </c>
      <c r="M581">
        <v>946.16</v>
      </c>
      <c r="N581">
        <v>0.31</v>
      </c>
      <c r="O581">
        <v>7291.61</v>
      </c>
      <c r="P581">
        <v>3065.47</v>
      </c>
      <c r="Q581">
        <v>76.81</v>
      </c>
      <c r="R581" t="s">
        <v>65</v>
      </c>
      <c r="S581">
        <v>2</v>
      </c>
      <c r="T581" t="b">
        <v>0</v>
      </c>
      <c r="U581" t="s">
        <v>30</v>
      </c>
      <c r="V581">
        <v>8</v>
      </c>
    </row>
    <row r="582" spans="1:22" x14ac:dyDescent="0.25">
      <c r="A582" t="s">
        <v>1583</v>
      </c>
      <c r="B582" s="1">
        <v>45021</v>
      </c>
      <c r="C582" t="s">
        <v>1584</v>
      </c>
      <c r="D582" t="s">
        <v>278</v>
      </c>
      <c r="E582">
        <v>19</v>
      </c>
      <c r="F582" t="str">
        <f>IF(Table1[[#This Row],[age]]&lt;=25,"18-25",IF(Table1[[#This Row],[age]]&lt;=35,"26-35",IF(Table1[[#This Row],[age]]&lt;=50,"36-50","51+")))</f>
        <v>18-25</v>
      </c>
      <c r="G582" t="s">
        <v>24</v>
      </c>
      <c r="H582" t="s">
        <v>25</v>
      </c>
      <c r="I582" t="s">
        <v>41</v>
      </c>
      <c r="J582" t="s">
        <v>63</v>
      </c>
      <c r="K582" t="s">
        <v>434</v>
      </c>
      <c r="L582">
        <v>2</v>
      </c>
      <c r="M582">
        <v>3794.57</v>
      </c>
      <c r="N582">
        <v>0.05</v>
      </c>
      <c r="O582">
        <v>9475.19</v>
      </c>
      <c r="P582">
        <v>3916.81</v>
      </c>
      <c r="Q582">
        <v>23.37</v>
      </c>
      <c r="R582" t="s">
        <v>43</v>
      </c>
      <c r="S582">
        <v>5</v>
      </c>
      <c r="T582" t="b">
        <v>0</v>
      </c>
      <c r="U582" t="s">
        <v>30</v>
      </c>
      <c r="V582">
        <v>3</v>
      </c>
    </row>
    <row r="583" spans="1:22" x14ac:dyDescent="0.25">
      <c r="A583" t="s">
        <v>1585</v>
      </c>
      <c r="B583" s="1">
        <v>44222</v>
      </c>
      <c r="C583" t="s">
        <v>1586</v>
      </c>
      <c r="D583" t="s">
        <v>191</v>
      </c>
      <c r="E583">
        <v>27</v>
      </c>
      <c r="F583" t="str">
        <f>IF(Table1[[#This Row],[age]]&lt;=25,"18-25",IF(Table1[[#This Row],[age]]&lt;=35,"26-35",IF(Table1[[#This Row],[age]]&lt;=50,"36-50","51+")))</f>
        <v>26-35</v>
      </c>
      <c r="G583" t="s">
        <v>24</v>
      </c>
      <c r="H583" t="s">
        <v>55</v>
      </c>
      <c r="I583" t="s">
        <v>56</v>
      </c>
      <c r="J583" t="s">
        <v>101</v>
      </c>
      <c r="K583" t="s">
        <v>318</v>
      </c>
      <c r="L583">
        <v>7</v>
      </c>
      <c r="M583">
        <v>14159.23</v>
      </c>
      <c r="N583">
        <v>0.18</v>
      </c>
      <c r="O583">
        <v>67291.55</v>
      </c>
      <c r="P583">
        <v>15098.91</v>
      </c>
      <c r="Q583">
        <v>65.260000000000005</v>
      </c>
      <c r="R583" t="s">
        <v>43</v>
      </c>
      <c r="S583">
        <v>5</v>
      </c>
      <c r="T583" t="b">
        <v>0</v>
      </c>
      <c r="U583" t="s">
        <v>93</v>
      </c>
      <c r="V583">
        <v>1</v>
      </c>
    </row>
    <row r="584" spans="1:22" x14ac:dyDescent="0.25">
      <c r="A584" t="s">
        <v>1587</v>
      </c>
      <c r="B584" s="1">
        <v>44125</v>
      </c>
      <c r="C584" t="s">
        <v>1588</v>
      </c>
      <c r="D584" t="s">
        <v>1589</v>
      </c>
      <c r="E584">
        <v>36</v>
      </c>
      <c r="F584" t="str">
        <f>IF(Table1[[#This Row],[age]]&lt;=25,"18-25",IF(Table1[[#This Row],[age]]&lt;=35,"26-35",IF(Table1[[#This Row],[age]]&lt;=50,"36-50","51+")))</f>
        <v>36-50</v>
      </c>
      <c r="G584" t="s">
        <v>54</v>
      </c>
      <c r="H584" t="s">
        <v>25</v>
      </c>
      <c r="I584" t="s">
        <v>41</v>
      </c>
      <c r="J584" t="s">
        <v>36</v>
      </c>
      <c r="K584" t="s">
        <v>42</v>
      </c>
      <c r="L584">
        <v>8</v>
      </c>
      <c r="M584">
        <v>32918.629999999997</v>
      </c>
      <c r="N584">
        <v>0.14000000000000001</v>
      </c>
      <c r="O584">
        <v>208563.97</v>
      </c>
      <c r="P584">
        <v>70073.179999999993</v>
      </c>
      <c r="Q584">
        <v>49.07</v>
      </c>
      <c r="R584" t="s">
        <v>57</v>
      </c>
      <c r="S584">
        <v>3</v>
      </c>
      <c r="T584" t="b">
        <v>0</v>
      </c>
      <c r="U584" t="s">
        <v>30</v>
      </c>
      <c r="V584">
        <v>1</v>
      </c>
    </row>
    <row r="585" spans="1:22" x14ac:dyDescent="0.25">
      <c r="A585" t="s">
        <v>1590</v>
      </c>
      <c r="B585" s="1">
        <v>44893</v>
      </c>
      <c r="C585" t="s">
        <v>1591</v>
      </c>
      <c r="D585" t="s">
        <v>964</v>
      </c>
      <c r="E585">
        <v>34</v>
      </c>
      <c r="F585" t="str">
        <f>IF(Table1[[#This Row],[age]]&lt;=25,"18-25",IF(Table1[[#This Row],[age]]&lt;=35,"26-35",IF(Table1[[#This Row],[age]]&lt;=50,"36-50","51+")))</f>
        <v>26-35</v>
      </c>
      <c r="G585" t="s">
        <v>34</v>
      </c>
      <c r="H585" t="s">
        <v>61</v>
      </c>
      <c r="I585" t="s">
        <v>62</v>
      </c>
      <c r="J585" t="s">
        <v>106</v>
      </c>
      <c r="K585" t="s">
        <v>314</v>
      </c>
      <c r="L585">
        <v>3</v>
      </c>
      <c r="M585">
        <v>394.51</v>
      </c>
      <c r="N585">
        <v>0.05</v>
      </c>
      <c r="O585">
        <v>858.05</v>
      </c>
      <c r="P585">
        <v>56.54</v>
      </c>
      <c r="Q585">
        <v>50.11</v>
      </c>
      <c r="R585" t="s">
        <v>65</v>
      </c>
      <c r="S585">
        <v>2</v>
      </c>
      <c r="T585" t="b">
        <v>0</v>
      </c>
      <c r="U585" t="s">
        <v>93</v>
      </c>
      <c r="V585">
        <v>7</v>
      </c>
    </row>
    <row r="586" spans="1:22" x14ac:dyDescent="0.25">
      <c r="A586" t="s">
        <v>1592</v>
      </c>
      <c r="B586" s="1">
        <v>45547</v>
      </c>
      <c r="C586" t="s">
        <v>1593</v>
      </c>
      <c r="D586" t="s">
        <v>346</v>
      </c>
      <c r="E586">
        <v>34</v>
      </c>
      <c r="F586" t="str">
        <f>IF(Table1[[#This Row],[age]]&lt;=25,"18-25",IF(Table1[[#This Row],[age]]&lt;=35,"26-35",IF(Table1[[#This Row],[age]]&lt;=50,"36-50","51+")))</f>
        <v>26-35</v>
      </c>
      <c r="G586" t="s">
        <v>54</v>
      </c>
      <c r="H586" t="s">
        <v>55</v>
      </c>
      <c r="I586" t="s">
        <v>114</v>
      </c>
      <c r="J586" t="s">
        <v>106</v>
      </c>
      <c r="K586" t="s">
        <v>718</v>
      </c>
      <c r="L586">
        <v>8</v>
      </c>
      <c r="M586">
        <v>383.85</v>
      </c>
      <c r="N586">
        <v>0.39</v>
      </c>
      <c r="O586">
        <v>2308.0500000000002</v>
      </c>
      <c r="P586">
        <v>155.62</v>
      </c>
      <c r="Q586">
        <v>57.65</v>
      </c>
      <c r="R586" t="s">
        <v>49</v>
      </c>
      <c r="S586">
        <v>1</v>
      </c>
      <c r="T586" t="b">
        <v>0</v>
      </c>
      <c r="U586" t="s">
        <v>30</v>
      </c>
      <c r="V586">
        <v>10</v>
      </c>
    </row>
    <row r="587" spans="1:22" x14ac:dyDescent="0.25">
      <c r="A587" t="s">
        <v>1594</v>
      </c>
      <c r="B587" s="1">
        <v>45425</v>
      </c>
      <c r="C587" t="s">
        <v>1595</v>
      </c>
      <c r="D587" t="s">
        <v>140</v>
      </c>
      <c r="E587">
        <v>21</v>
      </c>
      <c r="F587" t="str">
        <f>IF(Table1[[#This Row],[age]]&lt;=25,"18-25",IF(Table1[[#This Row],[age]]&lt;=35,"26-35",IF(Table1[[#This Row],[age]]&lt;=50,"36-50","51+")))</f>
        <v>18-25</v>
      </c>
      <c r="G587" t="s">
        <v>54</v>
      </c>
      <c r="H587" t="s">
        <v>69</v>
      </c>
      <c r="I587" t="s">
        <v>70</v>
      </c>
      <c r="J587" t="s">
        <v>36</v>
      </c>
      <c r="K587" t="s">
        <v>76</v>
      </c>
      <c r="L587">
        <v>6</v>
      </c>
      <c r="M587">
        <v>17147.62</v>
      </c>
      <c r="N587">
        <v>0.11</v>
      </c>
      <c r="O587">
        <v>182249.65</v>
      </c>
      <c r="P587">
        <v>41080.800000000003</v>
      </c>
      <c r="Q587">
        <v>87.27</v>
      </c>
      <c r="R587" t="s">
        <v>57</v>
      </c>
      <c r="S587">
        <v>1</v>
      </c>
      <c r="T587" t="b">
        <v>0</v>
      </c>
      <c r="U587" t="s">
        <v>30</v>
      </c>
      <c r="V587">
        <v>4</v>
      </c>
    </row>
    <row r="588" spans="1:22" x14ac:dyDescent="0.25">
      <c r="A588" t="s">
        <v>1596</v>
      </c>
      <c r="B588" s="1">
        <v>43967</v>
      </c>
      <c r="C588" t="s">
        <v>1597</v>
      </c>
      <c r="D588" t="s">
        <v>1598</v>
      </c>
      <c r="E588">
        <v>39</v>
      </c>
      <c r="F588" t="str">
        <f>IF(Table1[[#This Row],[age]]&lt;=25,"18-25",IF(Table1[[#This Row],[age]]&lt;=35,"26-35",IF(Table1[[#This Row],[age]]&lt;=50,"36-50","51+")))</f>
        <v>36-50</v>
      </c>
      <c r="G588" t="s">
        <v>54</v>
      </c>
      <c r="H588" t="s">
        <v>61</v>
      </c>
      <c r="I588" t="s">
        <v>62</v>
      </c>
      <c r="J588" t="s">
        <v>63</v>
      </c>
      <c r="K588" t="s">
        <v>434</v>
      </c>
      <c r="L588">
        <v>1</v>
      </c>
      <c r="M588">
        <v>507.78</v>
      </c>
      <c r="N588">
        <v>0.16</v>
      </c>
      <c r="O588">
        <v>592.57000000000005</v>
      </c>
      <c r="P588">
        <v>186.17</v>
      </c>
      <c r="Q588">
        <v>30.01</v>
      </c>
      <c r="R588" t="s">
        <v>49</v>
      </c>
      <c r="S588">
        <v>1</v>
      </c>
      <c r="T588" t="b">
        <v>0</v>
      </c>
      <c r="U588" t="s">
        <v>30</v>
      </c>
      <c r="V588">
        <v>10</v>
      </c>
    </row>
    <row r="589" spans="1:22" x14ac:dyDescent="0.25">
      <c r="A589" t="s">
        <v>1599</v>
      </c>
      <c r="B589" s="1">
        <v>44893</v>
      </c>
      <c r="C589" t="s">
        <v>1600</v>
      </c>
      <c r="D589" t="s">
        <v>1092</v>
      </c>
      <c r="E589">
        <v>65</v>
      </c>
      <c r="F589" t="str">
        <f>IF(Table1[[#This Row],[age]]&lt;=25,"18-25",IF(Table1[[#This Row],[age]]&lt;=35,"26-35",IF(Table1[[#This Row],[age]]&lt;=50,"36-50","51+")))</f>
        <v>51+</v>
      </c>
      <c r="G589" t="s">
        <v>54</v>
      </c>
      <c r="H589" t="s">
        <v>61</v>
      </c>
      <c r="I589" t="s">
        <v>91</v>
      </c>
      <c r="J589" t="s">
        <v>27</v>
      </c>
      <c r="K589" t="s">
        <v>192</v>
      </c>
      <c r="L589">
        <v>3</v>
      </c>
      <c r="M589">
        <v>2301.12</v>
      </c>
      <c r="N589">
        <v>0.01</v>
      </c>
      <c r="O589">
        <v>5967.23</v>
      </c>
      <c r="P589">
        <v>3374.68</v>
      </c>
      <c r="Q589">
        <v>44.75</v>
      </c>
      <c r="R589" t="s">
        <v>29</v>
      </c>
      <c r="S589">
        <v>3</v>
      </c>
      <c r="T589" t="b">
        <v>0</v>
      </c>
      <c r="U589" t="s">
        <v>30</v>
      </c>
      <c r="V589">
        <v>9</v>
      </c>
    </row>
    <row r="590" spans="1:22" x14ac:dyDescent="0.25">
      <c r="A590" t="s">
        <v>1601</v>
      </c>
      <c r="B590" s="1">
        <v>44508</v>
      </c>
      <c r="C590" t="s">
        <v>1602</v>
      </c>
      <c r="D590" t="s">
        <v>654</v>
      </c>
      <c r="E590">
        <v>36</v>
      </c>
      <c r="F590" t="str">
        <f>IF(Table1[[#This Row],[age]]&lt;=25,"18-25",IF(Table1[[#This Row],[age]]&lt;=35,"26-35",IF(Table1[[#This Row],[age]]&lt;=50,"36-50","51+")))</f>
        <v>36-50</v>
      </c>
      <c r="G590" t="s">
        <v>24</v>
      </c>
      <c r="H590" t="s">
        <v>80</v>
      </c>
      <c r="I590" t="s">
        <v>86</v>
      </c>
      <c r="J590" t="s">
        <v>63</v>
      </c>
      <c r="K590" t="s">
        <v>87</v>
      </c>
      <c r="L590">
        <v>8</v>
      </c>
      <c r="M590">
        <v>371.01</v>
      </c>
      <c r="N590">
        <v>0.05</v>
      </c>
      <c r="O590">
        <v>2211.38</v>
      </c>
      <c r="P590">
        <v>677.75</v>
      </c>
      <c r="Q590">
        <v>90.52</v>
      </c>
      <c r="R590" t="s">
        <v>29</v>
      </c>
      <c r="S590">
        <v>3</v>
      </c>
      <c r="T590" t="b">
        <v>0</v>
      </c>
      <c r="U590" t="s">
        <v>30</v>
      </c>
      <c r="V590">
        <v>4</v>
      </c>
    </row>
    <row r="591" spans="1:22" x14ac:dyDescent="0.25">
      <c r="A591" t="s">
        <v>1603</v>
      </c>
      <c r="B591" s="1">
        <v>45087</v>
      </c>
      <c r="C591" t="s">
        <v>1604</v>
      </c>
      <c r="D591" t="s">
        <v>262</v>
      </c>
      <c r="E591">
        <v>46</v>
      </c>
      <c r="F591" t="str">
        <f>IF(Table1[[#This Row],[age]]&lt;=25,"18-25",IF(Table1[[#This Row],[age]]&lt;=35,"26-35",IF(Table1[[#This Row],[age]]&lt;=50,"36-50","51+")))</f>
        <v>36-50</v>
      </c>
      <c r="G591" t="s">
        <v>24</v>
      </c>
      <c r="H591" t="s">
        <v>25</v>
      </c>
      <c r="I591" t="s">
        <v>41</v>
      </c>
      <c r="J591" t="s">
        <v>115</v>
      </c>
      <c r="K591" t="s">
        <v>137</v>
      </c>
      <c r="L591">
        <v>9</v>
      </c>
      <c r="M591">
        <v>31196.73</v>
      </c>
      <c r="N591">
        <v>0.12</v>
      </c>
      <c r="O591">
        <v>368280.67</v>
      </c>
      <c r="P591">
        <v>38060.11</v>
      </c>
      <c r="Q591">
        <v>59.85</v>
      </c>
      <c r="R591" t="s">
        <v>65</v>
      </c>
      <c r="S591">
        <v>1</v>
      </c>
      <c r="T591" t="b">
        <v>0</v>
      </c>
      <c r="U591" t="s">
        <v>30</v>
      </c>
      <c r="V591">
        <v>1</v>
      </c>
    </row>
    <row r="592" spans="1:22" x14ac:dyDescent="0.25">
      <c r="A592" t="s">
        <v>1605</v>
      </c>
      <c r="B592" s="1">
        <v>43945</v>
      </c>
      <c r="C592" t="s">
        <v>1606</v>
      </c>
      <c r="D592" t="s">
        <v>618</v>
      </c>
      <c r="E592">
        <v>33</v>
      </c>
      <c r="F592" t="str">
        <f>IF(Table1[[#This Row],[age]]&lt;=25,"18-25",IF(Table1[[#This Row],[age]]&lt;=35,"26-35",IF(Table1[[#This Row],[age]]&lt;=50,"36-50","51+")))</f>
        <v>26-35</v>
      </c>
      <c r="G592" t="s">
        <v>34</v>
      </c>
      <c r="H592" t="s">
        <v>69</v>
      </c>
      <c r="I592" t="s">
        <v>181</v>
      </c>
      <c r="J592" t="s">
        <v>36</v>
      </c>
      <c r="K592" t="s">
        <v>42</v>
      </c>
      <c r="L592">
        <v>5</v>
      </c>
      <c r="M592">
        <v>26679.1</v>
      </c>
      <c r="N592">
        <v>0.14000000000000001</v>
      </c>
      <c r="O592">
        <v>122018.19</v>
      </c>
      <c r="P592">
        <v>34943.360000000001</v>
      </c>
      <c r="Q592">
        <v>84.72</v>
      </c>
      <c r="R592" t="s">
        <v>49</v>
      </c>
      <c r="S592">
        <v>4</v>
      </c>
      <c r="T592" t="b">
        <v>0</v>
      </c>
      <c r="U592" t="s">
        <v>93</v>
      </c>
      <c r="V592">
        <v>6</v>
      </c>
    </row>
    <row r="593" spans="1:22" x14ac:dyDescent="0.25">
      <c r="A593" t="s">
        <v>1607</v>
      </c>
      <c r="B593" s="1">
        <v>45178</v>
      </c>
      <c r="C593" t="s">
        <v>1608</v>
      </c>
      <c r="D593" t="s">
        <v>361</v>
      </c>
      <c r="E593">
        <v>42</v>
      </c>
      <c r="F593" t="str">
        <f>IF(Table1[[#This Row],[age]]&lt;=25,"18-25",IF(Table1[[#This Row],[age]]&lt;=35,"26-35",IF(Table1[[#This Row],[age]]&lt;=50,"36-50","51+")))</f>
        <v>36-50</v>
      </c>
      <c r="G593" t="s">
        <v>54</v>
      </c>
      <c r="H593" t="s">
        <v>61</v>
      </c>
      <c r="I593" t="s">
        <v>62</v>
      </c>
      <c r="J593" t="s">
        <v>36</v>
      </c>
      <c r="K593" t="s">
        <v>42</v>
      </c>
      <c r="L593">
        <v>5</v>
      </c>
      <c r="M593">
        <v>12592.51</v>
      </c>
      <c r="N593">
        <v>0.28000000000000003</v>
      </c>
      <c r="O593">
        <v>61837.22</v>
      </c>
      <c r="P593">
        <v>19148.11</v>
      </c>
      <c r="Q593">
        <v>45.88</v>
      </c>
      <c r="R593" t="s">
        <v>65</v>
      </c>
      <c r="S593">
        <v>1</v>
      </c>
      <c r="T593" t="b">
        <v>1</v>
      </c>
      <c r="U593" t="s">
        <v>50</v>
      </c>
      <c r="V593">
        <v>5</v>
      </c>
    </row>
    <row r="594" spans="1:22" x14ac:dyDescent="0.25">
      <c r="A594" t="s">
        <v>1609</v>
      </c>
      <c r="B594" s="1">
        <v>44017</v>
      </c>
      <c r="C594" t="s">
        <v>1610</v>
      </c>
      <c r="D594" t="s">
        <v>127</v>
      </c>
      <c r="E594">
        <v>30</v>
      </c>
      <c r="F594" t="str">
        <f>IF(Table1[[#This Row],[age]]&lt;=25,"18-25",IF(Table1[[#This Row],[age]]&lt;=35,"26-35",IF(Table1[[#This Row],[age]]&lt;=50,"36-50","51+")))</f>
        <v>26-35</v>
      </c>
      <c r="G594" t="s">
        <v>54</v>
      </c>
      <c r="H594" t="s">
        <v>55</v>
      </c>
      <c r="I594" t="s">
        <v>56</v>
      </c>
      <c r="J594" t="s">
        <v>115</v>
      </c>
      <c r="K594" t="s">
        <v>116</v>
      </c>
      <c r="L594">
        <v>3</v>
      </c>
      <c r="M594">
        <v>65806.63</v>
      </c>
      <c r="N594">
        <v>0.38</v>
      </c>
      <c r="O594">
        <v>148143.49</v>
      </c>
      <c r="P594">
        <v>17001.53</v>
      </c>
      <c r="Q594">
        <v>32.06</v>
      </c>
      <c r="R594" t="s">
        <v>43</v>
      </c>
      <c r="S594">
        <v>2</v>
      </c>
      <c r="T594" t="b">
        <v>0</v>
      </c>
      <c r="U594" t="s">
        <v>30</v>
      </c>
      <c r="V594">
        <v>10</v>
      </c>
    </row>
    <row r="595" spans="1:22" x14ac:dyDescent="0.25">
      <c r="A595" t="s">
        <v>1611</v>
      </c>
      <c r="B595" s="1">
        <v>45029</v>
      </c>
      <c r="C595" t="s">
        <v>1612</v>
      </c>
      <c r="D595" t="s">
        <v>284</v>
      </c>
      <c r="E595">
        <v>53</v>
      </c>
      <c r="F595" t="str">
        <f>IF(Table1[[#This Row],[age]]&lt;=25,"18-25",IF(Table1[[#This Row],[age]]&lt;=35,"26-35",IF(Table1[[#This Row],[age]]&lt;=50,"36-50","51+")))</f>
        <v>51+</v>
      </c>
      <c r="G595" t="s">
        <v>34</v>
      </c>
      <c r="H595" t="s">
        <v>80</v>
      </c>
      <c r="I595" t="s">
        <v>81</v>
      </c>
      <c r="J595" t="s">
        <v>106</v>
      </c>
      <c r="K595" t="s">
        <v>107</v>
      </c>
      <c r="L595">
        <v>5</v>
      </c>
      <c r="M595">
        <v>185.61</v>
      </c>
      <c r="N595">
        <v>0.27</v>
      </c>
      <c r="O595">
        <v>977.56</v>
      </c>
      <c r="P595">
        <v>69.040000000000006</v>
      </c>
      <c r="Q595">
        <v>58.1</v>
      </c>
      <c r="R595" t="s">
        <v>43</v>
      </c>
      <c r="S595">
        <v>5</v>
      </c>
      <c r="T595" t="b">
        <v>0</v>
      </c>
      <c r="U595" t="s">
        <v>30</v>
      </c>
      <c r="V595">
        <v>2</v>
      </c>
    </row>
    <row r="596" spans="1:22" x14ac:dyDescent="0.25">
      <c r="A596" t="s">
        <v>1613</v>
      </c>
      <c r="B596" s="1">
        <v>44032</v>
      </c>
      <c r="C596" t="s">
        <v>1614</v>
      </c>
      <c r="D596" t="s">
        <v>1433</v>
      </c>
      <c r="E596">
        <v>56</v>
      </c>
      <c r="F596" t="str">
        <f>IF(Table1[[#This Row],[age]]&lt;=25,"18-25",IF(Table1[[#This Row],[age]]&lt;=35,"26-35",IF(Table1[[#This Row],[age]]&lt;=50,"36-50","51+")))</f>
        <v>51+</v>
      </c>
      <c r="G596" t="s">
        <v>54</v>
      </c>
      <c r="H596" t="s">
        <v>55</v>
      </c>
      <c r="I596" t="s">
        <v>75</v>
      </c>
      <c r="J596" t="s">
        <v>106</v>
      </c>
      <c r="K596" t="s">
        <v>718</v>
      </c>
      <c r="L596">
        <v>8</v>
      </c>
      <c r="M596">
        <v>353.32</v>
      </c>
      <c r="N596">
        <v>0.31</v>
      </c>
      <c r="O596">
        <v>2484.7800000000002</v>
      </c>
      <c r="P596">
        <v>174.59</v>
      </c>
      <c r="Q596">
        <v>72.56</v>
      </c>
      <c r="R596" t="s">
        <v>92</v>
      </c>
      <c r="S596">
        <v>3</v>
      </c>
      <c r="T596" t="b">
        <v>0</v>
      </c>
      <c r="U596" t="s">
        <v>93</v>
      </c>
      <c r="V596">
        <v>5</v>
      </c>
    </row>
    <row r="597" spans="1:22" x14ac:dyDescent="0.25">
      <c r="A597" t="s">
        <v>1615</v>
      </c>
      <c r="B597" s="1">
        <v>45229</v>
      </c>
      <c r="C597" t="s">
        <v>1616</v>
      </c>
      <c r="D597" t="s">
        <v>1617</v>
      </c>
      <c r="E597">
        <v>23</v>
      </c>
      <c r="F597" t="str">
        <f>IF(Table1[[#This Row],[age]]&lt;=25,"18-25",IF(Table1[[#This Row],[age]]&lt;=35,"26-35",IF(Table1[[#This Row],[age]]&lt;=50,"36-50","51+")))</f>
        <v>18-25</v>
      </c>
      <c r="G597" t="s">
        <v>54</v>
      </c>
      <c r="H597" t="s">
        <v>80</v>
      </c>
      <c r="I597" t="s">
        <v>236</v>
      </c>
      <c r="J597" t="s">
        <v>63</v>
      </c>
      <c r="K597" t="s">
        <v>87</v>
      </c>
      <c r="L597">
        <v>8</v>
      </c>
      <c r="M597">
        <v>1084.06</v>
      </c>
      <c r="N597">
        <v>0.19</v>
      </c>
      <c r="O597">
        <v>7119.27</v>
      </c>
      <c r="P597">
        <v>2636.93</v>
      </c>
      <c r="Q597">
        <v>74.709999999999994</v>
      </c>
      <c r="R597" t="s">
        <v>43</v>
      </c>
      <c r="S597">
        <v>5</v>
      </c>
      <c r="T597" t="b">
        <v>0</v>
      </c>
      <c r="U597" t="s">
        <v>71</v>
      </c>
      <c r="V597">
        <v>3</v>
      </c>
    </row>
    <row r="598" spans="1:22" x14ac:dyDescent="0.25">
      <c r="A598" t="s">
        <v>1618</v>
      </c>
      <c r="B598" s="1">
        <v>44810</v>
      </c>
      <c r="C598" t="s">
        <v>1619</v>
      </c>
      <c r="D598" t="s">
        <v>213</v>
      </c>
      <c r="E598">
        <v>37</v>
      </c>
      <c r="F598" t="str">
        <f>IF(Table1[[#This Row],[age]]&lt;=25,"18-25",IF(Table1[[#This Row],[age]]&lt;=35,"26-35",IF(Table1[[#This Row],[age]]&lt;=50,"36-50","51+")))</f>
        <v>36-50</v>
      </c>
      <c r="G598" t="s">
        <v>34</v>
      </c>
      <c r="H598" t="s">
        <v>55</v>
      </c>
      <c r="I598" t="s">
        <v>75</v>
      </c>
      <c r="J598" t="s">
        <v>106</v>
      </c>
      <c r="K598" t="s">
        <v>314</v>
      </c>
      <c r="L598">
        <v>10</v>
      </c>
      <c r="M598">
        <v>133.19999999999999</v>
      </c>
      <c r="N598">
        <v>0.32</v>
      </c>
      <c r="O598">
        <v>1074.27</v>
      </c>
      <c r="P598">
        <v>100.19</v>
      </c>
      <c r="Q598">
        <v>64.48</v>
      </c>
      <c r="R598" t="s">
        <v>43</v>
      </c>
      <c r="S598">
        <v>3</v>
      </c>
      <c r="T598" t="b">
        <v>0</v>
      </c>
      <c r="U598" t="s">
        <v>30</v>
      </c>
      <c r="V598">
        <v>8</v>
      </c>
    </row>
    <row r="599" spans="1:22" x14ac:dyDescent="0.25">
      <c r="A599" t="s">
        <v>1620</v>
      </c>
      <c r="B599" s="1">
        <v>44362</v>
      </c>
      <c r="C599" t="s">
        <v>1621</v>
      </c>
      <c r="D599" t="s">
        <v>1622</v>
      </c>
      <c r="E599">
        <v>40</v>
      </c>
      <c r="F599" t="str">
        <f>IF(Table1[[#This Row],[age]]&lt;=25,"18-25",IF(Table1[[#This Row],[age]]&lt;=35,"26-35",IF(Table1[[#This Row],[age]]&lt;=50,"36-50","51+")))</f>
        <v>36-50</v>
      </c>
      <c r="G599" t="s">
        <v>54</v>
      </c>
      <c r="H599" t="s">
        <v>25</v>
      </c>
      <c r="I599" t="s">
        <v>298</v>
      </c>
      <c r="J599" t="s">
        <v>115</v>
      </c>
      <c r="K599" t="s">
        <v>545</v>
      </c>
      <c r="L599">
        <v>9</v>
      </c>
      <c r="M599">
        <v>72408.179999999993</v>
      </c>
      <c r="N599">
        <v>0.22</v>
      </c>
      <c r="O599">
        <v>748589.49</v>
      </c>
      <c r="P599">
        <v>103509.24</v>
      </c>
      <c r="Q599">
        <v>41.95</v>
      </c>
      <c r="R599" t="s">
        <v>29</v>
      </c>
      <c r="S599">
        <v>5</v>
      </c>
      <c r="T599" t="b">
        <v>0</v>
      </c>
      <c r="U599" t="s">
        <v>30</v>
      </c>
      <c r="V599">
        <v>3</v>
      </c>
    </row>
    <row r="600" spans="1:22" x14ac:dyDescent="0.25">
      <c r="A600" t="s">
        <v>1623</v>
      </c>
      <c r="B600" s="1">
        <v>44434</v>
      </c>
      <c r="C600" t="s">
        <v>1624</v>
      </c>
      <c r="D600" t="s">
        <v>1625</v>
      </c>
      <c r="E600">
        <v>55</v>
      </c>
      <c r="F600" t="str">
        <f>IF(Table1[[#This Row],[age]]&lt;=25,"18-25",IF(Table1[[#This Row],[age]]&lt;=35,"26-35",IF(Table1[[#This Row],[age]]&lt;=50,"36-50","51+")))</f>
        <v>51+</v>
      </c>
      <c r="G600" t="s">
        <v>54</v>
      </c>
      <c r="H600" t="s">
        <v>69</v>
      </c>
      <c r="I600" t="s">
        <v>181</v>
      </c>
      <c r="J600" t="s">
        <v>101</v>
      </c>
      <c r="K600" t="s">
        <v>164</v>
      </c>
      <c r="L600">
        <v>4</v>
      </c>
      <c r="M600">
        <v>14419.59</v>
      </c>
      <c r="N600">
        <v>0.34</v>
      </c>
      <c r="O600">
        <v>44932.24</v>
      </c>
      <c r="P600">
        <v>11862.97</v>
      </c>
      <c r="Q600">
        <v>63.9</v>
      </c>
      <c r="R600" t="s">
        <v>65</v>
      </c>
      <c r="S600">
        <v>2</v>
      </c>
      <c r="T600" t="b">
        <v>0</v>
      </c>
      <c r="U600" t="s">
        <v>30</v>
      </c>
      <c r="V600">
        <v>4</v>
      </c>
    </row>
    <row r="601" spans="1:22" x14ac:dyDescent="0.25">
      <c r="A601" t="s">
        <v>1626</v>
      </c>
      <c r="B601" s="1">
        <v>44315</v>
      </c>
      <c r="C601" t="s">
        <v>1627</v>
      </c>
      <c r="D601" t="s">
        <v>292</v>
      </c>
      <c r="E601">
        <v>31</v>
      </c>
      <c r="F601" t="str">
        <f>IF(Table1[[#This Row],[age]]&lt;=25,"18-25",IF(Table1[[#This Row],[age]]&lt;=35,"26-35",IF(Table1[[#This Row],[age]]&lt;=50,"36-50","51+")))</f>
        <v>26-35</v>
      </c>
      <c r="G601" t="s">
        <v>24</v>
      </c>
      <c r="H601" t="s">
        <v>55</v>
      </c>
      <c r="I601" t="s">
        <v>75</v>
      </c>
      <c r="J601" t="s">
        <v>36</v>
      </c>
      <c r="K601" t="s">
        <v>76</v>
      </c>
      <c r="L601">
        <v>1</v>
      </c>
      <c r="M601">
        <v>2601.5100000000002</v>
      </c>
      <c r="N601">
        <v>0.02</v>
      </c>
      <c r="O601">
        <v>3057.58</v>
      </c>
      <c r="P601">
        <v>856.37</v>
      </c>
      <c r="Q601">
        <v>47.41</v>
      </c>
      <c r="R601" t="s">
        <v>92</v>
      </c>
      <c r="S601">
        <v>2</v>
      </c>
      <c r="T601" t="b">
        <v>1</v>
      </c>
      <c r="U601" t="s">
        <v>50</v>
      </c>
      <c r="V601">
        <v>9</v>
      </c>
    </row>
    <row r="602" spans="1:22" x14ac:dyDescent="0.25">
      <c r="A602" t="s">
        <v>1628</v>
      </c>
      <c r="B602" s="1">
        <v>43869</v>
      </c>
      <c r="C602" t="s">
        <v>1629</v>
      </c>
      <c r="D602" t="s">
        <v>1630</v>
      </c>
      <c r="E602">
        <v>39</v>
      </c>
      <c r="F602" t="str">
        <f>IF(Table1[[#This Row],[age]]&lt;=25,"18-25",IF(Table1[[#This Row],[age]]&lt;=35,"26-35",IF(Table1[[#This Row],[age]]&lt;=50,"36-50","51+")))</f>
        <v>36-50</v>
      </c>
      <c r="G602" t="s">
        <v>34</v>
      </c>
      <c r="H602" t="s">
        <v>69</v>
      </c>
      <c r="I602" t="s">
        <v>221</v>
      </c>
      <c r="J602" t="s">
        <v>106</v>
      </c>
      <c r="K602" t="s">
        <v>107</v>
      </c>
      <c r="L602">
        <v>4</v>
      </c>
      <c r="M602">
        <v>151.09</v>
      </c>
      <c r="N602">
        <v>0.02</v>
      </c>
      <c r="O602">
        <v>515.74</v>
      </c>
      <c r="P602">
        <v>42.51</v>
      </c>
      <c r="Q602">
        <v>80.209999999999994</v>
      </c>
      <c r="R602" t="s">
        <v>29</v>
      </c>
      <c r="S602">
        <v>2</v>
      </c>
      <c r="T602" t="b">
        <v>0</v>
      </c>
      <c r="U602" t="s">
        <v>30</v>
      </c>
      <c r="V602">
        <v>10</v>
      </c>
    </row>
    <row r="603" spans="1:22" x14ac:dyDescent="0.25">
      <c r="A603" t="s">
        <v>1631</v>
      </c>
      <c r="B603" s="1">
        <v>44173</v>
      </c>
      <c r="C603" t="s">
        <v>1632</v>
      </c>
      <c r="D603" t="s">
        <v>1430</v>
      </c>
      <c r="E603">
        <v>40</v>
      </c>
      <c r="F603" t="str">
        <f>IF(Table1[[#This Row],[age]]&lt;=25,"18-25",IF(Table1[[#This Row],[age]]&lt;=35,"26-35",IF(Table1[[#This Row],[age]]&lt;=50,"36-50","51+")))</f>
        <v>36-50</v>
      </c>
      <c r="G603" t="s">
        <v>24</v>
      </c>
      <c r="H603" t="s">
        <v>69</v>
      </c>
      <c r="I603" t="s">
        <v>221</v>
      </c>
      <c r="J603" t="s">
        <v>115</v>
      </c>
      <c r="K603" t="s">
        <v>145</v>
      </c>
      <c r="L603">
        <v>9</v>
      </c>
      <c r="M603">
        <v>71873.78</v>
      </c>
      <c r="N603">
        <v>0</v>
      </c>
      <c r="O603">
        <v>456663.98</v>
      </c>
      <c r="P603">
        <v>59316.97</v>
      </c>
      <c r="Q603">
        <v>91.31</v>
      </c>
      <c r="R603" t="s">
        <v>57</v>
      </c>
      <c r="S603">
        <v>5</v>
      </c>
      <c r="T603" t="b">
        <v>0</v>
      </c>
      <c r="U603" t="s">
        <v>30</v>
      </c>
      <c r="V603">
        <v>7</v>
      </c>
    </row>
    <row r="604" spans="1:22" x14ac:dyDescent="0.25">
      <c r="A604" t="s">
        <v>1633</v>
      </c>
      <c r="B604" s="1">
        <v>45591</v>
      </c>
      <c r="C604" t="s">
        <v>1634</v>
      </c>
      <c r="D604" t="s">
        <v>1333</v>
      </c>
      <c r="E604">
        <v>27</v>
      </c>
      <c r="F604" t="str">
        <f>IF(Table1[[#This Row],[age]]&lt;=25,"18-25",IF(Table1[[#This Row],[age]]&lt;=35,"26-35",IF(Table1[[#This Row],[age]]&lt;=50,"36-50","51+")))</f>
        <v>26-35</v>
      </c>
      <c r="G604" t="s">
        <v>24</v>
      </c>
      <c r="H604" t="s">
        <v>25</v>
      </c>
      <c r="I604" t="s">
        <v>298</v>
      </c>
      <c r="J604" t="s">
        <v>27</v>
      </c>
      <c r="K604" t="s">
        <v>480</v>
      </c>
      <c r="L604">
        <v>6</v>
      </c>
      <c r="M604">
        <v>2486.23</v>
      </c>
      <c r="N604">
        <v>0.11</v>
      </c>
      <c r="O604">
        <v>13804.56</v>
      </c>
      <c r="P604">
        <v>6763.76</v>
      </c>
      <c r="Q604">
        <v>65.88</v>
      </c>
      <c r="R604" t="s">
        <v>49</v>
      </c>
      <c r="S604">
        <v>4</v>
      </c>
      <c r="T604" t="b">
        <v>1</v>
      </c>
      <c r="U604" t="s">
        <v>50</v>
      </c>
      <c r="V604">
        <v>8</v>
      </c>
    </row>
    <row r="605" spans="1:22" x14ac:dyDescent="0.25">
      <c r="A605" t="s">
        <v>1635</v>
      </c>
      <c r="B605" s="1">
        <v>44193</v>
      </c>
      <c r="C605" t="s">
        <v>1636</v>
      </c>
      <c r="D605" t="s">
        <v>1351</v>
      </c>
      <c r="E605">
        <v>52</v>
      </c>
      <c r="F605" t="str">
        <f>IF(Table1[[#This Row],[age]]&lt;=25,"18-25",IF(Table1[[#This Row],[age]]&lt;=35,"26-35",IF(Table1[[#This Row],[age]]&lt;=50,"36-50","51+")))</f>
        <v>51+</v>
      </c>
      <c r="G605" t="s">
        <v>34</v>
      </c>
      <c r="H605" t="s">
        <v>55</v>
      </c>
      <c r="I605" t="s">
        <v>75</v>
      </c>
      <c r="J605" t="s">
        <v>106</v>
      </c>
      <c r="K605" t="s">
        <v>107</v>
      </c>
      <c r="L605">
        <v>7</v>
      </c>
      <c r="M605">
        <v>103.75</v>
      </c>
      <c r="N605">
        <v>0.32</v>
      </c>
      <c r="O605">
        <v>344.42</v>
      </c>
      <c r="P605">
        <v>34.770000000000003</v>
      </c>
      <c r="Q605">
        <v>67.069999999999993</v>
      </c>
      <c r="R605" t="s">
        <v>29</v>
      </c>
      <c r="S605">
        <v>5</v>
      </c>
      <c r="T605" t="b">
        <v>0</v>
      </c>
      <c r="U605" t="s">
        <v>30</v>
      </c>
      <c r="V605">
        <v>4</v>
      </c>
    </row>
    <row r="606" spans="1:22" x14ac:dyDescent="0.25">
      <c r="A606" t="s">
        <v>1637</v>
      </c>
      <c r="B606" s="1">
        <v>44404</v>
      </c>
      <c r="C606" t="s">
        <v>1638</v>
      </c>
      <c r="D606" t="s">
        <v>490</v>
      </c>
      <c r="E606">
        <v>26</v>
      </c>
      <c r="F606" t="str">
        <f>IF(Table1[[#This Row],[age]]&lt;=25,"18-25",IF(Table1[[#This Row],[age]]&lt;=35,"26-35",IF(Table1[[#This Row],[age]]&lt;=50,"36-50","51+")))</f>
        <v>26-35</v>
      </c>
      <c r="G606" t="s">
        <v>24</v>
      </c>
      <c r="H606" t="s">
        <v>80</v>
      </c>
      <c r="I606" t="s">
        <v>81</v>
      </c>
      <c r="J606" t="s">
        <v>106</v>
      </c>
      <c r="K606" t="s">
        <v>718</v>
      </c>
      <c r="L606">
        <v>8</v>
      </c>
      <c r="M606">
        <v>239.96</v>
      </c>
      <c r="N606">
        <v>0.33</v>
      </c>
      <c r="O606">
        <v>1605.72</v>
      </c>
      <c r="P606">
        <v>116.65</v>
      </c>
      <c r="Q606">
        <v>35.590000000000003</v>
      </c>
      <c r="R606" t="s">
        <v>57</v>
      </c>
      <c r="S606">
        <v>3</v>
      </c>
      <c r="T606" t="b">
        <v>0</v>
      </c>
      <c r="U606" t="s">
        <v>30</v>
      </c>
      <c r="V606">
        <v>4</v>
      </c>
    </row>
    <row r="607" spans="1:22" x14ac:dyDescent="0.25">
      <c r="A607" t="s">
        <v>1639</v>
      </c>
      <c r="B607" s="1">
        <v>45220</v>
      </c>
      <c r="C607" t="s">
        <v>1640</v>
      </c>
      <c r="D607" t="s">
        <v>1641</v>
      </c>
      <c r="E607">
        <v>40</v>
      </c>
      <c r="F607" t="str">
        <f>IF(Table1[[#This Row],[age]]&lt;=25,"18-25",IF(Table1[[#This Row],[age]]&lt;=35,"26-35",IF(Table1[[#This Row],[age]]&lt;=50,"36-50","51+")))</f>
        <v>36-50</v>
      </c>
      <c r="G607" t="s">
        <v>34</v>
      </c>
      <c r="H607" t="s">
        <v>61</v>
      </c>
      <c r="I607" t="s">
        <v>91</v>
      </c>
      <c r="J607" t="s">
        <v>36</v>
      </c>
      <c r="K607" t="s">
        <v>37</v>
      </c>
      <c r="L607">
        <v>10</v>
      </c>
      <c r="M607">
        <v>6877.63</v>
      </c>
      <c r="N607">
        <v>0.32</v>
      </c>
      <c r="O607">
        <v>49127.13</v>
      </c>
      <c r="P607">
        <v>15040.93</v>
      </c>
      <c r="Q607">
        <v>38.46</v>
      </c>
      <c r="R607" t="s">
        <v>57</v>
      </c>
      <c r="S607">
        <v>3</v>
      </c>
      <c r="T607" t="b">
        <v>0</v>
      </c>
      <c r="U607" t="s">
        <v>30</v>
      </c>
      <c r="V607">
        <v>8</v>
      </c>
    </row>
    <row r="608" spans="1:22" x14ac:dyDescent="0.25">
      <c r="A608" t="s">
        <v>1642</v>
      </c>
      <c r="B608" s="1">
        <v>45098</v>
      </c>
      <c r="C608" t="s">
        <v>1643</v>
      </c>
      <c r="D608" t="s">
        <v>1644</v>
      </c>
      <c r="E608">
        <v>28</v>
      </c>
      <c r="F608" t="str">
        <f>IF(Table1[[#This Row],[age]]&lt;=25,"18-25",IF(Table1[[#This Row],[age]]&lt;=35,"26-35",IF(Table1[[#This Row],[age]]&lt;=50,"36-50","51+")))</f>
        <v>26-35</v>
      </c>
      <c r="G608" t="s">
        <v>24</v>
      </c>
      <c r="H608" t="s">
        <v>25</v>
      </c>
      <c r="I608" t="s">
        <v>26</v>
      </c>
      <c r="J608" t="s">
        <v>115</v>
      </c>
      <c r="K608" t="s">
        <v>145</v>
      </c>
      <c r="L608">
        <v>8</v>
      </c>
      <c r="M608">
        <v>11278.1</v>
      </c>
      <c r="N608">
        <v>0.36</v>
      </c>
      <c r="O608">
        <v>103626.93</v>
      </c>
      <c r="P608">
        <v>9357.16</v>
      </c>
      <c r="Q608">
        <v>60.7</v>
      </c>
      <c r="R608" t="s">
        <v>92</v>
      </c>
      <c r="S608">
        <v>3</v>
      </c>
      <c r="T608" t="b">
        <v>0</v>
      </c>
      <c r="U608" t="s">
        <v>30</v>
      </c>
      <c r="V608">
        <v>8</v>
      </c>
    </row>
    <row r="609" spans="1:22" x14ac:dyDescent="0.25">
      <c r="A609" t="s">
        <v>1645</v>
      </c>
      <c r="B609" s="1">
        <v>44480</v>
      </c>
      <c r="C609" t="s">
        <v>1646</v>
      </c>
      <c r="D609" t="s">
        <v>1647</v>
      </c>
      <c r="E609">
        <v>36</v>
      </c>
      <c r="F609" t="str">
        <f>IF(Table1[[#This Row],[age]]&lt;=25,"18-25",IF(Table1[[#This Row],[age]]&lt;=35,"26-35",IF(Table1[[#This Row],[age]]&lt;=50,"36-50","51+")))</f>
        <v>36-50</v>
      </c>
      <c r="G609" t="s">
        <v>54</v>
      </c>
      <c r="H609" t="s">
        <v>25</v>
      </c>
      <c r="I609" t="s">
        <v>298</v>
      </c>
      <c r="J609" t="s">
        <v>47</v>
      </c>
      <c r="K609" t="s">
        <v>600</v>
      </c>
      <c r="L609">
        <v>7</v>
      </c>
      <c r="M609">
        <v>1187.0999999999999</v>
      </c>
      <c r="N609">
        <v>0.13</v>
      </c>
      <c r="O609">
        <v>6671.63</v>
      </c>
      <c r="P609">
        <v>2154.79</v>
      </c>
      <c r="Q609">
        <v>88.18</v>
      </c>
      <c r="R609" t="s">
        <v>43</v>
      </c>
      <c r="S609">
        <v>3</v>
      </c>
      <c r="T609" t="b">
        <v>0</v>
      </c>
      <c r="U609" t="s">
        <v>30</v>
      </c>
      <c r="V609">
        <v>5</v>
      </c>
    </row>
    <row r="610" spans="1:22" x14ac:dyDescent="0.25">
      <c r="A610" t="s">
        <v>1648</v>
      </c>
      <c r="B610" s="1">
        <v>44554</v>
      </c>
      <c r="C610" t="s">
        <v>1649</v>
      </c>
      <c r="D610" t="s">
        <v>937</v>
      </c>
      <c r="E610">
        <v>32</v>
      </c>
      <c r="F610" t="str">
        <f>IF(Table1[[#This Row],[age]]&lt;=25,"18-25",IF(Table1[[#This Row],[age]]&lt;=35,"26-35",IF(Table1[[#This Row],[age]]&lt;=50,"36-50","51+")))</f>
        <v>26-35</v>
      </c>
      <c r="G610" t="s">
        <v>54</v>
      </c>
      <c r="H610" t="s">
        <v>55</v>
      </c>
      <c r="I610" t="s">
        <v>56</v>
      </c>
      <c r="J610" t="s">
        <v>63</v>
      </c>
      <c r="K610" t="s">
        <v>87</v>
      </c>
      <c r="L610">
        <v>3</v>
      </c>
      <c r="M610">
        <v>3628.14</v>
      </c>
      <c r="N610">
        <v>0.24</v>
      </c>
      <c r="O610">
        <v>6186.65</v>
      </c>
      <c r="P610">
        <v>2322.3200000000002</v>
      </c>
      <c r="Q610">
        <v>52.79</v>
      </c>
      <c r="R610" t="s">
        <v>43</v>
      </c>
      <c r="S610">
        <v>2</v>
      </c>
      <c r="T610" t="b">
        <v>0</v>
      </c>
      <c r="U610" t="s">
        <v>30</v>
      </c>
      <c r="V610">
        <v>1</v>
      </c>
    </row>
    <row r="611" spans="1:22" x14ac:dyDescent="0.25">
      <c r="A611" t="s">
        <v>1650</v>
      </c>
      <c r="B611" s="1">
        <v>45016</v>
      </c>
      <c r="C611" t="s">
        <v>1651</v>
      </c>
      <c r="D611" t="s">
        <v>588</v>
      </c>
      <c r="E611">
        <v>36</v>
      </c>
      <c r="F611" t="str">
        <f>IF(Table1[[#This Row],[age]]&lt;=25,"18-25",IF(Table1[[#This Row],[age]]&lt;=35,"26-35",IF(Table1[[#This Row],[age]]&lt;=50,"36-50","51+")))</f>
        <v>36-50</v>
      </c>
      <c r="G611" t="s">
        <v>24</v>
      </c>
      <c r="H611" t="s">
        <v>61</v>
      </c>
      <c r="I611" t="s">
        <v>62</v>
      </c>
      <c r="J611" t="s">
        <v>101</v>
      </c>
      <c r="K611" t="s">
        <v>164</v>
      </c>
      <c r="L611">
        <v>8</v>
      </c>
      <c r="M611">
        <v>12824.11</v>
      </c>
      <c r="N611">
        <v>0.11</v>
      </c>
      <c r="O611">
        <v>124055.48</v>
      </c>
      <c r="P611">
        <v>29606.32</v>
      </c>
      <c r="Q611">
        <v>76.78</v>
      </c>
      <c r="R611" t="s">
        <v>49</v>
      </c>
      <c r="S611">
        <v>2</v>
      </c>
      <c r="T611" t="b">
        <v>0</v>
      </c>
      <c r="U611" t="s">
        <v>30</v>
      </c>
      <c r="V611">
        <v>6</v>
      </c>
    </row>
    <row r="612" spans="1:22" x14ac:dyDescent="0.25">
      <c r="A612" t="s">
        <v>1652</v>
      </c>
      <c r="B612" s="1">
        <v>44932</v>
      </c>
      <c r="C612" t="s">
        <v>1653</v>
      </c>
      <c r="D612" t="s">
        <v>1654</v>
      </c>
      <c r="E612">
        <v>51</v>
      </c>
      <c r="F612" t="str">
        <f>IF(Table1[[#This Row],[age]]&lt;=25,"18-25",IF(Table1[[#This Row],[age]]&lt;=35,"26-35",IF(Table1[[#This Row],[age]]&lt;=50,"36-50","51+")))</f>
        <v>51+</v>
      </c>
      <c r="G612" t="s">
        <v>24</v>
      </c>
      <c r="H612" t="s">
        <v>25</v>
      </c>
      <c r="I612" t="s">
        <v>35</v>
      </c>
      <c r="J612" t="s">
        <v>27</v>
      </c>
      <c r="K612" t="s">
        <v>335</v>
      </c>
      <c r="L612">
        <v>3</v>
      </c>
      <c r="M612">
        <v>1967.85</v>
      </c>
      <c r="N612">
        <v>0.31</v>
      </c>
      <c r="O612">
        <v>3268.13</v>
      </c>
      <c r="P612">
        <v>1309.3499999999999</v>
      </c>
      <c r="Q612">
        <v>55</v>
      </c>
      <c r="R612" t="s">
        <v>49</v>
      </c>
      <c r="S612">
        <v>3</v>
      </c>
      <c r="T612" t="b">
        <v>0</v>
      </c>
      <c r="U612" t="s">
        <v>30</v>
      </c>
      <c r="V612">
        <v>2</v>
      </c>
    </row>
    <row r="613" spans="1:22" x14ac:dyDescent="0.25">
      <c r="A613" t="s">
        <v>1655</v>
      </c>
      <c r="B613" s="1">
        <v>45519</v>
      </c>
      <c r="C613" t="s">
        <v>1656</v>
      </c>
      <c r="D613" t="s">
        <v>1066</v>
      </c>
      <c r="E613">
        <v>37</v>
      </c>
      <c r="F613" t="str">
        <f>IF(Table1[[#This Row],[age]]&lt;=25,"18-25",IF(Table1[[#This Row],[age]]&lt;=35,"26-35",IF(Table1[[#This Row],[age]]&lt;=50,"36-50","51+")))</f>
        <v>36-50</v>
      </c>
      <c r="G613" t="s">
        <v>24</v>
      </c>
      <c r="H613" t="s">
        <v>69</v>
      </c>
      <c r="I613" t="s">
        <v>136</v>
      </c>
      <c r="J613" t="s">
        <v>106</v>
      </c>
      <c r="K613" t="s">
        <v>718</v>
      </c>
      <c r="L613">
        <v>9</v>
      </c>
      <c r="M613">
        <v>239.9</v>
      </c>
      <c r="N613">
        <v>0.31</v>
      </c>
      <c r="O613">
        <v>2368.54</v>
      </c>
      <c r="P613">
        <v>226.16</v>
      </c>
      <c r="Q613">
        <v>93.43</v>
      </c>
      <c r="R613" t="s">
        <v>49</v>
      </c>
      <c r="S613">
        <v>5</v>
      </c>
      <c r="T613" t="b">
        <v>0</v>
      </c>
      <c r="U613" t="s">
        <v>30</v>
      </c>
      <c r="V613">
        <v>1</v>
      </c>
    </row>
    <row r="614" spans="1:22" x14ac:dyDescent="0.25">
      <c r="A614" t="s">
        <v>1657</v>
      </c>
      <c r="B614" s="1">
        <v>44172</v>
      </c>
      <c r="C614" t="s">
        <v>1658</v>
      </c>
      <c r="D614" t="s">
        <v>1659</v>
      </c>
      <c r="E614">
        <v>47</v>
      </c>
      <c r="F614" t="str">
        <f>IF(Table1[[#This Row],[age]]&lt;=25,"18-25",IF(Table1[[#This Row],[age]]&lt;=35,"26-35",IF(Table1[[#This Row],[age]]&lt;=50,"36-50","51+")))</f>
        <v>36-50</v>
      </c>
      <c r="G614" t="s">
        <v>54</v>
      </c>
      <c r="H614" t="s">
        <v>25</v>
      </c>
      <c r="I614" t="s">
        <v>35</v>
      </c>
      <c r="J614" t="s">
        <v>27</v>
      </c>
      <c r="K614" t="s">
        <v>28</v>
      </c>
      <c r="L614">
        <v>2</v>
      </c>
      <c r="M614">
        <v>2232.87</v>
      </c>
      <c r="N614">
        <v>0.03</v>
      </c>
      <c r="O614">
        <v>2646.86</v>
      </c>
      <c r="P614">
        <v>806.76</v>
      </c>
      <c r="Q614">
        <v>54.23</v>
      </c>
      <c r="R614" t="s">
        <v>65</v>
      </c>
      <c r="S614">
        <v>2</v>
      </c>
      <c r="T614" t="b">
        <v>0</v>
      </c>
      <c r="U614" t="s">
        <v>93</v>
      </c>
      <c r="V614">
        <v>8</v>
      </c>
    </row>
    <row r="615" spans="1:22" x14ac:dyDescent="0.25">
      <c r="A615" t="s">
        <v>1660</v>
      </c>
      <c r="B615" s="1">
        <v>44320</v>
      </c>
      <c r="C615" t="s">
        <v>1661</v>
      </c>
      <c r="D615" t="s">
        <v>1662</v>
      </c>
      <c r="E615">
        <v>44</v>
      </c>
      <c r="F615" t="str">
        <f>IF(Table1[[#This Row],[age]]&lt;=25,"18-25",IF(Table1[[#This Row],[age]]&lt;=35,"26-35",IF(Table1[[#This Row],[age]]&lt;=50,"36-50","51+")))</f>
        <v>36-50</v>
      </c>
      <c r="G615" t="s">
        <v>34</v>
      </c>
      <c r="H615" t="s">
        <v>69</v>
      </c>
      <c r="I615" t="s">
        <v>221</v>
      </c>
      <c r="J615" t="s">
        <v>47</v>
      </c>
      <c r="K615" t="s">
        <v>120</v>
      </c>
      <c r="L615">
        <v>10</v>
      </c>
      <c r="M615">
        <v>924.25</v>
      </c>
      <c r="N615">
        <v>0.28000000000000003</v>
      </c>
      <c r="O615">
        <v>8777.25</v>
      </c>
      <c r="P615">
        <v>3626.02</v>
      </c>
      <c r="Q615">
        <v>85.57</v>
      </c>
      <c r="R615" t="s">
        <v>49</v>
      </c>
      <c r="S615">
        <v>4</v>
      </c>
      <c r="T615" t="b">
        <v>0</v>
      </c>
      <c r="U615" t="s">
        <v>30</v>
      </c>
      <c r="V615">
        <v>10</v>
      </c>
    </row>
    <row r="616" spans="1:22" x14ac:dyDescent="0.25">
      <c r="A616" t="s">
        <v>1663</v>
      </c>
      <c r="B616" s="1">
        <v>44297</v>
      </c>
      <c r="C616" t="s">
        <v>1664</v>
      </c>
      <c r="D616" t="s">
        <v>812</v>
      </c>
      <c r="E616">
        <v>40</v>
      </c>
      <c r="F616" t="str">
        <f>IF(Table1[[#This Row],[age]]&lt;=25,"18-25",IF(Table1[[#This Row],[age]]&lt;=35,"26-35",IF(Table1[[#This Row],[age]]&lt;=50,"36-50","51+")))</f>
        <v>36-50</v>
      </c>
      <c r="G616" t="s">
        <v>54</v>
      </c>
      <c r="H616" t="s">
        <v>69</v>
      </c>
      <c r="I616" t="s">
        <v>136</v>
      </c>
      <c r="J616" t="s">
        <v>47</v>
      </c>
      <c r="K616" t="s">
        <v>600</v>
      </c>
      <c r="L616">
        <v>9</v>
      </c>
      <c r="M616">
        <v>910.81</v>
      </c>
      <c r="N616">
        <v>0.16</v>
      </c>
      <c r="O616">
        <v>8709.8799999999992</v>
      </c>
      <c r="P616">
        <v>4127.79</v>
      </c>
      <c r="Q616">
        <v>59.89</v>
      </c>
      <c r="R616" t="s">
        <v>92</v>
      </c>
      <c r="S616">
        <v>4</v>
      </c>
      <c r="T616" t="b">
        <v>0</v>
      </c>
      <c r="U616" t="s">
        <v>30</v>
      </c>
      <c r="V616">
        <v>9</v>
      </c>
    </row>
    <row r="617" spans="1:22" x14ac:dyDescent="0.25">
      <c r="A617" t="s">
        <v>1665</v>
      </c>
      <c r="B617" s="1">
        <v>44233</v>
      </c>
      <c r="C617" t="s">
        <v>1666</v>
      </c>
      <c r="D617" t="s">
        <v>695</v>
      </c>
      <c r="E617">
        <v>19</v>
      </c>
      <c r="F617" t="str">
        <f>IF(Table1[[#This Row],[age]]&lt;=25,"18-25",IF(Table1[[#This Row],[age]]&lt;=35,"26-35",IF(Table1[[#This Row],[age]]&lt;=50,"36-50","51+")))</f>
        <v>18-25</v>
      </c>
      <c r="G617" t="s">
        <v>24</v>
      </c>
      <c r="H617" t="s">
        <v>55</v>
      </c>
      <c r="I617" t="s">
        <v>75</v>
      </c>
      <c r="J617" t="s">
        <v>36</v>
      </c>
      <c r="K617" t="s">
        <v>132</v>
      </c>
      <c r="L617">
        <v>8</v>
      </c>
      <c r="M617">
        <v>10068.23</v>
      </c>
      <c r="N617">
        <v>0.21</v>
      </c>
      <c r="O617">
        <v>63872.39</v>
      </c>
      <c r="P617">
        <v>14763.69</v>
      </c>
      <c r="Q617">
        <v>69.23</v>
      </c>
      <c r="R617" t="s">
        <v>49</v>
      </c>
      <c r="S617">
        <v>3</v>
      </c>
      <c r="T617" t="b">
        <v>0</v>
      </c>
      <c r="U617" t="s">
        <v>30</v>
      </c>
      <c r="V617">
        <v>9</v>
      </c>
    </row>
    <row r="618" spans="1:22" x14ac:dyDescent="0.25">
      <c r="A618" t="s">
        <v>1667</v>
      </c>
      <c r="B618" s="1">
        <v>45168</v>
      </c>
      <c r="C618" t="s">
        <v>1668</v>
      </c>
      <c r="D618" t="s">
        <v>726</v>
      </c>
      <c r="E618">
        <v>26</v>
      </c>
      <c r="F618" t="str">
        <f>IF(Table1[[#This Row],[age]]&lt;=25,"18-25",IF(Table1[[#This Row],[age]]&lt;=35,"26-35",IF(Table1[[#This Row],[age]]&lt;=50,"36-50","51+")))</f>
        <v>26-35</v>
      </c>
      <c r="G618" t="s">
        <v>54</v>
      </c>
      <c r="H618" t="s">
        <v>61</v>
      </c>
      <c r="I618" t="s">
        <v>62</v>
      </c>
      <c r="J618" t="s">
        <v>27</v>
      </c>
      <c r="K618" t="s">
        <v>480</v>
      </c>
      <c r="L618">
        <v>6</v>
      </c>
      <c r="M618">
        <v>398.85</v>
      </c>
      <c r="N618">
        <v>0.17</v>
      </c>
      <c r="O618">
        <v>2675.94</v>
      </c>
      <c r="P618">
        <v>1500.2</v>
      </c>
      <c r="Q618">
        <v>56.56</v>
      </c>
      <c r="R618" t="s">
        <v>92</v>
      </c>
      <c r="S618">
        <v>2</v>
      </c>
      <c r="T618" t="b">
        <v>0</v>
      </c>
      <c r="U618" t="s">
        <v>30</v>
      </c>
      <c r="V618">
        <v>10</v>
      </c>
    </row>
    <row r="619" spans="1:22" x14ac:dyDescent="0.25">
      <c r="A619" t="s">
        <v>1669</v>
      </c>
      <c r="B619" s="1">
        <v>45491</v>
      </c>
      <c r="C619" t="s">
        <v>1670</v>
      </c>
      <c r="D619" t="s">
        <v>1188</v>
      </c>
      <c r="E619">
        <v>43</v>
      </c>
      <c r="F619" t="str">
        <f>IF(Table1[[#This Row],[age]]&lt;=25,"18-25",IF(Table1[[#This Row],[age]]&lt;=35,"26-35",IF(Table1[[#This Row],[age]]&lt;=50,"36-50","51+")))</f>
        <v>36-50</v>
      </c>
      <c r="G619" t="s">
        <v>54</v>
      </c>
      <c r="H619" t="s">
        <v>25</v>
      </c>
      <c r="I619" t="s">
        <v>35</v>
      </c>
      <c r="J619" t="s">
        <v>63</v>
      </c>
      <c r="K619" t="s">
        <v>152</v>
      </c>
      <c r="L619">
        <v>4</v>
      </c>
      <c r="M619">
        <v>2908.06</v>
      </c>
      <c r="N619">
        <v>0.14000000000000001</v>
      </c>
      <c r="O619">
        <v>14896.36</v>
      </c>
      <c r="P619">
        <v>4991.17</v>
      </c>
      <c r="Q619">
        <v>65.75</v>
      </c>
      <c r="R619" t="s">
        <v>49</v>
      </c>
      <c r="S619">
        <v>5</v>
      </c>
      <c r="T619" t="b">
        <v>0</v>
      </c>
      <c r="U619" t="s">
        <v>30</v>
      </c>
      <c r="V619">
        <v>8</v>
      </c>
    </row>
    <row r="620" spans="1:22" x14ac:dyDescent="0.25">
      <c r="A620" t="s">
        <v>1671</v>
      </c>
      <c r="B620" s="1">
        <v>45348</v>
      </c>
      <c r="C620" t="s">
        <v>1672</v>
      </c>
      <c r="D620" t="s">
        <v>1338</v>
      </c>
      <c r="E620">
        <v>50</v>
      </c>
      <c r="F620" t="str">
        <f>IF(Table1[[#This Row],[age]]&lt;=25,"18-25",IF(Table1[[#This Row],[age]]&lt;=35,"26-35",IF(Table1[[#This Row],[age]]&lt;=50,"36-50","51+")))</f>
        <v>36-50</v>
      </c>
      <c r="G620" t="s">
        <v>34</v>
      </c>
      <c r="H620" t="s">
        <v>69</v>
      </c>
      <c r="I620" t="s">
        <v>221</v>
      </c>
      <c r="J620" t="s">
        <v>115</v>
      </c>
      <c r="K620" t="s">
        <v>137</v>
      </c>
      <c r="L620">
        <v>3</v>
      </c>
      <c r="M620">
        <v>60157.14</v>
      </c>
      <c r="N620">
        <v>0.06</v>
      </c>
      <c r="O620">
        <v>169372.37</v>
      </c>
      <c r="P620">
        <v>28219.11</v>
      </c>
      <c r="Q620">
        <v>69.5</v>
      </c>
      <c r="R620" t="s">
        <v>49</v>
      </c>
      <c r="S620">
        <v>4</v>
      </c>
      <c r="T620" t="b">
        <v>0</v>
      </c>
      <c r="U620" t="s">
        <v>30</v>
      </c>
      <c r="V620">
        <v>7</v>
      </c>
    </row>
    <row r="621" spans="1:22" x14ac:dyDescent="0.25">
      <c r="A621" t="s">
        <v>1673</v>
      </c>
      <c r="B621" s="1">
        <v>44746</v>
      </c>
      <c r="C621" t="s">
        <v>1674</v>
      </c>
      <c r="D621" t="s">
        <v>1598</v>
      </c>
      <c r="E621">
        <v>63</v>
      </c>
      <c r="F621" t="str">
        <f>IF(Table1[[#This Row],[age]]&lt;=25,"18-25",IF(Table1[[#This Row],[age]]&lt;=35,"26-35",IF(Table1[[#This Row],[age]]&lt;=50,"36-50","51+")))</f>
        <v>51+</v>
      </c>
      <c r="G621" t="s">
        <v>34</v>
      </c>
      <c r="H621" t="s">
        <v>25</v>
      </c>
      <c r="I621" t="s">
        <v>41</v>
      </c>
      <c r="J621" t="s">
        <v>115</v>
      </c>
      <c r="K621" t="s">
        <v>116</v>
      </c>
      <c r="L621">
        <v>9</v>
      </c>
      <c r="M621">
        <v>34736.78</v>
      </c>
      <c r="N621">
        <v>0.4</v>
      </c>
      <c r="O621">
        <v>281102.55</v>
      </c>
      <c r="P621">
        <v>27723.9</v>
      </c>
      <c r="Q621">
        <v>59.96</v>
      </c>
      <c r="R621" t="s">
        <v>29</v>
      </c>
      <c r="S621">
        <v>3</v>
      </c>
      <c r="T621" t="b">
        <v>0</v>
      </c>
      <c r="U621" t="s">
        <v>30</v>
      </c>
      <c r="V621">
        <v>4</v>
      </c>
    </row>
    <row r="622" spans="1:22" x14ac:dyDescent="0.25">
      <c r="A622" t="s">
        <v>1675</v>
      </c>
      <c r="B622" s="1">
        <v>43897</v>
      </c>
      <c r="C622" t="s">
        <v>1676</v>
      </c>
      <c r="D622" t="s">
        <v>1677</v>
      </c>
      <c r="E622">
        <v>32</v>
      </c>
      <c r="F622" t="str">
        <f>IF(Table1[[#This Row],[age]]&lt;=25,"18-25",IF(Table1[[#This Row],[age]]&lt;=35,"26-35",IF(Table1[[#This Row],[age]]&lt;=50,"36-50","51+")))</f>
        <v>26-35</v>
      </c>
      <c r="G622" t="s">
        <v>34</v>
      </c>
      <c r="H622" t="s">
        <v>55</v>
      </c>
      <c r="I622" t="s">
        <v>56</v>
      </c>
      <c r="J622" t="s">
        <v>101</v>
      </c>
      <c r="K622" t="s">
        <v>456</v>
      </c>
      <c r="L622">
        <v>8</v>
      </c>
      <c r="M622">
        <v>6252.97</v>
      </c>
      <c r="N622">
        <v>0.2</v>
      </c>
      <c r="O622">
        <v>42140.22</v>
      </c>
      <c r="P622">
        <v>7612.27</v>
      </c>
      <c r="Q622">
        <v>48.73</v>
      </c>
      <c r="R622" t="s">
        <v>57</v>
      </c>
      <c r="S622">
        <v>3</v>
      </c>
      <c r="T622" t="b">
        <v>0</v>
      </c>
      <c r="U622" t="s">
        <v>30</v>
      </c>
      <c r="V622">
        <v>3</v>
      </c>
    </row>
    <row r="623" spans="1:22" x14ac:dyDescent="0.25">
      <c r="A623" t="s">
        <v>1678</v>
      </c>
      <c r="B623" s="1">
        <v>44046</v>
      </c>
      <c r="C623" t="s">
        <v>1679</v>
      </c>
      <c r="D623" t="s">
        <v>705</v>
      </c>
      <c r="E623">
        <v>42</v>
      </c>
      <c r="F623" t="str">
        <f>IF(Table1[[#This Row],[age]]&lt;=25,"18-25",IF(Table1[[#This Row],[age]]&lt;=35,"26-35",IF(Table1[[#This Row],[age]]&lt;=50,"36-50","51+")))</f>
        <v>36-50</v>
      </c>
      <c r="G623" t="s">
        <v>34</v>
      </c>
      <c r="H623" t="s">
        <v>80</v>
      </c>
      <c r="I623" t="s">
        <v>236</v>
      </c>
      <c r="J623" t="s">
        <v>47</v>
      </c>
      <c r="K623" t="s">
        <v>120</v>
      </c>
      <c r="L623">
        <v>8</v>
      </c>
      <c r="M623">
        <v>989.77</v>
      </c>
      <c r="N623">
        <v>0.36</v>
      </c>
      <c r="O623">
        <v>5866.43</v>
      </c>
      <c r="P623">
        <v>2254.31</v>
      </c>
      <c r="Q623">
        <v>76.760000000000005</v>
      </c>
      <c r="R623" t="s">
        <v>49</v>
      </c>
      <c r="S623">
        <v>5</v>
      </c>
      <c r="T623" t="b">
        <v>0</v>
      </c>
      <c r="U623" t="s">
        <v>193</v>
      </c>
      <c r="V623">
        <v>1</v>
      </c>
    </row>
    <row r="624" spans="1:22" x14ac:dyDescent="0.25">
      <c r="A624" t="s">
        <v>1680</v>
      </c>
      <c r="B624" s="1">
        <v>43981</v>
      </c>
      <c r="C624" t="s">
        <v>1681</v>
      </c>
      <c r="D624" t="s">
        <v>196</v>
      </c>
      <c r="E624">
        <v>29</v>
      </c>
      <c r="F624" t="str">
        <f>IF(Table1[[#This Row],[age]]&lt;=25,"18-25",IF(Table1[[#This Row],[age]]&lt;=35,"26-35",IF(Table1[[#This Row],[age]]&lt;=50,"36-50","51+")))</f>
        <v>26-35</v>
      </c>
      <c r="G624" t="s">
        <v>24</v>
      </c>
      <c r="H624" t="s">
        <v>80</v>
      </c>
      <c r="I624" t="s">
        <v>236</v>
      </c>
      <c r="J624" t="s">
        <v>47</v>
      </c>
      <c r="K624" t="s">
        <v>600</v>
      </c>
      <c r="L624">
        <v>8</v>
      </c>
      <c r="M624">
        <v>466.9</v>
      </c>
      <c r="N624">
        <v>0.36</v>
      </c>
      <c r="O624">
        <v>2857.33</v>
      </c>
      <c r="P624">
        <v>1125</v>
      </c>
      <c r="Q624">
        <v>79.08</v>
      </c>
      <c r="R624" t="s">
        <v>49</v>
      </c>
      <c r="S624">
        <v>2</v>
      </c>
      <c r="T624" t="b">
        <v>0</v>
      </c>
      <c r="U624" t="s">
        <v>30</v>
      </c>
      <c r="V624">
        <v>10</v>
      </c>
    </row>
    <row r="625" spans="1:22" x14ac:dyDescent="0.25">
      <c r="A625" t="s">
        <v>1682</v>
      </c>
      <c r="B625" s="1">
        <v>45186</v>
      </c>
      <c r="C625" t="s">
        <v>1683</v>
      </c>
      <c r="D625" t="s">
        <v>1312</v>
      </c>
      <c r="E625">
        <v>38</v>
      </c>
      <c r="F625" t="str">
        <f>IF(Table1[[#This Row],[age]]&lt;=25,"18-25",IF(Table1[[#This Row],[age]]&lt;=35,"26-35",IF(Table1[[#This Row],[age]]&lt;=50,"36-50","51+")))</f>
        <v>36-50</v>
      </c>
      <c r="G625" t="s">
        <v>24</v>
      </c>
      <c r="H625" t="s">
        <v>61</v>
      </c>
      <c r="I625" t="s">
        <v>62</v>
      </c>
      <c r="J625" t="s">
        <v>101</v>
      </c>
      <c r="K625" t="s">
        <v>318</v>
      </c>
      <c r="L625">
        <v>4</v>
      </c>
      <c r="M625">
        <v>3391.86</v>
      </c>
      <c r="N625">
        <v>0.04</v>
      </c>
      <c r="O625">
        <v>15450.95</v>
      </c>
      <c r="P625">
        <v>3325.04</v>
      </c>
      <c r="Q625">
        <v>68.459999999999994</v>
      </c>
      <c r="R625" t="s">
        <v>57</v>
      </c>
      <c r="S625">
        <v>3</v>
      </c>
      <c r="T625" t="b">
        <v>0</v>
      </c>
      <c r="U625" t="s">
        <v>71</v>
      </c>
      <c r="V625">
        <v>2</v>
      </c>
    </row>
    <row r="626" spans="1:22" x14ac:dyDescent="0.25">
      <c r="A626" t="s">
        <v>1684</v>
      </c>
      <c r="B626" s="1">
        <v>44437</v>
      </c>
      <c r="C626" t="s">
        <v>1685</v>
      </c>
      <c r="D626" t="s">
        <v>203</v>
      </c>
      <c r="E626">
        <v>24</v>
      </c>
      <c r="F626" t="str">
        <f>IF(Table1[[#This Row],[age]]&lt;=25,"18-25",IF(Table1[[#This Row],[age]]&lt;=35,"26-35",IF(Table1[[#This Row],[age]]&lt;=50,"36-50","51+")))</f>
        <v>18-25</v>
      </c>
      <c r="G626" t="s">
        <v>54</v>
      </c>
      <c r="H626" t="s">
        <v>69</v>
      </c>
      <c r="I626" t="s">
        <v>136</v>
      </c>
      <c r="J626" t="s">
        <v>101</v>
      </c>
      <c r="K626" t="s">
        <v>164</v>
      </c>
      <c r="L626">
        <v>1</v>
      </c>
      <c r="M626">
        <v>3087.59</v>
      </c>
      <c r="N626">
        <v>7.0000000000000007E-2</v>
      </c>
      <c r="O626">
        <v>3563.24</v>
      </c>
      <c r="P626">
        <v>769.67</v>
      </c>
      <c r="Q626">
        <v>85.46</v>
      </c>
      <c r="R626" t="s">
        <v>57</v>
      </c>
      <c r="S626">
        <v>2</v>
      </c>
      <c r="T626" t="b">
        <v>0</v>
      </c>
      <c r="U626" t="s">
        <v>30</v>
      </c>
      <c r="V626">
        <v>4</v>
      </c>
    </row>
    <row r="627" spans="1:22" x14ac:dyDescent="0.25">
      <c r="A627" t="s">
        <v>1686</v>
      </c>
      <c r="B627" s="1">
        <v>45371</v>
      </c>
      <c r="C627" t="s">
        <v>1687</v>
      </c>
      <c r="D627" t="s">
        <v>90</v>
      </c>
      <c r="E627">
        <v>39</v>
      </c>
      <c r="F627" t="str">
        <f>IF(Table1[[#This Row],[age]]&lt;=25,"18-25",IF(Table1[[#This Row],[age]]&lt;=35,"26-35",IF(Table1[[#This Row],[age]]&lt;=50,"36-50","51+")))</f>
        <v>36-50</v>
      </c>
      <c r="G627" t="s">
        <v>24</v>
      </c>
      <c r="H627" t="s">
        <v>61</v>
      </c>
      <c r="I627" t="s">
        <v>163</v>
      </c>
      <c r="J627" t="s">
        <v>101</v>
      </c>
      <c r="K627" t="s">
        <v>124</v>
      </c>
      <c r="L627">
        <v>4</v>
      </c>
      <c r="M627">
        <v>14899.55</v>
      </c>
      <c r="N627">
        <v>0.09</v>
      </c>
      <c r="O627">
        <v>60345.97</v>
      </c>
      <c r="P627">
        <v>12084.3</v>
      </c>
      <c r="Q627">
        <v>21.44</v>
      </c>
      <c r="R627" t="s">
        <v>49</v>
      </c>
      <c r="S627">
        <v>4</v>
      </c>
      <c r="T627" t="b">
        <v>0</v>
      </c>
      <c r="U627" t="s">
        <v>30</v>
      </c>
      <c r="V627">
        <v>7</v>
      </c>
    </row>
    <row r="628" spans="1:22" x14ac:dyDescent="0.25">
      <c r="A628" t="s">
        <v>1688</v>
      </c>
      <c r="B628" s="1">
        <v>45453</v>
      </c>
      <c r="C628" t="s">
        <v>1689</v>
      </c>
      <c r="D628" t="s">
        <v>705</v>
      </c>
      <c r="E628">
        <v>43</v>
      </c>
      <c r="F628" t="str">
        <f>IF(Table1[[#This Row],[age]]&lt;=25,"18-25",IF(Table1[[#This Row],[age]]&lt;=35,"26-35",IF(Table1[[#This Row],[age]]&lt;=50,"36-50","51+")))</f>
        <v>36-50</v>
      </c>
      <c r="G628" t="s">
        <v>24</v>
      </c>
      <c r="H628" t="s">
        <v>80</v>
      </c>
      <c r="I628" t="s">
        <v>236</v>
      </c>
      <c r="J628" t="s">
        <v>101</v>
      </c>
      <c r="K628" t="s">
        <v>124</v>
      </c>
      <c r="L628">
        <v>2</v>
      </c>
      <c r="M628">
        <v>3506.29</v>
      </c>
      <c r="N628">
        <v>0.28999999999999998</v>
      </c>
      <c r="O628">
        <v>9018.0300000000007</v>
      </c>
      <c r="P628">
        <v>1718.02</v>
      </c>
      <c r="Q628">
        <v>58.97</v>
      </c>
      <c r="R628" t="s">
        <v>65</v>
      </c>
      <c r="S628">
        <v>5</v>
      </c>
      <c r="T628" t="b">
        <v>0</v>
      </c>
      <c r="U628" t="s">
        <v>93</v>
      </c>
      <c r="V628">
        <v>4</v>
      </c>
    </row>
    <row r="629" spans="1:22" x14ac:dyDescent="0.25">
      <c r="A629" t="s">
        <v>1690</v>
      </c>
      <c r="B629" s="1">
        <v>44980</v>
      </c>
      <c r="C629" t="s">
        <v>1691</v>
      </c>
      <c r="D629" t="s">
        <v>268</v>
      </c>
      <c r="E629">
        <v>25</v>
      </c>
      <c r="F629" t="str">
        <f>IF(Table1[[#This Row],[age]]&lt;=25,"18-25",IF(Table1[[#This Row],[age]]&lt;=35,"26-35",IF(Table1[[#This Row],[age]]&lt;=50,"36-50","51+")))</f>
        <v>18-25</v>
      </c>
      <c r="G629" t="s">
        <v>34</v>
      </c>
      <c r="H629" t="s">
        <v>69</v>
      </c>
      <c r="I629" t="s">
        <v>181</v>
      </c>
      <c r="J629" t="s">
        <v>27</v>
      </c>
      <c r="K629" t="s">
        <v>480</v>
      </c>
      <c r="L629">
        <v>5</v>
      </c>
      <c r="M629">
        <v>259.07</v>
      </c>
      <c r="N629">
        <v>0.02</v>
      </c>
      <c r="O629">
        <v>1306.8599999999999</v>
      </c>
      <c r="P629">
        <v>672.76</v>
      </c>
      <c r="Q629">
        <v>91.02</v>
      </c>
      <c r="R629" t="s">
        <v>65</v>
      </c>
      <c r="S629">
        <v>5</v>
      </c>
      <c r="T629" t="b">
        <v>0</v>
      </c>
      <c r="U629" t="s">
        <v>30</v>
      </c>
      <c r="V629">
        <v>9</v>
      </c>
    </row>
    <row r="630" spans="1:22" x14ac:dyDescent="0.25">
      <c r="A630" t="s">
        <v>1692</v>
      </c>
      <c r="B630" s="1">
        <v>44997</v>
      </c>
      <c r="C630" t="s">
        <v>1693</v>
      </c>
      <c r="D630" t="s">
        <v>330</v>
      </c>
      <c r="E630">
        <v>24</v>
      </c>
      <c r="F630" t="str">
        <f>IF(Table1[[#This Row],[age]]&lt;=25,"18-25",IF(Table1[[#This Row],[age]]&lt;=35,"26-35",IF(Table1[[#This Row],[age]]&lt;=50,"36-50","51+")))</f>
        <v>18-25</v>
      </c>
      <c r="G630" t="s">
        <v>54</v>
      </c>
      <c r="H630" t="s">
        <v>55</v>
      </c>
      <c r="I630" t="s">
        <v>56</v>
      </c>
      <c r="J630" t="s">
        <v>63</v>
      </c>
      <c r="K630" t="s">
        <v>64</v>
      </c>
      <c r="L630">
        <v>3</v>
      </c>
      <c r="M630">
        <v>1200.51</v>
      </c>
      <c r="N630">
        <v>0.4</v>
      </c>
      <c r="O630">
        <v>2711.94</v>
      </c>
      <c r="P630">
        <v>952.86</v>
      </c>
      <c r="Q630">
        <v>10.029999999999999</v>
      </c>
      <c r="R630" t="s">
        <v>29</v>
      </c>
      <c r="S630">
        <v>3</v>
      </c>
      <c r="T630" t="b">
        <v>0</v>
      </c>
      <c r="U630" t="s">
        <v>30</v>
      </c>
      <c r="V630">
        <v>5</v>
      </c>
    </row>
    <row r="631" spans="1:22" x14ac:dyDescent="0.25">
      <c r="A631" t="s">
        <v>1694</v>
      </c>
      <c r="B631" s="1">
        <v>44195</v>
      </c>
      <c r="C631" t="s">
        <v>1695</v>
      </c>
      <c r="D631" t="s">
        <v>334</v>
      </c>
      <c r="E631">
        <v>20</v>
      </c>
      <c r="F631" t="str">
        <f>IF(Table1[[#This Row],[age]]&lt;=25,"18-25",IF(Table1[[#This Row],[age]]&lt;=35,"26-35",IF(Table1[[#This Row],[age]]&lt;=50,"36-50","51+")))</f>
        <v>18-25</v>
      </c>
      <c r="G631" t="s">
        <v>24</v>
      </c>
      <c r="H631" t="s">
        <v>25</v>
      </c>
      <c r="I631" t="s">
        <v>26</v>
      </c>
      <c r="J631" t="s">
        <v>63</v>
      </c>
      <c r="K631" t="s">
        <v>111</v>
      </c>
      <c r="L631">
        <v>4</v>
      </c>
      <c r="M631">
        <v>3596.85</v>
      </c>
      <c r="N631">
        <v>0.25</v>
      </c>
      <c r="O631">
        <v>7577.9</v>
      </c>
      <c r="P631">
        <v>2505.62</v>
      </c>
      <c r="Q631">
        <v>61.39</v>
      </c>
      <c r="R631" t="s">
        <v>29</v>
      </c>
      <c r="S631">
        <v>1</v>
      </c>
      <c r="T631" t="b">
        <v>1</v>
      </c>
      <c r="U631" t="s">
        <v>50</v>
      </c>
      <c r="V631">
        <v>7</v>
      </c>
    </row>
    <row r="632" spans="1:22" x14ac:dyDescent="0.25">
      <c r="A632" t="s">
        <v>1696</v>
      </c>
      <c r="B632" s="1">
        <v>44533</v>
      </c>
      <c r="C632" t="s">
        <v>1697</v>
      </c>
      <c r="D632" t="s">
        <v>1051</v>
      </c>
      <c r="E632">
        <v>24</v>
      </c>
      <c r="F632" t="str">
        <f>IF(Table1[[#This Row],[age]]&lt;=25,"18-25",IF(Table1[[#This Row],[age]]&lt;=35,"26-35",IF(Table1[[#This Row],[age]]&lt;=50,"36-50","51+")))</f>
        <v>18-25</v>
      </c>
      <c r="G632" t="s">
        <v>54</v>
      </c>
      <c r="H632" t="s">
        <v>55</v>
      </c>
      <c r="I632" t="s">
        <v>75</v>
      </c>
      <c r="J632" t="s">
        <v>63</v>
      </c>
      <c r="K632" t="s">
        <v>87</v>
      </c>
      <c r="L632">
        <v>7</v>
      </c>
      <c r="M632">
        <v>2400.11</v>
      </c>
      <c r="N632">
        <v>0.15</v>
      </c>
      <c r="O632">
        <v>9585.11</v>
      </c>
      <c r="P632">
        <v>3359.68</v>
      </c>
      <c r="Q632">
        <v>55.43</v>
      </c>
      <c r="R632" t="s">
        <v>65</v>
      </c>
      <c r="S632">
        <v>2</v>
      </c>
      <c r="T632" t="b">
        <v>0</v>
      </c>
      <c r="U632" t="s">
        <v>30</v>
      </c>
      <c r="V632">
        <v>10</v>
      </c>
    </row>
    <row r="633" spans="1:22" x14ac:dyDescent="0.25">
      <c r="A633" t="s">
        <v>1698</v>
      </c>
      <c r="B633" s="1">
        <v>45142</v>
      </c>
      <c r="C633" t="s">
        <v>1699</v>
      </c>
      <c r="D633" t="s">
        <v>1362</v>
      </c>
      <c r="E633">
        <v>33</v>
      </c>
      <c r="F633" t="str">
        <f>IF(Table1[[#This Row],[age]]&lt;=25,"18-25",IF(Table1[[#This Row],[age]]&lt;=35,"26-35",IF(Table1[[#This Row],[age]]&lt;=50,"36-50","51+")))</f>
        <v>26-35</v>
      </c>
      <c r="G633" t="s">
        <v>24</v>
      </c>
      <c r="H633" t="s">
        <v>25</v>
      </c>
      <c r="I633" t="s">
        <v>298</v>
      </c>
      <c r="J633" t="s">
        <v>63</v>
      </c>
      <c r="K633" t="s">
        <v>111</v>
      </c>
      <c r="L633">
        <v>3</v>
      </c>
      <c r="M633">
        <v>2494.29</v>
      </c>
      <c r="N633">
        <v>0.1</v>
      </c>
      <c r="O633">
        <v>9558.85</v>
      </c>
      <c r="P633">
        <v>3760.45</v>
      </c>
      <c r="Q633">
        <v>54.2</v>
      </c>
      <c r="R633" t="s">
        <v>49</v>
      </c>
      <c r="S633">
        <v>3</v>
      </c>
      <c r="T633" t="b">
        <v>0</v>
      </c>
      <c r="U633" t="s">
        <v>30</v>
      </c>
      <c r="V633">
        <v>8</v>
      </c>
    </row>
    <row r="634" spans="1:22" x14ac:dyDescent="0.25">
      <c r="A634" t="s">
        <v>1700</v>
      </c>
      <c r="B634" s="1">
        <v>45408</v>
      </c>
      <c r="C634" t="s">
        <v>1701</v>
      </c>
      <c r="D634" t="s">
        <v>187</v>
      </c>
      <c r="E634">
        <v>25</v>
      </c>
      <c r="F634" t="str">
        <f>IF(Table1[[#This Row],[age]]&lt;=25,"18-25",IF(Table1[[#This Row],[age]]&lt;=35,"26-35",IF(Table1[[#This Row],[age]]&lt;=50,"36-50","51+")))</f>
        <v>18-25</v>
      </c>
      <c r="G634" t="s">
        <v>54</v>
      </c>
      <c r="H634" t="s">
        <v>69</v>
      </c>
      <c r="I634" t="s">
        <v>181</v>
      </c>
      <c r="J634" t="s">
        <v>115</v>
      </c>
      <c r="K634" t="s">
        <v>145</v>
      </c>
      <c r="L634">
        <v>2</v>
      </c>
      <c r="M634">
        <v>36881.480000000003</v>
      </c>
      <c r="N634">
        <v>0.01</v>
      </c>
      <c r="O634">
        <v>101185.85</v>
      </c>
      <c r="P634">
        <v>16236.72</v>
      </c>
      <c r="Q634">
        <v>67.63</v>
      </c>
      <c r="R634" t="s">
        <v>43</v>
      </c>
      <c r="S634">
        <v>4</v>
      </c>
      <c r="T634" t="b">
        <v>0</v>
      </c>
      <c r="U634" t="s">
        <v>30</v>
      </c>
      <c r="V634">
        <v>8</v>
      </c>
    </row>
    <row r="635" spans="1:22" x14ac:dyDescent="0.25">
      <c r="A635" t="s">
        <v>1702</v>
      </c>
      <c r="B635" s="1">
        <v>43922</v>
      </c>
      <c r="C635" t="s">
        <v>1703</v>
      </c>
      <c r="D635" t="s">
        <v>1704</v>
      </c>
      <c r="E635">
        <v>31</v>
      </c>
      <c r="F635" t="str">
        <f>IF(Table1[[#This Row],[age]]&lt;=25,"18-25",IF(Table1[[#This Row],[age]]&lt;=35,"26-35",IF(Table1[[#This Row],[age]]&lt;=50,"36-50","51+")))</f>
        <v>26-35</v>
      </c>
      <c r="G635" t="s">
        <v>24</v>
      </c>
      <c r="H635" t="s">
        <v>61</v>
      </c>
      <c r="I635" t="s">
        <v>141</v>
      </c>
      <c r="J635" t="s">
        <v>27</v>
      </c>
      <c r="K635" t="s">
        <v>480</v>
      </c>
      <c r="L635">
        <v>4</v>
      </c>
      <c r="M635">
        <v>2105.61</v>
      </c>
      <c r="N635">
        <v>0.37</v>
      </c>
      <c r="O635">
        <v>5688.97</v>
      </c>
      <c r="P635">
        <v>2865.09</v>
      </c>
      <c r="Q635">
        <v>70.930000000000007</v>
      </c>
      <c r="R635" t="s">
        <v>65</v>
      </c>
      <c r="S635">
        <v>4</v>
      </c>
      <c r="T635" t="b">
        <v>0</v>
      </c>
      <c r="U635" t="s">
        <v>30</v>
      </c>
      <c r="V635">
        <v>6</v>
      </c>
    </row>
    <row r="636" spans="1:22" x14ac:dyDescent="0.25">
      <c r="A636" t="s">
        <v>1705</v>
      </c>
      <c r="B636" s="1">
        <v>45527</v>
      </c>
      <c r="C636" t="s">
        <v>1706</v>
      </c>
      <c r="D636" t="s">
        <v>407</v>
      </c>
      <c r="E636">
        <v>33</v>
      </c>
      <c r="F636" t="str">
        <f>IF(Table1[[#This Row],[age]]&lt;=25,"18-25",IF(Table1[[#This Row],[age]]&lt;=35,"26-35",IF(Table1[[#This Row],[age]]&lt;=50,"36-50","51+")))</f>
        <v>26-35</v>
      </c>
      <c r="G636" t="s">
        <v>24</v>
      </c>
      <c r="H636" t="s">
        <v>80</v>
      </c>
      <c r="I636" t="s">
        <v>242</v>
      </c>
      <c r="J636" t="s">
        <v>47</v>
      </c>
      <c r="K636" t="s">
        <v>204</v>
      </c>
      <c r="L636">
        <v>1</v>
      </c>
      <c r="M636">
        <v>1473.01</v>
      </c>
      <c r="N636">
        <v>0.35</v>
      </c>
      <c r="O636">
        <v>1432.65</v>
      </c>
      <c r="P636">
        <v>578.62</v>
      </c>
      <c r="Q636">
        <v>72.78</v>
      </c>
      <c r="R636" t="s">
        <v>65</v>
      </c>
      <c r="S636">
        <v>3</v>
      </c>
      <c r="T636" t="b">
        <v>0</v>
      </c>
      <c r="U636" t="s">
        <v>30</v>
      </c>
      <c r="V636">
        <v>1</v>
      </c>
    </row>
    <row r="637" spans="1:22" x14ac:dyDescent="0.25">
      <c r="A637" t="s">
        <v>1707</v>
      </c>
      <c r="B637" s="1">
        <v>44142</v>
      </c>
      <c r="C637" t="s">
        <v>1708</v>
      </c>
      <c r="D637" t="s">
        <v>754</v>
      </c>
      <c r="E637">
        <v>23</v>
      </c>
      <c r="F637" t="str">
        <f>IF(Table1[[#This Row],[age]]&lt;=25,"18-25",IF(Table1[[#This Row],[age]]&lt;=35,"26-35",IF(Table1[[#This Row],[age]]&lt;=50,"36-50","51+")))</f>
        <v>18-25</v>
      </c>
      <c r="G637" t="s">
        <v>54</v>
      </c>
      <c r="H637" t="s">
        <v>55</v>
      </c>
      <c r="I637" t="s">
        <v>56</v>
      </c>
      <c r="J637" t="s">
        <v>47</v>
      </c>
      <c r="K637" t="s">
        <v>156</v>
      </c>
      <c r="L637">
        <v>2</v>
      </c>
      <c r="M637">
        <v>1020.32</v>
      </c>
      <c r="N637">
        <v>0.39</v>
      </c>
      <c r="O637">
        <v>969.44</v>
      </c>
      <c r="P637">
        <v>436.92</v>
      </c>
      <c r="Q637">
        <v>35.61</v>
      </c>
      <c r="R637" t="s">
        <v>29</v>
      </c>
      <c r="S637">
        <v>4</v>
      </c>
      <c r="T637" t="b">
        <v>0</v>
      </c>
      <c r="U637" t="s">
        <v>30</v>
      </c>
      <c r="V637">
        <v>5</v>
      </c>
    </row>
    <row r="638" spans="1:22" x14ac:dyDescent="0.25">
      <c r="A638" t="s">
        <v>1709</v>
      </c>
      <c r="B638" s="1">
        <v>43841</v>
      </c>
      <c r="C638" t="s">
        <v>1710</v>
      </c>
      <c r="D638" t="s">
        <v>1333</v>
      </c>
      <c r="E638">
        <v>29</v>
      </c>
      <c r="F638" t="str">
        <f>IF(Table1[[#This Row],[age]]&lt;=25,"18-25",IF(Table1[[#This Row],[age]]&lt;=35,"26-35",IF(Table1[[#This Row],[age]]&lt;=50,"36-50","51+")))</f>
        <v>26-35</v>
      </c>
      <c r="G638" t="s">
        <v>34</v>
      </c>
      <c r="H638" t="s">
        <v>25</v>
      </c>
      <c r="I638" t="s">
        <v>41</v>
      </c>
      <c r="J638" t="s">
        <v>63</v>
      </c>
      <c r="K638" t="s">
        <v>152</v>
      </c>
      <c r="L638">
        <v>8</v>
      </c>
      <c r="M638">
        <v>2738.08</v>
      </c>
      <c r="N638">
        <v>0.04</v>
      </c>
      <c r="O638">
        <v>15129.46</v>
      </c>
      <c r="P638">
        <v>7413.18</v>
      </c>
      <c r="Q638">
        <v>61.16</v>
      </c>
      <c r="R638" t="s">
        <v>29</v>
      </c>
      <c r="S638">
        <v>1</v>
      </c>
      <c r="T638" t="b">
        <v>0</v>
      </c>
      <c r="U638" t="s">
        <v>30</v>
      </c>
      <c r="V638">
        <v>9</v>
      </c>
    </row>
    <row r="639" spans="1:22" x14ac:dyDescent="0.25">
      <c r="A639" t="s">
        <v>1711</v>
      </c>
      <c r="B639" s="1">
        <v>44574</v>
      </c>
      <c r="C639" t="s">
        <v>1712</v>
      </c>
      <c r="D639" t="s">
        <v>1236</v>
      </c>
      <c r="E639">
        <v>35</v>
      </c>
      <c r="F639" t="str">
        <f>IF(Table1[[#This Row],[age]]&lt;=25,"18-25",IF(Table1[[#This Row],[age]]&lt;=35,"26-35",IF(Table1[[#This Row],[age]]&lt;=50,"36-50","51+")))</f>
        <v>26-35</v>
      </c>
      <c r="G639" t="s">
        <v>34</v>
      </c>
      <c r="H639" t="s">
        <v>61</v>
      </c>
      <c r="I639" t="s">
        <v>163</v>
      </c>
      <c r="J639" t="s">
        <v>115</v>
      </c>
      <c r="K639" t="s">
        <v>145</v>
      </c>
      <c r="L639">
        <v>5</v>
      </c>
      <c r="M639">
        <v>49380.11</v>
      </c>
      <c r="N639">
        <v>0.26</v>
      </c>
      <c r="O639">
        <v>163008.07999999999</v>
      </c>
      <c r="P639">
        <v>20346.12</v>
      </c>
      <c r="Q639">
        <v>62.16</v>
      </c>
      <c r="R639" t="s">
        <v>92</v>
      </c>
      <c r="S639">
        <v>2</v>
      </c>
      <c r="T639" t="b">
        <v>0</v>
      </c>
      <c r="U639" t="s">
        <v>30</v>
      </c>
      <c r="V639">
        <v>8</v>
      </c>
    </row>
    <row r="640" spans="1:22" x14ac:dyDescent="0.25">
      <c r="A640" t="s">
        <v>1713</v>
      </c>
      <c r="B640" s="1">
        <v>43947</v>
      </c>
      <c r="C640" t="s">
        <v>1714</v>
      </c>
      <c r="D640" t="s">
        <v>207</v>
      </c>
      <c r="E640">
        <v>36</v>
      </c>
      <c r="F640" t="str">
        <f>IF(Table1[[#This Row],[age]]&lt;=25,"18-25",IF(Table1[[#This Row],[age]]&lt;=35,"26-35",IF(Table1[[#This Row],[age]]&lt;=50,"36-50","51+")))</f>
        <v>36-50</v>
      </c>
      <c r="G640" t="s">
        <v>34</v>
      </c>
      <c r="H640" t="s">
        <v>69</v>
      </c>
      <c r="I640" t="s">
        <v>136</v>
      </c>
      <c r="J640" t="s">
        <v>101</v>
      </c>
      <c r="K640" t="s">
        <v>124</v>
      </c>
      <c r="L640">
        <v>9</v>
      </c>
      <c r="M640">
        <v>12444.32</v>
      </c>
      <c r="N640">
        <v>0.12</v>
      </c>
      <c r="O640">
        <v>106749.94</v>
      </c>
      <c r="P640">
        <v>24509.37</v>
      </c>
      <c r="Q640">
        <v>90.94</v>
      </c>
      <c r="R640" t="s">
        <v>65</v>
      </c>
      <c r="S640">
        <v>4</v>
      </c>
      <c r="T640" t="b">
        <v>0</v>
      </c>
      <c r="U640" t="s">
        <v>71</v>
      </c>
      <c r="V640">
        <v>9</v>
      </c>
    </row>
    <row r="641" spans="1:22" x14ac:dyDescent="0.25">
      <c r="A641" t="s">
        <v>1715</v>
      </c>
      <c r="B641" s="1">
        <v>45155</v>
      </c>
      <c r="C641" t="s">
        <v>1716</v>
      </c>
      <c r="D641" t="s">
        <v>381</v>
      </c>
      <c r="E641">
        <v>19</v>
      </c>
      <c r="F641" t="str">
        <f>IF(Table1[[#This Row],[age]]&lt;=25,"18-25",IF(Table1[[#This Row],[age]]&lt;=35,"26-35",IF(Table1[[#This Row],[age]]&lt;=50,"36-50","51+")))</f>
        <v>18-25</v>
      </c>
      <c r="G641" t="s">
        <v>54</v>
      </c>
      <c r="H641" t="s">
        <v>55</v>
      </c>
      <c r="I641" t="s">
        <v>56</v>
      </c>
      <c r="J641" t="s">
        <v>27</v>
      </c>
      <c r="K641" t="s">
        <v>480</v>
      </c>
      <c r="L641">
        <v>7</v>
      </c>
      <c r="M641">
        <v>100.31</v>
      </c>
      <c r="N641">
        <v>0.36</v>
      </c>
      <c r="O641">
        <v>600.84</v>
      </c>
      <c r="P641">
        <v>277.58</v>
      </c>
      <c r="Q641">
        <v>67.27</v>
      </c>
      <c r="R641" t="s">
        <v>29</v>
      </c>
      <c r="S641">
        <v>1</v>
      </c>
      <c r="T641" t="b">
        <v>0</v>
      </c>
      <c r="U641" t="s">
        <v>93</v>
      </c>
      <c r="V641">
        <v>9</v>
      </c>
    </row>
    <row r="642" spans="1:22" x14ac:dyDescent="0.25">
      <c r="A642" t="s">
        <v>1717</v>
      </c>
      <c r="B642" s="1">
        <v>45628</v>
      </c>
      <c r="C642" t="s">
        <v>1718</v>
      </c>
      <c r="D642" t="s">
        <v>1719</v>
      </c>
      <c r="E642">
        <v>24</v>
      </c>
      <c r="F642" t="str">
        <f>IF(Table1[[#This Row],[age]]&lt;=25,"18-25",IF(Table1[[#This Row],[age]]&lt;=35,"26-35",IF(Table1[[#This Row],[age]]&lt;=50,"36-50","51+")))</f>
        <v>18-25</v>
      </c>
      <c r="G642" t="s">
        <v>54</v>
      </c>
      <c r="H642" t="s">
        <v>69</v>
      </c>
      <c r="I642" t="s">
        <v>70</v>
      </c>
      <c r="J642" t="s">
        <v>36</v>
      </c>
      <c r="K642" t="s">
        <v>76</v>
      </c>
      <c r="L642">
        <v>5</v>
      </c>
      <c r="M642">
        <v>14663.57</v>
      </c>
      <c r="N642">
        <v>0.39</v>
      </c>
      <c r="O642">
        <v>43871.43</v>
      </c>
      <c r="P642">
        <v>8682.18</v>
      </c>
      <c r="Q642">
        <v>101.24</v>
      </c>
      <c r="R642" t="s">
        <v>57</v>
      </c>
      <c r="S642">
        <v>4</v>
      </c>
      <c r="T642" t="b">
        <v>0</v>
      </c>
      <c r="U642" t="s">
        <v>30</v>
      </c>
      <c r="V642">
        <v>3</v>
      </c>
    </row>
    <row r="643" spans="1:22" x14ac:dyDescent="0.25">
      <c r="A643" t="s">
        <v>1720</v>
      </c>
      <c r="B643" s="1">
        <v>44943</v>
      </c>
      <c r="C643" t="s">
        <v>1721</v>
      </c>
      <c r="D643" t="s">
        <v>265</v>
      </c>
      <c r="E643">
        <v>21</v>
      </c>
      <c r="F643" t="str">
        <f>IF(Table1[[#This Row],[age]]&lt;=25,"18-25",IF(Table1[[#This Row],[age]]&lt;=35,"26-35",IF(Table1[[#This Row],[age]]&lt;=50,"36-50","51+")))</f>
        <v>18-25</v>
      </c>
      <c r="G643" t="s">
        <v>54</v>
      </c>
      <c r="H643" t="s">
        <v>61</v>
      </c>
      <c r="I643" t="s">
        <v>91</v>
      </c>
      <c r="J643" t="s">
        <v>106</v>
      </c>
      <c r="K643" t="s">
        <v>314</v>
      </c>
      <c r="L643">
        <v>1</v>
      </c>
      <c r="M643">
        <v>235.69</v>
      </c>
      <c r="N643">
        <v>0.27</v>
      </c>
      <c r="O643">
        <v>145.65</v>
      </c>
      <c r="P643">
        <v>13.54</v>
      </c>
      <c r="Q643">
        <v>59.77</v>
      </c>
      <c r="R643" t="s">
        <v>43</v>
      </c>
      <c r="S643">
        <v>5</v>
      </c>
      <c r="T643" t="b">
        <v>0</v>
      </c>
      <c r="U643" t="s">
        <v>30</v>
      </c>
      <c r="V643">
        <v>3</v>
      </c>
    </row>
    <row r="644" spans="1:22" x14ac:dyDescent="0.25">
      <c r="A644" t="s">
        <v>1722</v>
      </c>
      <c r="B644" s="1">
        <v>43838</v>
      </c>
      <c r="C644" t="s">
        <v>1723</v>
      </c>
      <c r="D644" t="s">
        <v>338</v>
      </c>
      <c r="E644">
        <v>49</v>
      </c>
      <c r="F644" t="str">
        <f>IF(Table1[[#This Row],[age]]&lt;=25,"18-25",IF(Table1[[#This Row],[age]]&lt;=35,"26-35",IF(Table1[[#This Row],[age]]&lt;=50,"36-50","51+")))</f>
        <v>36-50</v>
      </c>
      <c r="G644" t="s">
        <v>34</v>
      </c>
      <c r="H644" t="s">
        <v>61</v>
      </c>
      <c r="I644" t="s">
        <v>62</v>
      </c>
      <c r="J644" t="s">
        <v>101</v>
      </c>
      <c r="K644" t="s">
        <v>214</v>
      </c>
      <c r="L644">
        <v>10</v>
      </c>
      <c r="M644">
        <v>510.46</v>
      </c>
      <c r="N644">
        <v>0.33</v>
      </c>
      <c r="O644">
        <v>3117.15</v>
      </c>
      <c r="P644">
        <v>595.15</v>
      </c>
      <c r="Q644">
        <v>69.010000000000005</v>
      </c>
      <c r="R644" t="s">
        <v>43</v>
      </c>
      <c r="S644">
        <v>4</v>
      </c>
      <c r="T644" t="b">
        <v>0</v>
      </c>
      <c r="U644" t="s">
        <v>30</v>
      </c>
      <c r="V644">
        <v>3</v>
      </c>
    </row>
    <row r="645" spans="1:22" x14ac:dyDescent="0.25">
      <c r="A645" t="s">
        <v>1724</v>
      </c>
      <c r="B645" s="1">
        <v>44808</v>
      </c>
      <c r="C645" t="s">
        <v>1725</v>
      </c>
      <c r="D645" t="s">
        <v>1442</v>
      </c>
      <c r="E645">
        <v>31</v>
      </c>
      <c r="F645" t="str">
        <f>IF(Table1[[#This Row],[age]]&lt;=25,"18-25",IF(Table1[[#This Row],[age]]&lt;=35,"26-35",IF(Table1[[#This Row],[age]]&lt;=50,"36-50","51+")))</f>
        <v>26-35</v>
      </c>
      <c r="G645" t="s">
        <v>54</v>
      </c>
      <c r="H645" t="s">
        <v>80</v>
      </c>
      <c r="I645" t="s">
        <v>242</v>
      </c>
      <c r="J645" t="s">
        <v>36</v>
      </c>
      <c r="K645" t="s">
        <v>76</v>
      </c>
      <c r="L645">
        <v>8</v>
      </c>
      <c r="M645">
        <v>4977.01</v>
      </c>
      <c r="N645">
        <v>0.28000000000000003</v>
      </c>
      <c r="O645">
        <v>33795.379999999997</v>
      </c>
      <c r="P645">
        <v>9634.2000000000007</v>
      </c>
      <c r="Q645">
        <v>84.09</v>
      </c>
      <c r="R645" t="s">
        <v>65</v>
      </c>
      <c r="S645">
        <v>4</v>
      </c>
      <c r="T645" t="b">
        <v>0</v>
      </c>
      <c r="U645" t="s">
        <v>30</v>
      </c>
      <c r="V645">
        <v>8</v>
      </c>
    </row>
    <row r="646" spans="1:22" x14ac:dyDescent="0.25">
      <c r="A646" t="s">
        <v>1726</v>
      </c>
      <c r="B646" s="1">
        <v>45632</v>
      </c>
      <c r="C646" t="s">
        <v>1727</v>
      </c>
      <c r="D646" t="s">
        <v>583</v>
      </c>
      <c r="E646">
        <v>32</v>
      </c>
      <c r="F646" t="str">
        <f>IF(Table1[[#This Row],[age]]&lt;=25,"18-25",IF(Table1[[#This Row],[age]]&lt;=35,"26-35",IF(Table1[[#This Row],[age]]&lt;=50,"36-50","51+")))</f>
        <v>26-35</v>
      </c>
      <c r="G646" t="s">
        <v>34</v>
      </c>
      <c r="H646" t="s">
        <v>25</v>
      </c>
      <c r="I646" t="s">
        <v>35</v>
      </c>
      <c r="J646" t="s">
        <v>27</v>
      </c>
      <c r="K646" t="s">
        <v>192</v>
      </c>
      <c r="L646">
        <v>8</v>
      </c>
      <c r="M646">
        <v>1064.92</v>
      </c>
      <c r="N646">
        <v>0.37</v>
      </c>
      <c r="O646">
        <v>5754.84</v>
      </c>
      <c r="P646">
        <v>2941.97</v>
      </c>
      <c r="Q646">
        <v>55.05</v>
      </c>
      <c r="R646" t="s">
        <v>49</v>
      </c>
      <c r="S646">
        <v>5</v>
      </c>
      <c r="T646" t="b">
        <v>0</v>
      </c>
      <c r="U646" t="s">
        <v>30</v>
      </c>
      <c r="V646">
        <v>5</v>
      </c>
    </row>
    <row r="647" spans="1:22" x14ac:dyDescent="0.25">
      <c r="A647" t="s">
        <v>1728</v>
      </c>
      <c r="B647" s="1">
        <v>44133</v>
      </c>
      <c r="C647" t="s">
        <v>1729</v>
      </c>
      <c r="D647" t="s">
        <v>1220</v>
      </c>
      <c r="E647">
        <v>21</v>
      </c>
      <c r="F647" t="str">
        <f>IF(Table1[[#This Row],[age]]&lt;=25,"18-25",IF(Table1[[#This Row],[age]]&lt;=35,"26-35",IF(Table1[[#This Row],[age]]&lt;=50,"36-50","51+")))</f>
        <v>18-25</v>
      </c>
      <c r="G647" t="s">
        <v>34</v>
      </c>
      <c r="H647" t="s">
        <v>25</v>
      </c>
      <c r="I647" t="s">
        <v>35</v>
      </c>
      <c r="J647" t="s">
        <v>115</v>
      </c>
      <c r="K647" t="s">
        <v>197</v>
      </c>
      <c r="L647">
        <v>3</v>
      </c>
      <c r="M647">
        <v>14080.67</v>
      </c>
      <c r="N647">
        <v>0.36</v>
      </c>
      <c r="O647">
        <v>17734.88</v>
      </c>
      <c r="P647">
        <v>1519.64</v>
      </c>
      <c r="Q647">
        <v>63.63</v>
      </c>
      <c r="R647" t="s">
        <v>57</v>
      </c>
      <c r="S647">
        <v>2</v>
      </c>
      <c r="T647" t="b">
        <v>1</v>
      </c>
      <c r="U647" t="s">
        <v>50</v>
      </c>
      <c r="V647">
        <v>7</v>
      </c>
    </row>
    <row r="648" spans="1:22" x14ac:dyDescent="0.25">
      <c r="A648" t="s">
        <v>1730</v>
      </c>
      <c r="B648" s="1">
        <v>45104</v>
      </c>
      <c r="C648" t="s">
        <v>1731</v>
      </c>
      <c r="D648" t="s">
        <v>79</v>
      </c>
      <c r="E648">
        <v>50</v>
      </c>
      <c r="F648" t="str">
        <f>IF(Table1[[#This Row],[age]]&lt;=25,"18-25",IF(Table1[[#This Row],[age]]&lt;=35,"26-35",IF(Table1[[#This Row],[age]]&lt;=50,"36-50","51+")))</f>
        <v>36-50</v>
      </c>
      <c r="G648" t="s">
        <v>54</v>
      </c>
      <c r="H648" t="s">
        <v>61</v>
      </c>
      <c r="I648" t="s">
        <v>141</v>
      </c>
      <c r="J648" t="s">
        <v>101</v>
      </c>
      <c r="K648" t="s">
        <v>102</v>
      </c>
      <c r="L648">
        <v>9</v>
      </c>
      <c r="M648">
        <v>13111.09</v>
      </c>
      <c r="N648">
        <v>0.28999999999999998</v>
      </c>
      <c r="O648">
        <v>128078.44</v>
      </c>
      <c r="P648">
        <v>31164.9</v>
      </c>
      <c r="Q648">
        <v>62.85</v>
      </c>
      <c r="R648" t="s">
        <v>92</v>
      </c>
      <c r="S648">
        <v>3</v>
      </c>
      <c r="T648" t="b">
        <v>0</v>
      </c>
      <c r="U648" t="s">
        <v>30</v>
      </c>
      <c r="V648">
        <v>9</v>
      </c>
    </row>
    <row r="649" spans="1:22" x14ac:dyDescent="0.25">
      <c r="A649" t="s">
        <v>1732</v>
      </c>
      <c r="B649" s="1">
        <v>44816</v>
      </c>
      <c r="C649" t="s">
        <v>1733</v>
      </c>
      <c r="D649" t="s">
        <v>1545</v>
      </c>
      <c r="E649">
        <v>23</v>
      </c>
      <c r="F649" t="str">
        <f>IF(Table1[[#This Row],[age]]&lt;=25,"18-25",IF(Table1[[#This Row],[age]]&lt;=35,"26-35",IF(Table1[[#This Row],[age]]&lt;=50,"36-50","51+")))</f>
        <v>18-25</v>
      </c>
      <c r="G649" t="s">
        <v>34</v>
      </c>
      <c r="H649" t="s">
        <v>25</v>
      </c>
      <c r="I649" t="s">
        <v>35</v>
      </c>
      <c r="J649" t="s">
        <v>27</v>
      </c>
      <c r="K649" t="s">
        <v>480</v>
      </c>
      <c r="L649">
        <v>10</v>
      </c>
      <c r="M649">
        <v>767.55</v>
      </c>
      <c r="N649">
        <v>0.35</v>
      </c>
      <c r="O649">
        <v>6213.65</v>
      </c>
      <c r="P649">
        <v>2480.34</v>
      </c>
      <c r="Q649">
        <v>45.37</v>
      </c>
      <c r="R649" t="s">
        <v>49</v>
      </c>
      <c r="S649">
        <v>4</v>
      </c>
      <c r="T649" t="b">
        <v>0</v>
      </c>
      <c r="U649" t="s">
        <v>30</v>
      </c>
      <c r="V649">
        <v>5</v>
      </c>
    </row>
    <row r="650" spans="1:22" x14ac:dyDescent="0.25">
      <c r="A650" t="s">
        <v>1734</v>
      </c>
      <c r="B650" s="1">
        <v>45597</v>
      </c>
      <c r="C650" t="s">
        <v>1735</v>
      </c>
      <c r="D650" t="s">
        <v>1736</v>
      </c>
      <c r="E650">
        <v>57</v>
      </c>
      <c r="F650" t="str">
        <f>IF(Table1[[#This Row],[age]]&lt;=25,"18-25",IF(Table1[[#This Row],[age]]&lt;=35,"26-35",IF(Table1[[#This Row],[age]]&lt;=50,"36-50","51+")))</f>
        <v>51+</v>
      </c>
      <c r="G650" t="s">
        <v>54</v>
      </c>
      <c r="H650" t="s">
        <v>69</v>
      </c>
      <c r="I650" t="s">
        <v>181</v>
      </c>
      <c r="J650" t="s">
        <v>27</v>
      </c>
      <c r="K650" t="s">
        <v>192</v>
      </c>
      <c r="L650">
        <v>7</v>
      </c>
      <c r="M650">
        <v>680.72</v>
      </c>
      <c r="N650">
        <v>0.08</v>
      </c>
      <c r="O650">
        <v>3896.02</v>
      </c>
      <c r="P650">
        <v>1700.03</v>
      </c>
      <c r="Q650">
        <v>71.25</v>
      </c>
      <c r="R650" t="s">
        <v>92</v>
      </c>
      <c r="S650">
        <v>5</v>
      </c>
      <c r="T650" t="b">
        <v>0</v>
      </c>
      <c r="U650" t="s">
        <v>30</v>
      </c>
      <c r="V650">
        <v>2</v>
      </c>
    </row>
    <row r="651" spans="1:22" x14ac:dyDescent="0.25">
      <c r="A651" t="s">
        <v>1737</v>
      </c>
      <c r="B651" s="1">
        <v>45379</v>
      </c>
      <c r="C651" t="s">
        <v>1738</v>
      </c>
      <c r="D651" t="s">
        <v>657</v>
      </c>
      <c r="E651">
        <v>30</v>
      </c>
      <c r="F651" t="str">
        <f>IF(Table1[[#This Row],[age]]&lt;=25,"18-25",IF(Table1[[#This Row],[age]]&lt;=35,"26-35",IF(Table1[[#This Row],[age]]&lt;=50,"36-50","51+")))</f>
        <v>26-35</v>
      </c>
      <c r="G651" t="s">
        <v>34</v>
      </c>
      <c r="H651" t="s">
        <v>25</v>
      </c>
      <c r="I651" t="s">
        <v>298</v>
      </c>
      <c r="J651" t="s">
        <v>36</v>
      </c>
      <c r="K651" t="s">
        <v>243</v>
      </c>
      <c r="L651">
        <v>8</v>
      </c>
      <c r="M651">
        <v>32965.83</v>
      </c>
      <c r="N651">
        <v>0.21</v>
      </c>
      <c r="O651">
        <v>300897.34999999998</v>
      </c>
      <c r="P651">
        <v>94953.31</v>
      </c>
      <c r="Q651">
        <v>68.39</v>
      </c>
      <c r="R651" t="s">
        <v>29</v>
      </c>
      <c r="S651">
        <v>5</v>
      </c>
      <c r="T651" t="b">
        <v>0</v>
      </c>
      <c r="U651" t="s">
        <v>30</v>
      </c>
      <c r="V651">
        <v>10</v>
      </c>
    </row>
    <row r="652" spans="1:22" x14ac:dyDescent="0.25">
      <c r="A652" t="s">
        <v>1739</v>
      </c>
      <c r="B652" s="1">
        <v>44839</v>
      </c>
      <c r="C652" t="s">
        <v>1740</v>
      </c>
      <c r="D652" t="s">
        <v>437</v>
      </c>
      <c r="E652">
        <v>47</v>
      </c>
      <c r="F652" t="str">
        <f>IF(Table1[[#This Row],[age]]&lt;=25,"18-25",IF(Table1[[#This Row],[age]]&lt;=35,"26-35",IF(Table1[[#This Row],[age]]&lt;=50,"36-50","51+")))</f>
        <v>36-50</v>
      </c>
      <c r="G652" t="s">
        <v>24</v>
      </c>
      <c r="H652" t="s">
        <v>55</v>
      </c>
      <c r="I652" t="s">
        <v>114</v>
      </c>
      <c r="J652" t="s">
        <v>27</v>
      </c>
      <c r="K652" t="s">
        <v>128</v>
      </c>
      <c r="L652">
        <v>9</v>
      </c>
      <c r="M652">
        <v>2425.6799999999998</v>
      </c>
      <c r="N652">
        <v>0.16</v>
      </c>
      <c r="O652">
        <v>13573.13</v>
      </c>
      <c r="P652">
        <v>3678.22</v>
      </c>
      <c r="Q652">
        <v>64.69</v>
      </c>
      <c r="R652" t="s">
        <v>65</v>
      </c>
      <c r="S652">
        <v>1</v>
      </c>
      <c r="T652" t="b">
        <v>0</v>
      </c>
      <c r="U652" t="s">
        <v>30</v>
      </c>
      <c r="V652">
        <v>9</v>
      </c>
    </row>
    <row r="653" spans="1:22" x14ac:dyDescent="0.25">
      <c r="A653" t="s">
        <v>1741</v>
      </c>
      <c r="B653" s="1">
        <v>45532</v>
      </c>
      <c r="C653" t="s">
        <v>1742</v>
      </c>
      <c r="D653" t="s">
        <v>1059</v>
      </c>
      <c r="E653">
        <v>36</v>
      </c>
      <c r="F653" t="str">
        <f>IF(Table1[[#This Row],[age]]&lt;=25,"18-25",IF(Table1[[#This Row],[age]]&lt;=35,"26-35",IF(Table1[[#This Row],[age]]&lt;=50,"36-50","51+")))</f>
        <v>36-50</v>
      </c>
      <c r="G653" t="s">
        <v>54</v>
      </c>
      <c r="H653" t="s">
        <v>80</v>
      </c>
      <c r="I653" t="s">
        <v>86</v>
      </c>
      <c r="J653" t="s">
        <v>106</v>
      </c>
      <c r="K653" t="s">
        <v>331</v>
      </c>
      <c r="L653">
        <v>2</v>
      </c>
      <c r="M653">
        <v>483.36</v>
      </c>
      <c r="N653">
        <v>0.14000000000000001</v>
      </c>
      <c r="O653">
        <v>1284.6300000000001</v>
      </c>
      <c r="P653">
        <v>91.4</v>
      </c>
      <c r="Q653">
        <v>55.77</v>
      </c>
      <c r="R653" t="s">
        <v>65</v>
      </c>
      <c r="S653">
        <v>4</v>
      </c>
      <c r="T653" t="b">
        <v>0</v>
      </c>
      <c r="U653" t="s">
        <v>30</v>
      </c>
      <c r="V653">
        <v>8</v>
      </c>
    </row>
    <row r="654" spans="1:22" x14ac:dyDescent="0.25">
      <c r="A654" t="s">
        <v>1743</v>
      </c>
      <c r="B654" s="1">
        <v>44530</v>
      </c>
      <c r="C654" t="s">
        <v>1681</v>
      </c>
      <c r="D654" t="s">
        <v>412</v>
      </c>
      <c r="E654">
        <v>41</v>
      </c>
      <c r="F654" t="str">
        <f>IF(Table1[[#This Row],[age]]&lt;=25,"18-25",IF(Table1[[#This Row],[age]]&lt;=35,"26-35",IF(Table1[[#This Row],[age]]&lt;=50,"36-50","51+")))</f>
        <v>36-50</v>
      </c>
      <c r="G654" t="s">
        <v>34</v>
      </c>
      <c r="H654" t="s">
        <v>69</v>
      </c>
      <c r="I654" t="s">
        <v>136</v>
      </c>
      <c r="J654" t="s">
        <v>47</v>
      </c>
      <c r="K654" t="s">
        <v>48</v>
      </c>
      <c r="L654">
        <v>9</v>
      </c>
      <c r="M654">
        <v>433.76</v>
      </c>
      <c r="N654">
        <v>0.33</v>
      </c>
      <c r="O654">
        <v>1929.18</v>
      </c>
      <c r="P654">
        <v>781.78</v>
      </c>
      <c r="Q654">
        <v>97.16</v>
      </c>
      <c r="R654" t="s">
        <v>43</v>
      </c>
      <c r="S654">
        <v>4</v>
      </c>
      <c r="T654" t="b">
        <v>0</v>
      </c>
      <c r="U654" t="s">
        <v>71</v>
      </c>
      <c r="V654">
        <v>2</v>
      </c>
    </row>
    <row r="655" spans="1:22" x14ac:dyDescent="0.25">
      <c r="A655" t="s">
        <v>1744</v>
      </c>
      <c r="B655" s="1">
        <v>44072</v>
      </c>
      <c r="C655" t="s">
        <v>1745</v>
      </c>
      <c r="D655" t="s">
        <v>637</v>
      </c>
      <c r="E655">
        <v>19</v>
      </c>
      <c r="F655" t="str">
        <f>IF(Table1[[#This Row],[age]]&lt;=25,"18-25",IF(Table1[[#This Row],[age]]&lt;=35,"26-35",IF(Table1[[#This Row],[age]]&lt;=50,"36-50","51+")))</f>
        <v>18-25</v>
      </c>
      <c r="G655" t="s">
        <v>24</v>
      </c>
      <c r="H655" t="s">
        <v>69</v>
      </c>
      <c r="I655" t="s">
        <v>136</v>
      </c>
      <c r="J655" t="s">
        <v>115</v>
      </c>
      <c r="K655" t="s">
        <v>398</v>
      </c>
      <c r="L655">
        <v>3</v>
      </c>
      <c r="M655">
        <v>17253.63</v>
      </c>
      <c r="N655">
        <v>0.05</v>
      </c>
      <c r="O655">
        <v>55070.91</v>
      </c>
      <c r="P655">
        <v>5633.84</v>
      </c>
      <c r="Q655">
        <v>79.989999999999995</v>
      </c>
      <c r="R655" t="s">
        <v>92</v>
      </c>
      <c r="S655">
        <v>5</v>
      </c>
      <c r="T655" t="b">
        <v>0</v>
      </c>
      <c r="U655" t="s">
        <v>30</v>
      </c>
      <c r="V655">
        <v>6</v>
      </c>
    </row>
    <row r="656" spans="1:22" x14ac:dyDescent="0.25">
      <c r="A656" t="s">
        <v>1746</v>
      </c>
      <c r="B656" s="1">
        <v>44237</v>
      </c>
      <c r="C656" t="s">
        <v>1747</v>
      </c>
      <c r="D656" t="s">
        <v>1338</v>
      </c>
      <c r="E656">
        <v>23</v>
      </c>
      <c r="F656" t="str">
        <f>IF(Table1[[#This Row],[age]]&lt;=25,"18-25",IF(Table1[[#This Row],[age]]&lt;=35,"26-35",IF(Table1[[#This Row],[age]]&lt;=50,"36-50","51+")))</f>
        <v>18-25</v>
      </c>
      <c r="G656" t="s">
        <v>34</v>
      </c>
      <c r="H656" t="s">
        <v>25</v>
      </c>
      <c r="I656" t="s">
        <v>298</v>
      </c>
      <c r="J656" t="s">
        <v>115</v>
      </c>
      <c r="K656" t="s">
        <v>545</v>
      </c>
      <c r="L656">
        <v>7</v>
      </c>
      <c r="M656">
        <v>60825.33</v>
      </c>
      <c r="N656">
        <v>0.39</v>
      </c>
      <c r="O656">
        <v>203704.25</v>
      </c>
      <c r="P656">
        <v>27664.1</v>
      </c>
      <c r="Q656">
        <v>67.78</v>
      </c>
      <c r="R656" t="s">
        <v>43</v>
      </c>
      <c r="S656">
        <v>1</v>
      </c>
      <c r="T656" t="b">
        <v>0</v>
      </c>
      <c r="U656" t="s">
        <v>30</v>
      </c>
      <c r="V656">
        <v>8</v>
      </c>
    </row>
    <row r="657" spans="1:22" x14ac:dyDescent="0.25">
      <c r="A657" t="s">
        <v>1748</v>
      </c>
      <c r="B657" s="1">
        <v>45321</v>
      </c>
      <c r="C657" t="s">
        <v>1749</v>
      </c>
      <c r="D657" t="s">
        <v>564</v>
      </c>
      <c r="E657">
        <v>24</v>
      </c>
      <c r="F657" t="str">
        <f>IF(Table1[[#This Row],[age]]&lt;=25,"18-25",IF(Table1[[#This Row],[age]]&lt;=35,"26-35",IF(Table1[[#This Row],[age]]&lt;=50,"36-50","51+")))</f>
        <v>18-25</v>
      </c>
      <c r="G657" t="s">
        <v>54</v>
      </c>
      <c r="H657" t="s">
        <v>69</v>
      </c>
      <c r="I657" t="s">
        <v>136</v>
      </c>
      <c r="J657" t="s">
        <v>27</v>
      </c>
      <c r="K657" t="s">
        <v>28</v>
      </c>
      <c r="L657">
        <v>8</v>
      </c>
      <c r="M657">
        <v>1335.64</v>
      </c>
      <c r="N657">
        <v>0.27</v>
      </c>
      <c r="O657">
        <v>7442.31</v>
      </c>
      <c r="P657">
        <v>2973.2</v>
      </c>
      <c r="Q657">
        <v>94.12</v>
      </c>
      <c r="R657" t="s">
        <v>92</v>
      </c>
      <c r="S657">
        <v>1</v>
      </c>
      <c r="T657" t="b">
        <v>0</v>
      </c>
      <c r="U657" t="s">
        <v>93</v>
      </c>
      <c r="V657">
        <v>6</v>
      </c>
    </row>
    <row r="658" spans="1:22" x14ac:dyDescent="0.25">
      <c r="A658" t="s">
        <v>1750</v>
      </c>
      <c r="B658" s="1">
        <v>44972</v>
      </c>
      <c r="C658" t="s">
        <v>1751</v>
      </c>
      <c r="D658" t="s">
        <v>1241</v>
      </c>
      <c r="E658">
        <v>27</v>
      </c>
      <c r="F658" t="str">
        <f>IF(Table1[[#This Row],[age]]&lt;=25,"18-25",IF(Table1[[#This Row],[age]]&lt;=35,"26-35",IF(Table1[[#This Row],[age]]&lt;=50,"36-50","51+")))</f>
        <v>26-35</v>
      </c>
      <c r="G658" t="s">
        <v>54</v>
      </c>
      <c r="H658" t="s">
        <v>25</v>
      </c>
      <c r="I658" t="s">
        <v>35</v>
      </c>
      <c r="J658" t="s">
        <v>63</v>
      </c>
      <c r="K658" t="s">
        <v>82</v>
      </c>
      <c r="L658">
        <v>7</v>
      </c>
      <c r="M658">
        <v>668.17</v>
      </c>
      <c r="N658">
        <v>0.09</v>
      </c>
      <c r="O658">
        <v>4502.68</v>
      </c>
      <c r="P658">
        <v>1133.27</v>
      </c>
      <c r="Q658">
        <v>38.590000000000003</v>
      </c>
      <c r="R658" t="s">
        <v>65</v>
      </c>
      <c r="S658">
        <v>5</v>
      </c>
      <c r="T658" t="b">
        <v>0</v>
      </c>
      <c r="U658" t="s">
        <v>30</v>
      </c>
      <c r="V658">
        <v>8</v>
      </c>
    </row>
    <row r="659" spans="1:22" x14ac:dyDescent="0.25">
      <c r="A659" t="s">
        <v>1752</v>
      </c>
      <c r="B659" s="1">
        <v>44063</v>
      </c>
      <c r="C659" t="s">
        <v>1753</v>
      </c>
      <c r="D659" t="s">
        <v>1066</v>
      </c>
      <c r="E659">
        <v>33</v>
      </c>
      <c r="F659" t="str">
        <f>IF(Table1[[#This Row],[age]]&lt;=25,"18-25",IF(Table1[[#This Row],[age]]&lt;=35,"26-35",IF(Table1[[#This Row],[age]]&lt;=50,"36-50","51+")))</f>
        <v>26-35</v>
      </c>
      <c r="G659" t="s">
        <v>54</v>
      </c>
      <c r="H659" t="s">
        <v>80</v>
      </c>
      <c r="I659" t="s">
        <v>236</v>
      </c>
      <c r="J659" t="s">
        <v>63</v>
      </c>
      <c r="K659" t="s">
        <v>87</v>
      </c>
      <c r="L659">
        <v>1</v>
      </c>
      <c r="M659">
        <v>392.55</v>
      </c>
      <c r="N659">
        <v>7.0000000000000007E-2</v>
      </c>
      <c r="O659">
        <v>420.97</v>
      </c>
      <c r="P659">
        <v>161.71</v>
      </c>
      <c r="Q659">
        <v>71.09</v>
      </c>
      <c r="R659" t="s">
        <v>57</v>
      </c>
      <c r="S659">
        <v>5</v>
      </c>
      <c r="T659" t="b">
        <v>0</v>
      </c>
      <c r="U659" t="s">
        <v>193</v>
      </c>
      <c r="V659">
        <v>4</v>
      </c>
    </row>
    <row r="660" spans="1:22" x14ac:dyDescent="0.25">
      <c r="A660" t="s">
        <v>1754</v>
      </c>
      <c r="B660" s="1">
        <v>45001</v>
      </c>
      <c r="C660" t="s">
        <v>1755</v>
      </c>
      <c r="D660" t="s">
        <v>1756</v>
      </c>
      <c r="E660">
        <v>35</v>
      </c>
      <c r="F660" t="str">
        <f>IF(Table1[[#This Row],[age]]&lt;=25,"18-25",IF(Table1[[#This Row],[age]]&lt;=35,"26-35",IF(Table1[[#This Row],[age]]&lt;=50,"36-50","51+")))</f>
        <v>26-35</v>
      </c>
      <c r="G660" t="s">
        <v>34</v>
      </c>
      <c r="H660" t="s">
        <v>55</v>
      </c>
      <c r="I660" t="s">
        <v>114</v>
      </c>
      <c r="J660" t="s">
        <v>47</v>
      </c>
      <c r="K660" t="s">
        <v>156</v>
      </c>
      <c r="L660">
        <v>8</v>
      </c>
      <c r="M660">
        <v>600.71</v>
      </c>
      <c r="N660">
        <v>0.17</v>
      </c>
      <c r="O660">
        <v>4278.59</v>
      </c>
      <c r="P660">
        <v>1539.55</v>
      </c>
      <c r="Q660">
        <v>24.97</v>
      </c>
      <c r="R660" t="s">
        <v>29</v>
      </c>
      <c r="S660">
        <v>1</v>
      </c>
      <c r="T660" t="b">
        <v>0</v>
      </c>
      <c r="U660" t="s">
        <v>30</v>
      </c>
      <c r="V660">
        <v>9</v>
      </c>
    </row>
    <row r="661" spans="1:22" x14ac:dyDescent="0.25">
      <c r="A661" t="s">
        <v>1757</v>
      </c>
      <c r="B661" s="1">
        <v>45602</v>
      </c>
      <c r="C661" t="s">
        <v>1758</v>
      </c>
      <c r="D661" t="s">
        <v>527</v>
      </c>
      <c r="E661">
        <v>37</v>
      </c>
      <c r="F661" t="str">
        <f>IF(Table1[[#This Row],[age]]&lt;=25,"18-25",IF(Table1[[#This Row],[age]]&lt;=35,"26-35",IF(Table1[[#This Row],[age]]&lt;=50,"36-50","51+")))</f>
        <v>36-50</v>
      </c>
      <c r="G661" t="s">
        <v>24</v>
      </c>
      <c r="H661" t="s">
        <v>55</v>
      </c>
      <c r="I661" t="s">
        <v>75</v>
      </c>
      <c r="J661" t="s">
        <v>36</v>
      </c>
      <c r="K661" t="s">
        <v>76</v>
      </c>
      <c r="L661">
        <v>5</v>
      </c>
      <c r="M661">
        <v>2536.86</v>
      </c>
      <c r="N661">
        <v>0.36</v>
      </c>
      <c r="O661">
        <v>7801.91</v>
      </c>
      <c r="P661">
        <v>1900.47</v>
      </c>
      <c r="Q661">
        <v>68.13</v>
      </c>
      <c r="R661" t="s">
        <v>29</v>
      </c>
      <c r="S661">
        <v>2</v>
      </c>
      <c r="T661" t="b">
        <v>0</v>
      </c>
      <c r="U661" t="s">
        <v>71</v>
      </c>
      <c r="V661">
        <v>7</v>
      </c>
    </row>
    <row r="662" spans="1:22" x14ac:dyDescent="0.25">
      <c r="A662" t="s">
        <v>1759</v>
      </c>
      <c r="B662" s="1">
        <v>44789</v>
      </c>
      <c r="C662" t="s">
        <v>1760</v>
      </c>
      <c r="D662" t="s">
        <v>1761</v>
      </c>
      <c r="E662">
        <v>41</v>
      </c>
      <c r="F662" t="str">
        <f>IF(Table1[[#This Row],[age]]&lt;=25,"18-25",IF(Table1[[#This Row],[age]]&lt;=35,"26-35",IF(Table1[[#This Row],[age]]&lt;=50,"36-50","51+")))</f>
        <v>36-50</v>
      </c>
      <c r="G662" t="s">
        <v>54</v>
      </c>
      <c r="H662" t="s">
        <v>69</v>
      </c>
      <c r="I662" t="s">
        <v>221</v>
      </c>
      <c r="J662" t="s">
        <v>47</v>
      </c>
      <c r="K662" t="s">
        <v>204</v>
      </c>
      <c r="L662">
        <v>2</v>
      </c>
      <c r="M662">
        <v>244.36</v>
      </c>
      <c r="N662">
        <v>0.12</v>
      </c>
      <c r="O662">
        <v>485.28</v>
      </c>
      <c r="P662">
        <v>192.95</v>
      </c>
      <c r="Q662">
        <v>79.16</v>
      </c>
      <c r="R662" t="s">
        <v>49</v>
      </c>
      <c r="S662">
        <v>2</v>
      </c>
      <c r="T662" t="b">
        <v>0</v>
      </c>
      <c r="U662" t="s">
        <v>193</v>
      </c>
      <c r="V662">
        <v>2</v>
      </c>
    </row>
    <row r="663" spans="1:22" x14ac:dyDescent="0.25">
      <c r="A663" t="s">
        <v>1762</v>
      </c>
      <c r="B663" s="1">
        <v>44235</v>
      </c>
      <c r="C663" t="s">
        <v>1763</v>
      </c>
      <c r="D663" t="s">
        <v>682</v>
      </c>
      <c r="E663">
        <v>30</v>
      </c>
      <c r="F663" t="str">
        <f>IF(Table1[[#This Row],[age]]&lt;=25,"18-25",IF(Table1[[#This Row],[age]]&lt;=35,"26-35",IF(Table1[[#This Row],[age]]&lt;=50,"36-50","51+")))</f>
        <v>26-35</v>
      </c>
      <c r="G663" t="s">
        <v>24</v>
      </c>
      <c r="H663" t="s">
        <v>25</v>
      </c>
      <c r="I663" t="s">
        <v>41</v>
      </c>
      <c r="J663" t="s">
        <v>47</v>
      </c>
      <c r="K663" t="s">
        <v>204</v>
      </c>
      <c r="L663">
        <v>2</v>
      </c>
      <c r="M663">
        <v>583.34</v>
      </c>
      <c r="N663">
        <v>0.24</v>
      </c>
      <c r="O663">
        <v>678.92</v>
      </c>
      <c r="P663">
        <v>261.88</v>
      </c>
      <c r="Q663">
        <v>72.31</v>
      </c>
      <c r="R663" t="s">
        <v>49</v>
      </c>
      <c r="S663">
        <v>5</v>
      </c>
      <c r="T663" t="b">
        <v>0</v>
      </c>
      <c r="U663" t="s">
        <v>30</v>
      </c>
      <c r="V663">
        <v>5</v>
      </c>
    </row>
    <row r="664" spans="1:22" x14ac:dyDescent="0.25">
      <c r="A664" t="s">
        <v>1764</v>
      </c>
      <c r="B664" s="1">
        <v>45633</v>
      </c>
      <c r="C664" t="s">
        <v>1765</v>
      </c>
      <c r="D664" t="s">
        <v>1294</v>
      </c>
      <c r="E664">
        <v>37</v>
      </c>
      <c r="F664" t="str">
        <f>IF(Table1[[#This Row],[age]]&lt;=25,"18-25",IF(Table1[[#This Row],[age]]&lt;=35,"26-35",IF(Table1[[#This Row],[age]]&lt;=50,"36-50","51+")))</f>
        <v>36-50</v>
      </c>
      <c r="G664" t="s">
        <v>54</v>
      </c>
      <c r="H664" t="s">
        <v>55</v>
      </c>
      <c r="I664" t="s">
        <v>114</v>
      </c>
      <c r="J664" t="s">
        <v>47</v>
      </c>
      <c r="K664" t="s">
        <v>272</v>
      </c>
      <c r="L664">
        <v>8</v>
      </c>
      <c r="M664">
        <v>519.04999999999995</v>
      </c>
      <c r="N664">
        <v>0.33</v>
      </c>
      <c r="O664">
        <v>2627.87</v>
      </c>
      <c r="P664">
        <v>1117.94</v>
      </c>
      <c r="Q664">
        <v>51.28</v>
      </c>
      <c r="R664" t="s">
        <v>29</v>
      </c>
      <c r="S664">
        <v>2</v>
      </c>
      <c r="T664" t="b">
        <v>0</v>
      </c>
      <c r="U664" t="s">
        <v>30</v>
      </c>
      <c r="V664">
        <v>10</v>
      </c>
    </row>
    <row r="665" spans="1:22" x14ac:dyDescent="0.25">
      <c r="A665" t="s">
        <v>1766</v>
      </c>
      <c r="B665" s="1">
        <v>44175</v>
      </c>
      <c r="C665" t="s">
        <v>1767</v>
      </c>
      <c r="D665" t="s">
        <v>184</v>
      </c>
      <c r="E665">
        <v>37</v>
      </c>
      <c r="F665" t="str">
        <f>IF(Table1[[#This Row],[age]]&lt;=25,"18-25",IF(Table1[[#This Row],[age]]&lt;=35,"26-35",IF(Table1[[#This Row],[age]]&lt;=50,"36-50","51+")))</f>
        <v>36-50</v>
      </c>
      <c r="G665" t="s">
        <v>54</v>
      </c>
      <c r="H665" t="s">
        <v>69</v>
      </c>
      <c r="I665" t="s">
        <v>70</v>
      </c>
      <c r="J665" t="s">
        <v>115</v>
      </c>
      <c r="K665" t="s">
        <v>398</v>
      </c>
      <c r="L665">
        <v>10</v>
      </c>
      <c r="M665">
        <v>23990.02</v>
      </c>
      <c r="N665">
        <v>0.11</v>
      </c>
      <c r="O665">
        <v>188453.46</v>
      </c>
      <c r="P665">
        <v>26897.47</v>
      </c>
      <c r="Q665">
        <v>73.319999999999993</v>
      </c>
      <c r="R665" t="s">
        <v>49</v>
      </c>
      <c r="S665">
        <v>4</v>
      </c>
      <c r="T665" t="b">
        <v>0</v>
      </c>
      <c r="U665" t="s">
        <v>30</v>
      </c>
      <c r="V665">
        <v>8</v>
      </c>
    </row>
    <row r="666" spans="1:22" x14ac:dyDescent="0.25">
      <c r="A666" t="s">
        <v>1768</v>
      </c>
      <c r="B666" s="1">
        <v>43891</v>
      </c>
      <c r="C666" t="s">
        <v>1769</v>
      </c>
      <c r="D666" t="s">
        <v>1051</v>
      </c>
      <c r="E666">
        <v>26</v>
      </c>
      <c r="F666" t="str">
        <f>IF(Table1[[#This Row],[age]]&lt;=25,"18-25",IF(Table1[[#This Row],[age]]&lt;=35,"26-35",IF(Table1[[#This Row],[age]]&lt;=50,"36-50","51+")))</f>
        <v>26-35</v>
      </c>
      <c r="G666" t="s">
        <v>34</v>
      </c>
      <c r="H666" t="s">
        <v>80</v>
      </c>
      <c r="I666" t="s">
        <v>236</v>
      </c>
      <c r="J666" t="s">
        <v>63</v>
      </c>
      <c r="K666" t="s">
        <v>87</v>
      </c>
      <c r="L666">
        <v>1</v>
      </c>
      <c r="M666">
        <v>1792.52</v>
      </c>
      <c r="N666">
        <v>0.38</v>
      </c>
      <c r="O666">
        <v>862.61</v>
      </c>
      <c r="P666">
        <v>322.56</v>
      </c>
      <c r="Q666">
        <v>69.84</v>
      </c>
      <c r="R666" t="s">
        <v>43</v>
      </c>
      <c r="S666">
        <v>4</v>
      </c>
      <c r="T666" t="b">
        <v>1</v>
      </c>
      <c r="U666" t="s">
        <v>50</v>
      </c>
      <c r="V666">
        <v>8</v>
      </c>
    </row>
    <row r="667" spans="1:22" x14ac:dyDescent="0.25">
      <c r="A667" t="s">
        <v>1770</v>
      </c>
      <c r="B667" s="1">
        <v>44394</v>
      </c>
      <c r="C667" t="s">
        <v>1771</v>
      </c>
      <c r="D667" t="s">
        <v>162</v>
      </c>
      <c r="E667">
        <v>39</v>
      </c>
      <c r="F667" t="str">
        <f>IF(Table1[[#This Row],[age]]&lt;=25,"18-25",IF(Table1[[#This Row],[age]]&lt;=35,"26-35",IF(Table1[[#This Row],[age]]&lt;=50,"36-50","51+")))</f>
        <v>36-50</v>
      </c>
      <c r="G667" t="s">
        <v>34</v>
      </c>
      <c r="H667" t="s">
        <v>69</v>
      </c>
      <c r="I667" t="s">
        <v>70</v>
      </c>
      <c r="J667" t="s">
        <v>36</v>
      </c>
      <c r="K667" t="s">
        <v>42</v>
      </c>
      <c r="L667">
        <v>2</v>
      </c>
      <c r="M667">
        <v>9066.85</v>
      </c>
      <c r="N667">
        <v>0.3</v>
      </c>
      <c r="O667">
        <v>13846.15</v>
      </c>
      <c r="P667">
        <v>3812.64</v>
      </c>
      <c r="Q667">
        <v>91.56</v>
      </c>
      <c r="R667" t="s">
        <v>43</v>
      </c>
      <c r="S667">
        <v>1</v>
      </c>
      <c r="T667" t="b">
        <v>0</v>
      </c>
      <c r="U667" t="s">
        <v>30</v>
      </c>
      <c r="V667">
        <v>9</v>
      </c>
    </row>
    <row r="668" spans="1:22" x14ac:dyDescent="0.25">
      <c r="A668" t="s">
        <v>1772</v>
      </c>
      <c r="B668" s="1">
        <v>44527</v>
      </c>
      <c r="C668" t="s">
        <v>1773</v>
      </c>
      <c r="D668" t="s">
        <v>387</v>
      </c>
      <c r="E668">
        <v>35</v>
      </c>
      <c r="F668" t="str">
        <f>IF(Table1[[#This Row],[age]]&lt;=25,"18-25",IF(Table1[[#This Row],[age]]&lt;=35,"26-35",IF(Table1[[#This Row],[age]]&lt;=50,"36-50","51+")))</f>
        <v>26-35</v>
      </c>
      <c r="G668" t="s">
        <v>54</v>
      </c>
      <c r="H668" t="s">
        <v>25</v>
      </c>
      <c r="I668" t="s">
        <v>26</v>
      </c>
      <c r="J668" t="s">
        <v>101</v>
      </c>
      <c r="K668" t="s">
        <v>102</v>
      </c>
      <c r="L668">
        <v>9</v>
      </c>
      <c r="M668">
        <v>13211.32</v>
      </c>
      <c r="N668">
        <v>0.17</v>
      </c>
      <c r="O668">
        <v>81467.429999999993</v>
      </c>
      <c r="P668">
        <v>18155</v>
      </c>
      <c r="Q668">
        <v>52.32</v>
      </c>
      <c r="R668" t="s">
        <v>65</v>
      </c>
      <c r="S668">
        <v>3</v>
      </c>
      <c r="T668" t="b">
        <v>0</v>
      </c>
      <c r="U668" t="s">
        <v>30</v>
      </c>
      <c r="V668">
        <v>5</v>
      </c>
    </row>
    <row r="669" spans="1:22" x14ac:dyDescent="0.25">
      <c r="A669" t="s">
        <v>1774</v>
      </c>
      <c r="B669" s="1">
        <v>45213</v>
      </c>
      <c r="C669" t="s">
        <v>1775</v>
      </c>
      <c r="D669" t="s">
        <v>278</v>
      </c>
      <c r="E669">
        <v>39</v>
      </c>
      <c r="F669" t="str">
        <f>IF(Table1[[#This Row],[age]]&lt;=25,"18-25",IF(Table1[[#This Row],[age]]&lt;=35,"26-35",IF(Table1[[#This Row],[age]]&lt;=50,"36-50","51+")))</f>
        <v>36-50</v>
      </c>
      <c r="G669" t="s">
        <v>24</v>
      </c>
      <c r="H669" t="s">
        <v>61</v>
      </c>
      <c r="I669" t="s">
        <v>163</v>
      </c>
      <c r="J669" t="s">
        <v>101</v>
      </c>
      <c r="K669" t="s">
        <v>102</v>
      </c>
      <c r="L669">
        <v>9</v>
      </c>
      <c r="M669">
        <v>9769.82</v>
      </c>
      <c r="N669">
        <v>0.32</v>
      </c>
      <c r="O669">
        <v>64012.37</v>
      </c>
      <c r="P669">
        <v>13161.33</v>
      </c>
      <c r="Q669">
        <v>50.8</v>
      </c>
      <c r="R669" t="s">
        <v>92</v>
      </c>
      <c r="S669">
        <v>4</v>
      </c>
      <c r="T669" t="b">
        <v>0</v>
      </c>
      <c r="U669" t="s">
        <v>30</v>
      </c>
      <c r="V669">
        <v>6</v>
      </c>
    </row>
    <row r="670" spans="1:22" x14ac:dyDescent="0.25">
      <c r="A670" t="s">
        <v>1776</v>
      </c>
      <c r="B670" s="1">
        <v>44442</v>
      </c>
      <c r="C670" t="s">
        <v>1777</v>
      </c>
      <c r="D670" t="s">
        <v>723</v>
      </c>
      <c r="E670">
        <v>44</v>
      </c>
      <c r="F670" t="str">
        <f>IF(Table1[[#This Row],[age]]&lt;=25,"18-25",IF(Table1[[#This Row],[age]]&lt;=35,"26-35",IF(Table1[[#This Row],[age]]&lt;=50,"36-50","51+")))</f>
        <v>36-50</v>
      </c>
      <c r="G670" t="s">
        <v>34</v>
      </c>
      <c r="H670" t="s">
        <v>55</v>
      </c>
      <c r="I670" t="s">
        <v>97</v>
      </c>
      <c r="J670" t="s">
        <v>101</v>
      </c>
      <c r="K670" t="s">
        <v>456</v>
      </c>
      <c r="L670">
        <v>5</v>
      </c>
      <c r="M670">
        <v>9013.26</v>
      </c>
      <c r="N670">
        <v>0.28000000000000003</v>
      </c>
      <c r="O670">
        <v>36168.33</v>
      </c>
      <c r="P670">
        <v>10509.8</v>
      </c>
      <c r="Q670">
        <v>35.94</v>
      </c>
      <c r="R670" t="s">
        <v>65</v>
      </c>
      <c r="S670">
        <v>5</v>
      </c>
      <c r="T670" t="b">
        <v>0</v>
      </c>
      <c r="U670" t="s">
        <v>93</v>
      </c>
      <c r="V670">
        <v>7</v>
      </c>
    </row>
    <row r="671" spans="1:22" x14ac:dyDescent="0.25">
      <c r="A671" t="s">
        <v>1778</v>
      </c>
      <c r="B671" s="1">
        <v>44191</v>
      </c>
      <c r="C671" t="s">
        <v>1779</v>
      </c>
      <c r="D671" t="s">
        <v>666</v>
      </c>
      <c r="E671">
        <v>41</v>
      </c>
      <c r="F671" t="str">
        <f>IF(Table1[[#This Row],[age]]&lt;=25,"18-25",IF(Table1[[#This Row],[age]]&lt;=35,"26-35",IF(Table1[[#This Row],[age]]&lt;=50,"36-50","51+")))</f>
        <v>36-50</v>
      </c>
      <c r="G671" t="s">
        <v>24</v>
      </c>
      <c r="H671" t="s">
        <v>61</v>
      </c>
      <c r="I671" t="s">
        <v>91</v>
      </c>
      <c r="J671" t="s">
        <v>27</v>
      </c>
      <c r="K671" t="s">
        <v>192</v>
      </c>
      <c r="L671">
        <v>4</v>
      </c>
      <c r="M671">
        <v>2326.66</v>
      </c>
      <c r="N671">
        <v>0.09</v>
      </c>
      <c r="O671">
        <v>5850.88</v>
      </c>
      <c r="P671">
        <v>3176.85</v>
      </c>
      <c r="Q671">
        <v>61.42</v>
      </c>
      <c r="R671" t="s">
        <v>65</v>
      </c>
      <c r="S671">
        <v>5</v>
      </c>
      <c r="T671" t="b">
        <v>0</v>
      </c>
      <c r="U671" t="s">
        <v>93</v>
      </c>
      <c r="V671">
        <v>10</v>
      </c>
    </row>
    <row r="672" spans="1:22" x14ac:dyDescent="0.25">
      <c r="A672" t="s">
        <v>1780</v>
      </c>
      <c r="B672" s="1">
        <v>45176</v>
      </c>
      <c r="C672" t="s">
        <v>1781</v>
      </c>
      <c r="D672" t="s">
        <v>1782</v>
      </c>
      <c r="E672">
        <v>29</v>
      </c>
      <c r="F672" t="str">
        <f>IF(Table1[[#This Row],[age]]&lt;=25,"18-25",IF(Table1[[#This Row],[age]]&lt;=35,"26-35",IF(Table1[[#This Row],[age]]&lt;=50,"36-50","51+")))</f>
        <v>26-35</v>
      </c>
      <c r="G672" t="s">
        <v>24</v>
      </c>
      <c r="H672" t="s">
        <v>61</v>
      </c>
      <c r="I672" t="s">
        <v>163</v>
      </c>
      <c r="J672" t="s">
        <v>63</v>
      </c>
      <c r="K672" t="s">
        <v>111</v>
      </c>
      <c r="L672">
        <v>3</v>
      </c>
      <c r="M672">
        <v>3741.92</v>
      </c>
      <c r="N672">
        <v>0.21</v>
      </c>
      <c r="O672">
        <v>11519.71</v>
      </c>
      <c r="P672">
        <v>2740.01</v>
      </c>
      <c r="Q672">
        <v>58.8</v>
      </c>
      <c r="R672" t="s">
        <v>49</v>
      </c>
      <c r="S672">
        <v>4</v>
      </c>
      <c r="T672" t="b">
        <v>0</v>
      </c>
      <c r="U672" t="s">
        <v>71</v>
      </c>
      <c r="V672">
        <v>1</v>
      </c>
    </row>
    <row r="673" spans="1:22" x14ac:dyDescent="0.25">
      <c r="A673" t="s">
        <v>1783</v>
      </c>
      <c r="B673" s="1">
        <v>45524</v>
      </c>
      <c r="C673" t="s">
        <v>1784</v>
      </c>
      <c r="D673" t="s">
        <v>1785</v>
      </c>
      <c r="E673">
        <v>30</v>
      </c>
      <c r="F673" t="str">
        <f>IF(Table1[[#This Row],[age]]&lt;=25,"18-25",IF(Table1[[#This Row],[age]]&lt;=35,"26-35",IF(Table1[[#This Row],[age]]&lt;=50,"36-50","51+")))</f>
        <v>26-35</v>
      </c>
      <c r="G673" t="s">
        <v>24</v>
      </c>
      <c r="H673" t="s">
        <v>55</v>
      </c>
      <c r="I673" t="s">
        <v>75</v>
      </c>
      <c r="J673" t="s">
        <v>63</v>
      </c>
      <c r="K673" t="s">
        <v>152</v>
      </c>
      <c r="L673">
        <v>5</v>
      </c>
      <c r="M673">
        <v>1293.07</v>
      </c>
      <c r="N673">
        <v>0.37</v>
      </c>
      <c r="O673">
        <v>6223.33</v>
      </c>
      <c r="P673">
        <v>2335.41</v>
      </c>
      <c r="Q673">
        <v>34.43</v>
      </c>
      <c r="R673" t="s">
        <v>65</v>
      </c>
      <c r="S673">
        <v>4</v>
      </c>
      <c r="T673" t="b">
        <v>0</v>
      </c>
      <c r="U673" t="s">
        <v>30</v>
      </c>
      <c r="V673">
        <v>9</v>
      </c>
    </row>
    <row r="674" spans="1:22" x14ac:dyDescent="0.25">
      <c r="A674" t="s">
        <v>1786</v>
      </c>
      <c r="B674" s="1">
        <v>44262</v>
      </c>
      <c r="C674" t="s">
        <v>1787</v>
      </c>
      <c r="D674" t="s">
        <v>1183</v>
      </c>
      <c r="E674">
        <v>28</v>
      </c>
      <c r="F674" t="str">
        <f>IF(Table1[[#This Row],[age]]&lt;=25,"18-25",IF(Table1[[#This Row],[age]]&lt;=35,"26-35",IF(Table1[[#This Row],[age]]&lt;=50,"36-50","51+")))</f>
        <v>26-35</v>
      </c>
      <c r="G674" t="s">
        <v>24</v>
      </c>
      <c r="H674" t="s">
        <v>69</v>
      </c>
      <c r="I674" t="s">
        <v>221</v>
      </c>
      <c r="J674" t="s">
        <v>101</v>
      </c>
      <c r="K674" t="s">
        <v>456</v>
      </c>
      <c r="L674">
        <v>9</v>
      </c>
      <c r="M674">
        <v>6483.35</v>
      </c>
      <c r="N674">
        <v>0.23</v>
      </c>
      <c r="O674">
        <v>52222.52</v>
      </c>
      <c r="P674">
        <v>13820.97</v>
      </c>
      <c r="Q674">
        <v>74.83</v>
      </c>
      <c r="R674" t="s">
        <v>65</v>
      </c>
      <c r="S674">
        <v>4</v>
      </c>
      <c r="T674" t="b">
        <v>0</v>
      </c>
      <c r="U674" t="s">
        <v>30</v>
      </c>
      <c r="V674">
        <v>2</v>
      </c>
    </row>
    <row r="675" spans="1:22" x14ac:dyDescent="0.25">
      <c r="A675" t="s">
        <v>1788</v>
      </c>
      <c r="B675" s="1">
        <v>44057</v>
      </c>
      <c r="C675" t="s">
        <v>1789</v>
      </c>
      <c r="D675" t="s">
        <v>577</v>
      </c>
      <c r="E675">
        <v>27</v>
      </c>
      <c r="F675" t="str">
        <f>IF(Table1[[#This Row],[age]]&lt;=25,"18-25",IF(Table1[[#This Row],[age]]&lt;=35,"26-35",IF(Table1[[#This Row],[age]]&lt;=50,"36-50","51+")))</f>
        <v>26-35</v>
      </c>
      <c r="G675" t="s">
        <v>54</v>
      </c>
      <c r="H675" t="s">
        <v>69</v>
      </c>
      <c r="I675" t="s">
        <v>136</v>
      </c>
      <c r="J675" t="s">
        <v>27</v>
      </c>
      <c r="K675" t="s">
        <v>168</v>
      </c>
      <c r="L675">
        <v>2</v>
      </c>
      <c r="M675">
        <v>1236.47</v>
      </c>
      <c r="N675">
        <v>0.14000000000000001</v>
      </c>
      <c r="O675">
        <v>2416.41</v>
      </c>
      <c r="P675">
        <v>1007.86</v>
      </c>
      <c r="Q675">
        <v>85.88</v>
      </c>
      <c r="R675" t="s">
        <v>65</v>
      </c>
      <c r="S675">
        <v>3</v>
      </c>
      <c r="T675" t="b">
        <v>0</v>
      </c>
      <c r="U675" t="s">
        <v>30</v>
      </c>
      <c r="V675">
        <v>8</v>
      </c>
    </row>
    <row r="676" spans="1:22" x14ac:dyDescent="0.25">
      <c r="A676" t="s">
        <v>1790</v>
      </c>
      <c r="B676" s="1">
        <v>44389</v>
      </c>
      <c r="C676" t="s">
        <v>1791</v>
      </c>
      <c r="D676" t="s">
        <v>640</v>
      </c>
      <c r="E676">
        <v>30</v>
      </c>
      <c r="F676" t="str">
        <f>IF(Table1[[#This Row],[age]]&lt;=25,"18-25",IF(Table1[[#This Row],[age]]&lt;=35,"26-35",IF(Table1[[#This Row],[age]]&lt;=50,"36-50","51+")))</f>
        <v>26-35</v>
      </c>
      <c r="G676" t="s">
        <v>24</v>
      </c>
      <c r="H676" t="s">
        <v>25</v>
      </c>
      <c r="I676" t="s">
        <v>41</v>
      </c>
      <c r="J676" t="s">
        <v>27</v>
      </c>
      <c r="K676" t="s">
        <v>480</v>
      </c>
      <c r="L676">
        <v>7</v>
      </c>
      <c r="M676">
        <v>1236.43</v>
      </c>
      <c r="N676">
        <v>0.04</v>
      </c>
      <c r="O676">
        <v>10957.9</v>
      </c>
      <c r="P676">
        <v>4556.58</v>
      </c>
      <c r="Q676">
        <v>72.78</v>
      </c>
      <c r="R676" t="s">
        <v>29</v>
      </c>
      <c r="S676">
        <v>2</v>
      </c>
      <c r="T676" t="b">
        <v>0</v>
      </c>
      <c r="U676" t="s">
        <v>30</v>
      </c>
      <c r="V676">
        <v>7</v>
      </c>
    </row>
    <row r="677" spans="1:22" x14ac:dyDescent="0.25">
      <c r="A677" t="s">
        <v>1792</v>
      </c>
      <c r="B677" s="1">
        <v>44555</v>
      </c>
      <c r="C677" t="s">
        <v>1793</v>
      </c>
      <c r="D677" t="s">
        <v>959</v>
      </c>
      <c r="E677">
        <v>53</v>
      </c>
      <c r="F677" t="str">
        <f>IF(Table1[[#This Row],[age]]&lt;=25,"18-25",IF(Table1[[#This Row],[age]]&lt;=35,"26-35",IF(Table1[[#This Row],[age]]&lt;=50,"36-50","51+")))</f>
        <v>51+</v>
      </c>
      <c r="G677" t="s">
        <v>54</v>
      </c>
      <c r="H677" t="s">
        <v>25</v>
      </c>
      <c r="I677" t="s">
        <v>26</v>
      </c>
      <c r="J677" t="s">
        <v>101</v>
      </c>
      <c r="K677" t="s">
        <v>318</v>
      </c>
      <c r="L677">
        <v>5</v>
      </c>
      <c r="M677">
        <v>7179.94</v>
      </c>
      <c r="N677">
        <v>0.31</v>
      </c>
      <c r="O677">
        <v>21400.720000000001</v>
      </c>
      <c r="P677">
        <v>2403.1999999999998</v>
      </c>
      <c r="Q677">
        <v>65.86</v>
      </c>
      <c r="R677" t="s">
        <v>29</v>
      </c>
      <c r="S677">
        <v>2</v>
      </c>
      <c r="T677" t="b">
        <v>0</v>
      </c>
      <c r="U677" t="s">
        <v>30</v>
      </c>
      <c r="V677">
        <v>8</v>
      </c>
    </row>
    <row r="678" spans="1:22" x14ac:dyDescent="0.25">
      <c r="A678" t="s">
        <v>1794</v>
      </c>
      <c r="B678" s="1">
        <v>45249</v>
      </c>
      <c r="C678" t="s">
        <v>1795</v>
      </c>
      <c r="D678" t="s">
        <v>246</v>
      </c>
      <c r="E678">
        <v>32</v>
      </c>
      <c r="F678" t="str">
        <f>IF(Table1[[#This Row],[age]]&lt;=25,"18-25",IF(Table1[[#This Row],[age]]&lt;=35,"26-35",IF(Table1[[#This Row],[age]]&lt;=50,"36-50","51+")))</f>
        <v>26-35</v>
      </c>
      <c r="G678" t="s">
        <v>24</v>
      </c>
      <c r="H678" t="s">
        <v>69</v>
      </c>
      <c r="I678" t="s">
        <v>181</v>
      </c>
      <c r="J678" t="s">
        <v>63</v>
      </c>
      <c r="K678" t="s">
        <v>87</v>
      </c>
      <c r="L678">
        <v>8</v>
      </c>
      <c r="M678">
        <v>2288.2600000000002</v>
      </c>
      <c r="N678">
        <v>0.22</v>
      </c>
      <c r="O678">
        <v>12023.58</v>
      </c>
      <c r="P678">
        <v>4024.97</v>
      </c>
      <c r="Q678">
        <v>89.83</v>
      </c>
      <c r="R678" t="s">
        <v>29</v>
      </c>
      <c r="S678">
        <v>2</v>
      </c>
      <c r="T678" t="b">
        <v>0</v>
      </c>
      <c r="U678" t="s">
        <v>30</v>
      </c>
      <c r="V678">
        <v>1</v>
      </c>
    </row>
    <row r="679" spans="1:22" x14ac:dyDescent="0.25">
      <c r="A679" t="s">
        <v>1796</v>
      </c>
      <c r="B679" s="1">
        <v>44779</v>
      </c>
      <c r="C679" t="s">
        <v>1797</v>
      </c>
      <c r="D679" t="s">
        <v>1401</v>
      </c>
      <c r="E679">
        <v>20</v>
      </c>
      <c r="F679" t="str">
        <f>IF(Table1[[#This Row],[age]]&lt;=25,"18-25",IF(Table1[[#This Row],[age]]&lt;=35,"26-35",IF(Table1[[#This Row],[age]]&lt;=50,"36-50","51+")))</f>
        <v>18-25</v>
      </c>
      <c r="G679" t="s">
        <v>24</v>
      </c>
      <c r="H679" t="s">
        <v>69</v>
      </c>
      <c r="I679" t="s">
        <v>136</v>
      </c>
      <c r="J679" t="s">
        <v>47</v>
      </c>
      <c r="K679" t="s">
        <v>48</v>
      </c>
      <c r="L679">
        <v>4</v>
      </c>
      <c r="M679">
        <v>529.17999999999995</v>
      </c>
      <c r="N679">
        <v>0.37</v>
      </c>
      <c r="O679">
        <v>1721.22</v>
      </c>
      <c r="P679">
        <v>611.14</v>
      </c>
      <c r="Q679">
        <v>96.64</v>
      </c>
      <c r="R679" t="s">
        <v>65</v>
      </c>
      <c r="S679">
        <v>5</v>
      </c>
      <c r="T679" t="b">
        <v>0</v>
      </c>
      <c r="U679" t="s">
        <v>30</v>
      </c>
      <c r="V679">
        <v>8</v>
      </c>
    </row>
    <row r="680" spans="1:22" x14ac:dyDescent="0.25">
      <c r="A680" t="s">
        <v>1798</v>
      </c>
      <c r="B680" s="1">
        <v>45416</v>
      </c>
      <c r="C680" t="s">
        <v>1799</v>
      </c>
      <c r="D680" t="s">
        <v>1719</v>
      </c>
      <c r="E680">
        <v>33</v>
      </c>
      <c r="F680" t="str">
        <f>IF(Table1[[#This Row],[age]]&lt;=25,"18-25",IF(Table1[[#This Row],[age]]&lt;=35,"26-35",IF(Table1[[#This Row],[age]]&lt;=50,"36-50","51+")))</f>
        <v>26-35</v>
      </c>
      <c r="G680" t="s">
        <v>34</v>
      </c>
      <c r="H680" t="s">
        <v>55</v>
      </c>
      <c r="I680" t="s">
        <v>56</v>
      </c>
      <c r="J680" t="s">
        <v>106</v>
      </c>
      <c r="K680" t="s">
        <v>107</v>
      </c>
      <c r="L680">
        <v>4</v>
      </c>
      <c r="M680">
        <v>413.23</v>
      </c>
      <c r="N680">
        <v>0.16</v>
      </c>
      <c r="O680">
        <v>2226.94</v>
      </c>
      <c r="P680">
        <v>97.94</v>
      </c>
      <c r="Q680">
        <v>29.46</v>
      </c>
      <c r="R680" t="s">
        <v>43</v>
      </c>
      <c r="S680">
        <v>4</v>
      </c>
      <c r="T680" t="b">
        <v>0</v>
      </c>
      <c r="U680" t="s">
        <v>30</v>
      </c>
      <c r="V680">
        <v>9</v>
      </c>
    </row>
    <row r="681" spans="1:22" x14ac:dyDescent="0.25">
      <c r="A681" t="s">
        <v>1800</v>
      </c>
      <c r="B681" s="1">
        <v>44545</v>
      </c>
      <c r="C681" t="s">
        <v>1801</v>
      </c>
      <c r="D681" t="s">
        <v>317</v>
      </c>
      <c r="E681">
        <v>41</v>
      </c>
      <c r="F681" t="str">
        <f>IF(Table1[[#This Row],[age]]&lt;=25,"18-25",IF(Table1[[#This Row],[age]]&lt;=35,"26-35",IF(Table1[[#This Row],[age]]&lt;=50,"36-50","51+")))</f>
        <v>36-50</v>
      </c>
      <c r="G681" t="s">
        <v>34</v>
      </c>
      <c r="H681" t="s">
        <v>69</v>
      </c>
      <c r="I681" t="s">
        <v>136</v>
      </c>
      <c r="J681" t="s">
        <v>106</v>
      </c>
      <c r="K681" t="s">
        <v>314</v>
      </c>
      <c r="L681">
        <v>5</v>
      </c>
      <c r="M681">
        <v>273.75</v>
      </c>
      <c r="N681">
        <v>0.05</v>
      </c>
      <c r="O681">
        <v>1113.01</v>
      </c>
      <c r="P681">
        <v>84.56</v>
      </c>
      <c r="Q681">
        <v>81.92</v>
      </c>
      <c r="R681" t="s">
        <v>29</v>
      </c>
      <c r="S681">
        <v>1</v>
      </c>
      <c r="T681" t="b">
        <v>0</v>
      </c>
      <c r="U681" t="s">
        <v>30</v>
      </c>
      <c r="V681">
        <v>5</v>
      </c>
    </row>
    <row r="682" spans="1:22" x14ac:dyDescent="0.25">
      <c r="A682" t="s">
        <v>1802</v>
      </c>
      <c r="B682" s="1">
        <v>44834</v>
      </c>
      <c r="C682" t="s">
        <v>1803</v>
      </c>
      <c r="D682" t="s">
        <v>384</v>
      </c>
      <c r="E682">
        <v>35</v>
      </c>
      <c r="F682" t="str">
        <f>IF(Table1[[#This Row],[age]]&lt;=25,"18-25",IF(Table1[[#This Row],[age]]&lt;=35,"26-35",IF(Table1[[#This Row],[age]]&lt;=50,"36-50","51+")))</f>
        <v>26-35</v>
      </c>
      <c r="G682" t="s">
        <v>54</v>
      </c>
      <c r="H682" t="s">
        <v>61</v>
      </c>
      <c r="I682" t="s">
        <v>91</v>
      </c>
      <c r="J682" t="s">
        <v>47</v>
      </c>
      <c r="K682" t="s">
        <v>48</v>
      </c>
      <c r="L682">
        <v>4</v>
      </c>
      <c r="M682">
        <v>288.41000000000003</v>
      </c>
      <c r="N682">
        <v>0.11</v>
      </c>
      <c r="O682">
        <v>1085.19</v>
      </c>
      <c r="P682">
        <v>430.86</v>
      </c>
      <c r="Q682">
        <v>39.44</v>
      </c>
      <c r="R682" t="s">
        <v>29</v>
      </c>
      <c r="S682">
        <v>5</v>
      </c>
      <c r="T682" t="b">
        <v>1</v>
      </c>
      <c r="U682" t="s">
        <v>50</v>
      </c>
      <c r="V682">
        <v>1</v>
      </c>
    </row>
    <row r="683" spans="1:22" x14ac:dyDescent="0.25">
      <c r="A683" t="s">
        <v>1804</v>
      </c>
      <c r="B683" s="1">
        <v>45330</v>
      </c>
      <c r="C683" t="s">
        <v>1805</v>
      </c>
      <c r="D683" t="s">
        <v>151</v>
      </c>
      <c r="E683">
        <v>27</v>
      </c>
      <c r="F683" t="str">
        <f>IF(Table1[[#This Row],[age]]&lt;=25,"18-25",IF(Table1[[#This Row],[age]]&lt;=35,"26-35",IF(Table1[[#This Row],[age]]&lt;=50,"36-50","51+")))</f>
        <v>26-35</v>
      </c>
      <c r="G683" t="s">
        <v>24</v>
      </c>
      <c r="H683" t="s">
        <v>69</v>
      </c>
      <c r="I683" t="s">
        <v>221</v>
      </c>
      <c r="J683" t="s">
        <v>47</v>
      </c>
      <c r="K683" t="s">
        <v>156</v>
      </c>
      <c r="L683">
        <v>5</v>
      </c>
      <c r="M683">
        <v>219.86</v>
      </c>
      <c r="N683">
        <v>0.26</v>
      </c>
      <c r="O683">
        <v>937.39</v>
      </c>
      <c r="P683">
        <v>344.23</v>
      </c>
      <c r="Q683">
        <v>95.23</v>
      </c>
      <c r="R683" t="s">
        <v>49</v>
      </c>
      <c r="S683">
        <v>1</v>
      </c>
      <c r="T683" t="b">
        <v>0</v>
      </c>
      <c r="U683" t="s">
        <v>30</v>
      </c>
      <c r="V683">
        <v>10</v>
      </c>
    </row>
    <row r="684" spans="1:22" x14ac:dyDescent="0.25">
      <c r="A684" t="s">
        <v>1806</v>
      </c>
      <c r="B684" s="1">
        <v>45456</v>
      </c>
      <c r="C684" t="s">
        <v>1807</v>
      </c>
      <c r="D684" t="s">
        <v>60</v>
      </c>
      <c r="E684">
        <v>51</v>
      </c>
      <c r="F684" t="str">
        <f>IF(Table1[[#This Row],[age]]&lt;=25,"18-25",IF(Table1[[#This Row],[age]]&lt;=35,"26-35",IF(Table1[[#This Row],[age]]&lt;=50,"36-50","51+")))</f>
        <v>51+</v>
      </c>
      <c r="G684" t="s">
        <v>24</v>
      </c>
      <c r="H684" t="s">
        <v>69</v>
      </c>
      <c r="I684" t="s">
        <v>136</v>
      </c>
      <c r="J684" t="s">
        <v>115</v>
      </c>
      <c r="K684" t="s">
        <v>137</v>
      </c>
      <c r="L684">
        <v>3</v>
      </c>
      <c r="M684">
        <v>45977.54</v>
      </c>
      <c r="N684">
        <v>0.4</v>
      </c>
      <c r="O684">
        <v>157351.1</v>
      </c>
      <c r="P684">
        <v>16766.5</v>
      </c>
      <c r="Q684">
        <v>89.69</v>
      </c>
      <c r="R684" t="s">
        <v>49</v>
      </c>
      <c r="S684">
        <v>5</v>
      </c>
      <c r="T684" t="b">
        <v>0</v>
      </c>
      <c r="U684" t="s">
        <v>30</v>
      </c>
      <c r="V684">
        <v>9</v>
      </c>
    </row>
    <row r="685" spans="1:22" x14ac:dyDescent="0.25">
      <c r="A685" t="s">
        <v>1808</v>
      </c>
      <c r="B685" s="1">
        <v>43935</v>
      </c>
      <c r="C685" t="s">
        <v>1809</v>
      </c>
      <c r="D685" t="s">
        <v>338</v>
      </c>
      <c r="E685">
        <v>18</v>
      </c>
      <c r="F685" t="str">
        <f>IF(Table1[[#This Row],[age]]&lt;=25,"18-25",IF(Table1[[#This Row],[age]]&lt;=35,"26-35",IF(Table1[[#This Row],[age]]&lt;=50,"36-50","51+")))</f>
        <v>18-25</v>
      </c>
      <c r="G685" t="s">
        <v>34</v>
      </c>
      <c r="H685" t="s">
        <v>80</v>
      </c>
      <c r="I685" t="s">
        <v>81</v>
      </c>
      <c r="J685" t="s">
        <v>101</v>
      </c>
      <c r="K685" t="s">
        <v>318</v>
      </c>
      <c r="L685">
        <v>4</v>
      </c>
      <c r="M685">
        <v>11868.91</v>
      </c>
      <c r="N685">
        <v>0.19</v>
      </c>
      <c r="O685">
        <v>43004.45</v>
      </c>
      <c r="P685">
        <v>13078.71</v>
      </c>
      <c r="Q685">
        <v>70.61</v>
      </c>
      <c r="R685" t="s">
        <v>43</v>
      </c>
      <c r="S685">
        <v>3</v>
      </c>
      <c r="T685" t="b">
        <v>0</v>
      </c>
      <c r="U685" t="s">
        <v>30</v>
      </c>
      <c r="V685">
        <v>6</v>
      </c>
    </row>
    <row r="686" spans="1:22" x14ac:dyDescent="0.25">
      <c r="A686" t="s">
        <v>1810</v>
      </c>
      <c r="B686" s="1">
        <v>44520</v>
      </c>
      <c r="C686" t="s">
        <v>1811</v>
      </c>
      <c r="D686" t="s">
        <v>797</v>
      </c>
      <c r="E686">
        <v>20</v>
      </c>
      <c r="F686" t="str">
        <f>IF(Table1[[#This Row],[age]]&lt;=25,"18-25",IF(Table1[[#This Row],[age]]&lt;=35,"26-35",IF(Table1[[#This Row],[age]]&lt;=50,"36-50","51+")))</f>
        <v>18-25</v>
      </c>
      <c r="G686" t="s">
        <v>34</v>
      </c>
      <c r="H686" t="s">
        <v>69</v>
      </c>
      <c r="I686" t="s">
        <v>136</v>
      </c>
      <c r="J686" t="s">
        <v>115</v>
      </c>
      <c r="K686" t="s">
        <v>545</v>
      </c>
      <c r="L686">
        <v>8</v>
      </c>
      <c r="M686">
        <v>72878.210000000006</v>
      </c>
      <c r="N686">
        <v>0.06</v>
      </c>
      <c r="O686">
        <v>377991.95</v>
      </c>
      <c r="P686">
        <v>53581.94</v>
      </c>
      <c r="Q686">
        <v>69.63</v>
      </c>
      <c r="R686" t="s">
        <v>57</v>
      </c>
      <c r="S686">
        <v>3</v>
      </c>
      <c r="T686" t="b">
        <v>0</v>
      </c>
      <c r="U686" t="s">
        <v>30</v>
      </c>
      <c r="V686">
        <v>7</v>
      </c>
    </row>
    <row r="687" spans="1:22" x14ac:dyDescent="0.25">
      <c r="A687" t="s">
        <v>1812</v>
      </c>
      <c r="B687" s="1">
        <v>43939</v>
      </c>
      <c r="C687" t="s">
        <v>1813</v>
      </c>
      <c r="D687" t="s">
        <v>455</v>
      </c>
      <c r="E687">
        <v>60</v>
      </c>
      <c r="F687" t="str">
        <f>IF(Table1[[#This Row],[age]]&lt;=25,"18-25",IF(Table1[[#This Row],[age]]&lt;=35,"26-35",IF(Table1[[#This Row],[age]]&lt;=50,"36-50","51+")))</f>
        <v>51+</v>
      </c>
      <c r="G687" t="s">
        <v>24</v>
      </c>
      <c r="H687" t="s">
        <v>55</v>
      </c>
      <c r="I687" t="s">
        <v>97</v>
      </c>
      <c r="J687" t="s">
        <v>27</v>
      </c>
      <c r="K687" t="s">
        <v>28</v>
      </c>
      <c r="L687">
        <v>8</v>
      </c>
      <c r="M687">
        <v>336.17</v>
      </c>
      <c r="N687">
        <v>0.18</v>
      </c>
      <c r="O687">
        <v>2459.79</v>
      </c>
      <c r="P687">
        <v>1286.21</v>
      </c>
      <c r="Q687">
        <v>63.3</v>
      </c>
      <c r="R687" t="s">
        <v>29</v>
      </c>
      <c r="S687">
        <v>4</v>
      </c>
      <c r="T687" t="b">
        <v>0</v>
      </c>
      <c r="U687" t="s">
        <v>30</v>
      </c>
      <c r="V687">
        <v>10</v>
      </c>
    </row>
    <row r="688" spans="1:22" x14ac:dyDescent="0.25">
      <c r="A688" t="s">
        <v>1814</v>
      </c>
      <c r="B688" s="1">
        <v>44568</v>
      </c>
      <c r="C688" t="s">
        <v>1815</v>
      </c>
      <c r="D688" t="s">
        <v>646</v>
      </c>
      <c r="E688">
        <v>38</v>
      </c>
      <c r="F688" t="str">
        <f>IF(Table1[[#This Row],[age]]&lt;=25,"18-25",IF(Table1[[#This Row],[age]]&lt;=35,"26-35",IF(Table1[[#This Row],[age]]&lt;=50,"36-50","51+")))</f>
        <v>36-50</v>
      </c>
      <c r="G688" t="s">
        <v>54</v>
      </c>
      <c r="H688" t="s">
        <v>80</v>
      </c>
      <c r="I688" t="s">
        <v>242</v>
      </c>
      <c r="J688" t="s">
        <v>115</v>
      </c>
      <c r="K688" t="s">
        <v>197</v>
      </c>
      <c r="L688">
        <v>5</v>
      </c>
      <c r="M688">
        <v>67069.95</v>
      </c>
      <c r="N688">
        <v>0.35</v>
      </c>
      <c r="O688">
        <v>187015.17</v>
      </c>
      <c r="P688">
        <v>19234.099999999999</v>
      </c>
      <c r="Q688">
        <v>53.96</v>
      </c>
      <c r="R688" t="s">
        <v>43</v>
      </c>
      <c r="S688">
        <v>2</v>
      </c>
      <c r="T688" t="b">
        <v>0</v>
      </c>
      <c r="U688" t="s">
        <v>193</v>
      </c>
      <c r="V688">
        <v>6</v>
      </c>
    </row>
    <row r="689" spans="1:22" x14ac:dyDescent="0.25">
      <c r="A689" t="s">
        <v>1816</v>
      </c>
      <c r="B689" s="1">
        <v>44074</v>
      </c>
      <c r="C689" t="s">
        <v>1817</v>
      </c>
      <c r="D689" t="s">
        <v>1818</v>
      </c>
      <c r="E689">
        <v>27</v>
      </c>
      <c r="F689" t="str">
        <f>IF(Table1[[#This Row],[age]]&lt;=25,"18-25",IF(Table1[[#This Row],[age]]&lt;=35,"26-35",IF(Table1[[#This Row],[age]]&lt;=50,"36-50","51+")))</f>
        <v>26-35</v>
      </c>
      <c r="G689" t="s">
        <v>34</v>
      </c>
      <c r="H689" t="s">
        <v>69</v>
      </c>
      <c r="I689" t="s">
        <v>136</v>
      </c>
      <c r="J689" t="s">
        <v>106</v>
      </c>
      <c r="K689" t="s">
        <v>188</v>
      </c>
      <c r="L689">
        <v>1</v>
      </c>
      <c r="M689">
        <v>295.3</v>
      </c>
      <c r="N689">
        <v>0.1</v>
      </c>
      <c r="O689">
        <v>375.59</v>
      </c>
      <c r="P689">
        <v>17.329999999999998</v>
      </c>
      <c r="Q689">
        <v>91.95</v>
      </c>
      <c r="R689" t="s">
        <v>57</v>
      </c>
      <c r="S689">
        <v>5</v>
      </c>
      <c r="T689" t="b">
        <v>0</v>
      </c>
      <c r="U689" t="s">
        <v>30</v>
      </c>
      <c r="V689">
        <v>9</v>
      </c>
    </row>
    <row r="690" spans="1:22" x14ac:dyDescent="0.25">
      <c r="A690" t="s">
        <v>1819</v>
      </c>
      <c r="B690" s="1">
        <v>44929</v>
      </c>
      <c r="C690" t="s">
        <v>1820</v>
      </c>
      <c r="D690" t="s">
        <v>352</v>
      </c>
      <c r="E690">
        <v>24</v>
      </c>
      <c r="F690" t="str">
        <f>IF(Table1[[#This Row],[age]]&lt;=25,"18-25",IF(Table1[[#This Row],[age]]&lt;=35,"26-35",IF(Table1[[#This Row],[age]]&lt;=50,"36-50","51+")))</f>
        <v>18-25</v>
      </c>
      <c r="G690" t="s">
        <v>24</v>
      </c>
      <c r="H690" t="s">
        <v>61</v>
      </c>
      <c r="I690" t="s">
        <v>163</v>
      </c>
      <c r="J690" t="s">
        <v>27</v>
      </c>
      <c r="K690" t="s">
        <v>168</v>
      </c>
      <c r="L690">
        <v>9</v>
      </c>
      <c r="M690">
        <v>2041.21</v>
      </c>
      <c r="N690">
        <v>0.22</v>
      </c>
      <c r="O690">
        <v>13435.71</v>
      </c>
      <c r="P690">
        <v>8442.25</v>
      </c>
      <c r="Q690">
        <v>45.75</v>
      </c>
      <c r="R690" t="s">
        <v>92</v>
      </c>
      <c r="S690">
        <v>3</v>
      </c>
      <c r="T690" t="b">
        <v>0</v>
      </c>
      <c r="U690" t="s">
        <v>71</v>
      </c>
      <c r="V690">
        <v>1</v>
      </c>
    </row>
    <row r="691" spans="1:22" x14ac:dyDescent="0.25">
      <c r="A691" t="s">
        <v>1821</v>
      </c>
      <c r="B691" s="1">
        <v>44474</v>
      </c>
      <c r="C691" t="s">
        <v>1822</v>
      </c>
      <c r="D691" t="s">
        <v>1251</v>
      </c>
      <c r="E691">
        <v>58</v>
      </c>
      <c r="F691" t="str">
        <f>IF(Table1[[#This Row],[age]]&lt;=25,"18-25",IF(Table1[[#This Row],[age]]&lt;=35,"26-35",IF(Table1[[#This Row],[age]]&lt;=50,"36-50","51+")))</f>
        <v>51+</v>
      </c>
      <c r="G691" t="s">
        <v>24</v>
      </c>
      <c r="H691" t="s">
        <v>61</v>
      </c>
      <c r="I691" t="s">
        <v>91</v>
      </c>
      <c r="J691" t="s">
        <v>63</v>
      </c>
      <c r="K691" t="s">
        <v>82</v>
      </c>
      <c r="L691">
        <v>2</v>
      </c>
      <c r="M691">
        <v>469.65</v>
      </c>
      <c r="N691">
        <v>0.12</v>
      </c>
      <c r="O691">
        <v>775.74</v>
      </c>
      <c r="P691">
        <v>185.8</v>
      </c>
      <c r="Q691">
        <v>32.03</v>
      </c>
      <c r="R691" t="s">
        <v>49</v>
      </c>
      <c r="S691">
        <v>1</v>
      </c>
      <c r="T691" t="b">
        <v>1</v>
      </c>
      <c r="U691" t="s">
        <v>50</v>
      </c>
      <c r="V691">
        <v>3</v>
      </c>
    </row>
    <row r="692" spans="1:22" x14ac:dyDescent="0.25">
      <c r="A692" t="s">
        <v>1823</v>
      </c>
      <c r="B692" s="1">
        <v>45431</v>
      </c>
      <c r="C692" t="s">
        <v>1824</v>
      </c>
      <c r="D692" t="s">
        <v>1825</v>
      </c>
      <c r="E692">
        <v>45</v>
      </c>
      <c r="F692" t="str">
        <f>IF(Table1[[#This Row],[age]]&lt;=25,"18-25",IF(Table1[[#This Row],[age]]&lt;=35,"26-35",IF(Table1[[#This Row],[age]]&lt;=50,"36-50","51+")))</f>
        <v>36-50</v>
      </c>
      <c r="G692" t="s">
        <v>24</v>
      </c>
      <c r="H692" t="s">
        <v>55</v>
      </c>
      <c r="I692" t="s">
        <v>114</v>
      </c>
      <c r="J692" t="s">
        <v>101</v>
      </c>
      <c r="K692" t="s">
        <v>318</v>
      </c>
      <c r="L692">
        <v>1</v>
      </c>
      <c r="M692">
        <v>9074.17</v>
      </c>
      <c r="N692">
        <v>0.08</v>
      </c>
      <c r="O692">
        <v>12971.64</v>
      </c>
      <c r="P692">
        <v>3182.4</v>
      </c>
      <c r="Q692">
        <v>43.12</v>
      </c>
      <c r="R692" t="s">
        <v>43</v>
      </c>
      <c r="S692">
        <v>4</v>
      </c>
      <c r="T692" t="b">
        <v>0</v>
      </c>
      <c r="U692" t="s">
        <v>30</v>
      </c>
      <c r="V692">
        <v>9</v>
      </c>
    </row>
    <row r="693" spans="1:22" x14ac:dyDescent="0.25">
      <c r="A693" t="s">
        <v>1826</v>
      </c>
      <c r="B693" s="1">
        <v>44587</v>
      </c>
      <c r="C693" t="s">
        <v>1827</v>
      </c>
      <c r="D693" t="s">
        <v>1598</v>
      </c>
      <c r="E693">
        <v>24</v>
      </c>
      <c r="F693" t="str">
        <f>IF(Table1[[#This Row],[age]]&lt;=25,"18-25",IF(Table1[[#This Row],[age]]&lt;=35,"26-35",IF(Table1[[#This Row],[age]]&lt;=50,"36-50","51+")))</f>
        <v>18-25</v>
      </c>
      <c r="G693" t="s">
        <v>34</v>
      </c>
      <c r="H693" t="s">
        <v>25</v>
      </c>
      <c r="I693" t="s">
        <v>41</v>
      </c>
      <c r="J693" t="s">
        <v>115</v>
      </c>
      <c r="K693" t="s">
        <v>197</v>
      </c>
      <c r="L693">
        <v>4</v>
      </c>
      <c r="M693">
        <v>30494.73</v>
      </c>
      <c r="N693">
        <v>0.39</v>
      </c>
      <c r="O693">
        <v>68016.240000000005</v>
      </c>
      <c r="P693">
        <v>8846.49</v>
      </c>
      <c r="Q693">
        <v>53.6</v>
      </c>
      <c r="R693" t="s">
        <v>29</v>
      </c>
      <c r="S693">
        <v>2</v>
      </c>
      <c r="T693" t="b">
        <v>0</v>
      </c>
      <c r="U693" t="s">
        <v>30</v>
      </c>
      <c r="V693">
        <v>4</v>
      </c>
    </row>
    <row r="694" spans="1:22" x14ac:dyDescent="0.25">
      <c r="A694" t="s">
        <v>1828</v>
      </c>
      <c r="B694" s="1">
        <v>44300</v>
      </c>
      <c r="C694" t="s">
        <v>1829</v>
      </c>
      <c r="D694" t="s">
        <v>144</v>
      </c>
      <c r="E694">
        <v>38</v>
      </c>
      <c r="F694" t="str">
        <f>IF(Table1[[#This Row],[age]]&lt;=25,"18-25",IF(Table1[[#This Row],[age]]&lt;=35,"26-35",IF(Table1[[#This Row],[age]]&lt;=50,"36-50","51+")))</f>
        <v>36-50</v>
      </c>
      <c r="G694" t="s">
        <v>34</v>
      </c>
      <c r="H694" t="s">
        <v>61</v>
      </c>
      <c r="I694" t="s">
        <v>91</v>
      </c>
      <c r="J694" t="s">
        <v>36</v>
      </c>
      <c r="K694" t="s">
        <v>37</v>
      </c>
      <c r="L694">
        <v>7</v>
      </c>
      <c r="M694">
        <v>31419.94</v>
      </c>
      <c r="N694">
        <v>0.05</v>
      </c>
      <c r="O694">
        <v>237087.2</v>
      </c>
      <c r="P694">
        <v>58133.19</v>
      </c>
      <c r="Q694">
        <v>36.96</v>
      </c>
      <c r="R694" t="s">
        <v>29</v>
      </c>
      <c r="S694">
        <v>5</v>
      </c>
      <c r="T694" t="b">
        <v>0</v>
      </c>
      <c r="U694" t="s">
        <v>30</v>
      </c>
      <c r="V694">
        <v>5</v>
      </c>
    </row>
    <row r="695" spans="1:22" x14ac:dyDescent="0.25">
      <c r="A695" t="s">
        <v>1830</v>
      </c>
      <c r="B695" s="1">
        <v>44761</v>
      </c>
      <c r="C695" t="s">
        <v>1831</v>
      </c>
      <c r="D695" t="s">
        <v>1220</v>
      </c>
      <c r="E695">
        <v>28</v>
      </c>
      <c r="F695" t="str">
        <f>IF(Table1[[#This Row],[age]]&lt;=25,"18-25",IF(Table1[[#This Row],[age]]&lt;=35,"26-35",IF(Table1[[#This Row],[age]]&lt;=50,"36-50","51+")))</f>
        <v>26-35</v>
      </c>
      <c r="G695" t="s">
        <v>54</v>
      </c>
      <c r="H695" t="s">
        <v>80</v>
      </c>
      <c r="I695" t="s">
        <v>86</v>
      </c>
      <c r="J695" t="s">
        <v>36</v>
      </c>
      <c r="K695" t="s">
        <v>37</v>
      </c>
      <c r="L695">
        <v>2</v>
      </c>
      <c r="M695">
        <v>23522.83</v>
      </c>
      <c r="N695">
        <v>0.15</v>
      </c>
      <c r="O695">
        <v>53090.46</v>
      </c>
      <c r="P695">
        <v>18316.25</v>
      </c>
      <c r="Q695">
        <v>70.069999999999993</v>
      </c>
      <c r="R695" t="s">
        <v>43</v>
      </c>
      <c r="S695">
        <v>2</v>
      </c>
      <c r="T695" t="b">
        <v>0</v>
      </c>
      <c r="U695" t="s">
        <v>30</v>
      </c>
      <c r="V695">
        <v>8</v>
      </c>
    </row>
    <row r="696" spans="1:22" x14ac:dyDescent="0.25">
      <c r="A696" t="s">
        <v>1832</v>
      </c>
      <c r="B696" s="1">
        <v>45186</v>
      </c>
      <c r="C696" t="s">
        <v>1833</v>
      </c>
      <c r="D696" t="s">
        <v>474</v>
      </c>
      <c r="E696">
        <v>26</v>
      </c>
      <c r="F696" t="str">
        <f>IF(Table1[[#This Row],[age]]&lt;=25,"18-25",IF(Table1[[#This Row],[age]]&lt;=35,"26-35",IF(Table1[[#This Row],[age]]&lt;=50,"36-50","51+")))</f>
        <v>26-35</v>
      </c>
      <c r="G696" t="s">
        <v>24</v>
      </c>
      <c r="H696" t="s">
        <v>25</v>
      </c>
      <c r="I696" t="s">
        <v>26</v>
      </c>
      <c r="J696" t="s">
        <v>101</v>
      </c>
      <c r="K696" t="s">
        <v>456</v>
      </c>
      <c r="L696">
        <v>8</v>
      </c>
      <c r="M696">
        <v>10683.75</v>
      </c>
      <c r="N696">
        <v>0.04</v>
      </c>
      <c r="O696">
        <v>113358.26</v>
      </c>
      <c r="P696">
        <v>26416.639999999999</v>
      </c>
      <c r="Q696">
        <v>59.9</v>
      </c>
      <c r="R696" t="s">
        <v>49</v>
      </c>
      <c r="S696">
        <v>1</v>
      </c>
      <c r="T696" t="b">
        <v>0</v>
      </c>
      <c r="U696" t="s">
        <v>30</v>
      </c>
      <c r="V696">
        <v>7</v>
      </c>
    </row>
    <row r="697" spans="1:22" x14ac:dyDescent="0.25">
      <c r="A697" t="s">
        <v>1834</v>
      </c>
      <c r="B697" s="1">
        <v>44479</v>
      </c>
      <c r="C697" t="s">
        <v>1835</v>
      </c>
      <c r="D697" t="s">
        <v>833</v>
      </c>
      <c r="E697">
        <v>57</v>
      </c>
      <c r="F697" t="str">
        <f>IF(Table1[[#This Row],[age]]&lt;=25,"18-25",IF(Table1[[#This Row],[age]]&lt;=35,"26-35",IF(Table1[[#This Row],[age]]&lt;=50,"36-50","51+")))</f>
        <v>51+</v>
      </c>
      <c r="G697" t="s">
        <v>54</v>
      </c>
      <c r="H697" t="s">
        <v>80</v>
      </c>
      <c r="I697" t="s">
        <v>86</v>
      </c>
      <c r="J697" t="s">
        <v>47</v>
      </c>
      <c r="K697" t="s">
        <v>120</v>
      </c>
      <c r="L697">
        <v>8</v>
      </c>
      <c r="M697">
        <v>1196.3800000000001</v>
      </c>
      <c r="N697">
        <v>0.14000000000000001</v>
      </c>
      <c r="O697">
        <v>8445.01</v>
      </c>
      <c r="P697">
        <v>3179.69</v>
      </c>
      <c r="Q697">
        <v>71.87</v>
      </c>
      <c r="R697" t="s">
        <v>92</v>
      </c>
      <c r="S697">
        <v>2</v>
      </c>
      <c r="T697" t="b">
        <v>0</v>
      </c>
      <c r="U697" t="s">
        <v>30</v>
      </c>
      <c r="V697">
        <v>4</v>
      </c>
    </row>
    <row r="698" spans="1:22" x14ac:dyDescent="0.25">
      <c r="A698" t="s">
        <v>1836</v>
      </c>
      <c r="B698" s="1">
        <v>44741</v>
      </c>
      <c r="C698" t="s">
        <v>1837</v>
      </c>
      <c r="D698" t="s">
        <v>522</v>
      </c>
      <c r="E698">
        <v>28</v>
      </c>
      <c r="F698" t="str">
        <f>IF(Table1[[#This Row],[age]]&lt;=25,"18-25",IF(Table1[[#This Row],[age]]&lt;=35,"26-35",IF(Table1[[#This Row],[age]]&lt;=50,"36-50","51+")))</f>
        <v>26-35</v>
      </c>
      <c r="G698" t="s">
        <v>54</v>
      </c>
      <c r="H698" t="s">
        <v>25</v>
      </c>
      <c r="I698" t="s">
        <v>26</v>
      </c>
      <c r="J698" t="s">
        <v>27</v>
      </c>
      <c r="K698" t="s">
        <v>192</v>
      </c>
      <c r="L698">
        <v>7</v>
      </c>
      <c r="M698">
        <v>854.71</v>
      </c>
      <c r="N698">
        <v>0.09</v>
      </c>
      <c r="O698">
        <v>7728.92</v>
      </c>
      <c r="P698">
        <v>3265.65</v>
      </c>
      <c r="Q698">
        <v>55.34</v>
      </c>
      <c r="R698" t="s">
        <v>65</v>
      </c>
      <c r="S698">
        <v>3</v>
      </c>
      <c r="T698" t="b">
        <v>0</v>
      </c>
      <c r="U698" t="s">
        <v>30</v>
      </c>
      <c r="V698">
        <v>2</v>
      </c>
    </row>
    <row r="699" spans="1:22" x14ac:dyDescent="0.25">
      <c r="A699" t="s">
        <v>1838</v>
      </c>
      <c r="B699" s="1">
        <v>44936</v>
      </c>
      <c r="C699" t="s">
        <v>1839</v>
      </c>
      <c r="D699" t="s">
        <v>1291</v>
      </c>
      <c r="E699">
        <v>27</v>
      </c>
      <c r="F699" t="str">
        <f>IF(Table1[[#This Row],[age]]&lt;=25,"18-25",IF(Table1[[#This Row],[age]]&lt;=35,"26-35",IF(Table1[[#This Row],[age]]&lt;=50,"36-50","51+")))</f>
        <v>26-35</v>
      </c>
      <c r="G699" t="s">
        <v>24</v>
      </c>
      <c r="H699" t="s">
        <v>80</v>
      </c>
      <c r="I699" t="s">
        <v>86</v>
      </c>
      <c r="J699" t="s">
        <v>47</v>
      </c>
      <c r="K699" t="s">
        <v>600</v>
      </c>
      <c r="L699">
        <v>5</v>
      </c>
      <c r="M699">
        <v>1209.77</v>
      </c>
      <c r="N699">
        <v>0.22</v>
      </c>
      <c r="O699">
        <v>4481.5600000000004</v>
      </c>
      <c r="P699">
        <v>1760.45</v>
      </c>
      <c r="Q699">
        <v>48.73</v>
      </c>
      <c r="R699" t="s">
        <v>29</v>
      </c>
      <c r="S699">
        <v>1</v>
      </c>
      <c r="T699" t="b">
        <v>0</v>
      </c>
      <c r="U699" t="s">
        <v>30</v>
      </c>
      <c r="V699">
        <v>10</v>
      </c>
    </row>
    <row r="700" spans="1:22" x14ac:dyDescent="0.25">
      <c r="A700" t="s">
        <v>1840</v>
      </c>
      <c r="B700" s="1">
        <v>44306</v>
      </c>
      <c r="C700" t="s">
        <v>1841</v>
      </c>
      <c r="D700" t="s">
        <v>180</v>
      </c>
      <c r="E700">
        <v>34</v>
      </c>
      <c r="F700" t="str">
        <f>IF(Table1[[#This Row],[age]]&lt;=25,"18-25",IF(Table1[[#This Row],[age]]&lt;=35,"26-35",IF(Table1[[#This Row],[age]]&lt;=50,"36-50","51+")))</f>
        <v>26-35</v>
      </c>
      <c r="G700" t="s">
        <v>34</v>
      </c>
      <c r="H700" t="s">
        <v>80</v>
      </c>
      <c r="I700" t="s">
        <v>242</v>
      </c>
      <c r="J700" t="s">
        <v>63</v>
      </c>
      <c r="K700" t="s">
        <v>64</v>
      </c>
      <c r="L700">
        <v>5</v>
      </c>
      <c r="M700">
        <v>2726.58</v>
      </c>
      <c r="N700">
        <v>0.16</v>
      </c>
      <c r="O700">
        <v>15369.71</v>
      </c>
      <c r="P700">
        <v>5460.97</v>
      </c>
      <c r="Q700">
        <v>55.2</v>
      </c>
      <c r="R700" t="s">
        <v>43</v>
      </c>
      <c r="S700">
        <v>4</v>
      </c>
      <c r="T700" t="b">
        <v>0</v>
      </c>
      <c r="U700" t="s">
        <v>30</v>
      </c>
      <c r="V700">
        <v>3</v>
      </c>
    </row>
    <row r="701" spans="1:22" x14ac:dyDescent="0.25">
      <c r="A701" t="s">
        <v>1842</v>
      </c>
      <c r="B701" s="1">
        <v>44760</v>
      </c>
      <c r="C701" t="s">
        <v>1843</v>
      </c>
      <c r="D701" t="s">
        <v>621</v>
      </c>
      <c r="E701">
        <v>48</v>
      </c>
      <c r="F701" t="str">
        <f>IF(Table1[[#This Row],[age]]&lt;=25,"18-25",IF(Table1[[#This Row],[age]]&lt;=35,"26-35",IF(Table1[[#This Row],[age]]&lt;=50,"36-50","51+")))</f>
        <v>36-50</v>
      </c>
      <c r="G701" t="s">
        <v>34</v>
      </c>
      <c r="H701" t="s">
        <v>25</v>
      </c>
      <c r="I701" t="s">
        <v>26</v>
      </c>
      <c r="J701" t="s">
        <v>36</v>
      </c>
      <c r="K701" t="s">
        <v>37</v>
      </c>
      <c r="L701">
        <v>10</v>
      </c>
      <c r="M701">
        <v>28298.23</v>
      </c>
      <c r="N701">
        <v>0.25</v>
      </c>
      <c r="O701">
        <v>341316.69</v>
      </c>
      <c r="P701">
        <v>107787.95</v>
      </c>
      <c r="Q701">
        <v>94.71</v>
      </c>
      <c r="R701" t="s">
        <v>29</v>
      </c>
      <c r="S701">
        <v>4</v>
      </c>
      <c r="T701" t="b">
        <v>0</v>
      </c>
      <c r="U701" t="s">
        <v>30</v>
      </c>
      <c r="V701">
        <v>4</v>
      </c>
    </row>
    <row r="702" spans="1:22" x14ac:dyDescent="0.25">
      <c r="A702" t="s">
        <v>1844</v>
      </c>
      <c r="B702" s="1">
        <v>43871</v>
      </c>
      <c r="C702" t="s">
        <v>1845</v>
      </c>
      <c r="D702" t="s">
        <v>384</v>
      </c>
      <c r="E702">
        <v>37</v>
      </c>
      <c r="F702" t="str">
        <f>IF(Table1[[#This Row],[age]]&lt;=25,"18-25",IF(Table1[[#This Row],[age]]&lt;=35,"26-35",IF(Table1[[#This Row],[age]]&lt;=50,"36-50","51+")))</f>
        <v>36-50</v>
      </c>
      <c r="G702" t="s">
        <v>24</v>
      </c>
      <c r="H702" t="s">
        <v>61</v>
      </c>
      <c r="I702" t="s">
        <v>163</v>
      </c>
      <c r="J702" t="s">
        <v>36</v>
      </c>
      <c r="K702" t="s">
        <v>76</v>
      </c>
      <c r="L702">
        <v>8</v>
      </c>
      <c r="M702">
        <v>18758.18</v>
      </c>
      <c r="N702">
        <v>0.11</v>
      </c>
      <c r="O702">
        <v>112518.3</v>
      </c>
      <c r="P702">
        <v>31415.21</v>
      </c>
      <c r="Q702">
        <v>56.55</v>
      </c>
      <c r="R702" t="s">
        <v>92</v>
      </c>
      <c r="S702">
        <v>5</v>
      </c>
      <c r="T702" t="b">
        <v>0</v>
      </c>
      <c r="U702" t="s">
        <v>71</v>
      </c>
      <c r="V702">
        <v>6</v>
      </c>
    </row>
    <row r="703" spans="1:22" x14ac:dyDescent="0.25">
      <c r="A703" t="s">
        <v>1846</v>
      </c>
      <c r="B703" s="1">
        <v>44091</v>
      </c>
      <c r="C703" t="s">
        <v>1847</v>
      </c>
      <c r="D703" t="s">
        <v>1538</v>
      </c>
      <c r="E703">
        <v>55</v>
      </c>
      <c r="F703" t="str">
        <f>IF(Table1[[#This Row],[age]]&lt;=25,"18-25",IF(Table1[[#This Row],[age]]&lt;=35,"26-35",IF(Table1[[#This Row],[age]]&lt;=50,"36-50","51+")))</f>
        <v>51+</v>
      </c>
      <c r="G703" t="s">
        <v>24</v>
      </c>
      <c r="H703" t="s">
        <v>80</v>
      </c>
      <c r="I703" t="s">
        <v>81</v>
      </c>
      <c r="J703" t="s">
        <v>115</v>
      </c>
      <c r="K703" t="s">
        <v>145</v>
      </c>
      <c r="L703">
        <v>10</v>
      </c>
      <c r="M703">
        <v>74981.27</v>
      </c>
      <c r="N703">
        <v>0.04</v>
      </c>
      <c r="O703">
        <v>822702.48</v>
      </c>
      <c r="P703">
        <v>98591.29</v>
      </c>
      <c r="Q703">
        <v>90.58</v>
      </c>
      <c r="R703" t="s">
        <v>29</v>
      </c>
      <c r="S703">
        <v>1</v>
      </c>
      <c r="T703" t="b">
        <v>1</v>
      </c>
      <c r="U703" t="s">
        <v>50</v>
      </c>
      <c r="V703">
        <v>5</v>
      </c>
    </row>
    <row r="704" spans="1:22" x14ac:dyDescent="0.25">
      <c r="A704" t="s">
        <v>1848</v>
      </c>
      <c r="B704" s="1">
        <v>44507</v>
      </c>
      <c r="C704" t="s">
        <v>1849</v>
      </c>
      <c r="D704" t="s">
        <v>1719</v>
      </c>
      <c r="E704">
        <v>24</v>
      </c>
      <c r="F704" t="str">
        <f>IF(Table1[[#This Row],[age]]&lt;=25,"18-25",IF(Table1[[#This Row],[age]]&lt;=35,"26-35",IF(Table1[[#This Row],[age]]&lt;=50,"36-50","51+")))</f>
        <v>18-25</v>
      </c>
      <c r="G704" t="s">
        <v>24</v>
      </c>
      <c r="H704" t="s">
        <v>80</v>
      </c>
      <c r="I704" t="s">
        <v>242</v>
      </c>
      <c r="J704" t="s">
        <v>106</v>
      </c>
      <c r="K704" t="s">
        <v>331</v>
      </c>
      <c r="L704">
        <v>10</v>
      </c>
      <c r="M704">
        <v>108.51</v>
      </c>
      <c r="N704">
        <v>0.03</v>
      </c>
      <c r="O704">
        <v>907.65</v>
      </c>
      <c r="P704">
        <v>97.79</v>
      </c>
      <c r="Q704">
        <v>67.08</v>
      </c>
      <c r="R704" t="s">
        <v>29</v>
      </c>
      <c r="S704">
        <v>3</v>
      </c>
      <c r="T704" t="b">
        <v>1</v>
      </c>
      <c r="U704" t="s">
        <v>50</v>
      </c>
      <c r="V704">
        <v>10</v>
      </c>
    </row>
    <row r="705" spans="1:22" x14ac:dyDescent="0.25">
      <c r="A705" t="s">
        <v>1850</v>
      </c>
      <c r="B705" s="1">
        <v>44073</v>
      </c>
      <c r="C705" t="s">
        <v>1851</v>
      </c>
      <c r="D705" t="s">
        <v>253</v>
      </c>
      <c r="E705">
        <v>53</v>
      </c>
      <c r="F705" t="str">
        <f>IF(Table1[[#This Row],[age]]&lt;=25,"18-25",IF(Table1[[#This Row],[age]]&lt;=35,"26-35",IF(Table1[[#This Row],[age]]&lt;=50,"36-50","51+")))</f>
        <v>51+</v>
      </c>
      <c r="G705" t="s">
        <v>54</v>
      </c>
      <c r="H705" t="s">
        <v>80</v>
      </c>
      <c r="I705" t="s">
        <v>81</v>
      </c>
      <c r="J705" t="s">
        <v>36</v>
      </c>
      <c r="K705" t="s">
        <v>37</v>
      </c>
      <c r="L705">
        <v>8</v>
      </c>
      <c r="M705">
        <v>13159.22</v>
      </c>
      <c r="N705">
        <v>0.18</v>
      </c>
      <c r="O705">
        <v>82824.149999999994</v>
      </c>
      <c r="P705">
        <v>28653.14</v>
      </c>
      <c r="Q705">
        <v>55.64</v>
      </c>
      <c r="R705" t="s">
        <v>57</v>
      </c>
      <c r="S705">
        <v>4</v>
      </c>
      <c r="T705" t="b">
        <v>1</v>
      </c>
      <c r="U705" t="s">
        <v>50</v>
      </c>
      <c r="V705">
        <v>8</v>
      </c>
    </row>
    <row r="706" spans="1:22" x14ac:dyDescent="0.25">
      <c r="A706" t="s">
        <v>1852</v>
      </c>
      <c r="B706" s="1">
        <v>44249</v>
      </c>
      <c r="C706" t="s">
        <v>1853</v>
      </c>
      <c r="D706" t="s">
        <v>1054</v>
      </c>
      <c r="E706">
        <v>44</v>
      </c>
      <c r="F706" t="str">
        <f>IF(Table1[[#This Row],[age]]&lt;=25,"18-25",IF(Table1[[#This Row],[age]]&lt;=35,"26-35",IF(Table1[[#This Row],[age]]&lt;=50,"36-50","51+")))</f>
        <v>36-50</v>
      </c>
      <c r="G706" t="s">
        <v>24</v>
      </c>
      <c r="H706" t="s">
        <v>69</v>
      </c>
      <c r="I706" t="s">
        <v>181</v>
      </c>
      <c r="J706" t="s">
        <v>106</v>
      </c>
      <c r="K706" t="s">
        <v>107</v>
      </c>
      <c r="L706">
        <v>1</v>
      </c>
      <c r="M706">
        <v>227.48</v>
      </c>
      <c r="N706">
        <v>0.11</v>
      </c>
      <c r="O706">
        <v>175.14</v>
      </c>
      <c r="P706">
        <v>15.49</v>
      </c>
      <c r="Q706">
        <v>47.37</v>
      </c>
      <c r="R706" t="s">
        <v>43</v>
      </c>
      <c r="S706">
        <v>1</v>
      </c>
      <c r="T706" t="b">
        <v>0</v>
      </c>
      <c r="U706" t="s">
        <v>193</v>
      </c>
      <c r="V706">
        <v>4</v>
      </c>
    </row>
    <row r="707" spans="1:22" x14ac:dyDescent="0.25">
      <c r="A707" t="s">
        <v>1854</v>
      </c>
      <c r="B707" s="1">
        <v>44320</v>
      </c>
      <c r="C707" t="s">
        <v>1855</v>
      </c>
      <c r="D707" t="s">
        <v>334</v>
      </c>
      <c r="E707">
        <v>29</v>
      </c>
      <c r="F707" t="str">
        <f>IF(Table1[[#This Row],[age]]&lt;=25,"18-25",IF(Table1[[#This Row],[age]]&lt;=35,"26-35",IF(Table1[[#This Row],[age]]&lt;=50,"36-50","51+")))</f>
        <v>26-35</v>
      </c>
      <c r="G707" t="s">
        <v>34</v>
      </c>
      <c r="H707" t="s">
        <v>25</v>
      </c>
      <c r="I707" t="s">
        <v>41</v>
      </c>
      <c r="J707" t="s">
        <v>115</v>
      </c>
      <c r="K707" t="s">
        <v>145</v>
      </c>
      <c r="L707">
        <v>1</v>
      </c>
      <c r="M707">
        <v>22006.34</v>
      </c>
      <c r="N707">
        <v>0.11</v>
      </c>
      <c r="O707">
        <v>26028.1</v>
      </c>
      <c r="P707">
        <v>3707.24</v>
      </c>
      <c r="Q707">
        <v>40.729999999999997</v>
      </c>
      <c r="R707" t="s">
        <v>29</v>
      </c>
      <c r="S707">
        <v>2</v>
      </c>
      <c r="T707" t="b">
        <v>1</v>
      </c>
      <c r="U707" t="s">
        <v>50</v>
      </c>
      <c r="V707">
        <v>10</v>
      </c>
    </row>
    <row r="708" spans="1:22" x14ac:dyDescent="0.25">
      <c r="A708" t="s">
        <v>1856</v>
      </c>
      <c r="B708" s="1">
        <v>43952</v>
      </c>
      <c r="C708" t="s">
        <v>1857</v>
      </c>
      <c r="D708" t="s">
        <v>1630</v>
      </c>
      <c r="E708">
        <v>41</v>
      </c>
      <c r="F708" t="str">
        <f>IF(Table1[[#This Row],[age]]&lt;=25,"18-25",IF(Table1[[#This Row],[age]]&lt;=35,"26-35",IF(Table1[[#This Row],[age]]&lt;=50,"36-50","51+")))</f>
        <v>36-50</v>
      </c>
      <c r="G708" t="s">
        <v>34</v>
      </c>
      <c r="H708" t="s">
        <v>55</v>
      </c>
      <c r="I708" t="s">
        <v>97</v>
      </c>
      <c r="J708" t="s">
        <v>36</v>
      </c>
      <c r="K708" t="s">
        <v>243</v>
      </c>
      <c r="L708">
        <v>8</v>
      </c>
      <c r="M708">
        <v>31845.06</v>
      </c>
      <c r="N708">
        <v>0.06</v>
      </c>
      <c r="O708">
        <v>300720.71999999997</v>
      </c>
      <c r="P708">
        <v>100251.26</v>
      </c>
      <c r="Q708">
        <v>38.42</v>
      </c>
      <c r="R708" t="s">
        <v>57</v>
      </c>
      <c r="S708">
        <v>1</v>
      </c>
      <c r="T708" t="b">
        <v>0</v>
      </c>
      <c r="U708" t="s">
        <v>30</v>
      </c>
      <c r="V708">
        <v>10</v>
      </c>
    </row>
    <row r="709" spans="1:22" x14ac:dyDescent="0.25">
      <c r="A709" t="s">
        <v>1858</v>
      </c>
      <c r="B709" s="1">
        <v>45360</v>
      </c>
      <c r="C709" t="s">
        <v>1859</v>
      </c>
      <c r="D709" t="s">
        <v>256</v>
      </c>
      <c r="E709">
        <v>30</v>
      </c>
      <c r="F709" t="str">
        <f>IF(Table1[[#This Row],[age]]&lt;=25,"18-25",IF(Table1[[#This Row],[age]]&lt;=35,"26-35",IF(Table1[[#This Row],[age]]&lt;=50,"36-50","51+")))</f>
        <v>26-35</v>
      </c>
      <c r="G709" t="s">
        <v>24</v>
      </c>
      <c r="H709" t="s">
        <v>61</v>
      </c>
      <c r="I709" t="s">
        <v>62</v>
      </c>
      <c r="J709" t="s">
        <v>115</v>
      </c>
      <c r="K709" t="s">
        <v>145</v>
      </c>
      <c r="L709">
        <v>9</v>
      </c>
      <c r="M709">
        <v>16973.28</v>
      </c>
      <c r="N709">
        <v>0.05</v>
      </c>
      <c r="O709">
        <v>208512.34</v>
      </c>
      <c r="P709">
        <v>29073.1</v>
      </c>
      <c r="Q709">
        <v>35</v>
      </c>
      <c r="R709" t="s">
        <v>49</v>
      </c>
      <c r="S709">
        <v>4</v>
      </c>
      <c r="T709" t="b">
        <v>0</v>
      </c>
      <c r="U709" t="s">
        <v>71</v>
      </c>
      <c r="V709">
        <v>4</v>
      </c>
    </row>
    <row r="710" spans="1:22" x14ac:dyDescent="0.25">
      <c r="A710" t="s">
        <v>1860</v>
      </c>
      <c r="B710" s="1">
        <v>44493</v>
      </c>
      <c r="C710" t="s">
        <v>1861</v>
      </c>
      <c r="D710" t="s">
        <v>982</v>
      </c>
      <c r="E710">
        <v>27</v>
      </c>
      <c r="F710" t="str">
        <f>IF(Table1[[#This Row],[age]]&lt;=25,"18-25",IF(Table1[[#This Row],[age]]&lt;=35,"26-35",IF(Table1[[#This Row],[age]]&lt;=50,"36-50","51+")))</f>
        <v>26-35</v>
      </c>
      <c r="G710" t="s">
        <v>24</v>
      </c>
      <c r="H710" t="s">
        <v>80</v>
      </c>
      <c r="I710" t="s">
        <v>236</v>
      </c>
      <c r="J710" t="s">
        <v>115</v>
      </c>
      <c r="K710" t="s">
        <v>398</v>
      </c>
      <c r="L710">
        <v>3</v>
      </c>
      <c r="M710">
        <v>33682.54</v>
      </c>
      <c r="N710">
        <v>0.26</v>
      </c>
      <c r="O710">
        <v>62547.07</v>
      </c>
      <c r="P710">
        <v>8775.98</v>
      </c>
      <c r="Q710">
        <v>56.02</v>
      </c>
      <c r="R710" t="s">
        <v>49</v>
      </c>
      <c r="S710">
        <v>1</v>
      </c>
      <c r="T710" t="b">
        <v>1</v>
      </c>
      <c r="U710" t="s">
        <v>50</v>
      </c>
      <c r="V710">
        <v>3</v>
      </c>
    </row>
    <row r="711" spans="1:22" x14ac:dyDescent="0.25">
      <c r="A711" t="s">
        <v>1862</v>
      </c>
      <c r="B711" s="1">
        <v>44417</v>
      </c>
      <c r="C711" t="s">
        <v>1863</v>
      </c>
      <c r="D711" t="s">
        <v>468</v>
      </c>
      <c r="E711">
        <v>28</v>
      </c>
      <c r="F711" t="str">
        <f>IF(Table1[[#This Row],[age]]&lt;=25,"18-25",IF(Table1[[#This Row],[age]]&lt;=35,"26-35",IF(Table1[[#This Row],[age]]&lt;=50,"36-50","51+")))</f>
        <v>26-35</v>
      </c>
      <c r="G711" t="s">
        <v>34</v>
      </c>
      <c r="H711" t="s">
        <v>69</v>
      </c>
      <c r="I711" t="s">
        <v>181</v>
      </c>
      <c r="J711" t="s">
        <v>101</v>
      </c>
      <c r="K711" t="s">
        <v>456</v>
      </c>
      <c r="L711">
        <v>6</v>
      </c>
      <c r="M711">
        <v>8185.51</v>
      </c>
      <c r="N711">
        <v>0.23</v>
      </c>
      <c r="O711">
        <v>46089.54</v>
      </c>
      <c r="P711">
        <v>10034.219999999999</v>
      </c>
      <c r="Q711">
        <v>86.32</v>
      </c>
      <c r="R711" t="s">
        <v>57</v>
      </c>
      <c r="S711">
        <v>4</v>
      </c>
      <c r="T711" t="b">
        <v>1</v>
      </c>
      <c r="U711" t="s">
        <v>50</v>
      </c>
      <c r="V711">
        <v>9</v>
      </c>
    </row>
    <row r="712" spans="1:22" x14ac:dyDescent="0.25">
      <c r="A712" t="s">
        <v>1864</v>
      </c>
      <c r="B712" s="1">
        <v>44262</v>
      </c>
      <c r="C712" t="s">
        <v>1865</v>
      </c>
      <c r="D712" t="s">
        <v>477</v>
      </c>
      <c r="E712">
        <v>30</v>
      </c>
      <c r="F712" t="str">
        <f>IF(Table1[[#This Row],[age]]&lt;=25,"18-25",IF(Table1[[#This Row],[age]]&lt;=35,"26-35",IF(Table1[[#This Row],[age]]&lt;=50,"36-50","51+")))</f>
        <v>26-35</v>
      </c>
      <c r="G712" t="s">
        <v>24</v>
      </c>
      <c r="H712" t="s">
        <v>55</v>
      </c>
      <c r="I712" t="s">
        <v>75</v>
      </c>
      <c r="J712" t="s">
        <v>63</v>
      </c>
      <c r="K712" t="s">
        <v>111</v>
      </c>
      <c r="L712">
        <v>10</v>
      </c>
      <c r="M712">
        <v>2879.31</v>
      </c>
      <c r="N712">
        <v>0.34</v>
      </c>
      <c r="O712">
        <v>19680.419999999998</v>
      </c>
      <c r="P712">
        <v>5641.8</v>
      </c>
      <c r="Q712">
        <v>64.13</v>
      </c>
      <c r="R712" t="s">
        <v>29</v>
      </c>
      <c r="S712">
        <v>2</v>
      </c>
      <c r="T712" t="b">
        <v>0</v>
      </c>
      <c r="U712" t="s">
        <v>30</v>
      </c>
      <c r="V712">
        <v>4</v>
      </c>
    </row>
    <row r="713" spans="1:22" x14ac:dyDescent="0.25">
      <c r="A713" t="s">
        <v>1866</v>
      </c>
      <c r="B713" s="1">
        <v>45435</v>
      </c>
      <c r="C713" t="s">
        <v>1867</v>
      </c>
      <c r="D713" t="s">
        <v>995</v>
      </c>
      <c r="E713">
        <v>27</v>
      </c>
      <c r="F713" t="str">
        <f>IF(Table1[[#This Row],[age]]&lt;=25,"18-25",IF(Table1[[#This Row],[age]]&lt;=35,"26-35",IF(Table1[[#This Row],[age]]&lt;=50,"36-50","51+")))</f>
        <v>26-35</v>
      </c>
      <c r="G713" t="s">
        <v>34</v>
      </c>
      <c r="H713" t="s">
        <v>80</v>
      </c>
      <c r="I713" t="s">
        <v>86</v>
      </c>
      <c r="J713" t="s">
        <v>106</v>
      </c>
      <c r="K713" t="s">
        <v>107</v>
      </c>
      <c r="L713">
        <v>9</v>
      </c>
      <c r="M713">
        <v>399.43</v>
      </c>
      <c r="N713">
        <v>0.06</v>
      </c>
      <c r="O713">
        <v>5735.84</v>
      </c>
      <c r="P713">
        <v>223.77</v>
      </c>
      <c r="Q713">
        <v>65.8</v>
      </c>
      <c r="R713" t="s">
        <v>43</v>
      </c>
      <c r="S713">
        <v>1</v>
      </c>
      <c r="T713" t="b">
        <v>0</v>
      </c>
      <c r="U713" t="s">
        <v>30</v>
      </c>
      <c r="V713">
        <v>4</v>
      </c>
    </row>
    <row r="714" spans="1:22" x14ac:dyDescent="0.25">
      <c r="A714" t="s">
        <v>1868</v>
      </c>
      <c r="B714" s="1">
        <v>44644</v>
      </c>
      <c r="C714" t="s">
        <v>1869</v>
      </c>
      <c r="D714" t="s">
        <v>423</v>
      </c>
      <c r="E714">
        <v>28</v>
      </c>
      <c r="F714" t="str">
        <f>IF(Table1[[#This Row],[age]]&lt;=25,"18-25",IF(Table1[[#This Row],[age]]&lt;=35,"26-35",IF(Table1[[#This Row],[age]]&lt;=50,"36-50","51+")))</f>
        <v>26-35</v>
      </c>
      <c r="G714" t="s">
        <v>24</v>
      </c>
      <c r="H714" t="s">
        <v>80</v>
      </c>
      <c r="I714" t="s">
        <v>242</v>
      </c>
      <c r="J714" t="s">
        <v>47</v>
      </c>
      <c r="K714" t="s">
        <v>156</v>
      </c>
      <c r="L714">
        <v>9</v>
      </c>
      <c r="M714">
        <v>200.61</v>
      </c>
      <c r="N714">
        <v>0.28000000000000003</v>
      </c>
      <c r="O714">
        <v>1329.23</v>
      </c>
      <c r="P714">
        <v>806.66</v>
      </c>
      <c r="Q714">
        <v>52.8</v>
      </c>
      <c r="R714" t="s">
        <v>92</v>
      </c>
      <c r="S714">
        <v>4</v>
      </c>
      <c r="T714" t="b">
        <v>0</v>
      </c>
      <c r="U714" t="s">
        <v>30</v>
      </c>
      <c r="V714">
        <v>9</v>
      </c>
    </row>
    <row r="715" spans="1:22" x14ac:dyDescent="0.25">
      <c r="A715" t="s">
        <v>1870</v>
      </c>
      <c r="B715" s="1">
        <v>44346</v>
      </c>
      <c r="C715" t="s">
        <v>1871</v>
      </c>
      <c r="D715" t="s">
        <v>446</v>
      </c>
      <c r="E715">
        <v>22</v>
      </c>
      <c r="F715" t="str">
        <f>IF(Table1[[#This Row],[age]]&lt;=25,"18-25",IF(Table1[[#This Row],[age]]&lt;=35,"26-35",IF(Table1[[#This Row],[age]]&lt;=50,"36-50","51+")))</f>
        <v>18-25</v>
      </c>
      <c r="G715" t="s">
        <v>34</v>
      </c>
      <c r="H715" t="s">
        <v>69</v>
      </c>
      <c r="I715" t="s">
        <v>221</v>
      </c>
      <c r="J715" t="s">
        <v>47</v>
      </c>
      <c r="K715" t="s">
        <v>204</v>
      </c>
      <c r="L715">
        <v>8</v>
      </c>
      <c r="M715">
        <v>1088.97</v>
      </c>
      <c r="N715">
        <v>0.22</v>
      </c>
      <c r="O715">
        <v>9425.16</v>
      </c>
      <c r="P715">
        <v>4003.12</v>
      </c>
      <c r="Q715">
        <v>52.99</v>
      </c>
      <c r="R715" t="s">
        <v>92</v>
      </c>
      <c r="S715">
        <v>1</v>
      </c>
      <c r="T715" t="b">
        <v>0</v>
      </c>
      <c r="U715" t="s">
        <v>71</v>
      </c>
      <c r="V715">
        <v>4</v>
      </c>
    </row>
    <row r="716" spans="1:22" x14ac:dyDescent="0.25">
      <c r="A716" t="s">
        <v>1872</v>
      </c>
      <c r="B716" s="1">
        <v>44694</v>
      </c>
      <c r="C716" t="s">
        <v>1873</v>
      </c>
      <c r="D716" t="s">
        <v>982</v>
      </c>
      <c r="E716">
        <v>33</v>
      </c>
      <c r="F716" t="str">
        <f>IF(Table1[[#This Row],[age]]&lt;=25,"18-25",IF(Table1[[#This Row],[age]]&lt;=35,"26-35",IF(Table1[[#This Row],[age]]&lt;=50,"36-50","51+")))</f>
        <v>26-35</v>
      </c>
      <c r="G716" t="s">
        <v>54</v>
      </c>
      <c r="H716" t="s">
        <v>61</v>
      </c>
      <c r="I716" t="s">
        <v>141</v>
      </c>
      <c r="J716" t="s">
        <v>47</v>
      </c>
      <c r="K716" t="s">
        <v>48</v>
      </c>
      <c r="L716">
        <v>8</v>
      </c>
      <c r="M716">
        <v>941.99</v>
      </c>
      <c r="N716">
        <v>0.39</v>
      </c>
      <c r="O716">
        <v>6393.22</v>
      </c>
      <c r="P716">
        <v>2237.36</v>
      </c>
      <c r="Q716">
        <v>56.26</v>
      </c>
      <c r="R716" t="s">
        <v>43</v>
      </c>
      <c r="S716">
        <v>1</v>
      </c>
      <c r="T716" t="b">
        <v>1</v>
      </c>
      <c r="U716" t="s">
        <v>50</v>
      </c>
      <c r="V716">
        <v>9</v>
      </c>
    </row>
    <row r="717" spans="1:22" x14ac:dyDescent="0.25">
      <c r="A717" t="s">
        <v>1874</v>
      </c>
      <c r="B717" s="1">
        <v>44632</v>
      </c>
      <c r="C717" t="s">
        <v>1875</v>
      </c>
      <c r="D717" t="s">
        <v>123</v>
      </c>
      <c r="E717">
        <v>41</v>
      </c>
      <c r="F717" t="str">
        <f>IF(Table1[[#This Row],[age]]&lt;=25,"18-25",IF(Table1[[#This Row],[age]]&lt;=35,"26-35",IF(Table1[[#This Row],[age]]&lt;=50,"36-50","51+")))</f>
        <v>36-50</v>
      </c>
      <c r="G717" t="s">
        <v>34</v>
      </c>
      <c r="H717" t="s">
        <v>80</v>
      </c>
      <c r="I717" t="s">
        <v>236</v>
      </c>
      <c r="J717" t="s">
        <v>101</v>
      </c>
      <c r="K717" t="s">
        <v>318</v>
      </c>
      <c r="L717">
        <v>7</v>
      </c>
      <c r="M717">
        <v>14019.83</v>
      </c>
      <c r="N717">
        <v>0.28999999999999998</v>
      </c>
      <c r="O717">
        <v>84559.35</v>
      </c>
      <c r="P717">
        <v>18758.650000000001</v>
      </c>
      <c r="Q717">
        <v>70.819999999999993</v>
      </c>
      <c r="R717" t="s">
        <v>29</v>
      </c>
      <c r="S717">
        <v>5</v>
      </c>
      <c r="T717" t="b">
        <v>0</v>
      </c>
      <c r="U717" t="s">
        <v>30</v>
      </c>
      <c r="V717">
        <v>1</v>
      </c>
    </row>
    <row r="718" spans="1:22" x14ac:dyDescent="0.25">
      <c r="A718" t="s">
        <v>1876</v>
      </c>
      <c r="B718" s="1">
        <v>45294</v>
      </c>
      <c r="C718" t="s">
        <v>1877</v>
      </c>
      <c r="D718" t="s">
        <v>1351</v>
      </c>
      <c r="E718">
        <v>37</v>
      </c>
      <c r="F718" t="str">
        <f>IF(Table1[[#This Row],[age]]&lt;=25,"18-25",IF(Table1[[#This Row],[age]]&lt;=35,"26-35",IF(Table1[[#This Row],[age]]&lt;=50,"36-50","51+")))</f>
        <v>36-50</v>
      </c>
      <c r="G718" t="s">
        <v>24</v>
      </c>
      <c r="H718" t="s">
        <v>55</v>
      </c>
      <c r="I718" t="s">
        <v>56</v>
      </c>
      <c r="J718" t="s">
        <v>101</v>
      </c>
      <c r="K718" t="s">
        <v>318</v>
      </c>
      <c r="L718">
        <v>8</v>
      </c>
      <c r="M718">
        <v>14903.83</v>
      </c>
      <c r="N718">
        <v>0.21</v>
      </c>
      <c r="O718">
        <v>89199.08</v>
      </c>
      <c r="P718">
        <v>18401.75</v>
      </c>
      <c r="Q718">
        <v>76.17</v>
      </c>
      <c r="R718" t="s">
        <v>43</v>
      </c>
      <c r="S718">
        <v>4</v>
      </c>
      <c r="T718" t="b">
        <v>0</v>
      </c>
      <c r="U718" t="s">
        <v>30</v>
      </c>
      <c r="V718">
        <v>10</v>
      </c>
    </row>
    <row r="719" spans="1:22" x14ac:dyDescent="0.25">
      <c r="A719" t="s">
        <v>1878</v>
      </c>
      <c r="B719" s="1">
        <v>44380</v>
      </c>
      <c r="C719" t="s">
        <v>1879</v>
      </c>
      <c r="D719" t="s">
        <v>606</v>
      </c>
      <c r="E719">
        <v>37</v>
      </c>
      <c r="F719" t="str">
        <f>IF(Table1[[#This Row],[age]]&lt;=25,"18-25",IF(Table1[[#This Row],[age]]&lt;=35,"26-35",IF(Table1[[#This Row],[age]]&lt;=50,"36-50","51+")))</f>
        <v>36-50</v>
      </c>
      <c r="G719" t="s">
        <v>34</v>
      </c>
      <c r="H719" t="s">
        <v>61</v>
      </c>
      <c r="I719" t="s">
        <v>91</v>
      </c>
      <c r="J719" t="s">
        <v>47</v>
      </c>
      <c r="K719" t="s">
        <v>156</v>
      </c>
      <c r="L719">
        <v>9</v>
      </c>
      <c r="M719">
        <v>1146.99</v>
      </c>
      <c r="N719">
        <v>0.35</v>
      </c>
      <c r="O719">
        <v>9257.42</v>
      </c>
      <c r="P719">
        <v>2753.44</v>
      </c>
      <c r="Q719">
        <v>59.09</v>
      </c>
      <c r="R719" t="s">
        <v>65</v>
      </c>
      <c r="S719">
        <v>4</v>
      </c>
      <c r="T719" t="b">
        <v>0</v>
      </c>
      <c r="U719" t="s">
        <v>93</v>
      </c>
      <c r="V719">
        <v>9</v>
      </c>
    </row>
    <row r="720" spans="1:22" x14ac:dyDescent="0.25">
      <c r="A720" t="s">
        <v>1880</v>
      </c>
      <c r="B720" s="1">
        <v>44799</v>
      </c>
      <c r="C720" t="s">
        <v>1881</v>
      </c>
      <c r="D720" t="s">
        <v>203</v>
      </c>
      <c r="E720">
        <v>31</v>
      </c>
      <c r="F720" t="str">
        <f>IF(Table1[[#This Row],[age]]&lt;=25,"18-25",IF(Table1[[#This Row],[age]]&lt;=35,"26-35",IF(Table1[[#This Row],[age]]&lt;=50,"36-50","51+")))</f>
        <v>26-35</v>
      </c>
      <c r="G720" t="s">
        <v>34</v>
      </c>
      <c r="H720" t="s">
        <v>80</v>
      </c>
      <c r="I720" t="s">
        <v>81</v>
      </c>
      <c r="J720" t="s">
        <v>27</v>
      </c>
      <c r="K720" t="s">
        <v>480</v>
      </c>
      <c r="L720">
        <v>6</v>
      </c>
      <c r="M720">
        <v>1131.18</v>
      </c>
      <c r="N720">
        <v>0.05</v>
      </c>
      <c r="O720">
        <v>8793.4599999999991</v>
      </c>
      <c r="P720">
        <v>4445.68</v>
      </c>
      <c r="Q720">
        <v>69.489999999999995</v>
      </c>
      <c r="R720" t="s">
        <v>57</v>
      </c>
      <c r="S720">
        <v>1</v>
      </c>
      <c r="T720" t="b">
        <v>0</v>
      </c>
      <c r="U720" t="s">
        <v>30</v>
      </c>
      <c r="V720">
        <v>8</v>
      </c>
    </row>
    <row r="721" spans="1:22" x14ac:dyDescent="0.25">
      <c r="A721" t="s">
        <v>1882</v>
      </c>
      <c r="B721" s="1">
        <v>44506</v>
      </c>
      <c r="C721" t="s">
        <v>1883</v>
      </c>
      <c r="D721" t="s">
        <v>1030</v>
      </c>
      <c r="E721">
        <v>31</v>
      </c>
      <c r="F721" t="str">
        <f>IF(Table1[[#This Row],[age]]&lt;=25,"18-25",IF(Table1[[#This Row],[age]]&lt;=35,"26-35",IF(Table1[[#This Row],[age]]&lt;=50,"36-50","51+")))</f>
        <v>26-35</v>
      </c>
      <c r="G721" t="s">
        <v>54</v>
      </c>
      <c r="H721" t="s">
        <v>80</v>
      </c>
      <c r="I721" t="s">
        <v>236</v>
      </c>
      <c r="J721" t="s">
        <v>106</v>
      </c>
      <c r="K721" t="s">
        <v>188</v>
      </c>
      <c r="L721">
        <v>7</v>
      </c>
      <c r="M721">
        <v>249.21</v>
      </c>
      <c r="N721">
        <v>0.19</v>
      </c>
      <c r="O721">
        <v>1256.75</v>
      </c>
      <c r="P721">
        <v>96.16</v>
      </c>
      <c r="Q721">
        <v>61.25</v>
      </c>
      <c r="R721" t="s">
        <v>49</v>
      </c>
      <c r="S721">
        <v>3</v>
      </c>
      <c r="T721" t="b">
        <v>0</v>
      </c>
      <c r="U721" t="s">
        <v>93</v>
      </c>
      <c r="V721">
        <v>4</v>
      </c>
    </row>
    <row r="722" spans="1:22" x14ac:dyDescent="0.25">
      <c r="A722" t="s">
        <v>1884</v>
      </c>
      <c r="B722" s="1">
        <v>44469</v>
      </c>
      <c r="C722" t="s">
        <v>1885</v>
      </c>
      <c r="D722" t="s">
        <v>327</v>
      </c>
      <c r="E722">
        <v>31</v>
      </c>
      <c r="F722" t="str">
        <f>IF(Table1[[#This Row],[age]]&lt;=25,"18-25",IF(Table1[[#This Row],[age]]&lt;=35,"26-35",IF(Table1[[#This Row],[age]]&lt;=50,"36-50","51+")))</f>
        <v>26-35</v>
      </c>
      <c r="G722" t="s">
        <v>34</v>
      </c>
      <c r="H722" t="s">
        <v>25</v>
      </c>
      <c r="I722" t="s">
        <v>26</v>
      </c>
      <c r="J722" t="s">
        <v>106</v>
      </c>
      <c r="K722" t="s">
        <v>314</v>
      </c>
      <c r="L722">
        <v>3</v>
      </c>
      <c r="M722">
        <v>297.63</v>
      </c>
      <c r="N722">
        <v>0.02</v>
      </c>
      <c r="O722">
        <v>1094.67</v>
      </c>
      <c r="P722">
        <v>141.65</v>
      </c>
      <c r="Q722">
        <v>49.55</v>
      </c>
      <c r="R722" t="s">
        <v>57</v>
      </c>
      <c r="S722">
        <v>1</v>
      </c>
      <c r="T722" t="b">
        <v>1</v>
      </c>
      <c r="U722" t="s">
        <v>50</v>
      </c>
      <c r="V722">
        <v>8</v>
      </c>
    </row>
    <row r="723" spans="1:22" x14ac:dyDescent="0.25">
      <c r="A723" t="s">
        <v>1886</v>
      </c>
      <c r="B723" s="1">
        <v>45127</v>
      </c>
      <c r="C723" t="s">
        <v>1887</v>
      </c>
      <c r="D723" t="s">
        <v>338</v>
      </c>
      <c r="E723">
        <v>42</v>
      </c>
      <c r="F723" t="str">
        <f>IF(Table1[[#This Row],[age]]&lt;=25,"18-25",IF(Table1[[#This Row],[age]]&lt;=35,"26-35",IF(Table1[[#This Row],[age]]&lt;=50,"36-50","51+")))</f>
        <v>36-50</v>
      </c>
      <c r="G723" t="s">
        <v>24</v>
      </c>
      <c r="H723" t="s">
        <v>80</v>
      </c>
      <c r="I723" t="s">
        <v>86</v>
      </c>
      <c r="J723" t="s">
        <v>63</v>
      </c>
      <c r="K723" t="s">
        <v>152</v>
      </c>
      <c r="L723">
        <v>5</v>
      </c>
      <c r="M723">
        <v>2755.15</v>
      </c>
      <c r="N723">
        <v>0.35</v>
      </c>
      <c r="O723">
        <v>12440.45</v>
      </c>
      <c r="P723">
        <v>4470.63</v>
      </c>
      <c r="Q723">
        <v>73.319999999999993</v>
      </c>
      <c r="R723" t="s">
        <v>65</v>
      </c>
      <c r="S723">
        <v>5</v>
      </c>
      <c r="T723" t="b">
        <v>0</v>
      </c>
      <c r="U723" t="s">
        <v>30</v>
      </c>
      <c r="V723">
        <v>7</v>
      </c>
    </row>
    <row r="724" spans="1:22" x14ac:dyDescent="0.25">
      <c r="A724" t="s">
        <v>1888</v>
      </c>
      <c r="B724" s="1">
        <v>44345</v>
      </c>
      <c r="C724" t="s">
        <v>1889</v>
      </c>
      <c r="D724" t="s">
        <v>666</v>
      </c>
      <c r="E724">
        <v>55</v>
      </c>
      <c r="F724" t="str">
        <f>IF(Table1[[#This Row],[age]]&lt;=25,"18-25",IF(Table1[[#This Row],[age]]&lt;=35,"26-35",IF(Table1[[#This Row],[age]]&lt;=50,"36-50","51+")))</f>
        <v>51+</v>
      </c>
      <c r="G724" t="s">
        <v>34</v>
      </c>
      <c r="H724" t="s">
        <v>55</v>
      </c>
      <c r="I724" t="s">
        <v>56</v>
      </c>
      <c r="J724" t="s">
        <v>115</v>
      </c>
      <c r="K724" t="s">
        <v>145</v>
      </c>
      <c r="L724">
        <v>10</v>
      </c>
      <c r="M724">
        <v>36516.81</v>
      </c>
      <c r="N724">
        <v>0.12</v>
      </c>
      <c r="O724">
        <v>494382.28</v>
      </c>
      <c r="P724">
        <v>58795.08</v>
      </c>
      <c r="Q724">
        <v>53.99</v>
      </c>
      <c r="R724" t="s">
        <v>92</v>
      </c>
      <c r="S724">
        <v>4</v>
      </c>
      <c r="T724" t="b">
        <v>0</v>
      </c>
      <c r="U724" t="s">
        <v>30</v>
      </c>
      <c r="V724">
        <v>4</v>
      </c>
    </row>
    <row r="725" spans="1:22" x14ac:dyDescent="0.25">
      <c r="A725" t="s">
        <v>1890</v>
      </c>
      <c r="B725" s="1">
        <v>45157</v>
      </c>
      <c r="C725" t="s">
        <v>1891</v>
      </c>
      <c r="D725" t="s">
        <v>310</v>
      </c>
      <c r="E725">
        <v>36</v>
      </c>
      <c r="F725" t="str">
        <f>IF(Table1[[#This Row],[age]]&lt;=25,"18-25",IF(Table1[[#This Row],[age]]&lt;=35,"26-35",IF(Table1[[#This Row],[age]]&lt;=50,"36-50","51+")))</f>
        <v>36-50</v>
      </c>
      <c r="G725" t="s">
        <v>24</v>
      </c>
      <c r="H725" t="s">
        <v>69</v>
      </c>
      <c r="I725" t="s">
        <v>221</v>
      </c>
      <c r="J725" t="s">
        <v>106</v>
      </c>
      <c r="K725" t="s">
        <v>107</v>
      </c>
      <c r="L725">
        <v>9</v>
      </c>
      <c r="M725">
        <v>461.84</v>
      </c>
      <c r="N725">
        <v>0.06</v>
      </c>
      <c r="O725">
        <v>5002.24</v>
      </c>
      <c r="P725">
        <v>440.52</v>
      </c>
      <c r="Q725">
        <v>74.88</v>
      </c>
      <c r="R725" t="s">
        <v>49</v>
      </c>
      <c r="S725">
        <v>2</v>
      </c>
      <c r="T725" t="b">
        <v>0</v>
      </c>
      <c r="U725" t="s">
        <v>30</v>
      </c>
      <c r="V725">
        <v>5</v>
      </c>
    </row>
    <row r="726" spans="1:22" x14ac:dyDescent="0.25">
      <c r="A726" t="s">
        <v>1892</v>
      </c>
      <c r="B726" s="1">
        <v>44985</v>
      </c>
      <c r="C726" t="s">
        <v>1893</v>
      </c>
      <c r="D726" t="s">
        <v>833</v>
      </c>
      <c r="E726">
        <v>19</v>
      </c>
      <c r="F726" t="str">
        <f>IF(Table1[[#This Row],[age]]&lt;=25,"18-25",IF(Table1[[#This Row],[age]]&lt;=35,"26-35",IF(Table1[[#This Row],[age]]&lt;=50,"36-50","51+")))</f>
        <v>18-25</v>
      </c>
      <c r="G726" t="s">
        <v>24</v>
      </c>
      <c r="H726" t="s">
        <v>25</v>
      </c>
      <c r="I726" t="s">
        <v>26</v>
      </c>
      <c r="J726" t="s">
        <v>47</v>
      </c>
      <c r="K726" t="s">
        <v>272</v>
      </c>
      <c r="L726">
        <v>9</v>
      </c>
      <c r="M726">
        <v>1227.77</v>
      </c>
      <c r="N726">
        <v>0.09</v>
      </c>
      <c r="O726">
        <v>10383.44</v>
      </c>
      <c r="P726">
        <v>4289.2700000000004</v>
      </c>
      <c r="Q726">
        <v>74.78</v>
      </c>
      <c r="R726" t="s">
        <v>49</v>
      </c>
      <c r="S726">
        <v>2</v>
      </c>
      <c r="T726" t="b">
        <v>1</v>
      </c>
      <c r="U726" t="s">
        <v>50</v>
      </c>
      <c r="V726">
        <v>1</v>
      </c>
    </row>
    <row r="727" spans="1:22" x14ac:dyDescent="0.25">
      <c r="A727" t="s">
        <v>1894</v>
      </c>
      <c r="B727" s="1">
        <v>44284</v>
      </c>
      <c r="C727" t="s">
        <v>1895</v>
      </c>
      <c r="D727" t="s">
        <v>1333</v>
      </c>
      <c r="E727">
        <v>47</v>
      </c>
      <c r="F727" t="str">
        <f>IF(Table1[[#This Row],[age]]&lt;=25,"18-25",IF(Table1[[#This Row],[age]]&lt;=35,"26-35",IF(Table1[[#This Row],[age]]&lt;=50,"36-50","51+")))</f>
        <v>36-50</v>
      </c>
      <c r="G727" t="s">
        <v>34</v>
      </c>
      <c r="H727" t="s">
        <v>61</v>
      </c>
      <c r="I727" t="s">
        <v>141</v>
      </c>
      <c r="J727" t="s">
        <v>63</v>
      </c>
      <c r="K727" t="s">
        <v>111</v>
      </c>
      <c r="L727">
        <v>10</v>
      </c>
      <c r="M727">
        <v>3992.44</v>
      </c>
      <c r="N727">
        <v>0.15</v>
      </c>
      <c r="O727">
        <v>37327.01</v>
      </c>
      <c r="P727">
        <v>12430.23</v>
      </c>
      <c r="Q727">
        <v>40.58</v>
      </c>
      <c r="R727" t="s">
        <v>29</v>
      </c>
      <c r="S727">
        <v>5</v>
      </c>
      <c r="T727" t="b">
        <v>0</v>
      </c>
      <c r="U727" t="s">
        <v>30</v>
      </c>
      <c r="V727">
        <v>2</v>
      </c>
    </row>
    <row r="728" spans="1:22" x14ac:dyDescent="0.25">
      <c r="A728" t="s">
        <v>1896</v>
      </c>
      <c r="B728" s="1">
        <v>44967</v>
      </c>
      <c r="C728" t="s">
        <v>1897</v>
      </c>
      <c r="D728" t="s">
        <v>1898</v>
      </c>
      <c r="E728">
        <v>44</v>
      </c>
      <c r="F728" t="str">
        <f>IF(Table1[[#This Row],[age]]&lt;=25,"18-25",IF(Table1[[#This Row],[age]]&lt;=35,"26-35",IF(Table1[[#This Row],[age]]&lt;=50,"36-50","51+")))</f>
        <v>36-50</v>
      </c>
      <c r="G728" t="s">
        <v>24</v>
      </c>
      <c r="H728" t="s">
        <v>61</v>
      </c>
      <c r="I728" t="s">
        <v>141</v>
      </c>
      <c r="J728" t="s">
        <v>106</v>
      </c>
      <c r="K728" t="s">
        <v>247</v>
      </c>
      <c r="L728">
        <v>8</v>
      </c>
      <c r="M728">
        <v>364.69</v>
      </c>
      <c r="N728">
        <v>0.13</v>
      </c>
      <c r="O728">
        <v>2876.59</v>
      </c>
      <c r="P728">
        <v>173.21</v>
      </c>
      <c r="Q728">
        <v>36.26</v>
      </c>
      <c r="R728" t="s">
        <v>49</v>
      </c>
      <c r="S728">
        <v>5</v>
      </c>
      <c r="T728" t="b">
        <v>0</v>
      </c>
      <c r="U728" t="s">
        <v>30</v>
      </c>
      <c r="V728">
        <v>5</v>
      </c>
    </row>
    <row r="729" spans="1:22" x14ac:dyDescent="0.25">
      <c r="A729" t="s">
        <v>1899</v>
      </c>
      <c r="B729" s="1">
        <v>44218</v>
      </c>
      <c r="C729" t="s">
        <v>1900</v>
      </c>
      <c r="D729" t="s">
        <v>1901</v>
      </c>
      <c r="E729">
        <v>36</v>
      </c>
      <c r="F729" t="str">
        <f>IF(Table1[[#This Row],[age]]&lt;=25,"18-25",IF(Table1[[#This Row],[age]]&lt;=35,"26-35",IF(Table1[[#This Row],[age]]&lt;=50,"36-50","51+")))</f>
        <v>36-50</v>
      </c>
      <c r="G729" t="s">
        <v>54</v>
      </c>
      <c r="H729" t="s">
        <v>55</v>
      </c>
      <c r="I729" t="s">
        <v>75</v>
      </c>
      <c r="J729" t="s">
        <v>115</v>
      </c>
      <c r="K729" t="s">
        <v>197</v>
      </c>
      <c r="L729">
        <v>6</v>
      </c>
      <c r="M729">
        <v>10944.15</v>
      </c>
      <c r="N729">
        <v>0.21</v>
      </c>
      <c r="O729">
        <v>42423.95</v>
      </c>
      <c r="P729">
        <v>5320.38</v>
      </c>
      <c r="Q729">
        <v>63.46</v>
      </c>
      <c r="R729" t="s">
        <v>65</v>
      </c>
      <c r="S729">
        <v>1</v>
      </c>
      <c r="T729" t="b">
        <v>0</v>
      </c>
      <c r="U729" t="s">
        <v>193</v>
      </c>
      <c r="V729">
        <v>8</v>
      </c>
    </row>
    <row r="730" spans="1:22" x14ac:dyDescent="0.25">
      <c r="A730" t="s">
        <v>1902</v>
      </c>
      <c r="B730" s="1">
        <v>45198</v>
      </c>
      <c r="C730" t="s">
        <v>1903</v>
      </c>
      <c r="D730" t="s">
        <v>1188</v>
      </c>
      <c r="E730">
        <v>24</v>
      </c>
      <c r="F730" t="str">
        <f>IF(Table1[[#This Row],[age]]&lt;=25,"18-25",IF(Table1[[#This Row],[age]]&lt;=35,"26-35",IF(Table1[[#This Row],[age]]&lt;=50,"36-50","51+")))</f>
        <v>18-25</v>
      </c>
      <c r="G730" t="s">
        <v>54</v>
      </c>
      <c r="H730" t="s">
        <v>61</v>
      </c>
      <c r="I730" t="s">
        <v>163</v>
      </c>
      <c r="J730" t="s">
        <v>115</v>
      </c>
      <c r="K730" t="s">
        <v>137</v>
      </c>
      <c r="L730">
        <v>9</v>
      </c>
      <c r="M730">
        <v>56863.21</v>
      </c>
      <c r="N730">
        <v>0.23</v>
      </c>
      <c r="O730">
        <v>470774.92</v>
      </c>
      <c r="P730">
        <v>62906</v>
      </c>
      <c r="Q730">
        <v>36.46</v>
      </c>
      <c r="R730" t="s">
        <v>49</v>
      </c>
      <c r="S730">
        <v>3</v>
      </c>
      <c r="T730" t="b">
        <v>0</v>
      </c>
      <c r="U730" t="s">
        <v>30</v>
      </c>
      <c r="V730">
        <v>3</v>
      </c>
    </row>
    <row r="731" spans="1:22" x14ac:dyDescent="0.25">
      <c r="A731" t="s">
        <v>1904</v>
      </c>
      <c r="B731" s="1">
        <v>45049</v>
      </c>
      <c r="C731" t="s">
        <v>1905</v>
      </c>
      <c r="D731" t="s">
        <v>1074</v>
      </c>
      <c r="E731">
        <v>48</v>
      </c>
      <c r="F731" t="str">
        <f>IF(Table1[[#This Row],[age]]&lt;=25,"18-25",IF(Table1[[#This Row],[age]]&lt;=35,"26-35",IF(Table1[[#This Row],[age]]&lt;=50,"36-50","51+")))</f>
        <v>36-50</v>
      </c>
      <c r="G731" t="s">
        <v>34</v>
      </c>
      <c r="H731" t="s">
        <v>55</v>
      </c>
      <c r="I731" t="s">
        <v>75</v>
      </c>
      <c r="J731" t="s">
        <v>47</v>
      </c>
      <c r="K731" t="s">
        <v>120</v>
      </c>
      <c r="L731">
        <v>1</v>
      </c>
      <c r="M731">
        <v>769.04</v>
      </c>
      <c r="N731">
        <v>0.13</v>
      </c>
      <c r="O731">
        <v>1113.83</v>
      </c>
      <c r="P731">
        <v>505.12</v>
      </c>
      <c r="Q731">
        <v>46.7</v>
      </c>
      <c r="R731" t="s">
        <v>43</v>
      </c>
      <c r="S731">
        <v>1</v>
      </c>
      <c r="T731" t="b">
        <v>0</v>
      </c>
      <c r="U731" t="s">
        <v>30</v>
      </c>
      <c r="V731">
        <v>10</v>
      </c>
    </row>
    <row r="732" spans="1:22" x14ac:dyDescent="0.25">
      <c r="A732" t="s">
        <v>1906</v>
      </c>
      <c r="B732" s="1">
        <v>44340</v>
      </c>
      <c r="C732" t="s">
        <v>1907</v>
      </c>
      <c r="D732" t="s">
        <v>502</v>
      </c>
      <c r="E732">
        <v>42</v>
      </c>
      <c r="F732" t="str">
        <f>IF(Table1[[#This Row],[age]]&lt;=25,"18-25",IF(Table1[[#This Row],[age]]&lt;=35,"26-35",IF(Table1[[#This Row],[age]]&lt;=50,"36-50","51+")))</f>
        <v>36-50</v>
      </c>
      <c r="G732" t="s">
        <v>34</v>
      </c>
      <c r="H732" t="s">
        <v>61</v>
      </c>
      <c r="I732" t="s">
        <v>163</v>
      </c>
      <c r="J732" t="s">
        <v>101</v>
      </c>
      <c r="K732" t="s">
        <v>214</v>
      </c>
      <c r="L732">
        <v>9</v>
      </c>
      <c r="M732">
        <v>13067.04</v>
      </c>
      <c r="N732">
        <v>0.22</v>
      </c>
      <c r="O732">
        <v>129179.48</v>
      </c>
      <c r="P732">
        <v>17264.66</v>
      </c>
      <c r="Q732">
        <v>58.55</v>
      </c>
      <c r="R732" t="s">
        <v>49</v>
      </c>
      <c r="S732">
        <v>1</v>
      </c>
      <c r="T732" t="b">
        <v>1</v>
      </c>
      <c r="U732" t="s">
        <v>50</v>
      </c>
      <c r="V732">
        <v>4</v>
      </c>
    </row>
    <row r="733" spans="1:22" x14ac:dyDescent="0.25">
      <c r="A733" t="s">
        <v>1908</v>
      </c>
      <c r="B733" s="1">
        <v>44035</v>
      </c>
      <c r="C733" t="s">
        <v>1909</v>
      </c>
      <c r="D733" t="s">
        <v>1166</v>
      </c>
      <c r="E733">
        <v>46</v>
      </c>
      <c r="F733" t="str">
        <f>IF(Table1[[#This Row],[age]]&lt;=25,"18-25",IF(Table1[[#This Row],[age]]&lt;=35,"26-35",IF(Table1[[#This Row],[age]]&lt;=50,"36-50","51+")))</f>
        <v>36-50</v>
      </c>
      <c r="G733" t="s">
        <v>34</v>
      </c>
      <c r="H733" t="s">
        <v>25</v>
      </c>
      <c r="I733" t="s">
        <v>26</v>
      </c>
      <c r="J733" t="s">
        <v>36</v>
      </c>
      <c r="K733" t="s">
        <v>132</v>
      </c>
      <c r="L733">
        <v>6</v>
      </c>
      <c r="M733">
        <v>12344.66</v>
      </c>
      <c r="N733">
        <v>0.02</v>
      </c>
      <c r="O733">
        <v>93910.03</v>
      </c>
      <c r="P733">
        <v>32713</v>
      </c>
      <c r="Q733">
        <v>34.26</v>
      </c>
      <c r="R733" t="s">
        <v>57</v>
      </c>
      <c r="S733">
        <v>2</v>
      </c>
      <c r="T733" t="b">
        <v>0</v>
      </c>
      <c r="U733" t="s">
        <v>30</v>
      </c>
      <c r="V733">
        <v>6</v>
      </c>
    </row>
    <row r="734" spans="1:22" x14ac:dyDescent="0.25">
      <c r="A734" t="s">
        <v>1910</v>
      </c>
      <c r="B734" s="1">
        <v>44234</v>
      </c>
      <c r="C734" t="s">
        <v>1911</v>
      </c>
      <c r="D734" t="s">
        <v>995</v>
      </c>
      <c r="E734">
        <v>22</v>
      </c>
      <c r="F734" t="str">
        <f>IF(Table1[[#This Row],[age]]&lt;=25,"18-25",IF(Table1[[#This Row],[age]]&lt;=35,"26-35",IF(Table1[[#This Row],[age]]&lt;=50,"36-50","51+")))</f>
        <v>18-25</v>
      </c>
      <c r="G734" t="s">
        <v>24</v>
      </c>
      <c r="H734" t="s">
        <v>69</v>
      </c>
      <c r="I734" t="s">
        <v>136</v>
      </c>
      <c r="J734" t="s">
        <v>47</v>
      </c>
      <c r="K734" t="s">
        <v>120</v>
      </c>
      <c r="L734">
        <v>9</v>
      </c>
      <c r="M734">
        <v>682.41</v>
      </c>
      <c r="N734">
        <v>0.39</v>
      </c>
      <c r="O734">
        <v>3288.5</v>
      </c>
      <c r="P734">
        <v>950.54</v>
      </c>
      <c r="Q734">
        <v>73.23</v>
      </c>
      <c r="R734" t="s">
        <v>57</v>
      </c>
      <c r="S734">
        <v>4</v>
      </c>
      <c r="T734" t="b">
        <v>0</v>
      </c>
      <c r="U734" t="s">
        <v>93</v>
      </c>
      <c r="V734">
        <v>7</v>
      </c>
    </row>
    <row r="735" spans="1:22" x14ac:dyDescent="0.25">
      <c r="A735" t="s">
        <v>1912</v>
      </c>
      <c r="B735" s="1">
        <v>44117</v>
      </c>
      <c r="C735" t="s">
        <v>1913</v>
      </c>
      <c r="D735" t="s">
        <v>1914</v>
      </c>
      <c r="E735">
        <v>35</v>
      </c>
      <c r="F735" t="str">
        <f>IF(Table1[[#This Row],[age]]&lt;=25,"18-25",IF(Table1[[#This Row],[age]]&lt;=35,"26-35",IF(Table1[[#This Row],[age]]&lt;=50,"36-50","51+")))</f>
        <v>26-35</v>
      </c>
      <c r="G735" t="s">
        <v>24</v>
      </c>
      <c r="H735" t="s">
        <v>61</v>
      </c>
      <c r="I735" t="s">
        <v>163</v>
      </c>
      <c r="J735" t="s">
        <v>115</v>
      </c>
      <c r="K735" t="s">
        <v>197</v>
      </c>
      <c r="L735">
        <v>7</v>
      </c>
      <c r="M735">
        <v>42976.47</v>
      </c>
      <c r="N735">
        <v>0.32</v>
      </c>
      <c r="O735">
        <v>173058.34</v>
      </c>
      <c r="P735">
        <v>20091.830000000002</v>
      </c>
      <c r="Q735">
        <v>60.6</v>
      </c>
      <c r="R735" t="s">
        <v>49</v>
      </c>
      <c r="S735">
        <v>1</v>
      </c>
      <c r="T735" t="b">
        <v>0</v>
      </c>
      <c r="U735" t="s">
        <v>30</v>
      </c>
      <c r="V735">
        <v>2</v>
      </c>
    </row>
    <row r="736" spans="1:22" x14ac:dyDescent="0.25">
      <c r="A736" t="s">
        <v>1915</v>
      </c>
      <c r="B736" s="1">
        <v>44116</v>
      </c>
      <c r="C736" t="s">
        <v>1916</v>
      </c>
      <c r="D736" t="s">
        <v>1281</v>
      </c>
      <c r="E736">
        <v>29</v>
      </c>
      <c r="F736" t="str">
        <f>IF(Table1[[#This Row],[age]]&lt;=25,"18-25",IF(Table1[[#This Row],[age]]&lt;=35,"26-35",IF(Table1[[#This Row],[age]]&lt;=50,"36-50","51+")))</f>
        <v>26-35</v>
      </c>
      <c r="G736" t="s">
        <v>34</v>
      </c>
      <c r="H736" t="s">
        <v>80</v>
      </c>
      <c r="I736" t="s">
        <v>242</v>
      </c>
      <c r="J736" t="s">
        <v>63</v>
      </c>
      <c r="K736" t="s">
        <v>87</v>
      </c>
      <c r="L736">
        <v>9</v>
      </c>
      <c r="M736">
        <v>3720.46</v>
      </c>
      <c r="N736">
        <v>0.2</v>
      </c>
      <c r="O736">
        <v>25352.89</v>
      </c>
      <c r="P736">
        <v>8663.42</v>
      </c>
      <c r="Q736">
        <v>69.62</v>
      </c>
      <c r="R736" t="s">
        <v>43</v>
      </c>
      <c r="S736">
        <v>3</v>
      </c>
      <c r="T736" t="b">
        <v>0</v>
      </c>
      <c r="U736" t="s">
        <v>30</v>
      </c>
      <c r="V736">
        <v>10</v>
      </c>
    </row>
    <row r="737" spans="1:22" x14ac:dyDescent="0.25">
      <c r="A737" t="s">
        <v>1917</v>
      </c>
      <c r="B737" s="1">
        <v>43974</v>
      </c>
      <c r="C737" t="s">
        <v>1918</v>
      </c>
      <c r="D737" t="s">
        <v>862</v>
      </c>
      <c r="E737">
        <v>42</v>
      </c>
      <c r="F737" t="str">
        <f>IF(Table1[[#This Row],[age]]&lt;=25,"18-25",IF(Table1[[#This Row],[age]]&lt;=35,"26-35",IF(Table1[[#This Row],[age]]&lt;=50,"36-50","51+")))</f>
        <v>36-50</v>
      </c>
      <c r="G737" t="s">
        <v>24</v>
      </c>
      <c r="H737" t="s">
        <v>55</v>
      </c>
      <c r="I737" t="s">
        <v>114</v>
      </c>
      <c r="J737" t="s">
        <v>106</v>
      </c>
      <c r="K737" t="s">
        <v>314</v>
      </c>
      <c r="L737">
        <v>5</v>
      </c>
      <c r="M737">
        <v>340.16</v>
      </c>
      <c r="N737">
        <v>0.37</v>
      </c>
      <c r="O737">
        <v>1501.76</v>
      </c>
      <c r="P737">
        <v>96.24</v>
      </c>
      <c r="Q737">
        <v>58.79</v>
      </c>
      <c r="R737" t="s">
        <v>65</v>
      </c>
      <c r="S737">
        <v>1</v>
      </c>
      <c r="T737" t="b">
        <v>0</v>
      </c>
      <c r="U737" t="s">
        <v>30</v>
      </c>
      <c r="V737">
        <v>3</v>
      </c>
    </row>
    <row r="738" spans="1:22" x14ac:dyDescent="0.25">
      <c r="A738" t="s">
        <v>1919</v>
      </c>
      <c r="B738" s="1">
        <v>44244</v>
      </c>
      <c r="C738" t="s">
        <v>1920</v>
      </c>
      <c r="D738" t="s">
        <v>1921</v>
      </c>
      <c r="E738">
        <v>25</v>
      </c>
      <c r="F738" t="str">
        <f>IF(Table1[[#This Row],[age]]&lt;=25,"18-25",IF(Table1[[#This Row],[age]]&lt;=35,"26-35",IF(Table1[[#This Row],[age]]&lt;=50,"36-50","51+")))</f>
        <v>18-25</v>
      </c>
      <c r="G738" t="s">
        <v>54</v>
      </c>
      <c r="H738" t="s">
        <v>25</v>
      </c>
      <c r="I738" t="s">
        <v>41</v>
      </c>
      <c r="J738" t="s">
        <v>101</v>
      </c>
      <c r="K738" t="s">
        <v>124</v>
      </c>
      <c r="L738">
        <v>1</v>
      </c>
      <c r="M738">
        <v>14980.35</v>
      </c>
      <c r="N738">
        <v>0.06</v>
      </c>
      <c r="O738">
        <v>16007.63</v>
      </c>
      <c r="P738">
        <v>3501.94</v>
      </c>
      <c r="Q738">
        <v>66.95</v>
      </c>
      <c r="R738" t="s">
        <v>57</v>
      </c>
      <c r="S738">
        <v>5</v>
      </c>
      <c r="T738" t="b">
        <v>0</v>
      </c>
      <c r="U738" t="s">
        <v>30</v>
      </c>
      <c r="V738">
        <v>8</v>
      </c>
    </row>
    <row r="739" spans="1:22" x14ac:dyDescent="0.25">
      <c r="A739" t="s">
        <v>1922</v>
      </c>
      <c r="B739" s="1">
        <v>45355</v>
      </c>
      <c r="C739" t="s">
        <v>1923</v>
      </c>
      <c r="D739" t="s">
        <v>180</v>
      </c>
      <c r="E739">
        <v>34</v>
      </c>
      <c r="F739" t="str">
        <f>IF(Table1[[#This Row],[age]]&lt;=25,"18-25",IF(Table1[[#This Row],[age]]&lt;=35,"26-35",IF(Table1[[#This Row],[age]]&lt;=50,"36-50","51+")))</f>
        <v>26-35</v>
      </c>
      <c r="G739" t="s">
        <v>24</v>
      </c>
      <c r="H739" t="s">
        <v>25</v>
      </c>
      <c r="I739" t="s">
        <v>41</v>
      </c>
      <c r="J739" t="s">
        <v>115</v>
      </c>
      <c r="K739" t="s">
        <v>398</v>
      </c>
      <c r="L739">
        <v>7</v>
      </c>
      <c r="M739">
        <v>34398.85</v>
      </c>
      <c r="N739">
        <v>0.32</v>
      </c>
      <c r="O739">
        <v>211978.75</v>
      </c>
      <c r="P739">
        <v>22144.21</v>
      </c>
      <c r="Q739">
        <v>71.38</v>
      </c>
      <c r="R739" t="s">
        <v>49</v>
      </c>
      <c r="S739">
        <v>1</v>
      </c>
      <c r="T739" t="b">
        <v>1</v>
      </c>
      <c r="U739" t="s">
        <v>50</v>
      </c>
      <c r="V739">
        <v>5</v>
      </c>
    </row>
    <row r="740" spans="1:22" x14ac:dyDescent="0.25">
      <c r="A740" t="s">
        <v>1924</v>
      </c>
      <c r="B740" s="1">
        <v>44118</v>
      </c>
      <c r="C740" t="s">
        <v>1925</v>
      </c>
      <c r="D740" t="s">
        <v>1420</v>
      </c>
      <c r="E740">
        <v>44</v>
      </c>
      <c r="F740" t="str">
        <f>IF(Table1[[#This Row],[age]]&lt;=25,"18-25",IF(Table1[[#This Row],[age]]&lt;=35,"26-35",IF(Table1[[#This Row],[age]]&lt;=50,"36-50","51+")))</f>
        <v>36-50</v>
      </c>
      <c r="G740" t="s">
        <v>24</v>
      </c>
      <c r="H740" t="s">
        <v>55</v>
      </c>
      <c r="I740" t="s">
        <v>97</v>
      </c>
      <c r="J740" t="s">
        <v>27</v>
      </c>
      <c r="K740" t="s">
        <v>128</v>
      </c>
      <c r="L740">
        <v>10</v>
      </c>
      <c r="M740">
        <v>447.27</v>
      </c>
      <c r="N740">
        <v>0.15</v>
      </c>
      <c r="O740">
        <v>2458.6999999999998</v>
      </c>
      <c r="P740">
        <v>1150.1300000000001</v>
      </c>
      <c r="Q740">
        <v>45.79</v>
      </c>
      <c r="R740" t="s">
        <v>92</v>
      </c>
      <c r="S740">
        <v>4</v>
      </c>
      <c r="T740" t="b">
        <v>0</v>
      </c>
      <c r="U740" t="s">
        <v>30</v>
      </c>
      <c r="V740">
        <v>5</v>
      </c>
    </row>
    <row r="741" spans="1:22" x14ac:dyDescent="0.25">
      <c r="A741" t="s">
        <v>1926</v>
      </c>
      <c r="B741" s="1">
        <v>43925</v>
      </c>
      <c r="C741" t="s">
        <v>1927</v>
      </c>
      <c r="D741" t="s">
        <v>1220</v>
      </c>
      <c r="E741">
        <v>58</v>
      </c>
      <c r="F741" t="str">
        <f>IF(Table1[[#This Row],[age]]&lt;=25,"18-25",IF(Table1[[#This Row],[age]]&lt;=35,"26-35",IF(Table1[[#This Row],[age]]&lt;=50,"36-50","51+")))</f>
        <v>51+</v>
      </c>
      <c r="G741" t="s">
        <v>34</v>
      </c>
      <c r="H741" t="s">
        <v>80</v>
      </c>
      <c r="I741" t="s">
        <v>86</v>
      </c>
      <c r="J741" t="s">
        <v>47</v>
      </c>
      <c r="K741" t="s">
        <v>204</v>
      </c>
      <c r="L741">
        <v>2</v>
      </c>
      <c r="M741">
        <v>640.98</v>
      </c>
      <c r="N741">
        <v>0.05</v>
      </c>
      <c r="O741">
        <v>1372.2</v>
      </c>
      <c r="P741">
        <v>437.79</v>
      </c>
      <c r="Q741">
        <v>68.680000000000007</v>
      </c>
      <c r="R741" t="s">
        <v>65</v>
      </c>
      <c r="S741">
        <v>2</v>
      </c>
      <c r="T741" t="b">
        <v>0</v>
      </c>
      <c r="U741" t="s">
        <v>30</v>
      </c>
      <c r="V741">
        <v>5</v>
      </c>
    </row>
    <row r="742" spans="1:22" x14ac:dyDescent="0.25">
      <c r="A742" t="s">
        <v>1928</v>
      </c>
      <c r="B742" s="1">
        <v>43884</v>
      </c>
      <c r="C742" t="s">
        <v>1929</v>
      </c>
      <c r="D742" t="s">
        <v>148</v>
      </c>
      <c r="E742">
        <v>41</v>
      </c>
      <c r="F742" t="str">
        <f>IF(Table1[[#This Row],[age]]&lt;=25,"18-25",IF(Table1[[#This Row],[age]]&lt;=35,"26-35",IF(Table1[[#This Row],[age]]&lt;=50,"36-50","51+")))</f>
        <v>36-50</v>
      </c>
      <c r="G742" t="s">
        <v>24</v>
      </c>
      <c r="H742" t="s">
        <v>25</v>
      </c>
      <c r="I742" t="s">
        <v>26</v>
      </c>
      <c r="J742" t="s">
        <v>115</v>
      </c>
      <c r="K742" t="s">
        <v>197</v>
      </c>
      <c r="L742">
        <v>9</v>
      </c>
      <c r="M742">
        <v>39365.339999999997</v>
      </c>
      <c r="N742">
        <v>0.15</v>
      </c>
      <c r="O742">
        <v>210085.4</v>
      </c>
      <c r="P742">
        <v>19908.38</v>
      </c>
      <c r="Q742">
        <v>56.84</v>
      </c>
      <c r="R742" t="s">
        <v>29</v>
      </c>
      <c r="S742">
        <v>4</v>
      </c>
      <c r="T742" t="b">
        <v>0</v>
      </c>
      <c r="U742" t="s">
        <v>30</v>
      </c>
      <c r="V742">
        <v>8</v>
      </c>
    </row>
    <row r="743" spans="1:22" x14ac:dyDescent="0.25">
      <c r="A743" t="s">
        <v>1930</v>
      </c>
      <c r="B743" s="1">
        <v>44951</v>
      </c>
      <c r="C743" t="s">
        <v>1931</v>
      </c>
      <c r="D743" t="s">
        <v>213</v>
      </c>
      <c r="E743">
        <v>38</v>
      </c>
      <c r="F743" t="str">
        <f>IF(Table1[[#This Row],[age]]&lt;=25,"18-25",IF(Table1[[#This Row],[age]]&lt;=35,"26-35",IF(Table1[[#This Row],[age]]&lt;=50,"36-50","51+")))</f>
        <v>36-50</v>
      </c>
      <c r="G743" t="s">
        <v>34</v>
      </c>
      <c r="H743" t="s">
        <v>25</v>
      </c>
      <c r="I743" t="s">
        <v>298</v>
      </c>
      <c r="J743" t="s">
        <v>63</v>
      </c>
      <c r="K743" t="s">
        <v>152</v>
      </c>
      <c r="L743">
        <v>8</v>
      </c>
      <c r="M743">
        <v>3747.11</v>
      </c>
      <c r="N743">
        <v>0.15</v>
      </c>
      <c r="O743">
        <v>25653.59</v>
      </c>
      <c r="P743">
        <v>8023.16</v>
      </c>
      <c r="Q743">
        <v>35.729999999999997</v>
      </c>
      <c r="R743" t="s">
        <v>92</v>
      </c>
      <c r="S743">
        <v>5</v>
      </c>
      <c r="T743" t="b">
        <v>0</v>
      </c>
      <c r="U743" t="s">
        <v>71</v>
      </c>
      <c r="V743">
        <v>1</v>
      </c>
    </row>
    <row r="744" spans="1:22" x14ac:dyDescent="0.25">
      <c r="A744" t="s">
        <v>1932</v>
      </c>
      <c r="B744" s="1">
        <v>44928</v>
      </c>
      <c r="C744" t="s">
        <v>1933</v>
      </c>
      <c r="D744" t="s">
        <v>210</v>
      </c>
      <c r="E744">
        <v>20</v>
      </c>
      <c r="F744" t="str">
        <f>IF(Table1[[#This Row],[age]]&lt;=25,"18-25",IF(Table1[[#This Row],[age]]&lt;=35,"26-35",IF(Table1[[#This Row],[age]]&lt;=50,"36-50","51+")))</f>
        <v>18-25</v>
      </c>
      <c r="G744" t="s">
        <v>54</v>
      </c>
      <c r="H744" t="s">
        <v>61</v>
      </c>
      <c r="I744" t="s">
        <v>62</v>
      </c>
      <c r="J744" t="s">
        <v>47</v>
      </c>
      <c r="K744" t="s">
        <v>272</v>
      </c>
      <c r="L744">
        <v>7</v>
      </c>
      <c r="M744">
        <v>1431.35</v>
      </c>
      <c r="N744">
        <v>0.2</v>
      </c>
      <c r="O744">
        <v>8558.35</v>
      </c>
      <c r="P744">
        <v>3547.79</v>
      </c>
      <c r="Q744">
        <v>60.84</v>
      </c>
      <c r="R744" t="s">
        <v>65</v>
      </c>
      <c r="S744">
        <v>1</v>
      </c>
      <c r="T744" t="b">
        <v>1</v>
      </c>
      <c r="U744" t="s">
        <v>50</v>
      </c>
      <c r="V744">
        <v>2</v>
      </c>
    </row>
    <row r="745" spans="1:22" x14ac:dyDescent="0.25">
      <c r="A745" t="s">
        <v>1934</v>
      </c>
      <c r="B745" s="1">
        <v>44151</v>
      </c>
      <c r="C745" t="s">
        <v>1935</v>
      </c>
      <c r="D745" t="s">
        <v>433</v>
      </c>
      <c r="E745">
        <v>26</v>
      </c>
      <c r="F745" t="str">
        <f>IF(Table1[[#This Row],[age]]&lt;=25,"18-25",IF(Table1[[#This Row],[age]]&lt;=35,"26-35",IF(Table1[[#This Row],[age]]&lt;=50,"36-50","51+")))</f>
        <v>26-35</v>
      </c>
      <c r="G745" t="s">
        <v>24</v>
      </c>
      <c r="H745" t="s">
        <v>69</v>
      </c>
      <c r="I745" t="s">
        <v>181</v>
      </c>
      <c r="J745" t="s">
        <v>27</v>
      </c>
      <c r="K745" t="s">
        <v>128</v>
      </c>
      <c r="L745">
        <v>1</v>
      </c>
      <c r="M745">
        <v>2036.13</v>
      </c>
      <c r="N745">
        <v>0.34</v>
      </c>
      <c r="O745">
        <v>999.56</v>
      </c>
      <c r="P745">
        <v>371.42</v>
      </c>
      <c r="Q745">
        <v>70.989999999999995</v>
      </c>
      <c r="R745" t="s">
        <v>49</v>
      </c>
      <c r="S745">
        <v>1</v>
      </c>
      <c r="T745" t="b">
        <v>0</v>
      </c>
      <c r="U745" t="s">
        <v>93</v>
      </c>
      <c r="V745">
        <v>6</v>
      </c>
    </row>
    <row r="746" spans="1:22" x14ac:dyDescent="0.25">
      <c r="A746" t="s">
        <v>1936</v>
      </c>
      <c r="B746" s="1">
        <v>44500</v>
      </c>
      <c r="C746" t="s">
        <v>1937</v>
      </c>
      <c r="D746" t="s">
        <v>859</v>
      </c>
      <c r="E746">
        <v>23</v>
      </c>
      <c r="F746" t="str">
        <f>IF(Table1[[#This Row],[age]]&lt;=25,"18-25",IF(Table1[[#This Row],[age]]&lt;=35,"26-35",IF(Table1[[#This Row],[age]]&lt;=50,"36-50","51+")))</f>
        <v>18-25</v>
      </c>
      <c r="G746" t="s">
        <v>24</v>
      </c>
      <c r="H746" t="s">
        <v>61</v>
      </c>
      <c r="I746" t="s">
        <v>62</v>
      </c>
      <c r="J746" t="s">
        <v>106</v>
      </c>
      <c r="K746" t="s">
        <v>718</v>
      </c>
      <c r="L746">
        <v>2</v>
      </c>
      <c r="M746">
        <v>499.3</v>
      </c>
      <c r="N746">
        <v>0.06</v>
      </c>
      <c r="O746">
        <v>838.13</v>
      </c>
      <c r="P746">
        <v>80.06</v>
      </c>
      <c r="Q746">
        <v>69.89</v>
      </c>
      <c r="R746" t="s">
        <v>57</v>
      </c>
      <c r="S746">
        <v>4</v>
      </c>
      <c r="T746" t="b">
        <v>0</v>
      </c>
      <c r="U746" t="s">
        <v>30</v>
      </c>
      <c r="V746">
        <v>3</v>
      </c>
    </row>
    <row r="747" spans="1:22" x14ac:dyDescent="0.25">
      <c r="A747" t="s">
        <v>1938</v>
      </c>
      <c r="B747" s="1">
        <v>45486</v>
      </c>
      <c r="C747" t="s">
        <v>1939</v>
      </c>
      <c r="D747" t="s">
        <v>1054</v>
      </c>
      <c r="E747">
        <v>36</v>
      </c>
      <c r="F747" t="str">
        <f>IF(Table1[[#This Row],[age]]&lt;=25,"18-25",IF(Table1[[#This Row],[age]]&lt;=35,"26-35",IF(Table1[[#This Row],[age]]&lt;=50,"36-50","51+")))</f>
        <v>36-50</v>
      </c>
      <c r="G747" t="s">
        <v>34</v>
      </c>
      <c r="H747" t="s">
        <v>80</v>
      </c>
      <c r="I747" t="s">
        <v>81</v>
      </c>
      <c r="J747" t="s">
        <v>63</v>
      </c>
      <c r="K747" t="s">
        <v>434</v>
      </c>
      <c r="L747">
        <v>4</v>
      </c>
      <c r="M747">
        <v>3455.27</v>
      </c>
      <c r="N747">
        <v>0</v>
      </c>
      <c r="O747">
        <v>20334.29</v>
      </c>
      <c r="P747">
        <v>8527.59</v>
      </c>
      <c r="Q747">
        <v>73.069999999999993</v>
      </c>
      <c r="R747" t="s">
        <v>43</v>
      </c>
      <c r="S747">
        <v>2</v>
      </c>
      <c r="T747" t="b">
        <v>0</v>
      </c>
      <c r="U747" t="s">
        <v>30</v>
      </c>
      <c r="V747">
        <v>9</v>
      </c>
    </row>
    <row r="748" spans="1:22" x14ac:dyDescent="0.25">
      <c r="A748" t="s">
        <v>1940</v>
      </c>
      <c r="B748" s="1">
        <v>43881</v>
      </c>
      <c r="C748" t="s">
        <v>1941</v>
      </c>
      <c r="D748" t="s">
        <v>1236</v>
      </c>
      <c r="E748">
        <v>28</v>
      </c>
      <c r="F748" t="str">
        <f>IF(Table1[[#This Row],[age]]&lt;=25,"18-25",IF(Table1[[#This Row],[age]]&lt;=35,"26-35",IF(Table1[[#This Row],[age]]&lt;=50,"36-50","51+")))</f>
        <v>26-35</v>
      </c>
      <c r="G748" t="s">
        <v>24</v>
      </c>
      <c r="H748" t="s">
        <v>25</v>
      </c>
      <c r="I748" t="s">
        <v>298</v>
      </c>
      <c r="J748" t="s">
        <v>47</v>
      </c>
      <c r="K748" t="s">
        <v>272</v>
      </c>
      <c r="L748">
        <v>9</v>
      </c>
      <c r="M748">
        <v>657.44</v>
      </c>
      <c r="N748">
        <v>0</v>
      </c>
      <c r="O748">
        <v>5550.8</v>
      </c>
      <c r="P748">
        <v>1842.41</v>
      </c>
      <c r="Q748">
        <v>53.36</v>
      </c>
      <c r="R748" t="s">
        <v>43</v>
      </c>
      <c r="S748">
        <v>1</v>
      </c>
      <c r="T748" t="b">
        <v>0</v>
      </c>
      <c r="U748" t="s">
        <v>71</v>
      </c>
      <c r="V748">
        <v>9</v>
      </c>
    </row>
    <row r="749" spans="1:22" x14ac:dyDescent="0.25">
      <c r="A749" t="s">
        <v>1942</v>
      </c>
      <c r="B749" s="1">
        <v>44817</v>
      </c>
      <c r="C749" t="s">
        <v>1943</v>
      </c>
      <c r="D749" t="s">
        <v>637</v>
      </c>
      <c r="E749">
        <v>35</v>
      </c>
      <c r="F749" t="str">
        <f>IF(Table1[[#This Row],[age]]&lt;=25,"18-25",IF(Table1[[#This Row],[age]]&lt;=35,"26-35",IF(Table1[[#This Row],[age]]&lt;=50,"36-50","51+")))</f>
        <v>26-35</v>
      </c>
      <c r="G749" t="s">
        <v>24</v>
      </c>
      <c r="H749" t="s">
        <v>61</v>
      </c>
      <c r="I749" t="s">
        <v>91</v>
      </c>
      <c r="J749" t="s">
        <v>27</v>
      </c>
      <c r="K749" t="s">
        <v>335</v>
      </c>
      <c r="L749">
        <v>1</v>
      </c>
      <c r="M749">
        <v>2480.5</v>
      </c>
      <c r="N749">
        <v>7.0000000000000007E-2</v>
      </c>
      <c r="O749">
        <v>2697.26</v>
      </c>
      <c r="P749">
        <v>1008.27</v>
      </c>
      <c r="Q749">
        <v>42.84</v>
      </c>
      <c r="R749" t="s">
        <v>65</v>
      </c>
      <c r="S749">
        <v>2</v>
      </c>
      <c r="T749" t="b">
        <v>1</v>
      </c>
      <c r="U749" t="s">
        <v>50</v>
      </c>
      <c r="V749">
        <v>9</v>
      </c>
    </row>
    <row r="750" spans="1:22" x14ac:dyDescent="0.25">
      <c r="A750" t="s">
        <v>1944</v>
      </c>
      <c r="B750" s="1">
        <v>45505</v>
      </c>
      <c r="C750" t="s">
        <v>1945</v>
      </c>
      <c r="D750" t="s">
        <v>1039</v>
      </c>
      <c r="E750">
        <v>24</v>
      </c>
      <c r="F750" t="str">
        <f>IF(Table1[[#This Row],[age]]&lt;=25,"18-25",IF(Table1[[#This Row],[age]]&lt;=35,"26-35",IF(Table1[[#This Row],[age]]&lt;=50,"36-50","51+")))</f>
        <v>18-25</v>
      </c>
      <c r="G750" t="s">
        <v>24</v>
      </c>
      <c r="H750" t="s">
        <v>69</v>
      </c>
      <c r="I750" t="s">
        <v>70</v>
      </c>
      <c r="J750" t="s">
        <v>47</v>
      </c>
      <c r="K750" t="s">
        <v>272</v>
      </c>
      <c r="L750">
        <v>5</v>
      </c>
      <c r="M750">
        <v>303.27999999999997</v>
      </c>
      <c r="N750">
        <v>0.24</v>
      </c>
      <c r="O750">
        <v>1696.93</v>
      </c>
      <c r="P750">
        <v>651.04</v>
      </c>
      <c r="Q750">
        <v>68.98</v>
      </c>
      <c r="R750" t="s">
        <v>57</v>
      </c>
      <c r="S750">
        <v>5</v>
      </c>
      <c r="T750" t="b">
        <v>0</v>
      </c>
      <c r="U750" t="s">
        <v>30</v>
      </c>
      <c r="V750">
        <v>6</v>
      </c>
    </row>
    <row r="751" spans="1:22" x14ac:dyDescent="0.25">
      <c r="A751" t="s">
        <v>1946</v>
      </c>
      <c r="B751" s="1">
        <v>44890</v>
      </c>
      <c r="C751" t="s">
        <v>1947</v>
      </c>
      <c r="D751" t="s">
        <v>959</v>
      </c>
      <c r="E751">
        <v>45</v>
      </c>
      <c r="F751" t="str">
        <f>IF(Table1[[#This Row],[age]]&lt;=25,"18-25",IF(Table1[[#This Row],[age]]&lt;=35,"26-35",IF(Table1[[#This Row],[age]]&lt;=50,"36-50","51+")))</f>
        <v>36-50</v>
      </c>
      <c r="G751" t="s">
        <v>24</v>
      </c>
      <c r="H751" t="s">
        <v>61</v>
      </c>
      <c r="I751" t="s">
        <v>62</v>
      </c>
      <c r="J751" t="s">
        <v>101</v>
      </c>
      <c r="K751" t="s">
        <v>456</v>
      </c>
      <c r="L751">
        <v>9</v>
      </c>
      <c r="M751">
        <v>8750.14</v>
      </c>
      <c r="N751">
        <v>0.23</v>
      </c>
      <c r="O751">
        <v>54615.07</v>
      </c>
      <c r="P751">
        <v>15670.41</v>
      </c>
      <c r="Q751">
        <v>45.73</v>
      </c>
      <c r="R751" t="s">
        <v>65</v>
      </c>
      <c r="S751">
        <v>2</v>
      </c>
      <c r="T751" t="b">
        <v>0</v>
      </c>
      <c r="U751" t="s">
        <v>30</v>
      </c>
      <c r="V751">
        <v>8</v>
      </c>
    </row>
    <row r="752" spans="1:22" x14ac:dyDescent="0.25">
      <c r="A752" t="s">
        <v>1948</v>
      </c>
      <c r="B752" s="1">
        <v>44136</v>
      </c>
      <c r="C752" t="s">
        <v>1949</v>
      </c>
      <c r="D752" t="s">
        <v>660</v>
      </c>
      <c r="E752">
        <v>18</v>
      </c>
      <c r="F752" t="str">
        <f>IF(Table1[[#This Row],[age]]&lt;=25,"18-25",IF(Table1[[#This Row],[age]]&lt;=35,"26-35",IF(Table1[[#This Row],[age]]&lt;=50,"36-50","51+")))</f>
        <v>18-25</v>
      </c>
      <c r="G752" t="s">
        <v>34</v>
      </c>
      <c r="H752" t="s">
        <v>25</v>
      </c>
      <c r="I752" t="s">
        <v>35</v>
      </c>
      <c r="J752" t="s">
        <v>106</v>
      </c>
      <c r="K752" t="s">
        <v>331</v>
      </c>
      <c r="L752">
        <v>4</v>
      </c>
      <c r="M752">
        <v>326.66000000000003</v>
      </c>
      <c r="N752">
        <v>0.02</v>
      </c>
      <c r="O752">
        <v>986.8</v>
      </c>
      <c r="P752">
        <v>70.77</v>
      </c>
      <c r="Q752">
        <v>46.22</v>
      </c>
      <c r="R752" t="s">
        <v>65</v>
      </c>
      <c r="S752">
        <v>4</v>
      </c>
      <c r="T752" t="b">
        <v>0</v>
      </c>
      <c r="U752" t="s">
        <v>30</v>
      </c>
      <c r="V752">
        <v>1</v>
      </c>
    </row>
    <row r="753" spans="1:22" x14ac:dyDescent="0.25">
      <c r="A753" t="s">
        <v>1950</v>
      </c>
      <c r="B753" s="1">
        <v>45641</v>
      </c>
      <c r="C753" t="s">
        <v>1951</v>
      </c>
      <c r="D753" t="s">
        <v>127</v>
      </c>
      <c r="E753">
        <v>29</v>
      </c>
      <c r="F753" t="str">
        <f>IF(Table1[[#This Row],[age]]&lt;=25,"18-25",IF(Table1[[#This Row],[age]]&lt;=35,"26-35",IF(Table1[[#This Row],[age]]&lt;=50,"36-50","51+")))</f>
        <v>26-35</v>
      </c>
      <c r="G753" t="s">
        <v>34</v>
      </c>
      <c r="H753" t="s">
        <v>69</v>
      </c>
      <c r="I753" t="s">
        <v>181</v>
      </c>
      <c r="J753" t="s">
        <v>36</v>
      </c>
      <c r="K753" t="s">
        <v>42</v>
      </c>
      <c r="L753">
        <v>9</v>
      </c>
      <c r="M753">
        <v>26558.959999999999</v>
      </c>
      <c r="N753">
        <v>0.12</v>
      </c>
      <c r="O753">
        <v>191023.49</v>
      </c>
      <c r="P753">
        <v>41485.81</v>
      </c>
      <c r="Q753">
        <v>110.49</v>
      </c>
      <c r="R753" t="s">
        <v>92</v>
      </c>
      <c r="S753">
        <v>3</v>
      </c>
      <c r="T753" t="b">
        <v>1</v>
      </c>
      <c r="U753" t="s">
        <v>50</v>
      </c>
      <c r="V753">
        <v>6</v>
      </c>
    </row>
    <row r="754" spans="1:22" x14ac:dyDescent="0.25">
      <c r="A754" t="s">
        <v>1952</v>
      </c>
      <c r="B754" s="1">
        <v>45505</v>
      </c>
      <c r="C754" t="s">
        <v>1953</v>
      </c>
      <c r="D754" t="s">
        <v>1223</v>
      </c>
      <c r="E754">
        <v>49</v>
      </c>
      <c r="F754" t="str">
        <f>IF(Table1[[#This Row],[age]]&lt;=25,"18-25",IF(Table1[[#This Row],[age]]&lt;=35,"26-35",IF(Table1[[#This Row],[age]]&lt;=50,"36-50","51+")))</f>
        <v>36-50</v>
      </c>
      <c r="G754" t="s">
        <v>34</v>
      </c>
      <c r="H754" t="s">
        <v>61</v>
      </c>
      <c r="I754" t="s">
        <v>141</v>
      </c>
      <c r="J754" t="s">
        <v>101</v>
      </c>
      <c r="K754" t="s">
        <v>318</v>
      </c>
      <c r="L754">
        <v>9</v>
      </c>
      <c r="M754">
        <v>2947.21</v>
      </c>
      <c r="N754">
        <v>0.21</v>
      </c>
      <c r="O754">
        <v>31412.17</v>
      </c>
      <c r="P754">
        <v>5480.32</v>
      </c>
      <c r="Q754">
        <v>42.11</v>
      </c>
      <c r="R754" t="s">
        <v>92</v>
      </c>
      <c r="S754">
        <v>3</v>
      </c>
      <c r="T754" t="b">
        <v>0</v>
      </c>
      <c r="U754" t="s">
        <v>30</v>
      </c>
      <c r="V754">
        <v>7</v>
      </c>
    </row>
    <row r="755" spans="1:22" x14ac:dyDescent="0.25">
      <c r="A755" t="s">
        <v>1954</v>
      </c>
      <c r="B755" s="1">
        <v>45211</v>
      </c>
      <c r="C755" t="s">
        <v>1955</v>
      </c>
      <c r="D755" t="s">
        <v>692</v>
      </c>
      <c r="E755">
        <v>32</v>
      </c>
      <c r="F755" t="str">
        <f>IF(Table1[[#This Row],[age]]&lt;=25,"18-25",IF(Table1[[#This Row],[age]]&lt;=35,"26-35",IF(Table1[[#This Row],[age]]&lt;=50,"36-50","51+")))</f>
        <v>26-35</v>
      </c>
      <c r="G755" t="s">
        <v>34</v>
      </c>
      <c r="H755" t="s">
        <v>69</v>
      </c>
      <c r="I755" t="s">
        <v>221</v>
      </c>
      <c r="J755" t="s">
        <v>47</v>
      </c>
      <c r="K755" t="s">
        <v>156</v>
      </c>
      <c r="L755">
        <v>4</v>
      </c>
      <c r="M755">
        <v>1290.01</v>
      </c>
      <c r="N755">
        <v>0</v>
      </c>
      <c r="O755">
        <v>6137.27</v>
      </c>
      <c r="P755">
        <v>2840.6</v>
      </c>
      <c r="Q755">
        <v>68.69</v>
      </c>
      <c r="R755" t="s">
        <v>49</v>
      </c>
      <c r="S755">
        <v>2</v>
      </c>
      <c r="T755" t="b">
        <v>0</v>
      </c>
      <c r="U755" t="s">
        <v>193</v>
      </c>
      <c r="V755">
        <v>6</v>
      </c>
    </row>
    <row r="756" spans="1:22" x14ac:dyDescent="0.25">
      <c r="A756" t="s">
        <v>1956</v>
      </c>
      <c r="B756" s="1">
        <v>45467</v>
      </c>
      <c r="C756" t="s">
        <v>1957</v>
      </c>
      <c r="D756" t="s">
        <v>956</v>
      </c>
      <c r="E756">
        <v>51</v>
      </c>
      <c r="F756" t="str">
        <f>IF(Table1[[#This Row],[age]]&lt;=25,"18-25",IF(Table1[[#This Row],[age]]&lt;=35,"26-35",IF(Table1[[#This Row],[age]]&lt;=50,"36-50","51+")))</f>
        <v>51+</v>
      </c>
      <c r="G756" t="s">
        <v>24</v>
      </c>
      <c r="H756" t="s">
        <v>80</v>
      </c>
      <c r="I756" t="s">
        <v>242</v>
      </c>
      <c r="J756" t="s">
        <v>47</v>
      </c>
      <c r="K756" t="s">
        <v>156</v>
      </c>
      <c r="L756">
        <v>5</v>
      </c>
      <c r="M756">
        <v>961.89</v>
      </c>
      <c r="N756">
        <v>0.01</v>
      </c>
      <c r="O756">
        <v>7627.11</v>
      </c>
      <c r="P756">
        <v>3502.92</v>
      </c>
      <c r="Q756">
        <v>70.62</v>
      </c>
      <c r="R756" t="s">
        <v>57</v>
      </c>
      <c r="S756">
        <v>4</v>
      </c>
      <c r="T756" t="b">
        <v>0</v>
      </c>
      <c r="U756" t="s">
        <v>30</v>
      </c>
      <c r="V756">
        <v>3</v>
      </c>
    </row>
    <row r="757" spans="1:22" x14ac:dyDescent="0.25">
      <c r="A757" t="s">
        <v>1958</v>
      </c>
      <c r="B757" s="1">
        <v>44916</v>
      </c>
      <c r="C757" t="s">
        <v>1959</v>
      </c>
      <c r="D757" t="s">
        <v>944</v>
      </c>
      <c r="E757">
        <v>35</v>
      </c>
      <c r="F757" t="str">
        <f>IF(Table1[[#This Row],[age]]&lt;=25,"18-25",IF(Table1[[#This Row],[age]]&lt;=35,"26-35",IF(Table1[[#This Row],[age]]&lt;=50,"36-50","51+")))</f>
        <v>26-35</v>
      </c>
      <c r="G757" t="s">
        <v>34</v>
      </c>
      <c r="H757" t="s">
        <v>61</v>
      </c>
      <c r="I757" t="s">
        <v>141</v>
      </c>
      <c r="J757" t="s">
        <v>106</v>
      </c>
      <c r="K757" t="s">
        <v>247</v>
      </c>
      <c r="L757">
        <v>2</v>
      </c>
      <c r="M757">
        <v>87.85</v>
      </c>
      <c r="N757">
        <v>0.19</v>
      </c>
      <c r="O757">
        <v>103.31</v>
      </c>
      <c r="P757">
        <v>6.42</v>
      </c>
      <c r="Q757">
        <v>63.89</v>
      </c>
      <c r="R757" t="s">
        <v>29</v>
      </c>
      <c r="S757">
        <v>1</v>
      </c>
      <c r="T757" t="b">
        <v>0</v>
      </c>
      <c r="U757" t="s">
        <v>30</v>
      </c>
      <c r="V757">
        <v>10</v>
      </c>
    </row>
    <row r="758" spans="1:22" x14ac:dyDescent="0.25">
      <c r="A758" t="s">
        <v>1960</v>
      </c>
      <c r="B758" s="1">
        <v>44845</v>
      </c>
      <c r="C758" t="s">
        <v>1961</v>
      </c>
      <c r="D758" t="s">
        <v>370</v>
      </c>
      <c r="E758">
        <v>33</v>
      </c>
      <c r="F758" t="str">
        <f>IF(Table1[[#This Row],[age]]&lt;=25,"18-25",IF(Table1[[#This Row],[age]]&lt;=35,"26-35",IF(Table1[[#This Row],[age]]&lt;=50,"36-50","51+")))</f>
        <v>26-35</v>
      </c>
      <c r="G758" t="s">
        <v>34</v>
      </c>
      <c r="H758" t="s">
        <v>80</v>
      </c>
      <c r="I758" t="s">
        <v>242</v>
      </c>
      <c r="J758" t="s">
        <v>36</v>
      </c>
      <c r="K758" t="s">
        <v>76</v>
      </c>
      <c r="L758">
        <v>10</v>
      </c>
      <c r="M758">
        <v>33036.39</v>
      </c>
      <c r="N758">
        <v>0.15</v>
      </c>
      <c r="O758">
        <v>296109.08</v>
      </c>
      <c r="P758">
        <v>94051.67</v>
      </c>
      <c r="Q758">
        <v>73.88</v>
      </c>
      <c r="R758" t="s">
        <v>65</v>
      </c>
      <c r="S758">
        <v>4</v>
      </c>
      <c r="T758" t="b">
        <v>0</v>
      </c>
      <c r="U758" t="s">
        <v>30</v>
      </c>
      <c r="V758">
        <v>3</v>
      </c>
    </row>
    <row r="759" spans="1:22" x14ac:dyDescent="0.25">
      <c r="A759" t="s">
        <v>1962</v>
      </c>
      <c r="B759" s="1">
        <v>45276</v>
      </c>
      <c r="C759" t="s">
        <v>1963</v>
      </c>
      <c r="D759" t="s">
        <v>324</v>
      </c>
      <c r="E759">
        <v>25</v>
      </c>
      <c r="F759" t="str">
        <f>IF(Table1[[#This Row],[age]]&lt;=25,"18-25",IF(Table1[[#This Row],[age]]&lt;=35,"26-35",IF(Table1[[#This Row],[age]]&lt;=50,"36-50","51+")))</f>
        <v>18-25</v>
      </c>
      <c r="G759" t="s">
        <v>54</v>
      </c>
      <c r="H759" t="s">
        <v>61</v>
      </c>
      <c r="I759" t="s">
        <v>141</v>
      </c>
      <c r="J759" t="s">
        <v>115</v>
      </c>
      <c r="K759" t="s">
        <v>398</v>
      </c>
      <c r="L759">
        <v>3</v>
      </c>
      <c r="M759">
        <v>32029.32</v>
      </c>
      <c r="N759">
        <v>0.02</v>
      </c>
      <c r="O759">
        <v>75119.27</v>
      </c>
      <c r="P759">
        <v>11139.42</v>
      </c>
      <c r="Q759">
        <v>73.87</v>
      </c>
      <c r="R759" t="s">
        <v>65</v>
      </c>
      <c r="S759">
        <v>2</v>
      </c>
      <c r="T759" t="b">
        <v>0</v>
      </c>
      <c r="U759" t="s">
        <v>30</v>
      </c>
      <c r="V759">
        <v>3</v>
      </c>
    </row>
    <row r="760" spans="1:22" x14ac:dyDescent="0.25">
      <c r="A760" t="s">
        <v>1964</v>
      </c>
      <c r="B760" s="1">
        <v>45381</v>
      </c>
      <c r="C760" t="s">
        <v>1965</v>
      </c>
      <c r="D760" t="s">
        <v>1436</v>
      </c>
      <c r="E760">
        <v>25</v>
      </c>
      <c r="F760" t="str">
        <f>IF(Table1[[#This Row],[age]]&lt;=25,"18-25",IF(Table1[[#This Row],[age]]&lt;=35,"26-35",IF(Table1[[#This Row],[age]]&lt;=50,"36-50","51+")))</f>
        <v>18-25</v>
      </c>
      <c r="G760" t="s">
        <v>34</v>
      </c>
      <c r="H760" t="s">
        <v>61</v>
      </c>
      <c r="I760" t="s">
        <v>141</v>
      </c>
      <c r="J760" t="s">
        <v>63</v>
      </c>
      <c r="K760" t="s">
        <v>87</v>
      </c>
      <c r="L760">
        <v>4</v>
      </c>
      <c r="M760">
        <v>2828.85</v>
      </c>
      <c r="N760">
        <v>0.3</v>
      </c>
      <c r="O760">
        <v>10952.86</v>
      </c>
      <c r="P760">
        <v>3943.46</v>
      </c>
      <c r="Q760">
        <v>76.099999999999994</v>
      </c>
      <c r="R760" t="s">
        <v>29</v>
      </c>
      <c r="S760">
        <v>3</v>
      </c>
      <c r="T760" t="b">
        <v>0</v>
      </c>
      <c r="U760" t="s">
        <v>71</v>
      </c>
      <c r="V760">
        <v>3</v>
      </c>
    </row>
    <row r="761" spans="1:22" x14ac:dyDescent="0.25">
      <c r="A761" t="s">
        <v>1966</v>
      </c>
      <c r="B761" s="1">
        <v>44362</v>
      </c>
      <c r="C761" t="s">
        <v>1967</v>
      </c>
      <c r="D761" t="s">
        <v>1968</v>
      </c>
      <c r="E761">
        <v>40</v>
      </c>
      <c r="F761" t="str">
        <f>IF(Table1[[#This Row],[age]]&lt;=25,"18-25",IF(Table1[[#This Row],[age]]&lt;=35,"26-35",IF(Table1[[#This Row],[age]]&lt;=50,"36-50","51+")))</f>
        <v>36-50</v>
      </c>
      <c r="G761" t="s">
        <v>34</v>
      </c>
      <c r="H761" t="s">
        <v>55</v>
      </c>
      <c r="I761" t="s">
        <v>75</v>
      </c>
      <c r="J761" t="s">
        <v>115</v>
      </c>
      <c r="K761" t="s">
        <v>116</v>
      </c>
      <c r="L761">
        <v>1</v>
      </c>
      <c r="M761">
        <v>47536.69</v>
      </c>
      <c r="N761">
        <v>0.14000000000000001</v>
      </c>
      <c r="O761">
        <v>48541.55</v>
      </c>
      <c r="P761">
        <v>7443.68</v>
      </c>
      <c r="Q761">
        <v>39.99</v>
      </c>
      <c r="R761" t="s">
        <v>57</v>
      </c>
      <c r="S761">
        <v>3</v>
      </c>
      <c r="T761" t="b">
        <v>0</v>
      </c>
      <c r="U761" t="s">
        <v>71</v>
      </c>
      <c r="V761">
        <v>4</v>
      </c>
    </row>
    <row r="762" spans="1:22" x14ac:dyDescent="0.25">
      <c r="A762" t="s">
        <v>1969</v>
      </c>
      <c r="B762" s="1">
        <v>44343</v>
      </c>
      <c r="C762" t="s">
        <v>1970</v>
      </c>
      <c r="D762" t="s">
        <v>265</v>
      </c>
      <c r="E762">
        <v>28</v>
      </c>
      <c r="F762" t="str">
        <f>IF(Table1[[#This Row],[age]]&lt;=25,"18-25",IF(Table1[[#This Row],[age]]&lt;=35,"26-35",IF(Table1[[#This Row],[age]]&lt;=50,"36-50","51+")))</f>
        <v>26-35</v>
      </c>
      <c r="G762" t="s">
        <v>54</v>
      </c>
      <c r="H762" t="s">
        <v>69</v>
      </c>
      <c r="I762" t="s">
        <v>136</v>
      </c>
      <c r="J762" t="s">
        <v>101</v>
      </c>
      <c r="K762" t="s">
        <v>214</v>
      </c>
      <c r="L762">
        <v>6</v>
      </c>
      <c r="M762">
        <v>6132.4</v>
      </c>
      <c r="N762">
        <v>0.14000000000000001</v>
      </c>
      <c r="O762">
        <v>43423.68</v>
      </c>
      <c r="P762">
        <v>6267.62</v>
      </c>
      <c r="Q762">
        <v>83.58</v>
      </c>
      <c r="R762" t="s">
        <v>43</v>
      </c>
      <c r="S762">
        <v>3</v>
      </c>
      <c r="T762" t="b">
        <v>0</v>
      </c>
      <c r="U762" t="s">
        <v>30</v>
      </c>
      <c r="V762">
        <v>3</v>
      </c>
    </row>
    <row r="763" spans="1:22" x14ac:dyDescent="0.25">
      <c r="A763" t="s">
        <v>1971</v>
      </c>
      <c r="B763" s="1">
        <v>44645</v>
      </c>
      <c r="C763" t="s">
        <v>1972</v>
      </c>
      <c r="D763" t="s">
        <v>1818</v>
      </c>
      <c r="E763">
        <v>26</v>
      </c>
      <c r="F763" t="str">
        <f>IF(Table1[[#This Row],[age]]&lt;=25,"18-25",IF(Table1[[#This Row],[age]]&lt;=35,"26-35",IF(Table1[[#This Row],[age]]&lt;=50,"36-50","51+")))</f>
        <v>26-35</v>
      </c>
      <c r="G763" t="s">
        <v>24</v>
      </c>
      <c r="H763" t="s">
        <v>80</v>
      </c>
      <c r="I763" t="s">
        <v>242</v>
      </c>
      <c r="J763" t="s">
        <v>101</v>
      </c>
      <c r="K763" t="s">
        <v>456</v>
      </c>
      <c r="L763">
        <v>9</v>
      </c>
      <c r="M763">
        <v>8324.77</v>
      </c>
      <c r="N763">
        <v>0.01</v>
      </c>
      <c r="O763">
        <v>78776.929999999993</v>
      </c>
      <c r="P763">
        <v>19757.509999999998</v>
      </c>
      <c r="Q763">
        <v>114.04</v>
      </c>
      <c r="R763" t="s">
        <v>92</v>
      </c>
      <c r="S763">
        <v>4</v>
      </c>
      <c r="T763" t="b">
        <v>0</v>
      </c>
      <c r="U763" t="s">
        <v>93</v>
      </c>
      <c r="V763">
        <v>3</v>
      </c>
    </row>
    <row r="764" spans="1:22" x14ac:dyDescent="0.25">
      <c r="A764" t="s">
        <v>1973</v>
      </c>
      <c r="B764" s="1">
        <v>45291</v>
      </c>
      <c r="C764" t="s">
        <v>1974</v>
      </c>
      <c r="D764" t="s">
        <v>1538</v>
      </c>
      <c r="E764">
        <v>26</v>
      </c>
      <c r="F764" t="str">
        <f>IF(Table1[[#This Row],[age]]&lt;=25,"18-25",IF(Table1[[#This Row],[age]]&lt;=35,"26-35",IF(Table1[[#This Row],[age]]&lt;=50,"36-50","51+")))</f>
        <v>26-35</v>
      </c>
      <c r="G764" t="s">
        <v>34</v>
      </c>
      <c r="H764" t="s">
        <v>69</v>
      </c>
      <c r="I764" t="s">
        <v>70</v>
      </c>
      <c r="J764" t="s">
        <v>115</v>
      </c>
      <c r="K764" t="s">
        <v>145</v>
      </c>
      <c r="L764">
        <v>1</v>
      </c>
      <c r="M764">
        <v>39921.4</v>
      </c>
      <c r="N764">
        <v>0.23</v>
      </c>
      <c r="O764">
        <v>29027.34</v>
      </c>
      <c r="P764">
        <v>4657.8</v>
      </c>
      <c r="Q764">
        <v>79.95</v>
      </c>
      <c r="R764" t="s">
        <v>57</v>
      </c>
      <c r="S764">
        <v>5</v>
      </c>
      <c r="T764" t="b">
        <v>0</v>
      </c>
      <c r="U764" t="s">
        <v>30</v>
      </c>
      <c r="V764">
        <v>1</v>
      </c>
    </row>
    <row r="765" spans="1:22" x14ac:dyDescent="0.25">
      <c r="A765" t="s">
        <v>1975</v>
      </c>
      <c r="B765" s="1">
        <v>43982</v>
      </c>
      <c r="C765" t="s">
        <v>1976</v>
      </c>
      <c r="D765" t="s">
        <v>1977</v>
      </c>
      <c r="E765">
        <v>36</v>
      </c>
      <c r="F765" t="str">
        <f>IF(Table1[[#This Row],[age]]&lt;=25,"18-25",IF(Table1[[#This Row],[age]]&lt;=35,"26-35",IF(Table1[[#This Row],[age]]&lt;=50,"36-50","51+")))</f>
        <v>36-50</v>
      </c>
      <c r="G765" t="s">
        <v>24</v>
      </c>
      <c r="H765" t="s">
        <v>25</v>
      </c>
      <c r="I765" t="s">
        <v>41</v>
      </c>
      <c r="J765" t="s">
        <v>101</v>
      </c>
      <c r="K765" t="s">
        <v>318</v>
      </c>
      <c r="L765">
        <v>3</v>
      </c>
      <c r="M765">
        <v>5934.84</v>
      </c>
      <c r="N765">
        <v>0.4</v>
      </c>
      <c r="O765">
        <v>13742.69</v>
      </c>
      <c r="P765">
        <v>3428.34</v>
      </c>
      <c r="Q765">
        <v>72.22</v>
      </c>
      <c r="R765" t="s">
        <v>49</v>
      </c>
      <c r="S765">
        <v>4</v>
      </c>
      <c r="T765" t="b">
        <v>0</v>
      </c>
      <c r="U765" t="s">
        <v>93</v>
      </c>
      <c r="V765">
        <v>2</v>
      </c>
    </row>
    <row r="766" spans="1:22" x14ac:dyDescent="0.25">
      <c r="A766" t="s">
        <v>1978</v>
      </c>
      <c r="B766" s="1">
        <v>45379</v>
      </c>
      <c r="C766" t="s">
        <v>1979</v>
      </c>
      <c r="D766" t="s">
        <v>127</v>
      </c>
      <c r="E766">
        <v>59</v>
      </c>
      <c r="F766" t="str">
        <f>IF(Table1[[#This Row],[age]]&lt;=25,"18-25",IF(Table1[[#This Row],[age]]&lt;=35,"26-35",IF(Table1[[#This Row],[age]]&lt;=50,"36-50","51+")))</f>
        <v>51+</v>
      </c>
      <c r="G766" t="s">
        <v>24</v>
      </c>
      <c r="H766" t="s">
        <v>25</v>
      </c>
      <c r="I766" t="s">
        <v>26</v>
      </c>
      <c r="J766" t="s">
        <v>106</v>
      </c>
      <c r="K766" t="s">
        <v>718</v>
      </c>
      <c r="L766">
        <v>9</v>
      </c>
      <c r="M766">
        <v>158.32</v>
      </c>
      <c r="N766">
        <v>0.22</v>
      </c>
      <c r="O766">
        <v>1561.49</v>
      </c>
      <c r="P766">
        <v>114.52</v>
      </c>
      <c r="Q766">
        <v>64.86</v>
      </c>
      <c r="R766" t="s">
        <v>43</v>
      </c>
      <c r="S766">
        <v>3</v>
      </c>
      <c r="T766" t="b">
        <v>0</v>
      </c>
      <c r="U766" t="s">
        <v>30</v>
      </c>
      <c r="V766">
        <v>10</v>
      </c>
    </row>
    <row r="767" spans="1:22" x14ac:dyDescent="0.25">
      <c r="A767" t="s">
        <v>1980</v>
      </c>
      <c r="B767" s="1">
        <v>45550</v>
      </c>
      <c r="C767" t="s">
        <v>1981</v>
      </c>
      <c r="D767" t="s">
        <v>516</v>
      </c>
      <c r="E767">
        <v>28</v>
      </c>
      <c r="F767" t="str">
        <f>IF(Table1[[#This Row],[age]]&lt;=25,"18-25",IF(Table1[[#This Row],[age]]&lt;=35,"26-35",IF(Table1[[#This Row],[age]]&lt;=50,"36-50","51+")))</f>
        <v>26-35</v>
      </c>
      <c r="G767" t="s">
        <v>24</v>
      </c>
      <c r="H767" t="s">
        <v>69</v>
      </c>
      <c r="I767" t="s">
        <v>181</v>
      </c>
      <c r="J767" t="s">
        <v>106</v>
      </c>
      <c r="K767" t="s">
        <v>331</v>
      </c>
      <c r="L767">
        <v>10</v>
      </c>
      <c r="M767">
        <v>394.18</v>
      </c>
      <c r="N767">
        <v>0.11</v>
      </c>
      <c r="O767">
        <v>4349.83</v>
      </c>
      <c r="P767">
        <v>380.98</v>
      </c>
      <c r="Q767">
        <v>90.1</v>
      </c>
      <c r="R767" t="s">
        <v>65</v>
      </c>
      <c r="S767">
        <v>3</v>
      </c>
      <c r="T767" t="b">
        <v>0</v>
      </c>
      <c r="U767" t="s">
        <v>30</v>
      </c>
      <c r="V767">
        <v>3</v>
      </c>
    </row>
    <row r="768" spans="1:22" x14ac:dyDescent="0.25">
      <c r="A768" t="s">
        <v>1982</v>
      </c>
      <c r="B768" s="1">
        <v>45148</v>
      </c>
      <c r="C768" t="s">
        <v>1983</v>
      </c>
      <c r="D768" t="s">
        <v>1589</v>
      </c>
      <c r="E768">
        <v>42</v>
      </c>
      <c r="F768" t="str">
        <f>IF(Table1[[#This Row],[age]]&lt;=25,"18-25",IF(Table1[[#This Row],[age]]&lt;=35,"26-35",IF(Table1[[#This Row],[age]]&lt;=50,"36-50","51+")))</f>
        <v>36-50</v>
      </c>
      <c r="G768" t="s">
        <v>24</v>
      </c>
      <c r="H768" t="s">
        <v>80</v>
      </c>
      <c r="I768" t="s">
        <v>81</v>
      </c>
      <c r="J768" t="s">
        <v>106</v>
      </c>
      <c r="K768" t="s">
        <v>314</v>
      </c>
      <c r="L768">
        <v>4</v>
      </c>
      <c r="M768">
        <v>474.68</v>
      </c>
      <c r="N768">
        <v>0.3</v>
      </c>
      <c r="O768">
        <v>1844.79</v>
      </c>
      <c r="P768">
        <v>156.82</v>
      </c>
      <c r="Q768">
        <v>41.43</v>
      </c>
      <c r="R768" t="s">
        <v>57</v>
      </c>
      <c r="S768">
        <v>3</v>
      </c>
      <c r="T768" t="b">
        <v>0</v>
      </c>
      <c r="U768" t="s">
        <v>30</v>
      </c>
      <c r="V768">
        <v>7</v>
      </c>
    </row>
    <row r="769" spans="1:22" x14ac:dyDescent="0.25">
      <c r="A769" t="s">
        <v>1984</v>
      </c>
      <c r="B769" s="1">
        <v>45208</v>
      </c>
      <c r="C769" t="s">
        <v>1985</v>
      </c>
      <c r="D769" t="s">
        <v>235</v>
      </c>
      <c r="E769">
        <v>40</v>
      </c>
      <c r="F769" t="str">
        <f>IF(Table1[[#This Row],[age]]&lt;=25,"18-25",IF(Table1[[#This Row],[age]]&lt;=35,"26-35",IF(Table1[[#This Row],[age]]&lt;=50,"36-50","51+")))</f>
        <v>36-50</v>
      </c>
      <c r="G769" t="s">
        <v>54</v>
      </c>
      <c r="H769" t="s">
        <v>55</v>
      </c>
      <c r="I769" t="s">
        <v>114</v>
      </c>
      <c r="J769" t="s">
        <v>115</v>
      </c>
      <c r="K769" t="s">
        <v>545</v>
      </c>
      <c r="L769">
        <v>2</v>
      </c>
      <c r="M769">
        <v>15759.44</v>
      </c>
      <c r="N769">
        <v>0.15</v>
      </c>
      <c r="O769">
        <v>30120.16</v>
      </c>
      <c r="P769">
        <v>3914.94</v>
      </c>
      <c r="Q769">
        <v>66.72</v>
      </c>
      <c r="R769" t="s">
        <v>92</v>
      </c>
      <c r="S769">
        <v>5</v>
      </c>
      <c r="T769" t="b">
        <v>0</v>
      </c>
      <c r="U769" t="s">
        <v>30</v>
      </c>
      <c r="V769">
        <v>10</v>
      </c>
    </row>
    <row r="770" spans="1:22" x14ac:dyDescent="0.25">
      <c r="A770" t="s">
        <v>1986</v>
      </c>
      <c r="B770" s="1">
        <v>44760</v>
      </c>
      <c r="C770" t="s">
        <v>1987</v>
      </c>
      <c r="D770" t="s">
        <v>364</v>
      </c>
      <c r="E770">
        <v>33</v>
      </c>
      <c r="F770" t="str">
        <f>IF(Table1[[#This Row],[age]]&lt;=25,"18-25",IF(Table1[[#This Row],[age]]&lt;=35,"26-35",IF(Table1[[#This Row],[age]]&lt;=50,"36-50","51+")))</f>
        <v>26-35</v>
      </c>
      <c r="G770" t="s">
        <v>54</v>
      </c>
      <c r="H770" t="s">
        <v>61</v>
      </c>
      <c r="I770" t="s">
        <v>62</v>
      </c>
      <c r="J770" t="s">
        <v>36</v>
      </c>
      <c r="K770" t="s">
        <v>243</v>
      </c>
      <c r="L770">
        <v>4</v>
      </c>
      <c r="M770">
        <v>3037.37</v>
      </c>
      <c r="N770">
        <v>0.1</v>
      </c>
      <c r="O770">
        <v>12378.84</v>
      </c>
      <c r="P770">
        <v>3013.5</v>
      </c>
      <c r="Q770">
        <v>45.31</v>
      </c>
      <c r="R770" t="s">
        <v>29</v>
      </c>
      <c r="S770">
        <v>3</v>
      </c>
      <c r="T770" t="b">
        <v>0</v>
      </c>
      <c r="U770" t="s">
        <v>71</v>
      </c>
      <c r="V770">
        <v>4</v>
      </c>
    </row>
    <row r="771" spans="1:22" x14ac:dyDescent="0.25">
      <c r="A771" t="s">
        <v>1988</v>
      </c>
      <c r="B771" s="1">
        <v>45495</v>
      </c>
      <c r="C771" t="s">
        <v>1989</v>
      </c>
      <c r="D771" t="s">
        <v>1921</v>
      </c>
      <c r="E771">
        <v>35</v>
      </c>
      <c r="F771" t="str">
        <f>IF(Table1[[#This Row],[age]]&lt;=25,"18-25",IF(Table1[[#This Row],[age]]&lt;=35,"26-35",IF(Table1[[#This Row],[age]]&lt;=50,"36-50","51+")))</f>
        <v>26-35</v>
      </c>
      <c r="G771" t="s">
        <v>34</v>
      </c>
      <c r="H771" t="s">
        <v>55</v>
      </c>
      <c r="I771" t="s">
        <v>114</v>
      </c>
      <c r="J771" t="s">
        <v>115</v>
      </c>
      <c r="K771" t="s">
        <v>398</v>
      </c>
      <c r="L771">
        <v>3</v>
      </c>
      <c r="M771">
        <v>45894.21</v>
      </c>
      <c r="N771">
        <v>0.11</v>
      </c>
      <c r="O771">
        <v>191499.56</v>
      </c>
      <c r="P771">
        <v>29426.2</v>
      </c>
      <c r="Q771">
        <v>51.2</v>
      </c>
      <c r="R771" t="s">
        <v>65</v>
      </c>
      <c r="S771">
        <v>2</v>
      </c>
      <c r="T771" t="b">
        <v>0</v>
      </c>
      <c r="U771" t="s">
        <v>30</v>
      </c>
      <c r="V771">
        <v>3</v>
      </c>
    </row>
    <row r="772" spans="1:22" x14ac:dyDescent="0.25">
      <c r="A772" t="s">
        <v>1990</v>
      </c>
      <c r="B772" s="1">
        <v>44179</v>
      </c>
      <c r="C772" t="s">
        <v>1991</v>
      </c>
      <c r="D772" t="s">
        <v>1373</v>
      </c>
      <c r="E772">
        <v>27</v>
      </c>
      <c r="F772" t="str">
        <f>IF(Table1[[#This Row],[age]]&lt;=25,"18-25",IF(Table1[[#This Row],[age]]&lt;=35,"26-35",IF(Table1[[#This Row],[age]]&lt;=50,"36-50","51+")))</f>
        <v>26-35</v>
      </c>
      <c r="G772" t="s">
        <v>54</v>
      </c>
      <c r="H772" t="s">
        <v>55</v>
      </c>
      <c r="I772" t="s">
        <v>56</v>
      </c>
      <c r="J772" t="s">
        <v>36</v>
      </c>
      <c r="K772" t="s">
        <v>230</v>
      </c>
      <c r="L772">
        <v>9</v>
      </c>
      <c r="M772">
        <v>20678.490000000002</v>
      </c>
      <c r="N772">
        <v>0.35</v>
      </c>
      <c r="O772">
        <v>87908.479999999996</v>
      </c>
      <c r="P772">
        <v>33141.699999999997</v>
      </c>
      <c r="Q772">
        <v>46.74</v>
      </c>
      <c r="R772" t="s">
        <v>57</v>
      </c>
      <c r="S772">
        <v>2</v>
      </c>
      <c r="T772" t="b">
        <v>0</v>
      </c>
      <c r="U772" t="s">
        <v>30</v>
      </c>
      <c r="V772">
        <v>5</v>
      </c>
    </row>
    <row r="773" spans="1:22" x14ac:dyDescent="0.25">
      <c r="A773" t="s">
        <v>1992</v>
      </c>
      <c r="B773" s="1">
        <v>44373</v>
      </c>
      <c r="C773" t="s">
        <v>1993</v>
      </c>
      <c r="D773" t="s">
        <v>1647</v>
      </c>
      <c r="E773">
        <v>58</v>
      </c>
      <c r="F773" t="str">
        <f>IF(Table1[[#This Row],[age]]&lt;=25,"18-25",IF(Table1[[#This Row],[age]]&lt;=35,"26-35",IF(Table1[[#This Row],[age]]&lt;=50,"36-50","51+")))</f>
        <v>51+</v>
      </c>
      <c r="G773" t="s">
        <v>34</v>
      </c>
      <c r="H773" t="s">
        <v>80</v>
      </c>
      <c r="I773" t="s">
        <v>236</v>
      </c>
      <c r="J773" t="s">
        <v>63</v>
      </c>
      <c r="K773" t="s">
        <v>82</v>
      </c>
      <c r="L773">
        <v>1</v>
      </c>
      <c r="M773">
        <v>3505.24</v>
      </c>
      <c r="N773">
        <v>0.31</v>
      </c>
      <c r="O773">
        <v>3938.32</v>
      </c>
      <c r="P773">
        <v>1621.58</v>
      </c>
      <c r="Q773">
        <v>55.77</v>
      </c>
      <c r="R773" t="s">
        <v>65</v>
      </c>
      <c r="S773">
        <v>3</v>
      </c>
      <c r="T773" t="b">
        <v>0</v>
      </c>
      <c r="U773" t="s">
        <v>30</v>
      </c>
      <c r="V773">
        <v>9</v>
      </c>
    </row>
    <row r="774" spans="1:22" x14ac:dyDescent="0.25">
      <c r="A774" t="s">
        <v>1994</v>
      </c>
      <c r="B774" s="1">
        <v>45466</v>
      </c>
      <c r="C774" t="s">
        <v>1995</v>
      </c>
      <c r="D774" t="s">
        <v>1654</v>
      </c>
      <c r="E774">
        <v>33</v>
      </c>
      <c r="F774" t="str">
        <f>IF(Table1[[#This Row],[age]]&lt;=25,"18-25",IF(Table1[[#This Row],[age]]&lt;=35,"26-35",IF(Table1[[#This Row],[age]]&lt;=50,"36-50","51+")))</f>
        <v>26-35</v>
      </c>
      <c r="G774" t="s">
        <v>24</v>
      </c>
      <c r="H774" t="s">
        <v>69</v>
      </c>
      <c r="I774" t="s">
        <v>70</v>
      </c>
      <c r="J774" t="s">
        <v>106</v>
      </c>
      <c r="K774" t="s">
        <v>247</v>
      </c>
      <c r="L774">
        <v>9</v>
      </c>
      <c r="M774">
        <v>298.83</v>
      </c>
      <c r="N774">
        <v>0.1</v>
      </c>
      <c r="O774">
        <v>4084.65</v>
      </c>
      <c r="P774">
        <v>279.52999999999997</v>
      </c>
      <c r="Q774">
        <v>55.65</v>
      </c>
      <c r="R774" t="s">
        <v>43</v>
      </c>
      <c r="S774">
        <v>1</v>
      </c>
      <c r="T774" t="b">
        <v>1</v>
      </c>
      <c r="U774" t="s">
        <v>50</v>
      </c>
      <c r="V774">
        <v>1</v>
      </c>
    </row>
    <row r="775" spans="1:22" x14ac:dyDescent="0.25">
      <c r="A775" t="s">
        <v>1996</v>
      </c>
      <c r="B775" s="1">
        <v>44464</v>
      </c>
      <c r="C775" t="s">
        <v>1997</v>
      </c>
      <c r="D775" t="s">
        <v>155</v>
      </c>
      <c r="E775">
        <v>25</v>
      </c>
      <c r="F775" t="str">
        <f>IF(Table1[[#This Row],[age]]&lt;=25,"18-25",IF(Table1[[#This Row],[age]]&lt;=35,"26-35",IF(Table1[[#This Row],[age]]&lt;=50,"36-50","51+")))</f>
        <v>18-25</v>
      </c>
      <c r="G775" t="s">
        <v>54</v>
      </c>
      <c r="H775" t="s">
        <v>69</v>
      </c>
      <c r="I775" t="s">
        <v>221</v>
      </c>
      <c r="J775" t="s">
        <v>47</v>
      </c>
      <c r="K775" t="s">
        <v>204</v>
      </c>
      <c r="L775">
        <v>10</v>
      </c>
      <c r="M775">
        <v>350.58</v>
      </c>
      <c r="N775">
        <v>0.32</v>
      </c>
      <c r="O775">
        <v>2561.17</v>
      </c>
      <c r="P775">
        <v>916.75</v>
      </c>
      <c r="Q775">
        <v>95</v>
      </c>
      <c r="R775" t="s">
        <v>65</v>
      </c>
      <c r="S775">
        <v>5</v>
      </c>
      <c r="T775" t="b">
        <v>0</v>
      </c>
      <c r="U775" t="s">
        <v>30</v>
      </c>
      <c r="V775">
        <v>7</v>
      </c>
    </row>
    <row r="776" spans="1:22" x14ac:dyDescent="0.25">
      <c r="A776" t="s">
        <v>1998</v>
      </c>
      <c r="B776" s="1">
        <v>43839</v>
      </c>
      <c r="C776" t="s">
        <v>1999</v>
      </c>
      <c r="D776" t="s">
        <v>2000</v>
      </c>
      <c r="E776">
        <v>44</v>
      </c>
      <c r="F776" t="str">
        <f>IF(Table1[[#This Row],[age]]&lt;=25,"18-25",IF(Table1[[#This Row],[age]]&lt;=35,"26-35",IF(Table1[[#This Row],[age]]&lt;=50,"36-50","51+")))</f>
        <v>36-50</v>
      </c>
      <c r="G776" t="s">
        <v>54</v>
      </c>
      <c r="H776" t="s">
        <v>25</v>
      </c>
      <c r="I776" t="s">
        <v>298</v>
      </c>
      <c r="J776" t="s">
        <v>36</v>
      </c>
      <c r="K776" t="s">
        <v>230</v>
      </c>
      <c r="L776">
        <v>8</v>
      </c>
      <c r="M776">
        <v>12654.92</v>
      </c>
      <c r="N776">
        <v>0.37</v>
      </c>
      <c r="O776">
        <v>44039.5</v>
      </c>
      <c r="P776">
        <v>13136.75</v>
      </c>
      <c r="Q776">
        <v>75.7</v>
      </c>
      <c r="R776" t="s">
        <v>49</v>
      </c>
      <c r="S776">
        <v>1</v>
      </c>
      <c r="T776" t="b">
        <v>0</v>
      </c>
      <c r="U776" t="s">
        <v>30</v>
      </c>
      <c r="V776">
        <v>1</v>
      </c>
    </row>
    <row r="777" spans="1:22" x14ac:dyDescent="0.25">
      <c r="A777" t="s">
        <v>2001</v>
      </c>
      <c r="B777" s="1">
        <v>45321</v>
      </c>
      <c r="C777" t="s">
        <v>2002</v>
      </c>
      <c r="D777" t="s">
        <v>2003</v>
      </c>
      <c r="E777">
        <v>51</v>
      </c>
      <c r="F777" t="str">
        <f>IF(Table1[[#This Row],[age]]&lt;=25,"18-25",IF(Table1[[#This Row],[age]]&lt;=35,"26-35",IF(Table1[[#This Row],[age]]&lt;=50,"36-50","51+")))</f>
        <v>51+</v>
      </c>
      <c r="G777" t="s">
        <v>34</v>
      </c>
      <c r="H777" t="s">
        <v>25</v>
      </c>
      <c r="I777" t="s">
        <v>298</v>
      </c>
      <c r="J777" t="s">
        <v>47</v>
      </c>
      <c r="K777" t="s">
        <v>48</v>
      </c>
      <c r="L777">
        <v>4</v>
      </c>
      <c r="M777">
        <v>523</v>
      </c>
      <c r="N777">
        <v>0.26</v>
      </c>
      <c r="O777">
        <v>1458.67</v>
      </c>
      <c r="P777">
        <v>432</v>
      </c>
      <c r="Q777">
        <v>42.17</v>
      </c>
      <c r="R777" t="s">
        <v>65</v>
      </c>
      <c r="S777">
        <v>4</v>
      </c>
      <c r="T777" t="b">
        <v>0</v>
      </c>
      <c r="U777" t="s">
        <v>30</v>
      </c>
      <c r="V777">
        <v>5</v>
      </c>
    </row>
    <row r="778" spans="1:22" x14ac:dyDescent="0.25">
      <c r="A778" t="s">
        <v>2004</v>
      </c>
      <c r="B778" s="1">
        <v>45174</v>
      </c>
      <c r="C778" t="s">
        <v>2005</v>
      </c>
      <c r="D778" t="s">
        <v>542</v>
      </c>
      <c r="E778">
        <v>36</v>
      </c>
      <c r="F778" t="str">
        <f>IF(Table1[[#This Row],[age]]&lt;=25,"18-25",IF(Table1[[#This Row],[age]]&lt;=35,"26-35",IF(Table1[[#This Row],[age]]&lt;=50,"36-50","51+")))</f>
        <v>36-50</v>
      </c>
      <c r="G778" t="s">
        <v>54</v>
      </c>
      <c r="H778" t="s">
        <v>55</v>
      </c>
      <c r="I778" t="s">
        <v>75</v>
      </c>
      <c r="J778" t="s">
        <v>27</v>
      </c>
      <c r="K778" t="s">
        <v>480</v>
      </c>
      <c r="L778">
        <v>5</v>
      </c>
      <c r="M778">
        <v>576.73</v>
      </c>
      <c r="N778">
        <v>7.0000000000000007E-2</v>
      </c>
      <c r="O778">
        <v>4465.04</v>
      </c>
      <c r="P778">
        <v>1617.65</v>
      </c>
      <c r="Q778">
        <v>61.27</v>
      </c>
      <c r="R778" t="s">
        <v>43</v>
      </c>
      <c r="S778">
        <v>4</v>
      </c>
      <c r="T778" t="b">
        <v>0</v>
      </c>
      <c r="U778" t="s">
        <v>71</v>
      </c>
      <c r="V778">
        <v>2</v>
      </c>
    </row>
    <row r="779" spans="1:22" x14ac:dyDescent="0.25">
      <c r="A779" t="s">
        <v>2006</v>
      </c>
      <c r="B779" s="1">
        <v>45312</v>
      </c>
      <c r="C779" t="s">
        <v>2007</v>
      </c>
      <c r="D779" t="s">
        <v>2008</v>
      </c>
      <c r="E779">
        <v>27</v>
      </c>
      <c r="F779" t="str">
        <f>IF(Table1[[#This Row],[age]]&lt;=25,"18-25",IF(Table1[[#This Row],[age]]&lt;=35,"26-35",IF(Table1[[#This Row],[age]]&lt;=50,"36-50","51+")))</f>
        <v>26-35</v>
      </c>
      <c r="G779" t="s">
        <v>54</v>
      </c>
      <c r="H779" t="s">
        <v>25</v>
      </c>
      <c r="I779" t="s">
        <v>41</v>
      </c>
      <c r="J779" t="s">
        <v>106</v>
      </c>
      <c r="K779" t="s">
        <v>247</v>
      </c>
      <c r="L779">
        <v>10</v>
      </c>
      <c r="M779">
        <v>406.98</v>
      </c>
      <c r="N779">
        <v>0.13</v>
      </c>
      <c r="O779">
        <v>3726.88</v>
      </c>
      <c r="P779">
        <v>185.43</v>
      </c>
      <c r="Q779">
        <v>17.510000000000002</v>
      </c>
      <c r="R779" t="s">
        <v>92</v>
      </c>
      <c r="S779">
        <v>3</v>
      </c>
      <c r="T779" t="b">
        <v>0</v>
      </c>
      <c r="U779" t="s">
        <v>71</v>
      </c>
      <c r="V779">
        <v>1</v>
      </c>
    </row>
    <row r="780" spans="1:22" x14ac:dyDescent="0.25">
      <c r="A780" t="s">
        <v>2009</v>
      </c>
      <c r="B780" s="1">
        <v>43982</v>
      </c>
      <c r="C780" t="s">
        <v>2010</v>
      </c>
      <c r="D780" t="s">
        <v>527</v>
      </c>
      <c r="E780">
        <v>36</v>
      </c>
      <c r="F780" t="str">
        <f>IF(Table1[[#This Row],[age]]&lt;=25,"18-25",IF(Table1[[#This Row],[age]]&lt;=35,"26-35",IF(Table1[[#This Row],[age]]&lt;=50,"36-50","51+")))</f>
        <v>36-50</v>
      </c>
      <c r="G780" t="s">
        <v>34</v>
      </c>
      <c r="H780" t="s">
        <v>25</v>
      </c>
      <c r="I780" t="s">
        <v>41</v>
      </c>
      <c r="J780" t="s">
        <v>101</v>
      </c>
      <c r="K780" t="s">
        <v>456</v>
      </c>
      <c r="L780">
        <v>9</v>
      </c>
      <c r="M780">
        <v>13555.14</v>
      </c>
      <c r="N780">
        <v>0.2</v>
      </c>
      <c r="O780">
        <v>120212</v>
      </c>
      <c r="P780">
        <v>36132.18</v>
      </c>
      <c r="Q780">
        <v>93.89</v>
      </c>
      <c r="R780" t="s">
        <v>65</v>
      </c>
      <c r="S780">
        <v>5</v>
      </c>
      <c r="T780" t="b">
        <v>0</v>
      </c>
      <c r="U780" t="s">
        <v>30</v>
      </c>
      <c r="V780">
        <v>7</v>
      </c>
    </row>
    <row r="781" spans="1:22" x14ac:dyDescent="0.25">
      <c r="A781" t="s">
        <v>2011</v>
      </c>
      <c r="B781" s="1">
        <v>44979</v>
      </c>
      <c r="C781" t="s">
        <v>2012</v>
      </c>
      <c r="D781" t="s">
        <v>657</v>
      </c>
      <c r="E781">
        <v>46</v>
      </c>
      <c r="F781" t="str">
        <f>IF(Table1[[#This Row],[age]]&lt;=25,"18-25",IF(Table1[[#This Row],[age]]&lt;=35,"26-35",IF(Table1[[#This Row],[age]]&lt;=50,"36-50","51+")))</f>
        <v>36-50</v>
      </c>
      <c r="G781" t="s">
        <v>54</v>
      </c>
      <c r="H781" t="s">
        <v>55</v>
      </c>
      <c r="I781" t="s">
        <v>56</v>
      </c>
      <c r="J781" t="s">
        <v>47</v>
      </c>
      <c r="K781" t="s">
        <v>156</v>
      </c>
      <c r="L781">
        <v>6</v>
      </c>
      <c r="M781">
        <v>821.9</v>
      </c>
      <c r="N781">
        <v>0.11</v>
      </c>
      <c r="O781">
        <v>4718.43</v>
      </c>
      <c r="P781">
        <v>1271.26</v>
      </c>
      <c r="Q781">
        <v>24.77</v>
      </c>
      <c r="R781" t="s">
        <v>29</v>
      </c>
      <c r="S781">
        <v>4</v>
      </c>
      <c r="T781" t="b">
        <v>0</v>
      </c>
      <c r="U781" t="s">
        <v>30</v>
      </c>
      <c r="V781">
        <v>5</v>
      </c>
    </row>
    <row r="782" spans="1:22" x14ac:dyDescent="0.25">
      <c r="A782" t="s">
        <v>2013</v>
      </c>
      <c r="B782" s="1">
        <v>44100</v>
      </c>
      <c r="C782" t="s">
        <v>2014</v>
      </c>
      <c r="D782" t="s">
        <v>1362</v>
      </c>
      <c r="E782">
        <v>23</v>
      </c>
      <c r="F782" t="str">
        <f>IF(Table1[[#This Row],[age]]&lt;=25,"18-25",IF(Table1[[#This Row],[age]]&lt;=35,"26-35",IF(Table1[[#This Row],[age]]&lt;=50,"36-50","51+")))</f>
        <v>18-25</v>
      </c>
      <c r="G782" t="s">
        <v>34</v>
      </c>
      <c r="H782" t="s">
        <v>69</v>
      </c>
      <c r="I782" t="s">
        <v>136</v>
      </c>
      <c r="J782" t="s">
        <v>36</v>
      </c>
      <c r="K782" t="s">
        <v>230</v>
      </c>
      <c r="L782">
        <v>4</v>
      </c>
      <c r="M782">
        <v>10669.95</v>
      </c>
      <c r="N782">
        <v>0.36</v>
      </c>
      <c r="O782">
        <v>27756.98</v>
      </c>
      <c r="P782">
        <v>9717.32</v>
      </c>
      <c r="Q782">
        <v>73.78</v>
      </c>
      <c r="R782" t="s">
        <v>43</v>
      </c>
      <c r="S782">
        <v>1</v>
      </c>
      <c r="T782" t="b">
        <v>0</v>
      </c>
      <c r="U782" t="s">
        <v>30</v>
      </c>
      <c r="V782">
        <v>2</v>
      </c>
    </row>
    <row r="783" spans="1:22" x14ac:dyDescent="0.25">
      <c r="A783" t="s">
        <v>2015</v>
      </c>
      <c r="B783" s="1">
        <v>44179</v>
      </c>
      <c r="C783" t="s">
        <v>2016</v>
      </c>
      <c r="D783" t="s">
        <v>1203</v>
      </c>
      <c r="E783">
        <v>32</v>
      </c>
      <c r="F783" t="str">
        <f>IF(Table1[[#This Row],[age]]&lt;=25,"18-25",IF(Table1[[#This Row],[age]]&lt;=35,"26-35",IF(Table1[[#This Row],[age]]&lt;=50,"36-50","51+")))</f>
        <v>26-35</v>
      </c>
      <c r="G783" t="s">
        <v>54</v>
      </c>
      <c r="H783" t="s">
        <v>55</v>
      </c>
      <c r="I783" t="s">
        <v>97</v>
      </c>
      <c r="J783" t="s">
        <v>101</v>
      </c>
      <c r="K783" t="s">
        <v>164</v>
      </c>
      <c r="L783">
        <v>4</v>
      </c>
      <c r="M783">
        <v>3803.71</v>
      </c>
      <c r="N783">
        <v>0.1</v>
      </c>
      <c r="O783">
        <v>9647.73</v>
      </c>
      <c r="P783">
        <v>1808.82</v>
      </c>
      <c r="Q783">
        <v>75.19</v>
      </c>
      <c r="R783" t="s">
        <v>49</v>
      </c>
      <c r="S783">
        <v>4</v>
      </c>
      <c r="T783" t="b">
        <v>0</v>
      </c>
      <c r="U783" t="s">
        <v>30</v>
      </c>
      <c r="V783">
        <v>9</v>
      </c>
    </row>
    <row r="784" spans="1:22" x14ac:dyDescent="0.25">
      <c r="A784" t="s">
        <v>2017</v>
      </c>
      <c r="B784" s="1">
        <v>44098</v>
      </c>
      <c r="C784" t="s">
        <v>2018</v>
      </c>
      <c r="D784" t="s">
        <v>833</v>
      </c>
      <c r="E784">
        <v>29</v>
      </c>
      <c r="F784" t="str">
        <f>IF(Table1[[#This Row],[age]]&lt;=25,"18-25",IF(Table1[[#This Row],[age]]&lt;=35,"26-35",IF(Table1[[#This Row],[age]]&lt;=50,"36-50","51+")))</f>
        <v>26-35</v>
      </c>
      <c r="G784" t="s">
        <v>24</v>
      </c>
      <c r="H784" t="s">
        <v>61</v>
      </c>
      <c r="I784" t="s">
        <v>141</v>
      </c>
      <c r="J784" t="s">
        <v>27</v>
      </c>
      <c r="K784" t="s">
        <v>168</v>
      </c>
      <c r="L784">
        <v>2</v>
      </c>
      <c r="M784">
        <v>2372.2399999999998</v>
      </c>
      <c r="N784">
        <v>0.18</v>
      </c>
      <c r="O784">
        <v>3450.53</v>
      </c>
      <c r="P784">
        <v>1389.92</v>
      </c>
      <c r="Q784">
        <v>51.38</v>
      </c>
      <c r="R784" t="s">
        <v>43</v>
      </c>
      <c r="S784">
        <v>5</v>
      </c>
      <c r="T784" t="b">
        <v>0</v>
      </c>
      <c r="U784" t="s">
        <v>30</v>
      </c>
      <c r="V784">
        <v>1</v>
      </c>
    </row>
    <row r="785" spans="1:22" x14ac:dyDescent="0.25">
      <c r="A785" t="s">
        <v>2019</v>
      </c>
      <c r="B785" s="1">
        <v>44814</v>
      </c>
      <c r="C785" t="s">
        <v>2020</v>
      </c>
      <c r="D785" t="s">
        <v>2021</v>
      </c>
      <c r="E785">
        <v>21</v>
      </c>
      <c r="F785" t="str">
        <f>IF(Table1[[#This Row],[age]]&lt;=25,"18-25",IF(Table1[[#This Row],[age]]&lt;=35,"26-35",IF(Table1[[#This Row],[age]]&lt;=50,"36-50","51+")))</f>
        <v>18-25</v>
      </c>
      <c r="G785" t="s">
        <v>34</v>
      </c>
      <c r="H785" t="s">
        <v>25</v>
      </c>
      <c r="I785" t="s">
        <v>298</v>
      </c>
      <c r="J785" t="s">
        <v>36</v>
      </c>
      <c r="K785" t="s">
        <v>132</v>
      </c>
      <c r="L785">
        <v>9</v>
      </c>
      <c r="M785">
        <v>29503.49</v>
      </c>
      <c r="N785">
        <v>0.02</v>
      </c>
      <c r="O785">
        <v>295846.81</v>
      </c>
      <c r="P785">
        <v>62680.47</v>
      </c>
      <c r="Q785">
        <v>44.27</v>
      </c>
      <c r="R785" t="s">
        <v>29</v>
      </c>
      <c r="S785">
        <v>1</v>
      </c>
      <c r="T785" t="b">
        <v>0</v>
      </c>
      <c r="U785" t="s">
        <v>93</v>
      </c>
      <c r="V785">
        <v>3</v>
      </c>
    </row>
    <row r="786" spans="1:22" x14ac:dyDescent="0.25">
      <c r="A786" t="s">
        <v>2022</v>
      </c>
      <c r="B786" s="1">
        <v>44391</v>
      </c>
      <c r="C786" t="s">
        <v>2023</v>
      </c>
      <c r="D786" t="s">
        <v>2024</v>
      </c>
      <c r="E786">
        <v>35</v>
      </c>
      <c r="F786" t="str">
        <f>IF(Table1[[#This Row],[age]]&lt;=25,"18-25",IF(Table1[[#This Row],[age]]&lt;=35,"26-35",IF(Table1[[#This Row],[age]]&lt;=50,"36-50","51+")))</f>
        <v>26-35</v>
      </c>
      <c r="G786" t="s">
        <v>54</v>
      </c>
      <c r="H786" t="s">
        <v>69</v>
      </c>
      <c r="I786" t="s">
        <v>136</v>
      </c>
      <c r="J786" t="s">
        <v>106</v>
      </c>
      <c r="K786" t="s">
        <v>718</v>
      </c>
      <c r="L786">
        <v>7</v>
      </c>
      <c r="M786">
        <v>245.58</v>
      </c>
      <c r="N786">
        <v>0.24</v>
      </c>
      <c r="O786">
        <v>1697.64</v>
      </c>
      <c r="P786">
        <v>173.17</v>
      </c>
      <c r="Q786">
        <v>84.93</v>
      </c>
      <c r="R786" t="s">
        <v>49</v>
      </c>
      <c r="S786">
        <v>5</v>
      </c>
      <c r="T786" t="b">
        <v>0</v>
      </c>
      <c r="U786" t="s">
        <v>30</v>
      </c>
      <c r="V786">
        <v>3</v>
      </c>
    </row>
    <row r="787" spans="1:22" x14ac:dyDescent="0.25">
      <c r="A787" t="s">
        <v>2025</v>
      </c>
      <c r="B787" s="1">
        <v>44285</v>
      </c>
      <c r="C787" t="s">
        <v>2026</v>
      </c>
      <c r="D787" t="s">
        <v>384</v>
      </c>
      <c r="E787">
        <v>38</v>
      </c>
      <c r="F787" t="str">
        <f>IF(Table1[[#This Row],[age]]&lt;=25,"18-25",IF(Table1[[#This Row],[age]]&lt;=35,"26-35",IF(Table1[[#This Row],[age]]&lt;=50,"36-50","51+")))</f>
        <v>36-50</v>
      </c>
      <c r="G787" t="s">
        <v>54</v>
      </c>
      <c r="H787" t="s">
        <v>80</v>
      </c>
      <c r="I787" t="s">
        <v>242</v>
      </c>
      <c r="J787" t="s">
        <v>47</v>
      </c>
      <c r="K787" t="s">
        <v>156</v>
      </c>
      <c r="L787">
        <v>4</v>
      </c>
      <c r="M787">
        <v>1425.29</v>
      </c>
      <c r="N787">
        <v>0.21</v>
      </c>
      <c r="O787">
        <v>5074.93</v>
      </c>
      <c r="P787">
        <v>2152.9499999999998</v>
      </c>
      <c r="Q787">
        <v>84.46</v>
      </c>
      <c r="R787" t="s">
        <v>65</v>
      </c>
      <c r="S787">
        <v>3</v>
      </c>
      <c r="T787" t="b">
        <v>0</v>
      </c>
      <c r="U787" t="s">
        <v>30</v>
      </c>
      <c r="V787">
        <v>2</v>
      </c>
    </row>
    <row r="788" spans="1:22" x14ac:dyDescent="0.25">
      <c r="A788" t="s">
        <v>2027</v>
      </c>
      <c r="B788" s="1">
        <v>44803</v>
      </c>
      <c r="C788" t="s">
        <v>2028</v>
      </c>
      <c r="D788" t="s">
        <v>634</v>
      </c>
      <c r="E788">
        <v>35</v>
      </c>
      <c r="F788" t="str">
        <f>IF(Table1[[#This Row],[age]]&lt;=25,"18-25",IF(Table1[[#This Row],[age]]&lt;=35,"26-35",IF(Table1[[#This Row],[age]]&lt;=50,"36-50","51+")))</f>
        <v>26-35</v>
      </c>
      <c r="G788" t="s">
        <v>24</v>
      </c>
      <c r="H788" t="s">
        <v>61</v>
      </c>
      <c r="I788" t="s">
        <v>141</v>
      </c>
      <c r="J788" t="s">
        <v>36</v>
      </c>
      <c r="K788" t="s">
        <v>132</v>
      </c>
      <c r="L788">
        <v>3</v>
      </c>
      <c r="M788">
        <v>29848.47</v>
      </c>
      <c r="N788">
        <v>0.26</v>
      </c>
      <c r="O788">
        <v>88033.69</v>
      </c>
      <c r="P788">
        <v>26851.32</v>
      </c>
      <c r="Q788">
        <v>62.97</v>
      </c>
      <c r="R788" t="s">
        <v>29</v>
      </c>
      <c r="S788">
        <v>5</v>
      </c>
      <c r="T788" t="b">
        <v>0</v>
      </c>
      <c r="U788" t="s">
        <v>193</v>
      </c>
      <c r="V788">
        <v>10</v>
      </c>
    </row>
    <row r="789" spans="1:22" x14ac:dyDescent="0.25">
      <c r="A789" t="s">
        <v>2029</v>
      </c>
      <c r="B789" s="1">
        <v>45381</v>
      </c>
      <c r="C789" t="s">
        <v>2030</v>
      </c>
      <c r="D789" t="s">
        <v>2031</v>
      </c>
      <c r="E789">
        <v>32</v>
      </c>
      <c r="F789" t="str">
        <f>IF(Table1[[#This Row],[age]]&lt;=25,"18-25",IF(Table1[[#This Row],[age]]&lt;=35,"26-35",IF(Table1[[#This Row],[age]]&lt;=50,"36-50","51+")))</f>
        <v>26-35</v>
      </c>
      <c r="G789" t="s">
        <v>34</v>
      </c>
      <c r="H789" t="s">
        <v>25</v>
      </c>
      <c r="I789" t="s">
        <v>35</v>
      </c>
      <c r="J789" t="s">
        <v>101</v>
      </c>
      <c r="K789" t="s">
        <v>124</v>
      </c>
      <c r="L789">
        <v>5</v>
      </c>
      <c r="M789">
        <v>10965.5</v>
      </c>
      <c r="N789">
        <v>0.17</v>
      </c>
      <c r="O789">
        <v>60476.18</v>
      </c>
      <c r="P789">
        <v>10094.56</v>
      </c>
      <c r="Q789">
        <v>67.11</v>
      </c>
      <c r="R789" t="s">
        <v>29</v>
      </c>
      <c r="S789">
        <v>3</v>
      </c>
      <c r="T789" t="b">
        <v>0</v>
      </c>
      <c r="U789" t="s">
        <v>30</v>
      </c>
      <c r="V789">
        <v>3</v>
      </c>
    </row>
    <row r="790" spans="1:22" x14ac:dyDescent="0.25">
      <c r="A790" t="s">
        <v>2032</v>
      </c>
      <c r="B790" s="1">
        <v>45516</v>
      </c>
      <c r="C790" t="s">
        <v>2033</v>
      </c>
      <c r="D790" t="s">
        <v>2034</v>
      </c>
      <c r="E790">
        <v>20</v>
      </c>
      <c r="F790" t="str">
        <f>IF(Table1[[#This Row],[age]]&lt;=25,"18-25",IF(Table1[[#This Row],[age]]&lt;=35,"26-35",IF(Table1[[#This Row],[age]]&lt;=50,"36-50","51+")))</f>
        <v>18-25</v>
      </c>
      <c r="G790" t="s">
        <v>34</v>
      </c>
      <c r="H790" t="s">
        <v>25</v>
      </c>
      <c r="I790" t="s">
        <v>41</v>
      </c>
      <c r="J790" t="s">
        <v>63</v>
      </c>
      <c r="K790" t="s">
        <v>87</v>
      </c>
      <c r="L790">
        <v>10</v>
      </c>
      <c r="M790">
        <v>1866.54</v>
      </c>
      <c r="N790">
        <v>0.06</v>
      </c>
      <c r="O790">
        <v>28793.88</v>
      </c>
      <c r="P790">
        <v>10235.469999999999</v>
      </c>
      <c r="Q790">
        <v>39.49</v>
      </c>
      <c r="R790" t="s">
        <v>57</v>
      </c>
      <c r="S790">
        <v>5</v>
      </c>
      <c r="T790" t="b">
        <v>0</v>
      </c>
      <c r="U790" t="s">
        <v>71</v>
      </c>
      <c r="V790">
        <v>7</v>
      </c>
    </row>
    <row r="791" spans="1:22" x14ac:dyDescent="0.25">
      <c r="A791" t="s">
        <v>2035</v>
      </c>
      <c r="B791" s="1">
        <v>44050</v>
      </c>
      <c r="C791" t="s">
        <v>2036</v>
      </c>
      <c r="D791" t="s">
        <v>2037</v>
      </c>
      <c r="E791">
        <v>50</v>
      </c>
      <c r="F791" t="str">
        <f>IF(Table1[[#This Row],[age]]&lt;=25,"18-25",IF(Table1[[#This Row],[age]]&lt;=35,"26-35",IF(Table1[[#This Row],[age]]&lt;=50,"36-50","51+")))</f>
        <v>36-50</v>
      </c>
      <c r="G791" t="s">
        <v>34</v>
      </c>
      <c r="H791" t="s">
        <v>69</v>
      </c>
      <c r="I791" t="s">
        <v>221</v>
      </c>
      <c r="J791" t="s">
        <v>106</v>
      </c>
      <c r="K791" t="s">
        <v>107</v>
      </c>
      <c r="L791">
        <v>4</v>
      </c>
      <c r="M791">
        <v>299.75</v>
      </c>
      <c r="N791">
        <v>0.01</v>
      </c>
      <c r="O791">
        <v>1339.61</v>
      </c>
      <c r="P791">
        <v>109.11</v>
      </c>
      <c r="Q791">
        <v>106.26</v>
      </c>
      <c r="R791" t="s">
        <v>43</v>
      </c>
      <c r="S791">
        <v>2</v>
      </c>
      <c r="T791" t="b">
        <v>0</v>
      </c>
      <c r="U791" t="s">
        <v>71</v>
      </c>
      <c r="V791">
        <v>7</v>
      </c>
    </row>
    <row r="792" spans="1:22" x14ac:dyDescent="0.25">
      <c r="A792" t="s">
        <v>2038</v>
      </c>
      <c r="B792" s="1">
        <v>44174</v>
      </c>
      <c r="C792" t="s">
        <v>2039</v>
      </c>
      <c r="D792" t="s">
        <v>944</v>
      </c>
      <c r="E792">
        <v>35</v>
      </c>
      <c r="F792" t="str">
        <f>IF(Table1[[#This Row],[age]]&lt;=25,"18-25",IF(Table1[[#This Row],[age]]&lt;=35,"26-35",IF(Table1[[#This Row],[age]]&lt;=50,"36-50","51+")))</f>
        <v>26-35</v>
      </c>
      <c r="G792" t="s">
        <v>34</v>
      </c>
      <c r="H792" t="s">
        <v>25</v>
      </c>
      <c r="I792" t="s">
        <v>26</v>
      </c>
      <c r="J792" t="s">
        <v>63</v>
      </c>
      <c r="K792" t="s">
        <v>434</v>
      </c>
      <c r="L792">
        <v>7</v>
      </c>
      <c r="M792">
        <v>446.81</v>
      </c>
      <c r="N792">
        <v>7.0000000000000007E-2</v>
      </c>
      <c r="O792">
        <v>2020.82</v>
      </c>
      <c r="P792">
        <v>594.44000000000005</v>
      </c>
      <c r="Q792">
        <v>79.489999999999995</v>
      </c>
      <c r="R792" t="s">
        <v>92</v>
      </c>
      <c r="S792">
        <v>1</v>
      </c>
      <c r="T792" t="b">
        <v>0</v>
      </c>
      <c r="U792" t="s">
        <v>71</v>
      </c>
      <c r="V792">
        <v>1</v>
      </c>
    </row>
    <row r="793" spans="1:22" x14ac:dyDescent="0.25">
      <c r="A793" t="s">
        <v>2040</v>
      </c>
      <c r="B793" s="1">
        <v>44850</v>
      </c>
      <c r="C793" t="s">
        <v>2041</v>
      </c>
      <c r="D793" t="s">
        <v>1423</v>
      </c>
      <c r="E793">
        <v>36</v>
      </c>
      <c r="F793" t="str">
        <f>IF(Table1[[#This Row],[age]]&lt;=25,"18-25",IF(Table1[[#This Row],[age]]&lt;=35,"26-35",IF(Table1[[#This Row],[age]]&lt;=50,"36-50","51+")))</f>
        <v>36-50</v>
      </c>
      <c r="G793" t="s">
        <v>54</v>
      </c>
      <c r="H793" t="s">
        <v>55</v>
      </c>
      <c r="I793" t="s">
        <v>75</v>
      </c>
      <c r="J793" t="s">
        <v>106</v>
      </c>
      <c r="K793" t="s">
        <v>718</v>
      </c>
      <c r="L793">
        <v>8</v>
      </c>
      <c r="M793">
        <v>394.24</v>
      </c>
      <c r="N793">
        <v>0.28000000000000003</v>
      </c>
      <c r="O793">
        <v>2269.73</v>
      </c>
      <c r="P793">
        <v>208.28</v>
      </c>
      <c r="Q793">
        <v>66.63</v>
      </c>
      <c r="R793" t="s">
        <v>57</v>
      </c>
      <c r="S793">
        <v>1</v>
      </c>
      <c r="T793" t="b">
        <v>0</v>
      </c>
      <c r="U793" t="s">
        <v>30</v>
      </c>
      <c r="V793">
        <v>4</v>
      </c>
    </row>
    <row r="794" spans="1:22" x14ac:dyDescent="0.25">
      <c r="A794" t="s">
        <v>2042</v>
      </c>
      <c r="B794" s="1">
        <v>45083</v>
      </c>
      <c r="C794" t="s">
        <v>2043</v>
      </c>
      <c r="D794" t="s">
        <v>443</v>
      </c>
      <c r="E794">
        <v>60</v>
      </c>
      <c r="F794" t="str">
        <f>IF(Table1[[#This Row],[age]]&lt;=25,"18-25",IF(Table1[[#This Row],[age]]&lt;=35,"26-35",IF(Table1[[#This Row],[age]]&lt;=50,"36-50","51+")))</f>
        <v>51+</v>
      </c>
      <c r="G794" t="s">
        <v>54</v>
      </c>
      <c r="H794" t="s">
        <v>61</v>
      </c>
      <c r="I794" t="s">
        <v>62</v>
      </c>
      <c r="J794" t="s">
        <v>115</v>
      </c>
      <c r="K794" t="s">
        <v>398</v>
      </c>
      <c r="L794">
        <v>6</v>
      </c>
      <c r="M794">
        <v>62456.65</v>
      </c>
      <c r="N794">
        <v>0.02</v>
      </c>
      <c r="O794">
        <v>593837.1</v>
      </c>
      <c r="P794">
        <v>72763.11</v>
      </c>
      <c r="Q794">
        <v>30.38</v>
      </c>
      <c r="R794" t="s">
        <v>29</v>
      </c>
      <c r="S794">
        <v>4</v>
      </c>
      <c r="T794" t="b">
        <v>0</v>
      </c>
      <c r="U794" t="s">
        <v>71</v>
      </c>
      <c r="V794">
        <v>1</v>
      </c>
    </row>
    <row r="795" spans="1:22" x14ac:dyDescent="0.25">
      <c r="A795" t="s">
        <v>2044</v>
      </c>
      <c r="B795" s="1">
        <v>44971</v>
      </c>
      <c r="C795" t="s">
        <v>2045</v>
      </c>
      <c r="D795" t="s">
        <v>1020</v>
      </c>
      <c r="E795">
        <v>57</v>
      </c>
      <c r="F795" t="str">
        <f>IF(Table1[[#This Row],[age]]&lt;=25,"18-25",IF(Table1[[#This Row],[age]]&lt;=35,"26-35",IF(Table1[[#This Row],[age]]&lt;=50,"36-50","51+")))</f>
        <v>51+</v>
      </c>
      <c r="G795" t="s">
        <v>24</v>
      </c>
      <c r="H795" t="s">
        <v>55</v>
      </c>
      <c r="I795" t="s">
        <v>97</v>
      </c>
      <c r="J795" t="s">
        <v>27</v>
      </c>
      <c r="K795" t="s">
        <v>480</v>
      </c>
      <c r="L795">
        <v>9</v>
      </c>
      <c r="M795">
        <v>1014.1</v>
      </c>
      <c r="N795">
        <v>0.17</v>
      </c>
      <c r="O795">
        <v>7782.1</v>
      </c>
      <c r="P795">
        <v>2587.13</v>
      </c>
      <c r="Q795">
        <v>50.45</v>
      </c>
      <c r="R795" t="s">
        <v>57</v>
      </c>
      <c r="S795">
        <v>1</v>
      </c>
      <c r="T795" t="b">
        <v>0</v>
      </c>
      <c r="U795" t="s">
        <v>30</v>
      </c>
      <c r="V795">
        <v>10</v>
      </c>
    </row>
    <row r="796" spans="1:22" x14ac:dyDescent="0.25">
      <c r="A796" t="s">
        <v>2046</v>
      </c>
      <c r="B796" s="1">
        <v>44423</v>
      </c>
      <c r="C796" t="s">
        <v>2047</v>
      </c>
      <c r="D796" t="s">
        <v>519</v>
      </c>
      <c r="E796">
        <v>35</v>
      </c>
      <c r="F796" t="str">
        <f>IF(Table1[[#This Row],[age]]&lt;=25,"18-25",IF(Table1[[#This Row],[age]]&lt;=35,"26-35",IF(Table1[[#This Row],[age]]&lt;=50,"36-50","51+")))</f>
        <v>26-35</v>
      </c>
      <c r="G796" t="s">
        <v>34</v>
      </c>
      <c r="H796" t="s">
        <v>61</v>
      </c>
      <c r="I796" t="s">
        <v>62</v>
      </c>
      <c r="J796" t="s">
        <v>36</v>
      </c>
      <c r="K796" t="s">
        <v>76</v>
      </c>
      <c r="L796">
        <v>10</v>
      </c>
      <c r="M796">
        <v>26198.400000000001</v>
      </c>
      <c r="N796">
        <v>0.08</v>
      </c>
      <c r="O796">
        <v>256959.11</v>
      </c>
      <c r="P796">
        <v>92292.36</v>
      </c>
      <c r="Q796">
        <v>42.39</v>
      </c>
      <c r="R796" t="s">
        <v>57</v>
      </c>
      <c r="S796">
        <v>4</v>
      </c>
      <c r="T796" t="b">
        <v>0</v>
      </c>
      <c r="U796" t="s">
        <v>30</v>
      </c>
      <c r="V796">
        <v>2</v>
      </c>
    </row>
    <row r="797" spans="1:22" x14ac:dyDescent="0.25">
      <c r="A797" t="s">
        <v>2048</v>
      </c>
      <c r="B797" s="1">
        <v>45147</v>
      </c>
      <c r="C797" t="s">
        <v>2049</v>
      </c>
      <c r="D797" t="s">
        <v>833</v>
      </c>
      <c r="E797">
        <v>53</v>
      </c>
      <c r="F797" t="str">
        <f>IF(Table1[[#This Row],[age]]&lt;=25,"18-25",IF(Table1[[#This Row],[age]]&lt;=35,"26-35",IF(Table1[[#This Row],[age]]&lt;=50,"36-50","51+")))</f>
        <v>51+</v>
      </c>
      <c r="G797" t="s">
        <v>54</v>
      </c>
      <c r="H797" t="s">
        <v>55</v>
      </c>
      <c r="I797" t="s">
        <v>56</v>
      </c>
      <c r="J797" t="s">
        <v>27</v>
      </c>
      <c r="K797" t="s">
        <v>192</v>
      </c>
      <c r="L797">
        <v>4</v>
      </c>
      <c r="M797">
        <v>369.22</v>
      </c>
      <c r="N797">
        <v>0.19</v>
      </c>
      <c r="O797">
        <v>1495.87</v>
      </c>
      <c r="P797">
        <v>791.13</v>
      </c>
      <c r="Q797">
        <v>38.15</v>
      </c>
      <c r="R797" t="s">
        <v>57</v>
      </c>
      <c r="S797">
        <v>5</v>
      </c>
      <c r="T797" t="b">
        <v>0</v>
      </c>
      <c r="U797" t="s">
        <v>30</v>
      </c>
      <c r="V797">
        <v>9</v>
      </c>
    </row>
    <row r="798" spans="1:22" x14ac:dyDescent="0.25">
      <c r="A798" t="s">
        <v>2050</v>
      </c>
      <c r="B798" s="1">
        <v>45633</v>
      </c>
      <c r="C798" t="s">
        <v>2051</v>
      </c>
      <c r="D798" t="s">
        <v>1030</v>
      </c>
      <c r="E798">
        <v>39</v>
      </c>
      <c r="F798" t="str">
        <f>IF(Table1[[#This Row],[age]]&lt;=25,"18-25",IF(Table1[[#This Row],[age]]&lt;=35,"26-35",IF(Table1[[#This Row],[age]]&lt;=50,"36-50","51+")))</f>
        <v>36-50</v>
      </c>
      <c r="G798" t="s">
        <v>34</v>
      </c>
      <c r="H798" t="s">
        <v>80</v>
      </c>
      <c r="I798" t="s">
        <v>236</v>
      </c>
      <c r="J798" t="s">
        <v>106</v>
      </c>
      <c r="K798" t="s">
        <v>314</v>
      </c>
      <c r="L798">
        <v>6</v>
      </c>
      <c r="M798">
        <v>199.94</v>
      </c>
      <c r="N798">
        <v>7.0000000000000007E-2</v>
      </c>
      <c r="O798">
        <v>1058.44</v>
      </c>
      <c r="P798">
        <v>90.06</v>
      </c>
      <c r="Q798">
        <v>70.92</v>
      </c>
      <c r="R798" t="s">
        <v>57</v>
      </c>
      <c r="S798">
        <v>3</v>
      </c>
      <c r="T798" t="b">
        <v>0</v>
      </c>
      <c r="U798" t="s">
        <v>93</v>
      </c>
      <c r="V798">
        <v>10</v>
      </c>
    </row>
    <row r="799" spans="1:22" x14ac:dyDescent="0.25">
      <c r="A799" t="s">
        <v>2052</v>
      </c>
      <c r="B799" s="1">
        <v>43864</v>
      </c>
      <c r="C799" t="s">
        <v>2053</v>
      </c>
      <c r="D799" t="s">
        <v>174</v>
      </c>
      <c r="E799">
        <v>58</v>
      </c>
      <c r="F799" t="str">
        <f>IF(Table1[[#This Row],[age]]&lt;=25,"18-25",IF(Table1[[#This Row],[age]]&lt;=35,"26-35",IF(Table1[[#This Row],[age]]&lt;=50,"36-50","51+")))</f>
        <v>51+</v>
      </c>
      <c r="G799" t="s">
        <v>24</v>
      </c>
      <c r="H799" t="s">
        <v>61</v>
      </c>
      <c r="I799" t="s">
        <v>163</v>
      </c>
      <c r="J799" t="s">
        <v>63</v>
      </c>
      <c r="K799" t="s">
        <v>434</v>
      </c>
      <c r="L799">
        <v>2</v>
      </c>
      <c r="M799">
        <v>1849.33</v>
      </c>
      <c r="N799">
        <v>0.36</v>
      </c>
      <c r="O799">
        <v>2115.12</v>
      </c>
      <c r="P799">
        <v>453.68</v>
      </c>
      <c r="Q799">
        <v>31.92</v>
      </c>
      <c r="R799" t="s">
        <v>65</v>
      </c>
      <c r="S799">
        <v>5</v>
      </c>
      <c r="T799" t="b">
        <v>0</v>
      </c>
      <c r="U799" t="s">
        <v>30</v>
      </c>
      <c r="V799">
        <v>5</v>
      </c>
    </row>
    <row r="800" spans="1:22" x14ac:dyDescent="0.25">
      <c r="A800" t="s">
        <v>2054</v>
      </c>
      <c r="B800" s="1">
        <v>44068</v>
      </c>
      <c r="C800" t="s">
        <v>2055</v>
      </c>
      <c r="D800" t="s">
        <v>2008</v>
      </c>
      <c r="E800">
        <v>53</v>
      </c>
      <c r="F800" t="str">
        <f>IF(Table1[[#This Row],[age]]&lt;=25,"18-25",IF(Table1[[#This Row],[age]]&lt;=35,"26-35",IF(Table1[[#This Row],[age]]&lt;=50,"36-50","51+")))</f>
        <v>51+</v>
      </c>
      <c r="G800" t="s">
        <v>34</v>
      </c>
      <c r="H800" t="s">
        <v>55</v>
      </c>
      <c r="I800" t="s">
        <v>114</v>
      </c>
      <c r="J800" t="s">
        <v>63</v>
      </c>
      <c r="K800" t="s">
        <v>87</v>
      </c>
      <c r="L800">
        <v>999</v>
      </c>
      <c r="M800">
        <v>2567.4</v>
      </c>
      <c r="N800">
        <v>0.31</v>
      </c>
      <c r="O800">
        <v>2281458.2200000002</v>
      </c>
      <c r="P800">
        <v>899209.6</v>
      </c>
      <c r="Q800">
        <v>74.459999999999994</v>
      </c>
      <c r="R800" t="s">
        <v>43</v>
      </c>
      <c r="S800">
        <v>3</v>
      </c>
      <c r="T800" t="b">
        <v>0</v>
      </c>
      <c r="U800" t="s">
        <v>30</v>
      </c>
      <c r="V800">
        <v>5</v>
      </c>
    </row>
    <row r="801" spans="1:22" x14ac:dyDescent="0.25">
      <c r="A801" t="s">
        <v>2056</v>
      </c>
      <c r="B801" s="1">
        <v>44683</v>
      </c>
      <c r="C801" t="s">
        <v>2057</v>
      </c>
      <c r="D801" t="s">
        <v>2058</v>
      </c>
      <c r="E801">
        <v>29</v>
      </c>
      <c r="F801" t="str">
        <f>IF(Table1[[#This Row],[age]]&lt;=25,"18-25",IF(Table1[[#This Row],[age]]&lt;=35,"26-35",IF(Table1[[#This Row],[age]]&lt;=50,"36-50","51+")))</f>
        <v>26-35</v>
      </c>
      <c r="G801" t="s">
        <v>54</v>
      </c>
      <c r="H801" t="s">
        <v>25</v>
      </c>
      <c r="I801" t="s">
        <v>26</v>
      </c>
      <c r="J801" t="s">
        <v>27</v>
      </c>
      <c r="K801" t="s">
        <v>192</v>
      </c>
      <c r="L801">
        <v>4</v>
      </c>
      <c r="M801">
        <v>1147.98</v>
      </c>
      <c r="N801">
        <v>0.2</v>
      </c>
      <c r="O801">
        <v>6361.05</v>
      </c>
      <c r="P801">
        <v>3168.26</v>
      </c>
      <c r="Q801">
        <v>65.040000000000006</v>
      </c>
      <c r="R801" t="s">
        <v>57</v>
      </c>
      <c r="S801">
        <v>4</v>
      </c>
      <c r="T801" t="b">
        <v>0</v>
      </c>
      <c r="U801" t="s">
        <v>93</v>
      </c>
      <c r="V801">
        <v>3</v>
      </c>
    </row>
    <row r="802" spans="1:22" x14ac:dyDescent="0.25">
      <c r="A802" t="s">
        <v>2059</v>
      </c>
      <c r="B802" s="1">
        <v>45285</v>
      </c>
      <c r="C802" t="s">
        <v>2060</v>
      </c>
      <c r="D802" t="s">
        <v>859</v>
      </c>
      <c r="E802">
        <v>42</v>
      </c>
      <c r="F802" t="str">
        <f>IF(Table1[[#This Row],[age]]&lt;=25,"18-25",IF(Table1[[#This Row],[age]]&lt;=35,"26-35",IF(Table1[[#This Row],[age]]&lt;=50,"36-50","51+")))</f>
        <v>36-50</v>
      </c>
      <c r="G802" t="s">
        <v>24</v>
      </c>
      <c r="H802" t="s">
        <v>80</v>
      </c>
      <c r="I802" t="s">
        <v>236</v>
      </c>
      <c r="J802" t="s">
        <v>63</v>
      </c>
      <c r="K802" t="s">
        <v>82</v>
      </c>
      <c r="L802">
        <v>9</v>
      </c>
      <c r="M802">
        <v>498.04</v>
      </c>
      <c r="N802">
        <v>0.17</v>
      </c>
      <c r="O802">
        <v>3156.27</v>
      </c>
      <c r="P802">
        <v>846.9</v>
      </c>
      <c r="Q802">
        <v>66.239999999999995</v>
      </c>
      <c r="R802" t="s">
        <v>43</v>
      </c>
      <c r="S802">
        <v>2</v>
      </c>
      <c r="T802" t="b">
        <v>0</v>
      </c>
      <c r="U802" t="s">
        <v>71</v>
      </c>
      <c r="V802">
        <v>9</v>
      </c>
    </row>
    <row r="803" spans="1:22" x14ac:dyDescent="0.25">
      <c r="A803" t="s">
        <v>2061</v>
      </c>
      <c r="B803" s="1">
        <v>44623</v>
      </c>
      <c r="C803" t="s">
        <v>2062</v>
      </c>
      <c r="D803" t="s">
        <v>1644</v>
      </c>
      <c r="E803">
        <v>36</v>
      </c>
      <c r="F803" t="str">
        <f>IF(Table1[[#This Row],[age]]&lt;=25,"18-25",IF(Table1[[#This Row],[age]]&lt;=35,"26-35",IF(Table1[[#This Row],[age]]&lt;=50,"36-50","51+")))</f>
        <v>36-50</v>
      </c>
      <c r="G803" t="s">
        <v>24</v>
      </c>
      <c r="H803" t="s">
        <v>80</v>
      </c>
      <c r="I803" t="s">
        <v>242</v>
      </c>
      <c r="J803" t="s">
        <v>106</v>
      </c>
      <c r="K803" t="s">
        <v>718</v>
      </c>
      <c r="L803">
        <v>10</v>
      </c>
      <c r="M803">
        <v>206.1</v>
      </c>
      <c r="N803">
        <v>0.35</v>
      </c>
      <c r="O803">
        <v>1777.49</v>
      </c>
      <c r="P803">
        <v>133.97</v>
      </c>
      <c r="Q803">
        <v>79.95</v>
      </c>
      <c r="R803" t="s">
        <v>65</v>
      </c>
      <c r="S803">
        <v>2</v>
      </c>
      <c r="T803" t="b">
        <v>0</v>
      </c>
      <c r="U803" t="s">
        <v>30</v>
      </c>
      <c r="V803">
        <v>1</v>
      </c>
    </row>
    <row r="804" spans="1:22" x14ac:dyDescent="0.25">
      <c r="A804" t="s">
        <v>2063</v>
      </c>
      <c r="B804" s="1">
        <v>44789</v>
      </c>
      <c r="C804" t="s">
        <v>2064</v>
      </c>
      <c r="D804" t="s">
        <v>754</v>
      </c>
      <c r="E804">
        <v>36</v>
      </c>
      <c r="F804" t="str">
        <f>IF(Table1[[#This Row],[age]]&lt;=25,"18-25",IF(Table1[[#This Row],[age]]&lt;=35,"26-35",IF(Table1[[#This Row],[age]]&lt;=50,"36-50","51+")))</f>
        <v>36-50</v>
      </c>
      <c r="G804" t="s">
        <v>24</v>
      </c>
      <c r="H804" t="s">
        <v>80</v>
      </c>
      <c r="I804" t="s">
        <v>236</v>
      </c>
      <c r="J804" t="s">
        <v>63</v>
      </c>
      <c r="K804" t="s">
        <v>87</v>
      </c>
      <c r="L804">
        <v>7</v>
      </c>
      <c r="M804">
        <v>1443.52</v>
      </c>
      <c r="N804">
        <v>0.13</v>
      </c>
      <c r="O804">
        <v>11305.88</v>
      </c>
      <c r="P804">
        <v>3465.68</v>
      </c>
      <c r="Q804">
        <v>55.23</v>
      </c>
      <c r="R804" t="s">
        <v>57</v>
      </c>
      <c r="S804">
        <v>1</v>
      </c>
      <c r="T804" t="b">
        <v>1</v>
      </c>
      <c r="U804" t="s">
        <v>50</v>
      </c>
      <c r="V804">
        <v>5</v>
      </c>
    </row>
    <row r="805" spans="1:22" x14ac:dyDescent="0.25">
      <c r="A805" t="s">
        <v>2065</v>
      </c>
      <c r="B805" s="1">
        <v>44683</v>
      </c>
      <c r="C805" t="s">
        <v>2066</v>
      </c>
      <c r="D805" t="s">
        <v>2067</v>
      </c>
      <c r="E805">
        <v>31</v>
      </c>
      <c r="F805" t="str">
        <f>IF(Table1[[#This Row],[age]]&lt;=25,"18-25",IF(Table1[[#This Row],[age]]&lt;=35,"26-35",IF(Table1[[#This Row],[age]]&lt;=50,"36-50","51+")))</f>
        <v>26-35</v>
      </c>
      <c r="G805" t="s">
        <v>34</v>
      </c>
      <c r="H805" t="s">
        <v>55</v>
      </c>
      <c r="I805" t="s">
        <v>56</v>
      </c>
      <c r="J805" t="s">
        <v>106</v>
      </c>
      <c r="K805" t="s">
        <v>314</v>
      </c>
      <c r="L805">
        <v>8</v>
      </c>
      <c r="M805">
        <v>367.78</v>
      </c>
      <c r="N805">
        <v>0.05</v>
      </c>
      <c r="O805">
        <v>2940.06</v>
      </c>
      <c r="P805">
        <v>156.66999999999999</v>
      </c>
      <c r="Q805">
        <v>59.05</v>
      </c>
      <c r="R805" t="s">
        <v>92</v>
      </c>
      <c r="S805">
        <v>3</v>
      </c>
      <c r="T805" t="b">
        <v>0</v>
      </c>
      <c r="U805" t="s">
        <v>30</v>
      </c>
      <c r="V805">
        <v>10</v>
      </c>
    </row>
    <row r="806" spans="1:22" x14ac:dyDescent="0.25">
      <c r="A806" t="s">
        <v>2068</v>
      </c>
      <c r="B806" s="1">
        <v>44557</v>
      </c>
      <c r="C806" t="s">
        <v>2069</v>
      </c>
      <c r="D806" t="s">
        <v>246</v>
      </c>
      <c r="E806">
        <v>49</v>
      </c>
      <c r="F806" t="str">
        <f>IF(Table1[[#This Row],[age]]&lt;=25,"18-25",IF(Table1[[#This Row],[age]]&lt;=35,"26-35",IF(Table1[[#This Row],[age]]&lt;=50,"36-50","51+")))</f>
        <v>36-50</v>
      </c>
      <c r="G806" t="s">
        <v>54</v>
      </c>
      <c r="H806" t="s">
        <v>69</v>
      </c>
      <c r="I806" t="s">
        <v>136</v>
      </c>
      <c r="J806" t="s">
        <v>101</v>
      </c>
      <c r="K806" t="s">
        <v>124</v>
      </c>
      <c r="L806">
        <v>8</v>
      </c>
      <c r="M806">
        <v>5432.7</v>
      </c>
      <c r="N806">
        <v>0.02</v>
      </c>
      <c r="O806">
        <v>31946.52</v>
      </c>
      <c r="P806">
        <v>4581.83</v>
      </c>
      <c r="Q806">
        <v>74.44</v>
      </c>
      <c r="R806" t="s">
        <v>57</v>
      </c>
      <c r="S806">
        <v>4</v>
      </c>
      <c r="T806" t="b">
        <v>0</v>
      </c>
      <c r="U806" t="s">
        <v>30</v>
      </c>
      <c r="V806">
        <v>3</v>
      </c>
    </row>
    <row r="807" spans="1:22" x14ac:dyDescent="0.25">
      <c r="A807" t="s">
        <v>2070</v>
      </c>
      <c r="B807" s="1">
        <v>45578</v>
      </c>
      <c r="C807" t="s">
        <v>2071</v>
      </c>
      <c r="D807" t="s">
        <v>634</v>
      </c>
      <c r="E807">
        <v>58</v>
      </c>
      <c r="F807" t="str">
        <f>IF(Table1[[#This Row],[age]]&lt;=25,"18-25",IF(Table1[[#This Row],[age]]&lt;=35,"26-35",IF(Table1[[#This Row],[age]]&lt;=50,"36-50","51+")))</f>
        <v>51+</v>
      </c>
      <c r="G807" t="s">
        <v>34</v>
      </c>
      <c r="H807" t="s">
        <v>55</v>
      </c>
      <c r="I807" t="s">
        <v>114</v>
      </c>
      <c r="J807" t="s">
        <v>27</v>
      </c>
      <c r="K807" t="s">
        <v>168</v>
      </c>
      <c r="L807">
        <v>10</v>
      </c>
      <c r="M807">
        <v>1026.6600000000001</v>
      </c>
      <c r="N807">
        <v>0.13</v>
      </c>
      <c r="O807">
        <v>9081.4500000000007</v>
      </c>
      <c r="P807">
        <v>4511.59</v>
      </c>
      <c r="Q807">
        <v>101.7</v>
      </c>
      <c r="R807" t="s">
        <v>29</v>
      </c>
      <c r="S807">
        <v>2</v>
      </c>
      <c r="T807" t="b">
        <v>0</v>
      </c>
      <c r="U807" t="s">
        <v>93</v>
      </c>
      <c r="V807">
        <v>8</v>
      </c>
    </row>
    <row r="808" spans="1:22" x14ac:dyDescent="0.25">
      <c r="A808" t="s">
        <v>2072</v>
      </c>
      <c r="B808" s="1">
        <v>45093</v>
      </c>
      <c r="C808" t="s">
        <v>2073</v>
      </c>
      <c r="D808" t="s">
        <v>1248</v>
      </c>
      <c r="E808">
        <v>25</v>
      </c>
      <c r="F808" t="str">
        <f>IF(Table1[[#This Row],[age]]&lt;=25,"18-25",IF(Table1[[#This Row],[age]]&lt;=35,"26-35",IF(Table1[[#This Row],[age]]&lt;=50,"36-50","51+")))</f>
        <v>18-25</v>
      </c>
      <c r="G808" t="s">
        <v>54</v>
      </c>
      <c r="H808" t="s">
        <v>69</v>
      </c>
      <c r="I808" t="s">
        <v>221</v>
      </c>
      <c r="J808" t="s">
        <v>106</v>
      </c>
      <c r="K808" t="s">
        <v>331</v>
      </c>
      <c r="L808">
        <v>9</v>
      </c>
      <c r="M808">
        <v>374.09</v>
      </c>
      <c r="N808">
        <v>0.17</v>
      </c>
      <c r="O808">
        <v>4521.17</v>
      </c>
      <c r="P808">
        <v>397.05</v>
      </c>
      <c r="Q808">
        <v>78.38</v>
      </c>
      <c r="R808" t="s">
        <v>29</v>
      </c>
      <c r="S808">
        <v>1</v>
      </c>
      <c r="T808" t="b">
        <v>1</v>
      </c>
      <c r="U808" t="s">
        <v>50</v>
      </c>
      <c r="V808">
        <v>8</v>
      </c>
    </row>
    <row r="809" spans="1:22" x14ac:dyDescent="0.25">
      <c r="A809" t="s">
        <v>2074</v>
      </c>
      <c r="B809" s="1">
        <v>43926</v>
      </c>
      <c r="C809" t="s">
        <v>2075</v>
      </c>
      <c r="D809" t="s">
        <v>1341</v>
      </c>
      <c r="E809">
        <v>53</v>
      </c>
      <c r="F809" t="str">
        <f>IF(Table1[[#This Row],[age]]&lt;=25,"18-25",IF(Table1[[#This Row],[age]]&lt;=35,"26-35",IF(Table1[[#This Row],[age]]&lt;=50,"36-50","51+")))</f>
        <v>51+</v>
      </c>
      <c r="G809" t="s">
        <v>24</v>
      </c>
      <c r="H809" t="s">
        <v>80</v>
      </c>
      <c r="I809" t="s">
        <v>86</v>
      </c>
      <c r="J809" t="s">
        <v>115</v>
      </c>
      <c r="K809" t="s">
        <v>398</v>
      </c>
      <c r="L809">
        <v>7</v>
      </c>
      <c r="M809">
        <v>9567.57</v>
      </c>
      <c r="N809">
        <v>0.15</v>
      </c>
      <c r="O809">
        <v>74980.19</v>
      </c>
      <c r="P809">
        <v>6346.79</v>
      </c>
      <c r="Q809">
        <v>57.59</v>
      </c>
      <c r="R809" t="s">
        <v>65</v>
      </c>
      <c r="S809">
        <v>2</v>
      </c>
      <c r="T809" t="b">
        <v>1</v>
      </c>
      <c r="U809" t="s">
        <v>50</v>
      </c>
      <c r="V809">
        <v>5</v>
      </c>
    </row>
    <row r="810" spans="1:22" x14ac:dyDescent="0.25">
      <c r="A810" t="s">
        <v>2076</v>
      </c>
      <c r="B810" s="1">
        <v>43914</v>
      </c>
      <c r="C810" t="s">
        <v>2077</v>
      </c>
      <c r="D810" t="s">
        <v>2067</v>
      </c>
      <c r="E810">
        <v>45</v>
      </c>
      <c r="F810" t="str">
        <f>IF(Table1[[#This Row],[age]]&lt;=25,"18-25",IF(Table1[[#This Row],[age]]&lt;=35,"26-35",IF(Table1[[#This Row],[age]]&lt;=50,"36-50","51+")))</f>
        <v>36-50</v>
      </c>
      <c r="G810" t="s">
        <v>24</v>
      </c>
      <c r="H810" t="s">
        <v>69</v>
      </c>
      <c r="I810" t="s">
        <v>221</v>
      </c>
      <c r="J810" t="s">
        <v>115</v>
      </c>
      <c r="K810" t="s">
        <v>545</v>
      </c>
      <c r="L810">
        <v>1</v>
      </c>
      <c r="M810">
        <v>6658.64</v>
      </c>
      <c r="N810">
        <v>0.06</v>
      </c>
      <c r="O810">
        <v>6373.28</v>
      </c>
      <c r="P810">
        <v>702.66</v>
      </c>
      <c r="Q810">
        <v>108.65</v>
      </c>
      <c r="R810" t="s">
        <v>65</v>
      </c>
      <c r="S810">
        <v>4</v>
      </c>
      <c r="T810" t="b">
        <v>0</v>
      </c>
      <c r="U810" t="s">
        <v>30</v>
      </c>
      <c r="V810">
        <v>10</v>
      </c>
    </row>
    <row r="811" spans="1:22" x14ac:dyDescent="0.25">
      <c r="A811" t="s">
        <v>2078</v>
      </c>
      <c r="B811" s="1">
        <v>45324</v>
      </c>
      <c r="C811" t="s">
        <v>2079</v>
      </c>
      <c r="D811" t="s">
        <v>96</v>
      </c>
      <c r="E811">
        <v>23</v>
      </c>
      <c r="F811" t="str">
        <f>IF(Table1[[#This Row],[age]]&lt;=25,"18-25",IF(Table1[[#This Row],[age]]&lt;=35,"26-35",IF(Table1[[#This Row],[age]]&lt;=50,"36-50","51+")))</f>
        <v>18-25</v>
      </c>
      <c r="G811" t="s">
        <v>34</v>
      </c>
      <c r="H811" t="s">
        <v>61</v>
      </c>
      <c r="I811" t="s">
        <v>91</v>
      </c>
      <c r="J811" t="s">
        <v>36</v>
      </c>
      <c r="K811" t="s">
        <v>37</v>
      </c>
      <c r="L811">
        <v>1</v>
      </c>
      <c r="M811">
        <v>18541.2</v>
      </c>
      <c r="N811">
        <v>0.28000000000000003</v>
      </c>
      <c r="O811">
        <v>14966.05</v>
      </c>
      <c r="P811">
        <v>4220.82</v>
      </c>
      <c r="Q811">
        <v>26.45</v>
      </c>
      <c r="R811" t="s">
        <v>49</v>
      </c>
      <c r="S811">
        <v>5</v>
      </c>
      <c r="T811" t="b">
        <v>0</v>
      </c>
      <c r="U811" t="s">
        <v>30</v>
      </c>
      <c r="V811">
        <v>9</v>
      </c>
    </row>
    <row r="812" spans="1:22" x14ac:dyDescent="0.25">
      <c r="A812" t="s">
        <v>2080</v>
      </c>
      <c r="B812" s="1">
        <v>44578</v>
      </c>
      <c r="C812" t="s">
        <v>2081</v>
      </c>
      <c r="D812" t="s">
        <v>1288</v>
      </c>
      <c r="E812">
        <v>36</v>
      </c>
      <c r="F812" t="str">
        <f>IF(Table1[[#This Row],[age]]&lt;=25,"18-25",IF(Table1[[#This Row],[age]]&lt;=35,"26-35",IF(Table1[[#This Row],[age]]&lt;=50,"36-50","51+")))</f>
        <v>36-50</v>
      </c>
      <c r="G812" t="s">
        <v>24</v>
      </c>
      <c r="H812" t="s">
        <v>25</v>
      </c>
      <c r="I812" t="s">
        <v>26</v>
      </c>
      <c r="J812" t="s">
        <v>27</v>
      </c>
      <c r="K812" t="s">
        <v>335</v>
      </c>
      <c r="L812">
        <v>7</v>
      </c>
      <c r="M812">
        <v>1098.02</v>
      </c>
      <c r="N812">
        <v>0.23</v>
      </c>
      <c r="O812">
        <v>4476.08</v>
      </c>
      <c r="P812">
        <v>2091.36</v>
      </c>
      <c r="Q812">
        <v>61.05</v>
      </c>
      <c r="R812" t="s">
        <v>49</v>
      </c>
      <c r="S812">
        <v>3</v>
      </c>
      <c r="T812" t="b">
        <v>0</v>
      </c>
      <c r="U812" t="s">
        <v>30</v>
      </c>
      <c r="V812">
        <v>10</v>
      </c>
    </row>
    <row r="813" spans="1:22" x14ac:dyDescent="0.25">
      <c r="A813" t="s">
        <v>2082</v>
      </c>
      <c r="B813" s="1">
        <v>44119</v>
      </c>
      <c r="C813" t="s">
        <v>2083</v>
      </c>
      <c r="D813" t="s">
        <v>826</v>
      </c>
      <c r="E813">
        <v>38</v>
      </c>
      <c r="F813" t="str">
        <f>IF(Table1[[#This Row],[age]]&lt;=25,"18-25",IF(Table1[[#This Row],[age]]&lt;=35,"26-35",IF(Table1[[#This Row],[age]]&lt;=50,"36-50","51+")))</f>
        <v>36-50</v>
      </c>
      <c r="G813" t="s">
        <v>54</v>
      </c>
      <c r="H813" t="s">
        <v>69</v>
      </c>
      <c r="I813" t="s">
        <v>221</v>
      </c>
      <c r="J813" t="s">
        <v>47</v>
      </c>
      <c r="K813" t="s">
        <v>48</v>
      </c>
      <c r="L813">
        <v>9</v>
      </c>
      <c r="M813">
        <v>1306.28</v>
      </c>
      <c r="N813">
        <v>0.21</v>
      </c>
      <c r="O813">
        <v>8262.31</v>
      </c>
      <c r="P813">
        <v>4280.66</v>
      </c>
      <c r="Q813">
        <v>74.540000000000006</v>
      </c>
      <c r="R813" t="s">
        <v>92</v>
      </c>
      <c r="S813">
        <v>1</v>
      </c>
      <c r="T813" t="b">
        <v>0</v>
      </c>
      <c r="U813" t="s">
        <v>30</v>
      </c>
      <c r="V813">
        <v>4</v>
      </c>
    </row>
    <row r="814" spans="1:22" x14ac:dyDescent="0.25">
      <c r="A814" t="s">
        <v>2084</v>
      </c>
      <c r="B814" s="1">
        <v>44295</v>
      </c>
      <c r="C814" t="s">
        <v>2085</v>
      </c>
      <c r="D814" t="s">
        <v>459</v>
      </c>
      <c r="E814">
        <v>36</v>
      </c>
      <c r="F814" t="str">
        <f>IF(Table1[[#This Row],[age]]&lt;=25,"18-25",IF(Table1[[#This Row],[age]]&lt;=35,"26-35",IF(Table1[[#This Row],[age]]&lt;=50,"36-50","51+")))</f>
        <v>36-50</v>
      </c>
      <c r="G814" t="s">
        <v>24</v>
      </c>
      <c r="H814" t="s">
        <v>61</v>
      </c>
      <c r="I814" t="s">
        <v>62</v>
      </c>
      <c r="J814" t="s">
        <v>101</v>
      </c>
      <c r="K814" t="s">
        <v>164</v>
      </c>
      <c r="L814">
        <v>999</v>
      </c>
      <c r="M814">
        <v>9380.7199999999993</v>
      </c>
      <c r="N814">
        <v>0.28999999999999998</v>
      </c>
      <c r="O814">
        <v>7936261.2000000002</v>
      </c>
      <c r="P814">
        <v>1739854</v>
      </c>
      <c r="Q814">
        <v>72.62</v>
      </c>
      <c r="R814" t="s">
        <v>92</v>
      </c>
      <c r="S814">
        <v>4</v>
      </c>
      <c r="T814" t="b">
        <v>0</v>
      </c>
      <c r="U814" t="s">
        <v>30</v>
      </c>
      <c r="V814">
        <v>4</v>
      </c>
    </row>
    <row r="815" spans="1:22" x14ac:dyDescent="0.25">
      <c r="A815" t="s">
        <v>2086</v>
      </c>
      <c r="B815" s="1">
        <v>44645</v>
      </c>
      <c r="C815" t="s">
        <v>2087</v>
      </c>
      <c r="D815" t="s">
        <v>499</v>
      </c>
      <c r="E815">
        <v>35</v>
      </c>
      <c r="F815" t="str">
        <f>IF(Table1[[#This Row],[age]]&lt;=25,"18-25",IF(Table1[[#This Row],[age]]&lt;=35,"26-35",IF(Table1[[#This Row],[age]]&lt;=50,"36-50","51+")))</f>
        <v>26-35</v>
      </c>
      <c r="G815" t="s">
        <v>34</v>
      </c>
      <c r="H815" t="s">
        <v>69</v>
      </c>
      <c r="I815" t="s">
        <v>181</v>
      </c>
      <c r="J815" t="s">
        <v>106</v>
      </c>
      <c r="K815" t="s">
        <v>718</v>
      </c>
      <c r="L815">
        <v>6</v>
      </c>
      <c r="M815">
        <v>113.85</v>
      </c>
      <c r="N815">
        <v>0.12</v>
      </c>
      <c r="O815">
        <v>739.35</v>
      </c>
      <c r="P815">
        <v>42.47</v>
      </c>
      <c r="Q815">
        <v>94.73</v>
      </c>
      <c r="R815" t="s">
        <v>65</v>
      </c>
      <c r="S815">
        <v>5</v>
      </c>
      <c r="T815" t="b">
        <v>0</v>
      </c>
      <c r="U815" t="s">
        <v>30</v>
      </c>
      <c r="V815">
        <v>9</v>
      </c>
    </row>
    <row r="816" spans="1:22" x14ac:dyDescent="0.25">
      <c r="A816" t="s">
        <v>2088</v>
      </c>
      <c r="B816" s="1">
        <v>45352</v>
      </c>
      <c r="C816" t="s">
        <v>2089</v>
      </c>
      <c r="D816" t="s">
        <v>404</v>
      </c>
      <c r="E816">
        <v>61</v>
      </c>
      <c r="F816" t="str">
        <f>IF(Table1[[#This Row],[age]]&lt;=25,"18-25",IF(Table1[[#This Row],[age]]&lt;=35,"26-35",IF(Table1[[#This Row],[age]]&lt;=50,"36-50","51+")))</f>
        <v>51+</v>
      </c>
      <c r="G816" t="s">
        <v>24</v>
      </c>
      <c r="H816" t="s">
        <v>80</v>
      </c>
      <c r="I816" t="s">
        <v>242</v>
      </c>
      <c r="J816" t="s">
        <v>27</v>
      </c>
      <c r="K816" t="s">
        <v>128</v>
      </c>
      <c r="L816">
        <v>2</v>
      </c>
      <c r="M816">
        <v>2459.27</v>
      </c>
      <c r="N816">
        <v>0.22</v>
      </c>
      <c r="O816">
        <v>4998.5200000000004</v>
      </c>
      <c r="P816">
        <v>2550.2600000000002</v>
      </c>
      <c r="Q816">
        <v>90.29</v>
      </c>
      <c r="R816" t="s">
        <v>57</v>
      </c>
      <c r="S816">
        <v>5</v>
      </c>
      <c r="T816" t="b">
        <v>0</v>
      </c>
      <c r="U816" t="s">
        <v>30</v>
      </c>
      <c r="V816">
        <v>2</v>
      </c>
    </row>
    <row r="817" spans="1:22" x14ac:dyDescent="0.25">
      <c r="A817" t="s">
        <v>2090</v>
      </c>
      <c r="B817" s="1">
        <v>44645</v>
      </c>
      <c r="C817" t="s">
        <v>2091</v>
      </c>
      <c r="D817" t="s">
        <v>343</v>
      </c>
      <c r="E817">
        <v>51</v>
      </c>
      <c r="F817" t="str">
        <f>IF(Table1[[#This Row],[age]]&lt;=25,"18-25",IF(Table1[[#This Row],[age]]&lt;=35,"26-35",IF(Table1[[#This Row],[age]]&lt;=50,"36-50","51+")))</f>
        <v>51+</v>
      </c>
      <c r="G817" t="s">
        <v>54</v>
      </c>
      <c r="H817" t="s">
        <v>55</v>
      </c>
      <c r="I817" t="s">
        <v>75</v>
      </c>
      <c r="J817" t="s">
        <v>63</v>
      </c>
      <c r="K817" t="s">
        <v>82</v>
      </c>
      <c r="L817">
        <v>4</v>
      </c>
      <c r="M817">
        <v>3759.12</v>
      </c>
      <c r="N817">
        <v>0.06</v>
      </c>
      <c r="O817">
        <v>16565.63</v>
      </c>
      <c r="P817">
        <v>5889.66</v>
      </c>
      <c r="Q817">
        <v>49.87</v>
      </c>
      <c r="R817" t="s">
        <v>49</v>
      </c>
      <c r="S817">
        <v>3</v>
      </c>
      <c r="T817" t="b">
        <v>0</v>
      </c>
      <c r="U817" t="s">
        <v>30</v>
      </c>
      <c r="V817">
        <v>1</v>
      </c>
    </row>
    <row r="818" spans="1:22" x14ac:dyDescent="0.25">
      <c r="A818" t="s">
        <v>2092</v>
      </c>
      <c r="B818" s="1">
        <v>44994</v>
      </c>
      <c r="C818" t="s">
        <v>2093</v>
      </c>
      <c r="D818" t="s">
        <v>1478</v>
      </c>
      <c r="E818">
        <v>53</v>
      </c>
      <c r="F818" t="str">
        <f>IF(Table1[[#This Row],[age]]&lt;=25,"18-25",IF(Table1[[#This Row],[age]]&lt;=35,"26-35",IF(Table1[[#This Row],[age]]&lt;=50,"36-50","51+")))</f>
        <v>51+</v>
      </c>
      <c r="G818" t="s">
        <v>54</v>
      </c>
      <c r="H818" t="s">
        <v>55</v>
      </c>
      <c r="I818" t="s">
        <v>56</v>
      </c>
      <c r="J818" t="s">
        <v>47</v>
      </c>
      <c r="K818" t="s">
        <v>204</v>
      </c>
      <c r="L818">
        <v>7</v>
      </c>
      <c r="M818">
        <v>291.52999999999997</v>
      </c>
      <c r="N818">
        <v>0.08</v>
      </c>
      <c r="O818">
        <v>2565.08</v>
      </c>
      <c r="P818">
        <v>571.02</v>
      </c>
      <c r="Q818">
        <v>71.31</v>
      </c>
      <c r="R818" t="s">
        <v>57</v>
      </c>
      <c r="S818">
        <v>1</v>
      </c>
      <c r="T818" t="b">
        <v>0</v>
      </c>
      <c r="U818" t="s">
        <v>30</v>
      </c>
      <c r="V818">
        <v>3</v>
      </c>
    </row>
    <row r="819" spans="1:22" x14ac:dyDescent="0.25">
      <c r="A819" t="s">
        <v>2094</v>
      </c>
      <c r="B819" s="1">
        <v>45583</v>
      </c>
      <c r="C819" t="s">
        <v>2095</v>
      </c>
      <c r="D819" t="s">
        <v>748</v>
      </c>
      <c r="E819">
        <v>32</v>
      </c>
      <c r="F819" t="str">
        <f>IF(Table1[[#This Row],[age]]&lt;=25,"18-25",IF(Table1[[#This Row],[age]]&lt;=35,"26-35",IF(Table1[[#This Row],[age]]&lt;=50,"36-50","51+")))</f>
        <v>26-35</v>
      </c>
      <c r="G819" t="s">
        <v>24</v>
      </c>
      <c r="H819" t="s">
        <v>55</v>
      </c>
      <c r="I819" t="s">
        <v>97</v>
      </c>
      <c r="J819" t="s">
        <v>101</v>
      </c>
      <c r="K819" t="s">
        <v>214</v>
      </c>
      <c r="L819">
        <v>1</v>
      </c>
      <c r="M819">
        <v>13524.69</v>
      </c>
      <c r="N819">
        <v>0.16</v>
      </c>
      <c r="O819">
        <v>12066.97</v>
      </c>
      <c r="P819">
        <v>2590.87</v>
      </c>
      <c r="Q819">
        <v>66.760000000000005</v>
      </c>
      <c r="R819" t="s">
        <v>65</v>
      </c>
      <c r="S819">
        <v>5</v>
      </c>
      <c r="T819" t="b">
        <v>0</v>
      </c>
      <c r="U819" t="s">
        <v>30</v>
      </c>
      <c r="V819">
        <v>6</v>
      </c>
    </row>
    <row r="820" spans="1:22" x14ac:dyDescent="0.25">
      <c r="A820" t="s">
        <v>2096</v>
      </c>
      <c r="B820" s="1">
        <v>44493</v>
      </c>
      <c r="C820" t="s">
        <v>2097</v>
      </c>
      <c r="D820" t="s">
        <v>381</v>
      </c>
      <c r="E820">
        <v>18</v>
      </c>
      <c r="F820" t="str">
        <f>IF(Table1[[#This Row],[age]]&lt;=25,"18-25",IF(Table1[[#This Row],[age]]&lt;=35,"26-35",IF(Table1[[#This Row],[age]]&lt;=50,"36-50","51+")))</f>
        <v>18-25</v>
      </c>
      <c r="G820" t="s">
        <v>24</v>
      </c>
      <c r="H820" t="s">
        <v>55</v>
      </c>
      <c r="I820" t="s">
        <v>75</v>
      </c>
      <c r="J820" t="s">
        <v>63</v>
      </c>
      <c r="K820" t="s">
        <v>82</v>
      </c>
      <c r="L820">
        <v>4</v>
      </c>
      <c r="M820">
        <v>2744.4</v>
      </c>
      <c r="N820">
        <v>0.06</v>
      </c>
      <c r="O820">
        <v>9005.15</v>
      </c>
      <c r="P820">
        <v>3617.26</v>
      </c>
      <c r="Q820">
        <v>63.69</v>
      </c>
      <c r="R820" t="s">
        <v>43</v>
      </c>
      <c r="S820">
        <v>1</v>
      </c>
      <c r="T820" t="b">
        <v>0</v>
      </c>
      <c r="U820" t="s">
        <v>193</v>
      </c>
      <c r="V820">
        <v>7</v>
      </c>
    </row>
    <row r="821" spans="1:22" x14ac:dyDescent="0.25">
      <c r="A821" t="s">
        <v>2098</v>
      </c>
      <c r="B821" s="1">
        <v>44940</v>
      </c>
      <c r="C821" t="s">
        <v>2099</v>
      </c>
      <c r="D821" t="s">
        <v>490</v>
      </c>
      <c r="E821">
        <v>38</v>
      </c>
      <c r="F821" t="str">
        <f>IF(Table1[[#This Row],[age]]&lt;=25,"18-25",IF(Table1[[#This Row],[age]]&lt;=35,"26-35",IF(Table1[[#This Row],[age]]&lt;=50,"36-50","51+")))</f>
        <v>36-50</v>
      </c>
      <c r="G821" t="s">
        <v>24</v>
      </c>
      <c r="H821" t="s">
        <v>61</v>
      </c>
      <c r="I821" t="s">
        <v>163</v>
      </c>
      <c r="J821" t="s">
        <v>115</v>
      </c>
      <c r="K821" t="s">
        <v>197</v>
      </c>
      <c r="L821">
        <v>6</v>
      </c>
      <c r="M821">
        <v>8947.94</v>
      </c>
      <c r="N821">
        <v>0.18</v>
      </c>
      <c r="O821">
        <v>39941.040000000001</v>
      </c>
      <c r="P821">
        <v>4114.43</v>
      </c>
      <c r="Q821">
        <v>67.17</v>
      </c>
      <c r="R821" t="s">
        <v>92</v>
      </c>
      <c r="S821">
        <v>4</v>
      </c>
      <c r="T821" t="b">
        <v>0</v>
      </c>
      <c r="U821" t="s">
        <v>71</v>
      </c>
      <c r="V821">
        <v>10</v>
      </c>
    </row>
    <row r="822" spans="1:22" x14ac:dyDescent="0.25">
      <c r="A822" t="s">
        <v>2100</v>
      </c>
      <c r="B822" s="1">
        <v>44827</v>
      </c>
      <c r="C822" t="s">
        <v>2101</v>
      </c>
      <c r="D822" t="s">
        <v>679</v>
      </c>
      <c r="E822">
        <v>33</v>
      </c>
      <c r="F822" t="str">
        <f>IF(Table1[[#This Row],[age]]&lt;=25,"18-25",IF(Table1[[#This Row],[age]]&lt;=35,"26-35",IF(Table1[[#This Row],[age]]&lt;=50,"36-50","51+")))</f>
        <v>26-35</v>
      </c>
      <c r="G822" t="s">
        <v>24</v>
      </c>
      <c r="H822" t="s">
        <v>25</v>
      </c>
      <c r="I822" t="s">
        <v>26</v>
      </c>
      <c r="J822" t="s">
        <v>27</v>
      </c>
      <c r="K822" t="s">
        <v>335</v>
      </c>
      <c r="L822">
        <v>5</v>
      </c>
      <c r="M822">
        <v>926.42</v>
      </c>
      <c r="N822">
        <v>0.25</v>
      </c>
      <c r="O822">
        <v>3809.66</v>
      </c>
      <c r="P822">
        <v>1528.7</v>
      </c>
      <c r="Q822">
        <v>64.010000000000005</v>
      </c>
      <c r="R822" t="s">
        <v>29</v>
      </c>
      <c r="S822">
        <v>5</v>
      </c>
      <c r="T822" t="b">
        <v>0</v>
      </c>
      <c r="U822" t="s">
        <v>93</v>
      </c>
      <c r="V822">
        <v>6</v>
      </c>
    </row>
    <row r="823" spans="1:22" x14ac:dyDescent="0.25">
      <c r="A823" t="s">
        <v>2102</v>
      </c>
      <c r="B823" s="1">
        <v>45174</v>
      </c>
      <c r="C823" t="s">
        <v>2103</v>
      </c>
      <c r="D823" t="s">
        <v>2104</v>
      </c>
      <c r="E823">
        <v>36</v>
      </c>
      <c r="F823" t="str">
        <f>IF(Table1[[#This Row],[age]]&lt;=25,"18-25",IF(Table1[[#This Row],[age]]&lt;=35,"26-35",IF(Table1[[#This Row],[age]]&lt;=50,"36-50","51+")))</f>
        <v>36-50</v>
      </c>
      <c r="G823" t="s">
        <v>24</v>
      </c>
      <c r="H823" t="s">
        <v>55</v>
      </c>
      <c r="I823" t="s">
        <v>56</v>
      </c>
      <c r="J823" t="s">
        <v>115</v>
      </c>
      <c r="K823" t="s">
        <v>545</v>
      </c>
      <c r="L823">
        <v>9</v>
      </c>
      <c r="M823">
        <v>26560.240000000002</v>
      </c>
      <c r="N823">
        <v>0.2</v>
      </c>
      <c r="O823">
        <v>238441.62</v>
      </c>
      <c r="P823">
        <v>32963.32</v>
      </c>
      <c r="Q823">
        <v>47.86</v>
      </c>
      <c r="R823" t="s">
        <v>29</v>
      </c>
      <c r="S823">
        <v>2</v>
      </c>
      <c r="T823" t="b">
        <v>0</v>
      </c>
      <c r="U823" t="s">
        <v>30</v>
      </c>
      <c r="V823">
        <v>10</v>
      </c>
    </row>
    <row r="824" spans="1:22" x14ac:dyDescent="0.25">
      <c r="A824" t="s">
        <v>2105</v>
      </c>
      <c r="B824" s="1">
        <v>44336</v>
      </c>
      <c r="C824" t="s">
        <v>2106</v>
      </c>
      <c r="D824" t="s">
        <v>2107</v>
      </c>
      <c r="E824">
        <v>44</v>
      </c>
      <c r="F824" t="str">
        <f>IF(Table1[[#This Row],[age]]&lt;=25,"18-25",IF(Table1[[#This Row],[age]]&lt;=35,"26-35",IF(Table1[[#This Row],[age]]&lt;=50,"36-50","51+")))</f>
        <v>36-50</v>
      </c>
      <c r="G824" t="s">
        <v>54</v>
      </c>
      <c r="H824" t="s">
        <v>25</v>
      </c>
      <c r="I824" t="s">
        <v>298</v>
      </c>
      <c r="J824" t="s">
        <v>101</v>
      </c>
      <c r="K824" t="s">
        <v>124</v>
      </c>
      <c r="L824">
        <v>4</v>
      </c>
      <c r="M824">
        <v>2049.02</v>
      </c>
      <c r="N824">
        <v>0.11</v>
      </c>
      <c r="O824">
        <v>10395.540000000001</v>
      </c>
      <c r="P824">
        <v>1625.17</v>
      </c>
      <c r="Q824">
        <v>77.489999999999995</v>
      </c>
      <c r="R824" t="s">
        <v>49</v>
      </c>
      <c r="S824">
        <v>2</v>
      </c>
      <c r="T824" t="b">
        <v>0</v>
      </c>
      <c r="U824" t="s">
        <v>30</v>
      </c>
      <c r="V824">
        <v>1</v>
      </c>
    </row>
    <row r="825" spans="1:22" x14ac:dyDescent="0.25">
      <c r="A825" t="s">
        <v>2108</v>
      </c>
      <c r="B825" s="1">
        <v>45591</v>
      </c>
      <c r="C825" t="s">
        <v>2109</v>
      </c>
      <c r="D825" t="s">
        <v>588</v>
      </c>
      <c r="E825">
        <v>25</v>
      </c>
      <c r="F825" t="str">
        <f>IF(Table1[[#This Row],[age]]&lt;=25,"18-25",IF(Table1[[#This Row],[age]]&lt;=35,"26-35",IF(Table1[[#This Row],[age]]&lt;=50,"36-50","51+")))</f>
        <v>18-25</v>
      </c>
      <c r="G825" t="s">
        <v>54</v>
      </c>
      <c r="H825" t="s">
        <v>80</v>
      </c>
      <c r="I825" t="s">
        <v>242</v>
      </c>
      <c r="J825" t="s">
        <v>106</v>
      </c>
      <c r="K825" t="s">
        <v>247</v>
      </c>
      <c r="L825">
        <v>7</v>
      </c>
      <c r="M825">
        <v>352.63</v>
      </c>
      <c r="N825">
        <v>0.25</v>
      </c>
      <c r="O825">
        <v>1976.85</v>
      </c>
      <c r="P825">
        <v>173.35</v>
      </c>
      <c r="Q825">
        <v>62.95</v>
      </c>
      <c r="R825" t="s">
        <v>92</v>
      </c>
      <c r="S825">
        <v>3</v>
      </c>
      <c r="T825" t="b">
        <v>1</v>
      </c>
      <c r="U825" t="s">
        <v>50</v>
      </c>
      <c r="V825">
        <v>5</v>
      </c>
    </row>
    <row r="826" spans="1:22" x14ac:dyDescent="0.25">
      <c r="A826" t="s">
        <v>2110</v>
      </c>
      <c r="B826" s="1">
        <v>45372</v>
      </c>
      <c r="C826" t="s">
        <v>2111</v>
      </c>
      <c r="D826" t="s">
        <v>1274</v>
      </c>
      <c r="E826">
        <v>21</v>
      </c>
      <c r="F826" t="str">
        <f>IF(Table1[[#This Row],[age]]&lt;=25,"18-25",IF(Table1[[#This Row],[age]]&lt;=35,"26-35",IF(Table1[[#This Row],[age]]&lt;=50,"36-50","51+")))</f>
        <v>18-25</v>
      </c>
      <c r="G826" t="s">
        <v>34</v>
      </c>
      <c r="H826" t="s">
        <v>69</v>
      </c>
      <c r="I826" t="s">
        <v>70</v>
      </c>
      <c r="J826" t="s">
        <v>63</v>
      </c>
      <c r="K826" t="s">
        <v>111</v>
      </c>
      <c r="L826">
        <v>8</v>
      </c>
      <c r="M826">
        <v>894.69</v>
      </c>
      <c r="N826">
        <v>0.02</v>
      </c>
      <c r="O826">
        <v>9349.02</v>
      </c>
      <c r="P826">
        <v>1742.56</v>
      </c>
      <c r="Q826">
        <v>62.56</v>
      </c>
      <c r="R826" t="s">
        <v>49</v>
      </c>
      <c r="S826">
        <v>5</v>
      </c>
      <c r="T826" t="b">
        <v>0</v>
      </c>
      <c r="U826" t="s">
        <v>30</v>
      </c>
      <c r="V826">
        <v>6</v>
      </c>
    </row>
    <row r="827" spans="1:22" x14ac:dyDescent="0.25">
      <c r="A827" t="s">
        <v>2112</v>
      </c>
      <c r="B827" s="1">
        <v>44974</v>
      </c>
      <c r="C827" t="s">
        <v>2113</v>
      </c>
      <c r="D827" t="s">
        <v>1516</v>
      </c>
      <c r="E827">
        <v>48</v>
      </c>
      <c r="F827" t="str">
        <f>IF(Table1[[#This Row],[age]]&lt;=25,"18-25",IF(Table1[[#This Row],[age]]&lt;=35,"26-35",IF(Table1[[#This Row],[age]]&lt;=50,"36-50","51+")))</f>
        <v>36-50</v>
      </c>
      <c r="G827" t="s">
        <v>24</v>
      </c>
      <c r="H827" t="s">
        <v>69</v>
      </c>
      <c r="I827" t="s">
        <v>136</v>
      </c>
      <c r="J827" t="s">
        <v>63</v>
      </c>
      <c r="K827" t="s">
        <v>152</v>
      </c>
      <c r="L827">
        <v>9</v>
      </c>
      <c r="M827">
        <v>3701.68</v>
      </c>
      <c r="N827">
        <v>0.25</v>
      </c>
      <c r="O827">
        <v>25508.14</v>
      </c>
      <c r="P827">
        <v>10141.91</v>
      </c>
      <c r="Q827">
        <v>66.89</v>
      </c>
      <c r="R827" t="s">
        <v>57</v>
      </c>
      <c r="S827">
        <v>5</v>
      </c>
      <c r="T827" t="b">
        <v>0</v>
      </c>
      <c r="U827" t="s">
        <v>30</v>
      </c>
      <c r="V827">
        <v>2</v>
      </c>
    </row>
    <row r="828" spans="1:22" x14ac:dyDescent="0.25">
      <c r="A828" t="s">
        <v>2114</v>
      </c>
      <c r="B828" s="1">
        <v>44605</v>
      </c>
      <c r="C828" t="s">
        <v>2115</v>
      </c>
      <c r="D828" t="s">
        <v>1521</v>
      </c>
      <c r="E828">
        <v>31</v>
      </c>
      <c r="F828" t="str">
        <f>IF(Table1[[#This Row],[age]]&lt;=25,"18-25",IF(Table1[[#This Row],[age]]&lt;=35,"26-35",IF(Table1[[#This Row],[age]]&lt;=50,"36-50","51+")))</f>
        <v>26-35</v>
      </c>
      <c r="G828" t="s">
        <v>34</v>
      </c>
      <c r="H828" t="s">
        <v>61</v>
      </c>
      <c r="I828" t="s">
        <v>163</v>
      </c>
      <c r="J828" t="s">
        <v>47</v>
      </c>
      <c r="K828" t="s">
        <v>120</v>
      </c>
      <c r="L828">
        <v>3</v>
      </c>
      <c r="M828">
        <v>1239.02</v>
      </c>
      <c r="N828">
        <v>0.3</v>
      </c>
      <c r="O828">
        <v>2496.6</v>
      </c>
      <c r="P828">
        <v>753.81</v>
      </c>
      <c r="Q828">
        <v>47.04</v>
      </c>
      <c r="R828" t="s">
        <v>57</v>
      </c>
      <c r="S828">
        <v>3</v>
      </c>
      <c r="T828" t="b">
        <v>0</v>
      </c>
      <c r="U828" t="s">
        <v>30</v>
      </c>
      <c r="V828">
        <v>1</v>
      </c>
    </row>
    <row r="829" spans="1:22" x14ac:dyDescent="0.25">
      <c r="A829" t="s">
        <v>2116</v>
      </c>
      <c r="B829" s="1">
        <v>45391</v>
      </c>
      <c r="C829" t="s">
        <v>2117</v>
      </c>
      <c r="D829" t="s">
        <v>1100</v>
      </c>
      <c r="E829">
        <v>36</v>
      </c>
      <c r="F829" t="str">
        <f>IF(Table1[[#This Row],[age]]&lt;=25,"18-25",IF(Table1[[#This Row],[age]]&lt;=35,"26-35",IF(Table1[[#This Row],[age]]&lt;=50,"36-50","51+")))</f>
        <v>36-50</v>
      </c>
      <c r="G829" t="s">
        <v>54</v>
      </c>
      <c r="H829" t="s">
        <v>80</v>
      </c>
      <c r="I829" t="s">
        <v>242</v>
      </c>
      <c r="J829" t="s">
        <v>27</v>
      </c>
      <c r="K829" t="s">
        <v>28</v>
      </c>
      <c r="L829">
        <v>10</v>
      </c>
      <c r="M829">
        <v>1227.43</v>
      </c>
      <c r="N829">
        <v>0.31</v>
      </c>
      <c r="O829">
        <v>12426.65</v>
      </c>
      <c r="P829">
        <v>6994.21</v>
      </c>
      <c r="Q829">
        <v>88.5</v>
      </c>
      <c r="R829" t="s">
        <v>29</v>
      </c>
      <c r="S829">
        <v>5</v>
      </c>
      <c r="T829" t="b">
        <v>0</v>
      </c>
      <c r="U829" t="s">
        <v>30</v>
      </c>
      <c r="V829">
        <v>3</v>
      </c>
    </row>
    <row r="830" spans="1:22" x14ac:dyDescent="0.25">
      <c r="A830" t="s">
        <v>2118</v>
      </c>
      <c r="B830" s="1">
        <v>44833</v>
      </c>
      <c r="C830" t="s">
        <v>2119</v>
      </c>
      <c r="D830" t="s">
        <v>1901</v>
      </c>
      <c r="E830">
        <v>35</v>
      </c>
      <c r="F830" t="str">
        <f>IF(Table1[[#This Row],[age]]&lt;=25,"18-25",IF(Table1[[#This Row],[age]]&lt;=35,"26-35",IF(Table1[[#This Row],[age]]&lt;=50,"36-50","51+")))</f>
        <v>26-35</v>
      </c>
      <c r="G830" t="s">
        <v>24</v>
      </c>
      <c r="H830" t="s">
        <v>55</v>
      </c>
      <c r="I830" t="s">
        <v>97</v>
      </c>
      <c r="J830" t="s">
        <v>63</v>
      </c>
      <c r="K830" t="s">
        <v>87</v>
      </c>
      <c r="L830">
        <v>2</v>
      </c>
      <c r="M830">
        <v>3165.33</v>
      </c>
      <c r="N830">
        <v>0.27</v>
      </c>
      <c r="O830">
        <v>5468.29</v>
      </c>
      <c r="P830">
        <v>1737.74</v>
      </c>
      <c r="Q830">
        <v>73.28</v>
      </c>
      <c r="R830" t="s">
        <v>57</v>
      </c>
      <c r="S830">
        <v>4</v>
      </c>
      <c r="T830" t="b">
        <v>0</v>
      </c>
      <c r="U830" t="s">
        <v>30</v>
      </c>
      <c r="V830">
        <v>2</v>
      </c>
    </row>
    <row r="831" spans="1:22" x14ac:dyDescent="0.25">
      <c r="A831" t="s">
        <v>2120</v>
      </c>
      <c r="B831" s="1">
        <v>44721</v>
      </c>
      <c r="C831" t="s">
        <v>2121</v>
      </c>
      <c r="D831" t="s">
        <v>1248</v>
      </c>
      <c r="E831">
        <v>28</v>
      </c>
      <c r="F831" t="str">
        <f>IF(Table1[[#This Row],[age]]&lt;=25,"18-25",IF(Table1[[#This Row],[age]]&lt;=35,"26-35",IF(Table1[[#This Row],[age]]&lt;=50,"36-50","51+")))</f>
        <v>26-35</v>
      </c>
      <c r="G831" t="s">
        <v>34</v>
      </c>
      <c r="H831" t="s">
        <v>55</v>
      </c>
      <c r="I831" t="s">
        <v>114</v>
      </c>
      <c r="J831" t="s">
        <v>106</v>
      </c>
      <c r="K831" t="s">
        <v>188</v>
      </c>
      <c r="L831">
        <v>10</v>
      </c>
      <c r="M831">
        <v>430.31</v>
      </c>
      <c r="N831">
        <v>0.09</v>
      </c>
      <c r="O831">
        <v>5372.93</v>
      </c>
      <c r="P831">
        <v>397.37</v>
      </c>
      <c r="Q831">
        <v>47.6</v>
      </c>
      <c r="R831" t="s">
        <v>92</v>
      </c>
      <c r="S831">
        <v>1</v>
      </c>
      <c r="T831" t="b">
        <v>0</v>
      </c>
      <c r="U831" t="s">
        <v>30</v>
      </c>
      <c r="V831">
        <v>2</v>
      </c>
    </row>
    <row r="832" spans="1:22" x14ac:dyDescent="0.25">
      <c r="A832" t="s">
        <v>2122</v>
      </c>
      <c r="B832" s="1">
        <v>44476</v>
      </c>
      <c r="C832" t="s">
        <v>2123</v>
      </c>
      <c r="D832" t="s">
        <v>235</v>
      </c>
      <c r="E832">
        <v>32</v>
      </c>
      <c r="F832" t="str">
        <f>IF(Table1[[#This Row],[age]]&lt;=25,"18-25",IF(Table1[[#This Row],[age]]&lt;=35,"26-35",IF(Table1[[#This Row],[age]]&lt;=50,"36-50","51+")))</f>
        <v>26-35</v>
      </c>
      <c r="G832" t="s">
        <v>24</v>
      </c>
      <c r="H832" t="s">
        <v>61</v>
      </c>
      <c r="I832" t="s">
        <v>141</v>
      </c>
      <c r="J832" t="s">
        <v>101</v>
      </c>
      <c r="K832" t="s">
        <v>164</v>
      </c>
      <c r="L832">
        <v>5</v>
      </c>
      <c r="M832">
        <v>10759.43</v>
      </c>
      <c r="N832">
        <v>0.18</v>
      </c>
      <c r="O832">
        <v>40614.589999999997</v>
      </c>
      <c r="P832">
        <v>10920.96</v>
      </c>
      <c r="Q832">
        <v>43.85</v>
      </c>
      <c r="R832" t="s">
        <v>65</v>
      </c>
      <c r="S832">
        <v>4</v>
      </c>
      <c r="T832" t="b">
        <v>0</v>
      </c>
      <c r="U832" t="s">
        <v>30</v>
      </c>
      <c r="V832">
        <v>2</v>
      </c>
    </row>
    <row r="833" spans="1:22" x14ac:dyDescent="0.25">
      <c r="A833" t="s">
        <v>2124</v>
      </c>
      <c r="B833" s="1">
        <v>45085</v>
      </c>
      <c r="C833" t="s">
        <v>2125</v>
      </c>
      <c r="D833" t="s">
        <v>1163</v>
      </c>
      <c r="E833">
        <v>21</v>
      </c>
      <c r="F833" t="str">
        <f>IF(Table1[[#This Row],[age]]&lt;=25,"18-25",IF(Table1[[#This Row],[age]]&lt;=35,"26-35",IF(Table1[[#This Row],[age]]&lt;=50,"36-50","51+")))</f>
        <v>18-25</v>
      </c>
      <c r="G833" t="s">
        <v>54</v>
      </c>
      <c r="H833" t="s">
        <v>25</v>
      </c>
      <c r="I833" t="s">
        <v>41</v>
      </c>
      <c r="J833" t="s">
        <v>47</v>
      </c>
      <c r="K833" t="s">
        <v>156</v>
      </c>
      <c r="L833">
        <v>6</v>
      </c>
      <c r="M833">
        <v>471.17</v>
      </c>
      <c r="N833">
        <v>0.18</v>
      </c>
      <c r="O833">
        <v>3369.46</v>
      </c>
      <c r="P833">
        <v>1337.48</v>
      </c>
      <c r="Q833">
        <v>88.71</v>
      </c>
      <c r="R833" t="s">
        <v>49</v>
      </c>
      <c r="S833">
        <v>4</v>
      </c>
      <c r="T833" t="b">
        <v>0</v>
      </c>
      <c r="U833" t="s">
        <v>71</v>
      </c>
      <c r="V833">
        <v>1</v>
      </c>
    </row>
    <row r="834" spans="1:22" x14ac:dyDescent="0.25">
      <c r="A834" t="s">
        <v>2126</v>
      </c>
      <c r="B834" s="1">
        <v>44350</v>
      </c>
      <c r="C834" t="s">
        <v>2127</v>
      </c>
      <c r="D834" t="s">
        <v>682</v>
      </c>
      <c r="E834">
        <v>45</v>
      </c>
      <c r="F834" t="str">
        <f>IF(Table1[[#This Row],[age]]&lt;=25,"18-25",IF(Table1[[#This Row],[age]]&lt;=35,"26-35",IF(Table1[[#This Row],[age]]&lt;=50,"36-50","51+")))</f>
        <v>36-50</v>
      </c>
      <c r="G834" t="s">
        <v>54</v>
      </c>
      <c r="H834" t="s">
        <v>61</v>
      </c>
      <c r="I834" t="s">
        <v>62</v>
      </c>
      <c r="J834" t="s">
        <v>106</v>
      </c>
      <c r="K834" t="s">
        <v>188</v>
      </c>
      <c r="L834">
        <v>2</v>
      </c>
      <c r="M834">
        <v>346.78</v>
      </c>
      <c r="N834">
        <v>0.3</v>
      </c>
      <c r="O834">
        <v>705.38</v>
      </c>
      <c r="P834">
        <v>68.489999999999995</v>
      </c>
      <c r="Q834">
        <v>0.51</v>
      </c>
      <c r="R834" t="s">
        <v>92</v>
      </c>
      <c r="S834">
        <v>1</v>
      </c>
      <c r="T834" t="b">
        <v>0</v>
      </c>
      <c r="U834" t="s">
        <v>30</v>
      </c>
      <c r="V834">
        <v>2</v>
      </c>
    </row>
    <row r="835" spans="1:22" x14ac:dyDescent="0.25">
      <c r="A835" t="s">
        <v>2128</v>
      </c>
      <c r="B835" s="1">
        <v>44773</v>
      </c>
      <c r="C835" t="s">
        <v>2129</v>
      </c>
      <c r="D835" t="s">
        <v>1478</v>
      </c>
      <c r="E835">
        <v>28</v>
      </c>
      <c r="F835" t="str">
        <f>IF(Table1[[#This Row],[age]]&lt;=25,"18-25",IF(Table1[[#This Row],[age]]&lt;=35,"26-35",IF(Table1[[#This Row],[age]]&lt;=50,"36-50","51+")))</f>
        <v>26-35</v>
      </c>
      <c r="G835" t="s">
        <v>24</v>
      </c>
      <c r="H835" t="s">
        <v>69</v>
      </c>
      <c r="I835" t="s">
        <v>70</v>
      </c>
      <c r="J835" t="s">
        <v>47</v>
      </c>
      <c r="K835" t="s">
        <v>204</v>
      </c>
      <c r="L835">
        <v>6</v>
      </c>
      <c r="M835">
        <v>817.12</v>
      </c>
      <c r="N835">
        <v>0.36</v>
      </c>
      <c r="O835">
        <v>4458.93</v>
      </c>
      <c r="P835">
        <v>1524.76</v>
      </c>
      <c r="Q835">
        <v>74.5</v>
      </c>
      <c r="R835" t="s">
        <v>49</v>
      </c>
      <c r="S835">
        <v>1</v>
      </c>
      <c r="T835" t="b">
        <v>1</v>
      </c>
      <c r="U835" t="s">
        <v>50</v>
      </c>
      <c r="V835">
        <v>9</v>
      </c>
    </row>
    <row r="836" spans="1:22" x14ac:dyDescent="0.25">
      <c r="A836" t="s">
        <v>2130</v>
      </c>
      <c r="B836" s="1">
        <v>44782</v>
      </c>
      <c r="C836" t="s">
        <v>2131</v>
      </c>
      <c r="D836" t="s">
        <v>1898</v>
      </c>
      <c r="E836">
        <v>39</v>
      </c>
      <c r="F836" t="str">
        <f>IF(Table1[[#This Row],[age]]&lt;=25,"18-25",IF(Table1[[#This Row],[age]]&lt;=35,"26-35",IF(Table1[[#This Row],[age]]&lt;=50,"36-50","51+")))</f>
        <v>36-50</v>
      </c>
      <c r="G836" t="s">
        <v>24</v>
      </c>
      <c r="H836" t="s">
        <v>25</v>
      </c>
      <c r="I836" t="s">
        <v>26</v>
      </c>
      <c r="J836" t="s">
        <v>47</v>
      </c>
      <c r="K836" t="s">
        <v>272</v>
      </c>
      <c r="L836">
        <v>4</v>
      </c>
      <c r="M836">
        <v>426.71</v>
      </c>
      <c r="N836">
        <v>0.25</v>
      </c>
      <c r="O836">
        <v>1765.74</v>
      </c>
      <c r="P836">
        <v>838.62</v>
      </c>
      <c r="Q836">
        <v>39.200000000000003</v>
      </c>
      <c r="R836" t="s">
        <v>29</v>
      </c>
      <c r="S836">
        <v>4</v>
      </c>
      <c r="T836" t="b">
        <v>1</v>
      </c>
      <c r="U836" t="s">
        <v>50</v>
      </c>
      <c r="V836">
        <v>8</v>
      </c>
    </row>
    <row r="837" spans="1:22" x14ac:dyDescent="0.25">
      <c r="A837" t="s">
        <v>2132</v>
      </c>
      <c r="B837" s="1">
        <v>45170</v>
      </c>
      <c r="C837" t="s">
        <v>2133</v>
      </c>
      <c r="D837" t="s">
        <v>343</v>
      </c>
      <c r="E837">
        <v>39</v>
      </c>
      <c r="F837" t="str">
        <f>IF(Table1[[#This Row],[age]]&lt;=25,"18-25",IF(Table1[[#This Row],[age]]&lt;=35,"26-35",IF(Table1[[#This Row],[age]]&lt;=50,"36-50","51+")))</f>
        <v>36-50</v>
      </c>
      <c r="G837" t="s">
        <v>34</v>
      </c>
      <c r="H837" t="s">
        <v>55</v>
      </c>
      <c r="I837" t="s">
        <v>75</v>
      </c>
      <c r="J837" t="s">
        <v>115</v>
      </c>
      <c r="K837" t="s">
        <v>197</v>
      </c>
      <c r="L837">
        <v>1</v>
      </c>
      <c r="M837">
        <v>22693.39</v>
      </c>
      <c r="N837">
        <v>0.08</v>
      </c>
      <c r="O837">
        <v>27894.98</v>
      </c>
      <c r="P837">
        <v>4153.76</v>
      </c>
      <c r="Q837">
        <v>48.31</v>
      </c>
      <c r="R837" t="s">
        <v>92</v>
      </c>
      <c r="S837">
        <v>5</v>
      </c>
      <c r="T837" t="b">
        <v>0</v>
      </c>
      <c r="U837" t="s">
        <v>30</v>
      </c>
      <c r="V837">
        <v>9</v>
      </c>
    </row>
    <row r="838" spans="1:22" x14ac:dyDescent="0.25">
      <c r="A838" t="s">
        <v>2134</v>
      </c>
      <c r="B838" s="1">
        <v>45573</v>
      </c>
      <c r="C838" t="s">
        <v>2135</v>
      </c>
      <c r="D838" t="s">
        <v>401</v>
      </c>
      <c r="E838">
        <v>37</v>
      </c>
      <c r="F838" t="str">
        <f>IF(Table1[[#This Row],[age]]&lt;=25,"18-25",IF(Table1[[#This Row],[age]]&lt;=35,"26-35",IF(Table1[[#This Row],[age]]&lt;=50,"36-50","51+")))</f>
        <v>36-50</v>
      </c>
      <c r="G838" t="s">
        <v>24</v>
      </c>
      <c r="H838" t="s">
        <v>80</v>
      </c>
      <c r="I838" t="s">
        <v>81</v>
      </c>
      <c r="J838" t="s">
        <v>47</v>
      </c>
      <c r="K838" t="s">
        <v>48</v>
      </c>
      <c r="L838">
        <v>5</v>
      </c>
      <c r="M838">
        <v>1217.44</v>
      </c>
      <c r="N838">
        <v>0.33</v>
      </c>
      <c r="O838">
        <v>4363.93</v>
      </c>
      <c r="P838">
        <v>1440</v>
      </c>
      <c r="Q838">
        <v>66.03</v>
      </c>
      <c r="R838" t="s">
        <v>49</v>
      </c>
      <c r="S838">
        <v>5</v>
      </c>
      <c r="T838" t="b">
        <v>0</v>
      </c>
      <c r="U838" t="s">
        <v>30</v>
      </c>
      <c r="V838">
        <v>4</v>
      </c>
    </row>
    <row r="839" spans="1:22" x14ac:dyDescent="0.25">
      <c r="A839" t="s">
        <v>2136</v>
      </c>
      <c r="B839" s="1">
        <v>44318</v>
      </c>
      <c r="C839" t="s">
        <v>2137</v>
      </c>
      <c r="D839" t="s">
        <v>1677</v>
      </c>
      <c r="E839">
        <v>28</v>
      </c>
      <c r="F839" t="str">
        <f>IF(Table1[[#This Row],[age]]&lt;=25,"18-25",IF(Table1[[#This Row],[age]]&lt;=35,"26-35",IF(Table1[[#This Row],[age]]&lt;=50,"36-50","51+")))</f>
        <v>26-35</v>
      </c>
      <c r="G839" t="s">
        <v>24</v>
      </c>
      <c r="H839" t="s">
        <v>25</v>
      </c>
      <c r="I839" t="s">
        <v>35</v>
      </c>
      <c r="J839" t="s">
        <v>106</v>
      </c>
      <c r="K839" t="s">
        <v>331</v>
      </c>
      <c r="L839">
        <v>8</v>
      </c>
      <c r="M839">
        <v>208.12</v>
      </c>
      <c r="N839">
        <v>0.16</v>
      </c>
      <c r="O839">
        <v>1788.09</v>
      </c>
      <c r="P839">
        <v>110.57</v>
      </c>
      <c r="Q839">
        <v>77.98</v>
      </c>
      <c r="R839" t="s">
        <v>65</v>
      </c>
      <c r="S839">
        <v>3</v>
      </c>
      <c r="T839" t="b">
        <v>0</v>
      </c>
      <c r="U839" t="s">
        <v>30</v>
      </c>
      <c r="V839">
        <v>7</v>
      </c>
    </row>
    <row r="840" spans="1:22" x14ac:dyDescent="0.25">
      <c r="A840" t="s">
        <v>2138</v>
      </c>
      <c r="B840" s="1">
        <v>44685</v>
      </c>
      <c r="C840" t="s">
        <v>2139</v>
      </c>
      <c r="D840" t="s">
        <v>603</v>
      </c>
      <c r="E840">
        <v>34</v>
      </c>
      <c r="F840" t="str">
        <f>IF(Table1[[#This Row],[age]]&lt;=25,"18-25",IF(Table1[[#This Row],[age]]&lt;=35,"26-35",IF(Table1[[#This Row],[age]]&lt;=50,"36-50","51+")))</f>
        <v>26-35</v>
      </c>
      <c r="G840" t="s">
        <v>54</v>
      </c>
      <c r="H840" t="s">
        <v>61</v>
      </c>
      <c r="I840" t="s">
        <v>141</v>
      </c>
      <c r="J840" t="s">
        <v>106</v>
      </c>
      <c r="K840" t="s">
        <v>314</v>
      </c>
      <c r="L840">
        <v>6</v>
      </c>
      <c r="M840">
        <v>429.91</v>
      </c>
      <c r="N840">
        <v>0.13</v>
      </c>
      <c r="O840">
        <v>2947.93</v>
      </c>
      <c r="P840">
        <v>145.44999999999999</v>
      </c>
      <c r="Q840">
        <v>42.69</v>
      </c>
      <c r="R840" t="s">
        <v>29</v>
      </c>
      <c r="S840">
        <v>5</v>
      </c>
      <c r="T840" t="b">
        <v>0</v>
      </c>
      <c r="U840" t="s">
        <v>30</v>
      </c>
      <c r="V840">
        <v>3</v>
      </c>
    </row>
    <row r="841" spans="1:22" x14ac:dyDescent="0.25">
      <c r="A841" t="s">
        <v>2140</v>
      </c>
      <c r="B841" s="1">
        <v>44788</v>
      </c>
      <c r="C841" t="s">
        <v>2141</v>
      </c>
      <c r="D841" t="s">
        <v>2142</v>
      </c>
      <c r="E841">
        <v>39</v>
      </c>
      <c r="F841" t="str">
        <f>IF(Table1[[#This Row],[age]]&lt;=25,"18-25",IF(Table1[[#This Row],[age]]&lt;=35,"26-35",IF(Table1[[#This Row],[age]]&lt;=50,"36-50","51+")))</f>
        <v>36-50</v>
      </c>
      <c r="G841" t="s">
        <v>34</v>
      </c>
      <c r="H841" t="s">
        <v>69</v>
      </c>
      <c r="I841" t="s">
        <v>181</v>
      </c>
      <c r="J841" t="s">
        <v>36</v>
      </c>
      <c r="K841" t="s">
        <v>132</v>
      </c>
      <c r="L841">
        <v>1</v>
      </c>
      <c r="M841">
        <v>27840.27</v>
      </c>
      <c r="N841">
        <v>0.33</v>
      </c>
      <c r="O841">
        <v>29507.88</v>
      </c>
      <c r="P841">
        <v>7118.47</v>
      </c>
      <c r="Q841">
        <v>59.77</v>
      </c>
      <c r="R841" t="s">
        <v>49</v>
      </c>
      <c r="S841">
        <v>4</v>
      </c>
      <c r="T841" t="b">
        <v>0</v>
      </c>
      <c r="U841" t="s">
        <v>30</v>
      </c>
      <c r="V841">
        <v>4</v>
      </c>
    </row>
    <row r="842" spans="1:22" x14ac:dyDescent="0.25">
      <c r="A842" t="s">
        <v>2143</v>
      </c>
      <c r="B842" s="1">
        <v>45406</v>
      </c>
      <c r="C842" t="s">
        <v>2144</v>
      </c>
      <c r="D842" t="s">
        <v>1644</v>
      </c>
      <c r="E842">
        <v>39</v>
      </c>
      <c r="F842" t="str">
        <f>IF(Table1[[#This Row],[age]]&lt;=25,"18-25",IF(Table1[[#This Row],[age]]&lt;=35,"26-35",IF(Table1[[#This Row],[age]]&lt;=50,"36-50","51+")))</f>
        <v>36-50</v>
      </c>
      <c r="G842" t="s">
        <v>24</v>
      </c>
      <c r="H842" t="s">
        <v>69</v>
      </c>
      <c r="I842" t="s">
        <v>136</v>
      </c>
      <c r="J842" t="s">
        <v>63</v>
      </c>
      <c r="K842" t="s">
        <v>64</v>
      </c>
      <c r="L842">
        <v>6</v>
      </c>
      <c r="M842">
        <v>805.73</v>
      </c>
      <c r="N842">
        <v>0.39</v>
      </c>
      <c r="O842">
        <v>4220</v>
      </c>
      <c r="P842">
        <v>2273.25</v>
      </c>
      <c r="Q842">
        <v>96.9</v>
      </c>
      <c r="R842" t="s">
        <v>57</v>
      </c>
      <c r="S842">
        <v>1</v>
      </c>
      <c r="T842" t="b">
        <v>0</v>
      </c>
      <c r="U842" t="s">
        <v>30</v>
      </c>
      <c r="V842">
        <v>9</v>
      </c>
    </row>
    <row r="843" spans="1:22" x14ac:dyDescent="0.25">
      <c r="A843" t="s">
        <v>2145</v>
      </c>
      <c r="B843" s="1">
        <v>44749</v>
      </c>
      <c r="C843" t="s">
        <v>2146</v>
      </c>
      <c r="D843" t="s">
        <v>1647</v>
      </c>
      <c r="E843">
        <v>39</v>
      </c>
      <c r="F843" t="str">
        <f>IF(Table1[[#This Row],[age]]&lt;=25,"18-25",IF(Table1[[#This Row],[age]]&lt;=35,"26-35",IF(Table1[[#This Row],[age]]&lt;=50,"36-50","51+")))</f>
        <v>36-50</v>
      </c>
      <c r="G843" t="s">
        <v>24</v>
      </c>
      <c r="H843" t="s">
        <v>61</v>
      </c>
      <c r="I843" t="s">
        <v>62</v>
      </c>
      <c r="J843" t="s">
        <v>106</v>
      </c>
      <c r="K843" t="s">
        <v>331</v>
      </c>
      <c r="L843">
        <v>2</v>
      </c>
      <c r="M843">
        <v>345.49</v>
      </c>
      <c r="N843">
        <v>0.39</v>
      </c>
      <c r="O843">
        <v>710.96</v>
      </c>
      <c r="P843">
        <v>51.95</v>
      </c>
      <c r="Q843">
        <v>61.64</v>
      </c>
      <c r="R843" t="s">
        <v>65</v>
      </c>
      <c r="S843">
        <v>4</v>
      </c>
      <c r="T843" t="b">
        <v>0</v>
      </c>
      <c r="U843" t="s">
        <v>30</v>
      </c>
      <c r="V843">
        <v>10</v>
      </c>
    </row>
    <row r="844" spans="1:22" x14ac:dyDescent="0.25">
      <c r="A844" t="s">
        <v>2147</v>
      </c>
      <c r="B844" s="1">
        <v>44823</v>
      </c>
      <c r="C844" t="s">
        <v>2148</v>
      </c>
      <c r="D844" t="s">
        <v>53</v>
      </c>
      <c r="E844">
        <v>44</v>
      </c>
      <c r="F844" t="str">
        <f>IF(Table1[[#This Row],[age]]&lt;=25,"18-25",IF(Table1[[#This Row],[age]]&lt;=35,"26-35",IF(Table1[[#This Row],[age]]&lt;=50,"36-50","51+")))</f>
        <v>36-50</v>
      </c>
      <c r="G844" t="s">
        <v>54</v>
      </c>
      <c r="H844" t="s">
        <v>61</v>
      </c>
      <c r="I844" t="s">
        <v>91</v>
      </c>
      <c r="J844" t="s">
        <v>101</v>
      </c>
      <c r="K844" t="s">
        <v>102</v>
      </c>
      <c r="L844">
        <v>9</v>
      </c>
      <c r="M844">
        <v>3394.34</v>
      </c>
      <c r="N844">
        <v>0.06</v>
      </c>
      <c r="O844">
        <v>39194.69</v>
      </c>
      <c r="P844">
        <v>8874.98</v>
      </c>
      <c r="Q844">
        <v>16.96</v>
      </c>
      <c r="R844" t="s">
        <v>29</v>
      </c>
      <c r="S844">
        <v>2</v>
      </c>
      <c r="T844" t="b">
        <v>1</v>
      </c>
      <c r="U844" t="s">
        <v>50</v>
      </c>
      <c r="V844">
        <v>8</v>
      </c>
    </row>
    <row r="845" spans="1:22" x14ac:dyDescent="0.25">
      <c r="A845" t="s">
        <v>2149</v>
      </c>
      <c r="B845" s="1">
        <v>44607</v>
      </c>
      <c r="C845" t="s">
        <v>2150</v>
      </c>
      <c r="D845" t="s">
        <v>548</v>
      </c>
      <c r="E845">
        <v>56</v>
      </c>
      <c r="F845" t="str">
        <f>IF(Table1[[#This Row],[age]]&lt;=25,"18-25",IF(Table1[[#This Row],[age]]&lt;=35,"26-35",IF(Table1[[#This Row],[age]]&lt;=50,"36-50","51+")))</f>
        <v>51+</v>
      </c>
      <c r="G845" t="s">
        <v>54</v>
      </c>
      <c r="H845" t="s">
        <v>69</v>
      </c>
      <c r="I845" t="s">
        <v>221</v>
      </c>
      <c r="J845" t="s">
        <v>63</v>
      </c>
      <c r="K845" t="s">
        <v>64</v>
      </c>
      <c r="L845">
        <v>10</v>
      </c>
      <c r="M845">
        <v>3465.09</v>
      </c>
      <c r="N845">
        <v>0.2</v>
      </c>
      <c r="O845">
        <v>25651.74</v>
      </c>
      <c r="P845">
        <v>8796.1200000000008</v>
      </c>
      <c r="Q845">
        <v>99.4</v>
      </c>
      <c r="R845" t="s">
        <v>43</v>
      </c>
      <c r="S845">
        <v>5</v>
      </c>
      <c r="T845" t="b">
        <v>0</v>
      </c>
      <c r="U845" t="s">
        <v>30</v>
      </c>
      <c r="V845">
        <v>9</v>
      </c>
    </row>
    <row r="846" spans="1:22" x14ac:dyDescent="0.25">
      <c r="A846" t="s">
        <v>2151</v>
      </c>
      <c r="B846" s="1">
        <v>44652</v>
      </c>
      <c r="C846" t="s">
        <v>2152</v>
      </c>
      <c r="D846" t="s">
        <v>1074</v>
      </c>
      <c r="E846">
        <v>27</v>
      </c>
      <c r="F846" t="str">
        <f>IF(Table1[[#This Row],[age]]&lt;=25,"18-25",IF(Table1[[#This Row],[age]]&lt;=35,"26-35",IF(Table1[[#This Row],[age]]&lt;=50,"36-50","51+")))</f>
        <v>26-35</v>
      </c>
      <c r="G846" t="s">
        <v>24</v>
      </c>
      <c r="H846" t="s">
        <v>25</v>
      </c>
      <c r="I846" t="s">
        <v>35</v>
      </c>
      <c r="J846" t="s">
        <v>36</v>
      </c>
      <c r="K846" t="s">
        <v>132</v>
      </c>
      <c r="L846">
        <v>10</v>
      </c>
      <c r="M846">
        <v>21474.06</v>
      </c>
      <c r="N846">
        <v>0.33</v>
      </c>
      <c r="O846">
        <v>214328.13</v>
      </c>
      <c r="P846">
        <v>31877.360000000001</v>
      </c>
      <c r="Q846">
        <v>49.93</v>
      </c>
      <c r="R846" t="s">
        <v>43</v>
      </c>
      <c r="S846">
        <v>2</v>
      </c>
      <c r="T846" t="b">
        <v>0</v>
      </c>
      <c r="U846" t="s">
        <v>30</v>
      </c>
      <c r="V846">
        <v>8</v>
      </c>
    </row>
    <row r="847" spans="1:22" x14ac:dyDescent="0.25">
      <c r="A847" t="s">
        <v>2153</v>
      </c>
      <c r="B847" s="1">
        <v>44414</v>
      </c>
      <c r="C847" t="s">
        <v>2154</v>
      </c>
      <c r="D847" t="s">
        <v>180</v>
      </c>
      <c r="E847">
        <v>34</v>
      </c>
      <c r="F847" t="str">
        <f>IF(Table1[[#This Row],[age]]&lt;=25,"18-25",IF(Table1[[#This Row],[age]]&lt;=35,"26-35",IF(Table1[[#This Row],[age]]&lt;=50,"36-50","51+")))</f>
        <v>26-35</v>
      </c>
      <c r="G847" t="s">
        <v>34</v>
      </c>
      <c r="H847" t="s">
        <v>25</v>
      </c>
      <c r="I847" t="s">
        <v>41</v>
      </c>
      <c r="J847" t="s">
        <v>101</v>
      </c>
      <c r="K847" t="s">
        <v>124</v>
      </c>
      <c r="L847">
        <v>5</v>
      </c>
      <c r="M847">
        <v>9004.02</v>
      </c>
      <c r="N847">
        <v>0</v>
      </c>
      <c r="O847">
        <v>49123.38</v>
      </c>
      <c r="P847">
        <v>9315.67</v>
      </c>
      <c r="Q847">
        <v>69.239999999999995</v>
      </c>
      <c r="R847" t="s">
        <v>43</v>
      </c>
      <c r="S847">
        <v>5</v>
      </c>
      <c r="T847" t="b">
        <v>0</v>
      </c>
      <c r="U847" t="s">
        <v>30</v>
      </c>
      <c r="V847">
        <v>6</v>
      </c>
    </row>
    <row r="848" spans="1:22" x14ac:dyDescent="0.25">
      <c r="A848" t="s">
        <v>2155</v>
      </c>
      <c r="B848" s="1">
        <v>44018</v>
      </c>
      <c r="C848" t="s">
        <v>2156</v>
      </c>
      <c r="D848" t="s">
        <v>407</v>
      </c>
      <c r="E848">
        <v>32</v>
      </c>
      <c r="F848" t="str">
        <f>IF(Table1[[#This Row],[age]]&lt;=25,"18-25",IF(Table1[[#This Row],[age]]&lt;=35,"26-35",IF(Table1[[#This Row],[age]]&lt;=50,"36-50","51+")))</f>
        <v>26-35</v>
      </c>
      <c r="G848" t="s">
        <v>54</v>
      </c>
      <c r="H848" t="s">
        <v>69</v>
      </c>
      <c r="I848" t="s">
        <v>136</v>
      </c>
      <c r="J848" t="s">
        <v>47</v>
      </c>
      <c r="K848" t="s">
        <v>204</v>
      </c>
      <c r="L848">
        <v>5</v>
      </c>
      <c r="M848">
        <v>1078.72</v>
      </c>
      <c r="N848">
        <v>0.03</v>
      </c>
      <c r="O848">
        <v>6627.97</v>
      </c>
      <c r="P848">
        <v>3203.59</v>
      </c>
      <c r="Q848">
        <v>78.459999999999994</v>
      </c>
      <c r="R848" t="s">
        <v>49</v>
      </c>
      <c r="S848">
        <v>4</v>
      </c>
      <c r="T848" t="b">
        <v>0</v>
      </c>
      <c r="U848" t="s">
        <v>30</v>
      </c>
      <c r="V848">
        <v>4</v>
      </c>
    </row>
    <row r="849" spans="1:22" x14ac:dyDescent="0.25">
      <c r="A849" t="s">
        <v>2157</v>
      </c>
      <c r="B849" s="1">
        <v>44706</v>
      </c>
      <c r="C849" t="s">
        <v>2158</v>
      </c>
      <c r="D849" t="s">
        <v>2159</v>
      </c>
      <c r="E849">
        <v>46</v>
      </c>
      <c r="F849" t="str">
        <f>IF(Table1[[#This Row],[age]]&lt;=25,"18-25",IF(Table1[[#This Row],[age]]&lt;=35,"26-35",IF(Table1[[#This Row],[age]]&lt;=50,"36-50","51+")))</f>
        <v>36-50</v>
      </c>
      <c r="G849" t="s">
        <v>24</v>
      </c>
      <c r="H849" t="s">
        <v>61</v>
      </c>
      <c r="I849" t="s">
        <v>62</v>
      </c>
      <c r="J849" t="s">
        <v>27</v>
      </c>
      <c r="K849" t="s">
        <v>128</v>
      </c>
      <c r="L849">
        <v>8</v>
      </c>
      <c r="M849">
        <v>1707.74</v>
      </c>
      <c r="N849">
        <v>0.01</v>
      </c>
      <c r="O849">
        <v>18873.13</v>
      </c>
      <c r="P849">
        <v>10051.040000000001</v>
      </c>
      <c r="Q849">
        <v>76.8</v>
      </c>
      <c r="R849" t="s">
        <v>29</v>
      </c>
      <c r="S849">
        <v>2</v>
      </c>
      <c r="T849" t="b">
        <v>0</v>
      </c>
      <c r="U849" t="s">
        <v>30</v>
      </c>
      <c r="V849">
        <v>3</v>
      </c>
    </row>
    <row r="850" spans="1:22" x14ac:dyDescent="0.25">
      <c r="A850" t="s">
        <v>2160</v>
      </c>
      <c r="B850" s="1">
        <v>44220</v>
      </c>
      <c r="C850" t="s">
        <v>2161</v>
      </c>
      <c r="D850" t="s">
        <v>1589</v>
      </c>
      <c r="E850">
        <v>39</v>
      </c>
      <c r="F850" t="str">
        <f>IF(Table1[[#This Row],[age]]&lt;=25,"18-25",IF(Table1[[#This Row],[age]]&lt;=35,"26-35",IF(Table1[[#This Row],[age]]&lt;=50,"36-50","51+")))</f>
        <v>36-50</v>
      </c>
      <c r="G850" t="s">
        <v>24</v>
      </c>
      <c r="H850" t="s">
        <v>61</v>
      </c>
      <c r="I850" t="s">
        <v>163</v>
      </c>
      <c r="J850" t="s">
        <v>63</v>
      </c>
      <c r="K850" t="s">
        <v>152</v>
      </c>
      <c r="L850">
        <v>8</v>
      </c>
      <c r="M850">
        <v>1814.02</v>
      </c>
      <c r="N850">
        <v>0.36</v>
      </c>
      <c r="O850">
        <v>8060.63</v>
      </c>
      <c r="P850">
        <v>2084.5</v>
      </c>
      <c r="Q850">
        <v>67.95</v>
      </c>
      <c r="R850" t="s">
        <v>65</v>
      </c>
      <c r="S850">
        <v>1</v>
      </c>
      <c r="T850" t="b">
        <v>0</v>
      </c>
      <c r="U850" t="s">
        <v>71</v>
      </c>
      <c r="V850">
        <v>6</v>
      </c>
    </row>
    <row r="851" spans="1:22" x14ac:dyDescent="0.25">
      <c r="A851" t="s">
        <v>2162</v>
      </c>
      <c r="B851" s="1">
        <v>45428</v>
      </c>
      <c r="C851" t="s">
        <v>2163</v>
      </c>
      <c r="D851" t="s">
        <v>777</v>
      </c>
      <c r="E851">
        <v>24</v>
      </c>
      <c r="F851" t="str">
        <f>IF(Table1[[#This Row],[age]]&lt;=25,"18-25",IF(Table1[[#This Row],[age]]&lt;=35,"26-35",IF(Table1[[#This Row],[age]]&lt;=50,"36-50","51+")))</f>
        <v>18-25</v>
      </c>
      <c r="G851" t="s">
        <v>54</v>
      </c>
      <c r="H851" t="s">
        <v>25</v>
      </c>
      <c r="I851" t="s">
        <v>298</v>
      </c>
      <c r="J851" t="s">
        <v>47</v>
      </c>
      <c r="K851" t="s">
        <v>48</v>
      </c>
      <c r="L851">
        <v>5</v>
      </c>
      <c r="M851">
        <v>386.11</v>
      </c>
      <c r="N851">
        <v>0.05</v>
      </c>
      <c r="O851">
        <v>3102.98</v>
      </c>
      <c r="P851">
        <v>740.13</v>
      </c>
      <c r="Q851">
        <v>71.81</v>
      </c>
      <c r="R851" t="s">
        <v>49</v>
      </c>
      <c r="S851">
        <v>3</v>
      </c>
      <c r="T851" t="b">
        <v>0</v>
      </c>
      <c r="U851" t="s">
        <v>93</v>
      </c>
      <c r="V851">
        <v>7</v>
      </c>
    </row>
    <row r="852" spans="1:22" x14ac:dyDescent="0.25">
      <c r="A852" t="s">
        <v>2164</v>
      </c>
      <c r="B852" s="1">
        <v>43979</v>
      </c>
      <c r="C852" t="s">
        <v>2165</v>
      </c>
      <c r="D852" t="s">
        <v>455</v>
      </c>
      <c r="E852">
        <v>32</v>
      </c>
      <c r="F852" t="str">
        <f>IF(Table1[[#This Row],[age]]&lt;=25,"18-25",IF(Table1[[#This Row],[age]]&lt;=35,"26-35",IF(Table1[[#This Row],[age]]&lt;=50,"36-50","51+")))</f>
        <v>26-35</v>
      </c>
      <c r="G852" t="s">
        <v>34</v>
      </c>
      <c r="H852" t="s">
        <v>80</v>
      </c>
      <c r="I852" t="s">
        <v>236</v>
      </c>
      <c r="J852" t="s">
        <v>101</v>
      </c>
      <c r="K852" t="s">
        <v>102</v>
      </c>
      <c r="L852">
        <v>8</v>
      </c>
      <c r="M852">
        <v>14818.6</v>
      </c>
      <c r="N852">
        <v>0.11</v>
      </c>
      <c r="O852">
        <v>121250.56</v>
      </c>
      <c r="P852">
        <v>27352.51</v>
      </c>
      <c r="Q852">
        <v>79.900000000000006</v>
      </c>
      <c r="R852" t="s">
        <v>65</v>
      </c>
      <c r="S852">
        <v>5</v>
      </c>
      <c r="T852" t="b">
        <v>0</v>
      </c>
      <c r="U852" t="s">
        <v>30</v>
      </c>
      <c r="V852">
        <v>6</v>
      </c>
    </row>
    <row r="853" spans="1:22" x14ac:dyDescent="0.25">
      <c r="A853" t="s">
        <v>2166</v>
      </c>
      <c r="B853" s="1">
        <v>45227</v>
      </c>
      <c r="C853" t="s">
        <v>2167</v>
      </c>
      <c r="D853" t="s">
        <v>459</v>
      </c>
      <c r="E853">
        <v>26</v>
      </c>
      <c r="F853" t="str">
        <f>IF(Table1[[#This Row],[age]]&lt;=25,"18-25",IF(Table1[[#This Row],[age]]&lt;=35,"26-35",IF(Table1[[#This Row],[age]]&lt;=50,"36-50","51+")))</f>
        <v>26-35</v>
      </c>
      <c r="G853" t="s">
        <v>54</v>
      </c>
      <c r="H853" t="s">
        <v>55</v>
      </c>
      <c r="I853" t="s">
        <v>75</v>
      </c>
      <c r="J853" t="s">
        <v>47</v>
      </c>
      <c r="K853" t="s">
        <v>272</v>
      </c>
      <c r="L853">
        <v>4</v>
      </c>
      <c r="M853">
        <v>653.78</v>
      </c>
      <c r="N853">
        <v>0.39</v>
      </c>
      <c r="O853">
        <v>1691.13</v>
      </c>
      <c r="P853">
        <v>702.11</v>
      </c>
      <c r="Q853">
        <v>57.6</v>
      </c>
      <c r="R853" t="s">
        <v>57</v>
      </c>
      <c r="S853">
        <v>3</v>
      </c>
      <c r="T853" t="b">
        <v>0</v>
      </c>
      <c r="U853" t="s">
        <v>71</v>
      </c>
      <c r="V853">
        <v>4</v>
      </c>
    </row>
    <row r="854" spans="1:22" x14ac:dyDescent="0.25">
      <c r="A854" t="s">
        <v>2168</v>
      </c>
      <c r="B854" s="1">
        <v>45133</v>
      </c>
      <c r="C854" t="s">
        <v>2169</v>
      </c>
      <c r="D854" t="s">
        <v>430</v>
      </c>
      <c r="E854">
        <v>35</v>
      </c>
      <c r="F854" t="str">
        <f>IF(Table1[[#This Row],[age]]&lt;=25,"18-25",IF(Table1[[#This Row],[age]]&lt;=35,"26-35",IF(Table1[[#This Row],[age]]&lt;=50,"36-50","51+")))</f>
        <v>26-35</v>
      </c>
      <c r="G854" t="s">
        <v>54</v>
      </c>
      <c r="H854" t="s">
        <v>69</v>
      </c>
      <c r="I854" t="s">
        <v>136</v>
      </c>
      <c r="J854" t="s">
        <v>47</v>
      </c>
      <c r="K854" t="s">
        <v>272</v>
      </c>
      <c r="L854">
        <v>7</v>
      </c>
      <c r="M854">
        <v>520.82000000000005</v>
      </c>
      <c r="N854">
        <v>0.15</v>
      </c>
      <c r="O854">
        <v>4550.2299999999996</v>
      </c>
      <c r="P854">
        <v>1554.74</v>
      </c>
      <c r="Q854">
        <v>78.67</v>
      </c>
      <c r="R854" t="s">
        <v>43</v>
      </c>
      <c r="S854">
        <v>3</v>
      </c>
      <c r="T854" t="b">
        <v>0</v>
      </c>
      <c r="U854" t="s">
        <v>30</v>
      </c>
      <c r="V854">
        <v>6</v>
      </c>
    </row>
    <row r="855" spans="1:22" x14ac:dyDescent="0.25">
      <c r="A855" t="s">
        <v>2170</v>
      </c>
      <c r="B855" s="1">
        <v>43958</v>
      </c>
      <c r="C855" t="s">
        <v>2171</v>
      </c>
      <c r="D855" t="s">
        <v>1445</v>
      </c>
      <c r="E855">
        <v>26</v>
      </c>
      <c r="F855" t="str">
        <f>IF(Table1[[#This Row],[age]]&lt;=25,"18-25",IF(Table1[[#This Row],[age]]&lt;=35,"26-35",IF(Table1[[#This Row],[age]]&lt;=50,"36-50","51+")))</f>
        <v>26-35</v>
      </c>
      <c r="G855" t="s">
        <v>24</v>
      </c>
      <c r="H855" t="s">
        <v>69</v>
      </c>
      <c r="I855" t="s">
        <v>136</v>
      </c>
      <c r="J855" t="s">
        <v>27</v>
      </c>
      <c r="K855" t="s">
        <v>480</v>
      </c>
      <c r="L855">
        <v>3</v>
      </c>
      <c r="M855">
        <v>2059.96</v>
      </c>
      <c r="N855">
        <v>0.04</v>
      </c>
      <c r="O855">
        <v>8056.36</v>
      </c>
      <c r="P855">
        <v>3439.24</v>
      </c>
      <c r="Q855">
        <v>92.05</v>
      </c>
      <c r="R855" t="s">
        <v>92</v>
      </c>
      <c r="S855">
        <v>1</v>
      </c>
      <c r="T855" t="b">
        <v>0</v>
      </c>
      <c r="U855" t="s">
        <v>30</v>
      </c>
      <c r="V855">
        <v>8</v>
      </c>
    </row>
    <row r="856" spans="1:22" x14ac:dyDescent="0.25">
      <c r="A856" t="s">
        <v>2172</v>
      </c>
      <c r="B856" s="1">
        <v>44609</v>
      </c>
      <c r="C856" t="s">
        <v>2173</v>
      </c>
      <c r="D856" t="s">
        <v>1630</v>
      </c>
      <c r="E856">
        <v>30</v>
      </c>
      <c r="F856" t="str">
        <f>IF(Table1[[#This Row],[age]]&lt;=25,"18-25",IF(Table1[[#This Row],[age]]&lt;=35,"26-35",IF(Table1[[#This Row],[age]]&lt;=50,"36-50","51+")))</f>
        <v>26-35</v>
      </c>
      <c r="G856" t="s">
        <v>34</v>
      </c>
      <c r="H856" t="s">
        <v>80</v>
      </c>
      <c r="I856" t="s">
        <v>242</v>
      </c>
      <c r="J856" t="s">
        <v>27</v>
      </c>
      <c r="K856" t="s">
        <v>335</v>
      </c>
      <c r="L856">
        <v>3</v>
      </c>
      <c r="M856">
        <v>1566.52</v>
      </c>
      <c r="N856">
        <v>0.37</v>
      </c>
      <c r="O856">
        <v>2439.84</v>
      </c>
      <c r="P856">
        <v>1173.24</v>
      </c>
      <c r="Q856">
        <v>81.77</v>
      </c>
      <c r="R856" t="s">
        <v>43</v>
      </c>
      <c r="S856">
        <v>1</v>
      </c>
      <c r="T856" t="b">
        <v>1</v>
      </c>
      <c r="U856" t="s">
        <v>50</v>
      </c>
      <c r="V856">
        <v>3</v>
      </c>
    </row>
    <row r="857" spans="1:22" x14ac:dyDescent="0.25">
      <c r="A857" t="s">
        <v>2174</v>
      </c>
      <c r="B857" s="1">
        <v>44866</v>
      </c>
      <c r="C857" t="s">
        <v>2175</v>
      </c>
      <c r="D857" t="s">
        <v>2176</v>
      </c>
      <c r="E857">
        <v>40</v>
      </c>
      <c r="F857" t="str">
        <f>IF(Table1[[#This Row],[age]]&lt;=25,"18-25",IF(Table1[[#This Row],[age]]&lt;=35,"26-35",IF(Table1[[#This Row],[age]]&lt;=50,"36-50","51+")))</f>
        <v>36-50</v>
      </c>
      <c r="G857" t="s">
        <v>24</v>
      </c>
      <c r="H857" t="s">
        <v>61</v>
      </c>
      <c r="I857" t="s">
        <v>163</v>
      </c>
      <c r="J857" t="s">
        <v>115</v>
      </c>
      <c r="K857" t="s">
        <v>116</v>
      </c>
      <c r="L857">
        <v>10</v>
      </c>
      <c r="M857">
        <v>34447.29</v>
      </c>
      <c r="N857">
        <v>0.14000000000000001</v>
      </c>
      <c r="O857">
        <v>242331.73</v>
      </c>
      <c r="P857">
        <v>27631.34</v>
      </c>
      <c r="Q857">
        <v>29.16</v>
      </c>
      <c r="R857" t="s">
        <v>57</v>
      </c>
      <c r="S857">
        <v>5</v>
      </c>
      <c r="T857" t="b">
        <v>0</v>
      </c>
      <c r="U857" t="s">
        <v>93</v>
      </c>
      <c r="V857">
        <v>6</v>
      </c>
    </row>
    <row r="858" spans="1:22" x14ac:dyDescent="0.25">
      <c r="A858" t="s">
        <v>2177</v>
      </c>
      <c r="B858" s="1">
        <v>44653</v>
      </c>
      <c r="C858" t="s">
        <v>2178</v>
      </c>
      <c r="D858" t="s">
        <v>2034</v>
      </c>
      <c r="E858">
        <v>49</v>
      </c>
      <c r="F858" t="str">
        <f>IF(Table1[[#This Row],[age]]&lt;=25,"18-25",IF(Table1[[#This Row],[age]]&lt;=35,"26-35",IF(Table1[[#This Row],[age]]&lt;=50,"36-50","51+")))</f>
        <v>36-50</v>
      </c>
      <c r="G858" t="s">
        <v>34</v>
      </c>
      <c r="H858" t="s">
        <v>25</v>
      </c>
      <c r="I858" t="s">
        <v>41</v>
      </c>
      <c r="J858" t="s">
        <v>36</v>
      </c>
      <c r="K858" t="s">
        <v>132</v>
      </c>
      <c r="L858">
        <v>2</v>
      </c>
      <c r="M858">
        <v>29772.1</v>
      </c>
      <c r="N858">
        <v>0.21</v>
      </c>
      <c r="O858">
        <v>57845.42</v>
      </c>
      <c r="P858">
        <v>17251.72</v>
      </c>
      <c r="Q858">
        <v>57.47</v>
      </c>
      <c r="R858" t="s">
        <v>92</v>
      </c>
      <c r="S858">
        <v>2</v>
      </c>
      <c r="T858" t="b">
        <v>0</v>
      </c>
      <c r="U858" t="s">
        <v>193</v>
      </c>
      <c r="V858">
        <v>6</v>
      </c>
    </row>
    <row r="859" spans="1:22" x14ac:dyDescent="0.25">
      <c r="A859" t="s">
        <v>2179</v>
      </c>
      <c r="B859" s="1">
        <v>44289</v>
      </c>
      <c r="C859" t="s">
        <v>2180</v>
      </c>
      <c r="D859" t="s">
        <v>250</v>
      </c>
      <c r="E859">
        <v>19</v>
      </c>
      <c r="F859" t="str">
        <f>IF(Table1[[#This Row],[age]]&lt;=25,"18-25",IF(Table1[[#This Row],[age]]&lt;=35,"26-35",IF(Table1[[#This Row],[age]]&lt;=50,"36-50","51+")))</f>
        <v>18-25</v>
      </c>
      <c r="G859" t="s">
        <v>54</v>
      </c>
      <c r="H859" t="s">
        <v>80</v>
      </c>
      <c r="I859" t="s">
        <v>236</v>
      </c>
      <c r="J859" t="s">
        <v>36</v>
      </c>
      <c r="K859" t="s">
        <v>42</v>
      </c>
      <c r="L859">
        <v>1</v>
      </c>
      <c r="M859">
        <v>30648.42</v>
      </c>
      <c r="N859">
        <v>0.39</v>
      </c>
      <c r="O859">
        <v>22238.65</v>
      </c>
      <c r="P859">
        <v>5768.84</v>
      </c>
      <c r="Q859">
        <v>99.16</v>
      </c>
      <c r="R859" t="s">
        <v>49</v>
      </c>
      <c r="S859">
        <v>3</v>
      </c>
      <c r="T859" t="b">
        <v>0</v>
      </c>
      <c r="U859" t="s">
        <v>71</v>
      </c>
      <c r="V859">
        <v>9</v>
      </c>
    </row>
    <row r="860" spans="1:22" x14ac:dyDescent="0.25">
      <c r="A860" t="s">
        <v>2181</v>
      </c>
      <c r="B860" s="1">
        <v>44194</v>
      </c>
      <c r="C860" t="s">
        <v>2182</v>
      </c>
      <c r="D860" t="s">
        <v>784</v>
      </c>
      <c r="E860">
        <v>57</v>
      </c>
      <c r="F860" t="str">
        <f>IF(Table1[[#This Row],[age]]&lt;=25,"18-25",IF(Table1[[#This Row],[age]]&lt;=35,"26-35",IF(Table1[[#This Row],[age]]&lt;=50,"36-50","51+")))</f>
        <v>51+</v>
      </c>
      <c r="G860" t="s">
        <v>54</v>
      </c>
      <c r="H860" t="s">
        <v>55</v>
      </c>
      <c r="I860" t="s">
        <v>97</v>
      </c>
      <c r="J860" t="s">
        <v>115</v>
      </c>
      <c r="K860" t="s">
        <v>197</v>
      </c>
      <c r="L860">
        <v>4</v>
      </c>
      <c r="M860">
        <v>13059.62</v>
      </c>
      <c r="N860">
        <v>0.11</v>
      </c>
      <c r="O860">
        <v>35330.160000000003</v>
      </c>
      <c r="P860">
        <v>4782.4399999999996</v>
      </c>
      <c r="Q860">
        <v>56.15</v>
      </c>
      <c r="R860" t="s">
        <v>65</v>
      </c>
      <c r="S860">
        <v>4</v>
      </c>
      <c r="T860" t="b">
        <v>1</v>
      </c>
      <c r="U860" t="s">
        <v>50</v>
      </c>
      <c r="V860">
        <v>7</v>
      </c>
    </row>
    <row r="861" spans="1:22" x14ac:dyDescent="0.25">
      <c r="A861" t="s">
        <v>2183</v>
      </c>
      <c r="B861" s="1">
        <v>45589</v>
      </c>
      <c r="C861" t="s">
        <v>2184</v>
      </c>
      <c r="D861" t="s">
        <v>407</v>
      </c>
      <c r="E861">
        <v>26</v>
      </c>
      <c r="F861" t="str">
        <f>IF(Table1[[#This Row],[age]]&lt;=25,"18-25",IF(Table1[[#This Row],[age]]&lt;=35,"26-35",IF(Table1[[#This Row],[age]]&lt;=50,"36-50","51+")))</f>
        <v>26-35</v>
      </c>
      <c r="G861" t="s">
        <v>24</v>
      </c>
      <c r="H861" t="s">
        <v>55</v>
      </c>
      <c r="I861" t="s">
        <v>97</v>
      </c>
      <c r="J861" t="s">
        <v>106</v>
      </c>
      <c r="K861" t="s">
        <v>314</v>
      </c>
      <c r="L861">
        <v>6</v>
      </c>
      <c r="M861">
        <v>358.44</v>
      </c>
      <c r="N861">
        <v>0.33</v>
      </c>
      <c r="O861">
        <v>1597.57</v>
      </c>
      <c r="P861">
        <v>154.69</v>
      </c>
      <c r="Q861">
        <v>55.56</v>
      </c>
      <c r="R861" t="s">
        <v>43</v>
      </c>
      <c r="S861">
        <v>5</v>
      </c>
      <c r="T861" t="b">
        <v>0</v>
      </c>
      <c r="U861" t="s">
        <v>30</v>
      </c>
      <c r="V861">
        <v>8</v>
      </c>
    </row>
    <row r="862" spans="1:22" x14ac:dyDescent="0.25">
      <c r="A862" t="s">
        <v>2185</v>
      </c>
      <c r="B862" s="1">
        <v>44646</v>
      </c>
      <c r="C862" t="s">
        <v>2186</v>
      </c>
      <c r="D862" t="s">
        <v>387</v>
      </c>
      <c r="E862">
        <v>31</v>
      </c>
      <c r="F862" t="str">
        <f>IF(Table1[[#This Row],[age]]&lt;=25,"18-25",IF(Table1[[#This Row],[age]]&lt;=35,"26-35",IF(Table1[[#This Row],[age]]&lt;=50,"36-50","51+")))</f>
        <v>26-35</v>
      </c>
      <c r="G862" t="s">
        <v>24</v>
      </c>
      <c r="H862" t="s">
        <v>80</v>
      </c>
      <c r="I862" t="s">
        <v>236</v>
      </c>
      <c r="J862" t="s">
        <v>106</v>
      </c>
      <c r="K862" t="s">
        <v>718</v>
      </c>
      <c r="L862">
        <v>4</v>
      </c>
      <c r="M862">
        <v>240.11</v>
      </c>
      <c r="N862">
        <v>0.22</v>
      </c>
      <c r="O862">
        <v>999.98</v>
      </c>
      <c r="P862">
        <v>98.61</v>
      </c>
      <c r="Q862">
        <v>73.81</v>
      </c>
      <c r="R862" t="s">
        <v>92</v>
      </c>
      <c r="S862">
        <v>3</v>
      </c>
      <c r="T862" t="b">
        <v>0</v>
      </c>
      <c r="U862" t="s">
        <v>30</v>
      </c>
      <c r="V862">
        <v>10</v>
      </c>
    </row>
    <row r="863" spans="1:22" x14ac:dyDescent="0.25">
      <c r="A863" t="s">
        <v>2187</v>
      </c>
      <c r="B863" s="1">
        <v>44923</v>
      </c>
      <c r="C863" t="s">
        <v>2188</v>
      </c>
      <c r="D863" t="s">
        <v>533</v>
      </c>
      <c r="E863">
        <v>28</v>
      </c>
      <c r="F863" t="str">
        <f>IF(Table1[[#This Row],[age]]&lt;=25,"18-25",IF(Table1[[#This Row],[age]]&lt;=35,"26-35",IF(Table1[[#This Row],[age]]&lt;=50,"36-50","51+")))</f>
        <v>26-35</v>
      </c>
      <c r="G863" t="s">
        <v>54</v>
      </c>
      <c r="H863" t="s">
        <v>69</v>
      </c>
      <c r="I863" t="s">
        <v>70</v>
      </c>
      <c r="J863" t="s">
        <v>36</v>
      </c>
      <c r="K863" t="s">
        <v>76</v>
      </c>
      <c r="L863">
        <v>6</v>
      </c>
      <c r="M863">
        <v>6993.08</v>
      </c>
      <c r="N863">
        <v>0.36</v>
      </c>
      <c r="O863">
        <v>20187.04</v>
      </c>
      <c r="P863">
        <v>5220.66</v>
      </c>
      <c r="Q863">
        <v>87.7</v>
      </c>
      <c r="R863" t="s">
        <v>49</v>
      </c>
      <c r="S863">
        <v>1</v>
      </c>
      <c r="T863" t="b">
        <v>0</v>
      </c>
      <c r="U863" t="s">
        <v>30</v>
      </c>
      <c r="V863">
        <v>5</v>
      </c>
    </row>
    <row r="864" spans="1:22" x14ac:dyDescent="0.25">
      <c r="A864" t="s">
        <v>2189</v>
      </c>
      <c r="B864" s="1">
        <v>45259</v>
      </c>
      <c r="C864" t="s">
        <v>2190</v>
      </c>
      <c r="D864" t="s">
        <v>352</v>
      </c>
      <c r="E864">
        <v>45</v>
      </c>
      <c r="F864" t="str">
        <f>IF(Table1[[#This Row],[age]]&lt;=25,"18-25",IF(Table1[[#This Row],[age]]&lt;=35,"26-35",IF(Table1[[#This Row],[age]]&lt;=50,"36-50","51+")))</f>
        <v>36-50</v>
      </c>
      <c r="G864" t="s">
        <v>34</v>
      </c>
      <c r="H864" t="s">
        <v>55</v>
      </c>
      <c r="I864" t="s">
        <v>114</v>
      </c>
      <c r="J864" t="s">
        <v>27</v>
      </c>
      <c r="K864" t="s">
        <v>128</v>
      </c>
      <c r="L864">
        <v>7</v>
      </c>
      <c r="M864">
        <v>2195.91</v>
      </c>
      <c r="N864">
        <v>0.28000000000000003</v>
      </c>
      <c r="O864">
        <v>8503.4699999999993</v>
      </c>
      <c r="P864">
        <v>3907.75</v>
      </c>
      <c r="Q864">
        <v>63.07</v>
      </c>
      <c r="R864" t="s">
        <v>65</v>
      </c>
      <c r="S864">
        <v>1</v>
      </c>
      <c r="T864" t="b">
        <v>1</v>
      </c>
      <c r="U864" t="s">
        <v>50</v>
      </c>
      <c r="V864">
        <v>6</v>
      </c>
    </row>
    <row r="865" spans="1:22" x14ac:dyDescent="0.25">
      <c r="A865" t="s">
        <v>2191</v>
      </c>
      <c r="B865" s="1">
        <v>45097</v>
      </c>
      <c r="C865" t="s">
        <v>2192</v>
      </c>
      <c r="D865" t="s">
        <v>802</v>
      </c>
      <c r="E865">
        <v>40</v>
      </c>
      <c r="F865" t="str">
        <f>IF(Table1[[#This Row],[age]]&lt;=25,"18-25",IF(Table1[[#This Row],[age]]&lt;=35,"26-35",IF(Table1[[#This Row],[age]]&lt;=50,"36-50","51+")))</f>
        <v>36-50</v>
      </c>
      <c r="G865" t="s">
        <v>34</v>
      </c>
      <c r="H865" t="s">
        <v>55</v>
      </c>
      <c r="I865" t="s">
        <v>114</v>
      </c>
      <c r="J865" t="s">
        <v>63</v>
      </c>
      <c r="K865" t="s">
        <v>434</v>
      </c>
      <c r="L865">
        <v>6</v>
      </c>
      <c r="M865">
        <v>3464.49</v>
      </c>
      <c r="N865">
        <v>0.3</v>
      </c>
      <c r="O865">
        <v>23273.58</v>
      </c>
      <c r="P865">
        <v>8946.26</v>
      </c>
      <c r="Q865">
        <v>68.97</v>
      </c>
      <c r="R865" t="s">
        <v>57</v>
      </c>
      <c r="S865">
        <v>4</v>
      </c>
      <c r="T865" t="b">
        <v>0</v>
      </c>
      <c r="U865" t="s">
        <v>71</v>
      </c>
      <c r="V865">
        <v>5</v>
      </c>
    </row>
    <row r="866" spans="1:22" x14ac:dyDescent="0.25">
      <c r="A866" t="s">
        <v>2193</v>
      </c>
      <c r="B866" s="1">
        <v>44699</v>
      </c>
      <c r="C866" t="s">
        <v>2194</v>
      </c>
      <c r="D866" t="s">
        <v>784</v>
      </c>
      <c r="E866">
        <v>37</v>
      </c>
      <c r="F866" t="str">
        <f>IF(Table1[[#This Row],[age]]&lt;=25,"18-25",IF(Table1[[#This Row],[age]]&lt;=35,"26-35",IF(Table1[[#This Row],[age]]&lt;=50,"36-50","51+")))</f>
        <v>36-50</v>
      </c>
      <c r="G866" t="s">
        <v>54</v>
      </c>
      <c r="H866" t="s">
        <v>25</v>
      </c>
      <c r="I866" t="s">
        <v>26</v>
      </c>
      <c r="J866" t="s">
        <v>63</v>
      </c>
      <c r="K866" t="s">
        <v>64</v>
      </c>
      <c r="L866">
        <v>9</v>
      </c>
      <c r="M866">
        <v>2779.53</v>
      </c>
      <c r="N866">
        <v>0.35</v>
      </c>
      <c r="O866">
        <v>21070.99</v>
      </c>
      <c r="P866">
        <v>8557.51</v>
      </c>
      <c r="Q866">
        <v>60.61</v>
      </c>
      <c r="R866" t="s">
        <v>43</v>
      </c>
      <c r="S866">
        <v>2</v>
      </c>
      <c r="T866" t="b">
        <v>0</v>
      </c>
      <c r="U866" t="s">
        <v>30</v>
      </c>
      <c r="V866">
        <v>7</v>
      </c>
    </row>
    <row r="867" spans="1:22" x14ac:dyDescent="0.25">
      <c r="A867" t="s">
        <v>2195</v>
      </c>
      <c r="B867" s="1">
        <v>44951</v>
      </c>
      <c r="C867" t="s">
        <v>2196</v>
      </c>
      <c r="D867" t="s">
        <v>281</v>
      </c>
      <c r="E867">
        <v>42</v>
      </c>
      <c r="F867" t="str">
        <f>IF(Table1[[#This Row],[age]]&lt;=25,"18-25",IF(Table1[[#This Row],[age]]&lt;=35,"26-35",IF(Table1[[#This Row],[age]]&lt;=50,"36-50","51+")))</f>
        <v>36-50</v>
      </c>
      <c r="G867" t="s">
        <v>34</v>
      </c>
      <c r="H867" t="s">
        <v>69</v>
      </c>
      <c r="I867" t="s">
        <v>70</v>
      </c>
      <c r="J867" t="s">
        <v>115</v>
      </c>
      <c r="K867" t="s">
        <v>197</v>
      </c>
      <c r="L867">
        <v>6</v>
      </c>
      <c r="M867">
        <v>59741.71</v>
      </c>
      <c r="N867">
        <v>0.16</v>
      </c>
      <c r="O867">
        <v>274146.03999999998</v>
      </c>
      <c r="P867">
        <v>37793.71</v>
      </c>
      <c r="Q867">
        <v>70.42</v>
      </c>
      <c r="R867" t="s">
        <v>92</v>
      </c>
      <c r="S867">
        <v>5</v>
      </c>
      <c r="T867" t="b">
        <v>0</v>
      </c>
      <c r="U867" t="s">
        <v>30</v>
      </c>
      <c r="V867">
        <v>10</v>
      </c>
    </row>
    <row r="868" spans="1:22" x14ac:dyDescent="0.25">
      <c r="A868" t="s">
        <v>2197</v>
      </c>
      <c r="B868" s="1">
        <v>44062</v>
      </c>
      <c r="C868" t="s">
        <v>2198</v>
      </c>
      <c r="D868" t="s">
        <v>1020</v>
      </c>
      <c r="E868">
        <v>26</v>
      </c>
      <c r="F868" t="str">
        <f>IF(Table1[[#This Row],[age]]&lt;=25,"18-25",IF(Table1[[#This Row],[age]]&lt;=35,"26-35",IF(Table1[[#This Row],[age]]&lt;=50,"36-50","51+")))</f>
        <v>26-35</v>
      </c>
      <c r="G868" t="s">
        <v>54</v>
      </c>
      <c r="H868" t="s">
        <v>55</v>
      </c>
      <c r="I868" t="s">
        <v>56</v>
      </c>
      <c r="J868" t="s">
        <v>115</v>
      </c>
      <c r="K868" t="s">
        <v>197</v>
      </c>
      <c r="L868">
        <v>1</v>
      </c>
      <c r="M868">
        <v>24574.09</v>
      </c>
      <c r="N868">
        <v>0.31</v>
      </c>
      <c r="O868">
        <v>18570.7</v>
      </c>
      <c r="P868">
        <v>1618.66</v>
      </c>
      <c r="Q868">
        <v>51.33</v>
      </c>
      <c r="R868" t="s">
        <v>92</v>
      </c>
      <c r="S868">
        <v>2</v>
      </c>
      <c r="T868" t="b">
        <v>1</v>
      </c>
      <c r="U868" t="s">
        <v>50</v>
      </c>
      <c r="V868">
        <v>9</v>
      </c>
    </row>
    <row r="869" spans="1:22" x14ac:dyDescent="0.25">
      <c r="A869" t="s">
        <v>2199</v>
      </c>
      <c r="B869" s="1">
        <v>44393</v>
      </c>
      <c r="C869" t="s">
        <v>2200</v>
      </c>
      <c r="D869" t="s">
        <v>224</v>
      </c>
      <c r="E869">
        <v>31</v>
      </c>
      <c r="F869" t="str">
        <f>IF(Table1[[#This Row],[age]]&lt;=25,"18-25",IF(Table1[[#This Row],[age]]&lt;=35,"26-35",IF(Table1[[#This Row],[age]]&lt;=50,"36-50","51+")))</f>
        <v>26-35</v>
      </c>
      <c r="G869" t="s">
        <v>24</v>
      </c>
      <c r="H869" t="s">
        <v>61</v>
      </c>
      <c r="I869" t="s">
        <v>141</v>
      </c>
      <c r="J869" t="s">
        <v>47</v>
      </c>
      <c r="K869" t="s">
        <v>600</v>
      </c>
      <c r="L869">
        <v>6</v>
      </c>
      <c r="M869">
        <v>1434.91</v>
      </c>
      <c r="N869">
        <v>0.15</v>
      </c>
      <c r="O869">
        <v>8544.42</v>
      </c>
      <c r="P869">
        <v>2933.84</v>
      </c>
      <c r="Q869">
        <v>31.36</v>
      </c>
      <c r="R869" t="s">
        <v>43</v>
      </c>
      <c r="S869">
        <v>2</v>
      </c>
      <c r="T869" t="b">
        <v>0</v>
      </c>
      <c r="U869" t="s">
        <v>30</v>
      </c>
      <c r="V869">
        <v>6</v>
      </c>
    </row>
    <row r="870" spans="1:22" x14ac:dyDescent="0.25">
      <c r="A870" t="s">
        <v>2201</v>
      </c>
      <c r="B870" s="1">
        <v>44871</v>
      </c>
      <c r="C870" t="s">
        <v>2202</v>
      </c>
      <c r="D870" t="s">
        <v>1312</v>
      </c>
      <c r="E870">
        <v>31</v>
      </c>
      <c r="F870" t="str">
        <f>IF(Table1[[#This Row],[age]]&lt;=25,"18-25",IF(Table1[[#This Row],[age]]&lt;=35,"26-35",IF(Table1[[#This Row],[age]]&lt;=50,"36-50","51+")))</f>
        <v>26-35</v>
      </c>
      <c r="G870" t="s">
        <v>34</v>
      </c>
      <c r="H870" t="s">
        <v>80</v>
      </c>
      <c r="I870" t="s">
        <v>81</v>
      </c>
      <c r="J870" t="s">
        <v>115</v>
      </c>
      <c r="K870" t="s">
        <v>545</v>
      </c>
      <c r="L870">
        <v>2</v>
      </c>
      <c r="M870">
        <v>71479.88</v>
      </c>
      <c r="N870">
        <v>0.14000000000000001</v>
      </c>
      <c r="O870">
        <v>89772.04</v>
      </c>
      <c r="P870">
        <v>10563.18</v>
      </c>
      <c r="Q870">
        <v>80.959999999999994</v>
      </c>
      <c r="R870" t="s">
        <v>57</v>
      </c>
      <c r="S870">
        <v>4</v>
      </c>
      <c r="T870" t="b">
        <v>1</v>
      </c>
      <c r="U870" t="s">
        <v>50</v>
      </c>
      <c r="V870">
        <v>3</v>
      </c>
    </row>
    <row r="871" spans="1:22" x14ac:dyDescent="0.25">
      <c r="A871" t="s">
        <v>2203</v>
      </c>
      <c r="B871" s="1">
        <v>44012</v>
      </c>
      <c r="C871" t="s">
        <v>2204</v>
      </c>
      <c r="D871" t="s">
        <v>301</v>
      </c>
      <c r="E871">
        <v>31</v>
      </c>
      <c r="F871" t="str">
        <f>IF(Table1[[#This Row],[age]]&lt;=25,"18-25",IF(Table1[[#This Row],[age]]&lt;=35,"26-35",IF(Table1[[#This Row],[age]]&lt;=50,"36-50","51+")))</f>
        <v>26-35</v>
      </c>
      <c r="G871" t="s">
        <v>34</v>
      </c>
      <c r="H871" t="s">
        <v>80</v>
      </c>
      <c r="I871" t="s">
        <v>242</v>
      </c>
      <c r="J871" t="s">
        <v>115</v>
      </c>
      <c r="K871" t="s">
        <v>145</v>
      </c>
      <c r="L871">
        <v>10</v>
      </c>
      <c r="M871">
        <v>55392.79</v>
      </c>
      <c r="N871">
        <v>0.3</v>
      </c>
      <c r="O871">
        <v>509672.92</v>
      </c>
      <c r="P871">
        <v>47237.56</v>
      </c>
      <c r="Q871">
        <v>43.11</v>
      </c>
      <c r="R871" t="s">
        <v>92</v>
      </c>
      <c r="S871">
        <v>4</v>
      </c>
      <c r="T871" t="b">
        <v>0</v>
      </c>
      <c r="U871" t="s">
        <v>30</v>
      </c>
      <c r="V871">
        <v>7</v>
      </c>
    </row>
    <row r="872" spans="1:22" x14ac:dyDescent="0.25">
      <c r="A872" t="s">
        <v>2205</v>
      </c>
      <c r="B872" s="1">
        <v>44823</v>
      </c>
      <c r="C872" t="s">
        <v>2206</v>
      </c>
      <c r="D872" t="s">
        <v>144</v>
      </c>
      <c r="E872">
        <v>25</v>
      </c>
      <c r="F872" t="str">
        <f>IF(Table1[[#This Row],[age]]&lt;=25,"18-25",IF(Table1[[#This Row],[age]]&lt;=35,"26-35",IF(Table1[[#This Row],[age]]&lt;=50,"36-50","51+")))</f>
        <v>18-25</v>
      </c>
      <c r="G872" t="s">
        <v>54</v>
      </c>
      <c r="H872" t="s">
        <v>55</v>
      </c>
      <c r="I872" t="s">
        <v>97</v>
      </c>
      <c r="J872" t="s">
        <v>27</v>
      </c>
      <c r="K872" t="s">
        <v>335</v>
      </c>
      <c r="L872">
        <v>6</v>
      </c>
      <c r="M872">
        <v>226.83</v>
      </c>
      <c r="N872">
        <v>0.24</v>
      </c>
      <c r="O872">
        <v>1203.6300000000001</v>
      </c>
      <c r="P872">
        <v>638.69000000000005</v>
      </c>
      <c r="Q872">
        <v>48.65</v>
      </c>
      <c r="R872" t="s">
        <v>29</v>
      </c>
      <c r="S872">
        <v>3</v>
      </c>
      <c r="T872" t="b">
        <v>0</v>
      </c>
      <c r="U872" t="s">
        <v>30</v>
      </c>
      <c r="V872">
        <v>1</v>
      </c>
    </row>
    <row r="873" spans="1:22" x14ac:dyDescent="0.25">
      <c r="A873" t="s">
        <v>2207</v>
      </c>
      <c r="B873" s="1">
        <v>44026</v>
      </c>
      <c r="C873" t="s">
        <v>2208</v>
      </c>
      <c r="D873" t="s">
        <v>262</v>
      </c>
      <c r="E873">
        <v>44</v>
      </c>
      <c r="F873" t="str">
        <f>IF(Table1[[#This Row],[age]]&lt;=25,"18-25",IF(Table1[[#This Row],[age]]&lt;=35,"26-35",IF(Table1[[#This Row],[age]]&lt;=50,"36-50","51+")))</f>
        <v>36-50</v>
      </c>
      <c r="G873" t="s">
        <v>34</v>
      </c>
      <c r="H873" t="s">
        <v>61</v>
      </c>
      <c r="I873" t="s">
        <v>163</v>
      </c>
      <c r="J873" t="s">
        <v>101</v>
      </c>
      <c r="K873" t="s">
        <v>164</v>
      </c>
      <c r="L873">
        <v>5</v>
      </c>
      <c r="M873">
        <v>14604.49</v>
      </c>
      <c r="N873">
        <v>0.14000000000000001</v>
      </c>
      <c r="O873">
        <v>84861.96</v>
      </c>
      <c r="P873">
        <v>20545.89</v>
      </c>
      <c r="Q873">
        <v>79.680000000000007</v>
      </c>
      <c r="R873" t="s">
        <v>65</v>
      </c>
      <c r="S873">
        <v>5</v>
      </c>
      <c r="T873" t="b">
        <v>0</v>
      </c>
      <c r="U873" t="s">
        <v>30</v>
      </c>
      <c r="V873">
        <v>4</v>
      </c>
    </row>
    <row r="874" spans="1:22" x14ac:dyDescent="0.25">
      <c r="A874" t="s">
        <v>2209</v>
      </c>
      <c r="B874" s="1">
        <v>43985</v>
      </c>
      <c r="C874" t="s">
        <v>2210</v>
      </c>
      <c r="D874" t="s">
        <v>1312</v>
      </c>
      <c r="E874">
        <v>20</v>
      </c>
      <c r="F874" t="str">
        <f>IF(Table1[[#This Row],[age]]&lt;=25,"18-25",IF(Table1[[#This Row],[age]]&lt;=35,"26-35",IF(Table1[[#This Row],[age]]&lt;=50,"36-50","51+")))</f>
        <v>18-25</v>
      </c>
      <c r="G874" t="s">
        <v>34</v>
      </c>
      <c r="H874" t="s">
        <v>80</v>
      </c>
      <c r="I874" t="s">
        <v>242</v>
      </c>
      <c r="J874" t="s">
        <v>101</v>
      </c>
      <c r="K874" t="s">
        <v>318</v>
      </c>
      <c r="L874">
        <v>4</v>
      </c>
      <c r="M874">
        <v>3114.57</v>
      </c>
      <c r="N874">
        <v>0.04</v>
      </c>
      <c r="O874">
        <v>14254.8</v>
      </c>
      <c r="P874">
        <v>2493.63</v>
      </c>
      <c r="Q874">
        <v>77.95</v>
      </c>
      <c r="R874" t="s">
        <v>49</v>
      </c>
      <c r="S874">
        <v>5</v>
      </c>
      <c r="T874" t="b">
        <v>0</v>
      </c>
      <c r="U874" t="s">
        <v>30</v>
      </c>
      <c r="V874">
        <v>5</v>
      </c>
    </row>
    <row r="875" spans="1:22" x14ac:dyDescent="0.25">
      <c r="A875" t="s">
        <v>2211</v>
      </c>
      <c r="B875" s="1">
        <v>44374</v>
      </c>
      <c r="C875" t="s">
        <v>2212</v>
      </c>
      <c r="D875" t="s">
        <v>2213</v>
      </c>
      <c r="E875">
        <v>34</v>
      </c>
      <c r="F875" t="str">
        <f>IF(Table1[[#This Row],[age]]&lt;=25,"18-25",IF(Table1[[#This Row],[age]]&lt;=35,"26-35",IF(Table1[[#This Row],[age]]&lt;=50,"36-50","51+")))</f>
        <v>26-35</v>
      </c>
      <c r="G875" t="s">
        <v>24</v>
      </c>
      <c r="H875" t="s">
        <v>55</v>
      </c>
      <c r="I875" t="s">
        <v>97</v>
      </c>
      <c r="J875" t="s">
        <v>63</v>
      </c>
      <c r="K875" t="s">
        <v>82</v>
      </c>
      <c r="L875">
        <v>6</v>
      </c>
      <c r="M875">
        <v>1824.73</v>
      </c>
      <c r="N875">
        <v>7.0000000000000007E-2</v>
      </c>
      <c r="O875">
        <v>13172.15</v>
      </c>
      <c r="P875">
        <v>4404.16</v>
      </c>
      <c r="Q875">
        <v>111.66</v>
      </c>
      <c r="R875" t="s">
        <v>43</v>
      </c>
      <c r="S875">
        <v>1</v>
      </c>
      <c r="T875" t="b">
        <v>1</v>
      </c>
      <c r="U875" t="s">
        <v>50</v>
      </c>
      <c r="V875">
        <v>1</v>
      </c>
    </row>
    <row r="876" spans="1:22" x14ac:dyDescent="0.25">
      <c r="A876" t="s">
        <v>2214</v>
      </c>
      <c r="B876" s="1">
        <v>43968</v>
      </c>
      <c r="C876" t="s">
        <v>2215</v>
      </c>
      <c r="D876" t="s">
        <v>271</v>
      </c>
      <c r="E876">
        <v>30</v>
      </c>
      <c r="F876" t="str">
        <f>IF(Table1[[#This Row],[age]]&lt;=25,"18-25",IF(Table1[[#This Row],[age]]&lt;=35,"26-35",IF(Table1[[#This Row],[age]]&lt;=50,"36-50","51+")))</f>
        <v>26-35</v>
      </c>
      <c r="G876" t="s">
        <v>24</v>
      </c>
      <c r="H876" t="s">
        <v>69</v>
      </c>
      <c r="I876" t="s">
        <v>136</v>
      </c>
      <c r="J876" t="s">
        <v>47</v>
      </c>
      <c r="K876" t="s">
        <v>48</v>
      </c>
      <c r="L876">
        <v>10</v>
      </c>
      <c r="M876">
        <v>635.99</v>
      </c>
      <c r="N876">
        <v>0.16</v>
      </c>
      <c r="O876">
        <v>7279.36</v>
      </c>
      <c r="P876">
        <v>3155.48</v>
      </c>
      <c r="Q876">
        <v>88.69</v>
      </c>
      <c r="R876" t="s">
        <v>43</v>
      </c>
      <c r="S876">
        <v>2</v>
      </c>
      <c r="T876" t="b">
        <v>0</v>
      </c>
      <c r="U876" t="s">
        <v>30</v>
      </c>
      <c r="V876">
        <v>1</v>
      </c>
    </row>
    <row r="877" spans="1:22" x14ac:dyDescent="0.25">
      <c r="A877" t="s">
        <v>2216</v>
      </c>
      <c r="B877" s="1">
        <v>44718</v>
      </c>
      <c r="C877" t="s">
        <v>2217</v>
      </c>
      <c r="D877" t="s">
        <v>708</v>
      </c>
      <c r="E877">
        <v>50</v>
      </c>
      <c r="F877" t="str">
        <f>IF(Table1[[#This Row],[age]]&lt;=25,"18-25",IF(Table1[[#This Row],[age]]&lt;=35,"26-35",IF(Table1[[#This Row],[age]]&lt;=50,"36-50","51+")))</f>
        <v>36-50</v>
      </c>
      <c r="G877" t="s">
        <v>54</v>
      </c>
      <c r="H877" t="s">
        <v>61</v>
      </c>
      <c r="I877" t="s">
        <v>91</v>
      </c>
      <c r="J877" t="s">
        <v>36</v>
      </c>
      <c r="K877" t="s">
        <v>37</v>
      </c>
      <c r="L877">
        <v>9</v>
      </c>
      <c r="M877">
        <v>18354.53</v>
      </c>
      <c r="N877">
        <v>0.4</v>
      </c>
      <c r="O877">
        <v>119623.01</v>
      </c>
      <c r="P877">
        <v>46776.23</v>
      </c>
      <c r="Q877">
        <v>60.02</v>
      </c>
      <c r="R877" t="s">
        <v>57</v>
      </c>
      <c r="S877">
        <v>3</v>
      </c>
      <c r="T877" t="b">
        <v>0</v>
      </c>
      <c r="U877" t="s">
        <v>30</v>
      </c>
      <c r="V877">
        <v>10</v>
      </c>
    </row>
    <row r="878" spans="1:22" x14ac:dyDescent="0.25">
      <c r="A878" t="s">
        <v>2218</v>
      </c>
      <c r="B878" s="1">
        <v>44991</v>
      </c>
      <c r="C878" t="s">
        <v>2219</v>
      </c>
      <c r="D878" t="s">
        <v>1630</v>
      </c>
      <c r="E878">
        <v>48</v>
      </c>
      <c r="F878" t="str">
        <f>IF(Table1[[#This Row],[age]]&lt;=25,"18-25",IF(Table1[[#This Row],[age]]&lt;=35,"26-35",IF(Table1[[#This Row],[age]]&lt;=50,"36-50","51+")))</f>
        <v>36-50</v>
      </c>
      <c r="G878" t="s">
        <v>24</v>
      </c>
      <c r="H878" t="s">
        <v>69</v>
      </c>
      <c r="I878" t="s">
        <v>70</v>
      </c>
      <c r="J878" t="s">
        <v>106</v>
      </c>
      <c r="K878" t="s">
        <v>107</v>
      </c>
      <c r="L878">
        <v>8</v>
      </c>
      <c r="M878">
        <v>412.18</v>
      </c>
      <c r="N878">
        <v>0.37</v>
      </c>
      <c r="O878">
        <v>2510.56</v>
      </c>
      <c r="P878">
        <v>237.24</v>
      </c>
      <c r="Q878">
        <v>74.88</v>
      </c>
      <c r="R878" t="s">
        <v>29</v>
      </c>
      <c r="S878">
        <v>2</v>
      </c>
      <c r="T878" t="b">
        <v>0</v>
      </c>
      <c r="U878" t="s">
        <v>71</v>
      </c>
      <c r="V878">
        <v>3</v>
      </c>
    </row>
    <row r="879" spans="1:22" x14ac:dyDescent="0.25">
      <c r="A879" t="s">
        <v>2220</v>
      </c>
      <c r="B879" s="1">
        <v>43843</v>
      </c>
      <c r="C879" t="s">
        <v>2221</v>
      </c>
      <c r="D879" t="s">
        <v>764</v>
      </c>
      <c r="E879">
        <v>33</v>
      </c>
      <c r="F879" t="str">
        <f>IF(Table1[[#This Row],[age]]&lt;=25,"18-25",IF(Table1[[#This Row],[age]]&lt;=35,"26-35",IF(Table1[[#This Row],[age]]&lt;=50,"36-50","51+")))</f>
        <v>26-35</v>
      </c>
      <c r="G879" t="s">
        <v>54</v>
      </c>
      <c r="H879" t="s">
        <v>25</v>
      </c>
      <c r="I879" t="s">
        <v>41</v>
      </c>
      <c r="J879" t="s">
        <v>101</v>
      </c>
      <c r="K879" t="s">
        <v>164</v>
      </c>
      <c r="L879">
        <v>3</v>
      </c>
      <c r="M879">
        <v>14820.82</v>
      </c>
      <c r="N879">
        <v>0.39</v>
      </c>
      <c r="O879">
        <v>21635.72</v>
      </c>
      <c r="P879">
        <v>4987.3</v>
      </c>
      <c r="Q879">
        <v>45</v>
      </c>
      <c r="R879" t="s">
        <v>29</v>
      </c>
      <c r="S879">
        <v>3</v>
      </c>
      <c r="T879" t="b">
        <v>0</v>
      </c>
      <c r="U879" t="s">
        <v>30</v>
      </c>
      <c r="V879">
        <v>5</v>
      </c>
    </row>
    <row r="880" spans="1:22" x14ac:dyDescent="0.25">
      <c r="A880" t="s">
        <v>2222</v>
      </c>
      <c r="B880" s="1">
        <v>44376</v>
      </c>
      <c r="C880" t="s">
        <v>2223</v>
      </c>
      <c r="D880" t="s">
        <v>1126</v>
      </c>
      <c r="E880">
        <v>21</v>
      </c>
      <c r="F880" t="str">
        <f>IF(Table1[[#This Row],[age]]&lt;=25,"18-25",IF(Table1[[#This Row],[age]]&lt;=35,"26-35",IF(Table1[[#This Row],[age]]&lt;=50,"36-50","51+")))</f>
        <v>18-25</v>
      </c>
      <c r="G880" t="s">
        <v>54</v>
      </c>
      <c r="H880" t="s">
        <v>80</v>
      </c>
      <c r="I880" t="s">
        <v>242</v>
      </c>
      <c r="J880" t="s">
        <v>63</v>
      </c>
      <c r="K880" t="s">
        <v>434</v>
      </c>
      <c r="L880">
        <v>7</v>
      </c>
      <c r="M880">
        <v>1092.77</v>
      </c>
      <c r="N880">
        <v>0.25</v>
      </c>
      <c r="O880">
        <v>8012.86</v>
      </c>
      <c r="P880">
        <v>2746.44</v>
      </c>
      <c r="Q880">
        <v>79.09</v>
      </c>
      <c r="R880" t="s">
        <v>57</v>
      </c>
      <c r="S880">
        <v>2</v>
      </c>
      <c r="T880" t="b">
        <v>0</v>
      </c>
      <c r="U880" t="s">
        <v>30</v>
      </c>
      <c r="V880">
        <v>10</v>
      </c>
    </row>
    <row r="881" spans="1:22" x14ac:dyDescent="0.25">
      <c r="A881" t="s">
        <v>2224</v>
      </c>
      <c r="B881" s="1">
        <v>45208</v>
      </c>
      <c r="C881" t="s">
        <v>2225</v>
      </c>
      <c r="D881" t="s">
        <v>1354</v>
      </c>
      <c r="E881">
        <v>46</v>
      </c>
      <c r="F881" t="str">
        <f>IF(Table1[[#This Row],[age]]&lt;=25,"18-25",IF(Table1[[#This Row],[age]]&lt;=35,"26-35",IF(Table1[[#This Row],[age]]&lt;=50,"36-50","51+")))</f>
        <v>36-50</v>
      </c>
      <c r="G881" t="s">
        <v>34</v>
      </c>
      <c r="H881" t="s">
        <v>61</v>
      </c>
      <c r="I881" t="s">
        <v>91</v>
      </c>
      <c r="J881" t="s">
        <v>47</v>
      </c>
      <c r="K881" t="s">
        <v>204</v>
      </c>
      <c r="L881">
        <v>4</v>
      </c>
      <c r="M881">
        <v>1295.21</v>
      </c>
      <c r="N881">
        <v>0.1</v>
      </c>
      <c r="O881">
        <v>5174.5200000000004</v>
      </c>
      <c r="P881">
        <v>2321.8000000000002</v>
      </c>
      <c r="Q881">
        <v>23.54</v>
      </c>
      <c r="R881" t="s">
        <v>57</v>
      </c>
      <c r="S881">
        <v>4</v>
      </c>
      <c r="T881" t="b">
        <v>0</v>
      </c>
      <c r="U881" t="s">
        <v>30</v>
      </c>
      <c r="V881">
        <v>6</v>
      </c>
    </row>
    <row r="882" spans="1:22" x14ac:dyDescent="0.25">
      <c r="A882" t="s">
        <v>2226</v>
      </c>
      <c r="B882" s="1">
        <v>45265</v>
      </c>
      <c r="C882" t="s">
        <v>2227</v>
      </c>
      <c r="D882" t="s">
        <v>1327</v>
      </c>
      <c r="E882">
        <v>27</v>
      </c>
      <c r="F882" t="str">
        <f>IF(Table1[[#This Row],[age]]&lt;=25,"18-25",IF(Table1[[#This Row],[age]]&lt;=35,"26-35",IF(Table1[[#This Row],[age]]&lt;=50,"36-50","51+")))</f>
        <v>26-35</v>
      </c>
      <c r="G882" t="s">
        <v>34</v>
      </c>
      <c r="H882" t="s">
        <v>80</v>
      </c>
      <c r="I882" t="s">
        <v>242</v>
      </c>
      <c r="J882" t="s">
        <v>27</v>
      </c>
      <c r="K882" t="s">
        <v>128</v>
      </c>
      <c r="L882">
        <v>3</v>
      </c>
      <c r="M882">
        <v>752.34</v>
      </c>
      <c r="N882">
        <v>0.25</v>
      </c>
      <c r="O882">
        <v>1312.85</v>
      </c>
      <c r="P882">
        <v>600.66</v>
      </c>
      <c r="Q882">
        <v>65.3</v>
      </c>
      <c r="R882" t="s">
        <v>92</v>
      </c>
      <c r="S882">
        <v>5</v>
      </c>
      <c r="T882" t="b">
        <v>0</v>
      </c>
      <c r="U882" t="s">
        <v>30</v>
      </c>
      <c r="V882">
        <v>1</v>
      </c>
    </row>
    <row r="883" spans="1:22" x14ac:dyDescent="0.25">
      <c r="A883" t="s">
        <v>2228</v>
      </c>
      <c r="B883" s="1">
        <v>45442</v>
      </c>
      <c r="C883" t="s">
        <v>2229</v>
      </c>
      <c r="D883" t="s">
        <v>964</v>
      </c>
      <c r="E883">
        <v>29</v>
      </c>
      <c r="F883" t="str">
        <f>IF(Table1[[#This Row],[age]]&lt;=25,"18-25",IF(Table1[[#This Row],[age]]&lt;=35,"26-35",IF(Table1[[#This Row],[age]]&lt;=50,"36-50","51+")))</f>
        <v>26-35</v>
      </c>
      <c r="G883" t="s">
        <v>34</v>
      </c>
      <c r="H883" t="s">
        <v>61</v>
      </c>
      <c r="I883" t="s">
        <v>141</v>
      </c>
      <c r="J883" t="s">
        <v>63</v>
      </c>
      <c r="K883" t="s">
        <v>82</v>
      </c>
      <c r="L883">
        <v>8</v>
      </c>
      <c r="M883">
        <v>2994.98</v>
      </c>
      <c r="N883">
        <v>0.2</v>
      </c>
      <c r="O883">
        <v>31403.77</v>
      </c>
      <c r="P883">
        <v>11180.42</v>
      </c>
      <c r="Q883">
        <v>45.43</v>
      </c>
      <c r="R883" t="s">
        <v>92</v>
      </c>
      <c r="S883">
        <v>5</v>
      </c>
      <c r="T883" t="b">
        <v>0</v>
      </c>
      <c r="U883" t="s">
        <v>30</v>
      </c>
      <c r="V883">
        <v>5</v>
      </c>
    </row>
    <row r="884" spans="1:22" x14ac:dyDescent="0.25">
      <c r="A884" t="s">
        <v>2230</v>
      </c>
      <c r="B884" s="1">
        <v>43840</v>
      </c>
      <c r="C884" t="s">
        <v>2231</v>
      </c>
      <c r="D884" t="s">
        <v>2232</v>
      </c>
      <c r="E884">
        <v>31</v>
      </c>
      <c r="F884" t="str">
        <f>IF(Table1[[#This Row],[age]]&lt;=25,"18-25",IF(Table1[[#This Row],[age]]&lt;=35,"26-35",IF(Table1[[#This Row],[age]]&lt;=50,"36-50","51+")))</f>
        <v>26-35</v>
      </c>
      <c r="G884" t="s">
        <v>54</v>
      </c>
      <c r="H884" t="s">
        <v>80</v>
      </c>
      <c r="I884" t="s">
        <v>86</v>
      </c>
      <c r="J884" t="s">
        <v>106</v>
      </c>
      <c r="K884" t="s">
        <v>331</v>
      </c>
      <c r="L884">
        <v>7</v>
      </c>
      <c r="M884">
        <v>423.99</v>
      </c>
      <c r="N884">
        <v>0.21</v>
      </c>
      <c r="O884">
        <v>1984.26</v>
      </c>
      <c r="P884">
        <v>189.37</v>
      </c>
      <c r="Q884">
        <v>45.05</v>
      </c>
      <c r="R884" t="s">
        <v>49</v>
      </c>
      <c r="S884">
        <v>1</v>
      </c>
      <c r="T884" t="b">
        <v>0</v>
      </c>
      <c r="U884" t="s">
        <v>30</v>
      </c>
      <c r="V884">
        <v>8</v>
      </c>
    </row>
    <row r="885" spans="1:22" x14ac:dyDescent="0.25">
      <c r="A885" t="s">
        <v>2233</v>
      </c>
      <c r="B885" s="1">
        <v>45633</v>
      </c>
      <c r="C885" t="s">
        <v>2234</v>
      </c>
      <c r="D885" t="s">
        <v>671</v>
      </c>
      <c r="E885">
        <v>26</v>
      </c>
      <c r="F885" t="str">
        <f>IF(Table1[[#This Row],[age]]&lt;=25,"18-25",IF(Table1[[#This Row],[age]]&lt;=35,"26-35",IF(Table1[[#This Row],[age]]&lt;=50,"36-50","51+")))</f>
        <v>26-35</v>
      </c>
      <c r="G885" t="s">
        <v>54</v>
      </c>
      <c r="H885" t="s">
        <v>61</v>
      </c>
      <c r="I885" t="s">
        <v>163</v>
      </c>
      <c r="J885" t="s">
        <v>115</v>
      </c>
      <c r="K885" t="s">
        <v>137</v>
      </c>
      <c r="L885">
        <v>2</v>
      </c>
      <c r="M885">
        <v>51176.53</v>
      </c>
      <c r="N885">
        <v>0.12</v>
      </c>
      <c r="O885">
        <v>72400.09</v>
      </c>
      <c r="P885">
        <v>8619.1299999999992</v>
      </c>
      <c r="Q885">
        <v>59.77</v>
      </c>
      <c r="R885" t="s">
        <v>49</v>
      </c>
      <c r="S885">
        <v>2</v>
      </c>
      <c r="T885" t="b">
        <v>0</v>
      </c>
      <c r="U885" t="s">
        <v>30</v>
      </c>
      <c r="V885">
        <v>3</v>
      </c>
    </row>
    <row r="886" spans="1:22" x14ac:dyDescent="0.25">
      <c r="A886" t="s">
        <v>2235</v>
      </c>
      <c r="B886" s="1">
        <v>44804</v>
      </c>
      <c r="C886" t="s">
        <v>2236</v>
      </c>
      <c r="D886" t="s">
        <v>2003</v>
      </c>
      <c r="E886">
        <v>28</v>
      </c>
      <c r="F886" t="str">
        <f>IF(Table1[[#This Row],[age]]&lt;=25,"18-25",IF(Table1[[#This Row],[age]]&lt;=35,"26-35",IF(Table1[[#This Row],[age]]&lt;=50,"36-50","51+")))</f>
        <v>26-35</v>
      </c>
      <c r="G886" t="s">
        <v>54</v>
      </c>
      <c r="H886" t="s">
        <v>69</v>
      </c>
      <c r="I886" t="s">
        <v>181</v>
      </c>
      <c r="J886" t="s">
        <v>27</v>
      </c>
      <c r="K886" t="s">
        <v>192</v>
      </c>
      <c r="L886">
        <v>8</v>
      </c>
      <c r="M886">
        <v>1190.3800000000001</v>
      </c>
      <c r="N886">
        <v>0.28999999999999998</v>
      </c>
      <c r="O886">
        <v>9135.75</v>
      </c>
      <c r="P886">
        <v>5877.03</v>
      </c>
      <c r="Q886">
        <v>93.18</v>
      </c>
      <c r="R886" t="s">
        <v>65</v>
      </c>
      <c r="S886">
        <v>1</v>
      </c>
      <c r="T886" t="b">
        <v>1</v>
      </c>
      <c r="U886" t="s">
        <v>50</v>
      </c>
      <c r="V886">
        <v>1</v>
      </c>
    </row>
    <row r="887" spans="1:22" x14ac:dyDescent="0.25">
      <c r="A887" t="s">
        <v>2237</v>
      </c>
      <c r="B887" s="1">
        <v>44420</v>
      </c>
      <c r="C887" t="s">
        <v>2238</v>
      </c>
      <c r="D887" t="s">
        <v>262</v>
      </c>
      <c r="E887">
        <v>39</v>
      </c>
      <c r="F887" t="str">
        <f>IF(Table1[[#This Row],[age]]&lt;=25,"18-25",IF(Table1[[#This Row],[age]]&lt;=35,"26-35",IF(Table1[[#This Row],[age]]&lt;=50,"36-50","51+")))</f>
        <v>36-50</v>
      </c>
      <c r="G887" t="s">
        <v>24</v>
      </c>
      <c r="H887" t="s">
        <v>25</v>
      </c>
      <c r="I887" t="s">
        <v>41</v>
      </c>
      <c r="J887" t="s">
        <v>115</v>
      </c>
      <c r="K887" t="s">
        <v>398</v>
      </c>
      <c r="L887">
        <v>7</v>
      </c>
      <c r="M887">
        <v>63396.04</v>
      </c>
      <c r="N887">
        <v>0.05</v>
      </c>
      <c r="O887">
        <v>514656.3</v>
      </c>
      <c r="P887">
        <v>47623.99</v>
      </c>
      <c r="Q887">
        <v>47.91</v>
      </c>
      <c r="R887" t="s">
        <v>43</v>
      </c>
      <c r="S887">
        <v>3</v>
      </c>
      <c r="T887" t="b">
        <v>0</v>
      </c>
      <c r="U887" t="s">
        <v>30</v>
      </c>
      <c r="V887">
        <v>2</v>
      </c>
    </row>
    <row r="888" spans="1:22" x14ac:dyDescent="0.25">
      <c r="A888" t="s">
        <v>2239</v>
      </c>
      <c r="B888" s="1">
        <v>43968</v>
      </c>
      <c r="C888" t="s">
        <v>2240</v>
      </c>
      <c r="D888" t="s">
        <v>646</v>
      </c>
      <c r="E888">
        <v>38</v>
      </c>
      <c r="F888" t="str">
        <f>IF(Table1[[#This Row],[age]]&lt;=25,"18-25",IF(Table1[[#This Row],[age]]&lt;=35,"26-35",IF(Table1[[#This Row],[age]]&lt;=50,"36-50","51+")))</f>
        <v>36-50</v>
      </c>
      <c r="G888" t="s">
        <v>24</v>
      </c>
      <c r="H888" t="s">
        <v>25</v>
      </c>
      <c r="I888" t="s">
        <v>26</v>
      </c>
      <c r="J888" t="s">
        <v>101</v>
      </c>
      <c r="K888" t="s">
        <v>124</v>
      </c>
      <c r="L888">
        <v>6</v>
      </c>
      <c r="M888">
        <v>3765.92</v>
      </c>
      <c r="N888">
        <v>0.27</v>
      </c>
      <c r="O888">
        <v>20744.7</v>
      </c>
      <c r="P888">
        <v>5247.02</v>
      </c>
      <c r="Q888">
        <v>90.54</v>
      </c>
      <c r="R888" t="s">
        <v>65</v>
      </c>
      <c r="S888">
        <v>4</v>
      </c>
      <c r="T888" t="b">
        <v>0</v>
      </c>
      <c r="U888" t="s">
        <v>30</v>
      </c>
      <c r="V888">
        <v>9</v>
      </c>
    </row>
    <row r="889" spans="1:22" x14ac:dyDescent="0.25">
      <c r="A889" t="s">
        <v>2241</v>
      </c>
      <c r="B889" s="1">
        <v>44777</v>
      </c>
      <c r="C889" t="s">
        <v>2242</v>
      </c>
      <c r="D889" t="s">
        <v>297</v>
      </c>
      <c r="E889">
        <v>33</v>
      </c>
      <c r="F889" t="str">
        <f>IF(Table1[[#This Row],[age]]&lt;=25,"18-25",IF(Table1[[#This Row],[age]]&lt;=35,"26-35",IF(Table1[[#This Row],[age]]&lt;=50,"36-50","51+")))</f>
        <v>26-35</v>
      </c>
      <c r="G889" t="s">
        <v>34</v>
      </c>
      <c r="H889" t="s">
        <v>55</v>
      </c>
      <c r="I889" t="s">
        <v>56</v>
      </c>
      <c r="J889" t="s">
        <v>27</v>
      </c>
      <c r="K889" t="s">
        <v>28</v>
      </c>
      <c r="L889">
        <v>1</v>
      </c>
      <c r="M889">
        <v>1864.55</v>
      </c>
      <c r="N889">
        <v>0.02</v>
      </c>
      <c r="O889">
        <v>2317.0300000000002</v>
      </c>
      <c r="P889">
        <v>835.39</v>
      </c>
      <c r="Q889">
        <v>82.42</v>
      </c>
      <c r="R889" t="s">
        <v>43</v>
      </c>
      <c r="S889">
        <v>1</v>
      </c>
      <c r="T889" t="b">
        <v>1</v>
      </c>
      <c r="U889" t="s">
        <v>50</v>
      </c>
      <c r="V889">
        <v>5</v>
      </c>
    </row>
    <row r="890" spans="1:22" x14ac:dyDescent="0.25">
      <c r="A890" t="s">
        <v>2243</v>
      </c>
      <c r="B890" s="1">
        <v>44755</v>
      </c>
      <c r="C890" t="s">
        <v>2244</v>
      </c>
      <c r="D890" t="s">
        <v>692</v>
      </c>
      <c r="E890">
        <v>47</v>
      </c>
      <c r="F890" t="str">
        <f>IF(Table1[[#This Row],[age]]&lt;=25,"18-25",IF(Table1[[#This Row],[age]]&lt;=35,"26-35",IF(Table1[[#This Row],[age]]&lt;=50,"36-50","51+")))</f>
        <v>36-50</v>
      </c>
      <c r="G890" t="s">
        <v>54</v>
      </c>
      <c r="H890" t="s">
        <v>80</v>
      </c>
      <c r="I890" t="s">
        <v>236</v>
      </c>
      <c r="J890" t="s">
        <v>115</v>
      </c>
      <c r="K890" t="s">
        <v>545</v>
      </c>
      <c r="L890">
        <v>6</v>
      </c>
      <c r="M890">
        <v>9010.34</v>
      </c>
      <c r="N890">
        <v>0.38</v>
      </c>
      <c r="O890">
        <v>49758.87</v>
      </c>
      <c r="P890">
        <v>5134.33</v>
      </c>
      <c r="Q890">
        <v>75.34</v>
      </c>
      <c r="R890" t="s">
        <v>65</v>
      </c>
      <c r="S890">
        <v>4</v>
      </c>
      <c r="T890" t="b">
        <v>0</v>
      </c>
      <c r="U890" t="s">
        <v>30</v>
      </c>
      <c r="V890">
        <v>10</v>
      </c>
    </row>
    <row r="891" spans="1:22" x14ac:dyDescent="0.25">
      <c r="A891" t="s">
        <v>2245</v>
      </c>
      <c r="B891" s="1">
        <v>44166</v>
      </c>
      <c r="C891" t="s">
        <v>2246</v>
      </c>
      <c r="D891" t="s">
        <v>588</v>
      </c>
      <c r="E891">
        <v>34</v>
      </c>
      <c r="F891" t="str">
        <f>IF(Table1[[#This Row],[age]]&lt;=25,"18-25",IF(Table1[[#This Row],[age]]&lt;=35,"26-35",IF(Table1[[#This Row],[age]]&lt;=50,"36-50","51+")))</f>
        <v>26-35</v>
      </c>
      <c r="G891" t="s">
        <v>34</v>
      </c>
      <c r="H891" t="s">
        <v>25</v>
      </c>
      <c r="I891" t="s">
        <v>26</v>
      </c>
      <c r="J891" t="s">
        <v>36</v>
      </c>
      <c r="K891" t="s">
        <v>230</v>
      </c>
      <c r="L891">
        <v>9</v>
      </c>
      <c r="M891">
        <v>12544.46</v>
      </c>
      <c r="N891">
        <v>0.21</v>
      </c>
      <c r="O891">
        <v>65545.14</v>
      </c>
      <c r="P891">
        <v>23589.88</v>
      </c>
      <c r="Q891">
        <v>79.05</v>
      </c>
      <c r="R891" t="s">
        <v>29</v>
      </c>
      <c r="S891">
        <v>4</v>
      </c>
      <c r="T891" t="b">
        <v>0</v>
      </c>
      <c r="U891" t="s">
        <v>30</v>
      </c>
      <c r="V891">
        <v>4</v>
      </c>
    </row>
    <row r="892" spans="1:22" x14ac:dyDescent="0.25">
      <c r="A892" t="s">
        <v>2247</v>
      </c>
      <c r="B892" s="1">
        <v>44562</v>
      </c>
      <c r="C892" t="s">
        <v>2248</v>
      </c>
      <c r="D892" t="s">
        <v>859</v>
      </c>
      <c r="E892">
        <v>51</v>
      </c>
      <c r="F892" t="str">
        <f>IF(Table1[[#This Row],[age]]&lt;=25,"18-25",IF(Table1[[#This Row],[age]]&lt;=35,"26-35",IF(Table1[[#This Row],[age]]&lt;=50,"36-50","51+")))</f>
        <v>51+</v>
      </c>
      <c r="G892" t="s">
        <v>24</v>
      </c>
      <c r="H892" t="s">
        <v>69</v>
      </c>
      <c r="I892" t="s">
        <v>181</v>
      </c>
      <c r="J892" t="s">
        <v>36</v>
      </c>
      <c r="K892" t="s">
        <v>132</v>
      </c>
      <c r="L892">
        <v>1</v>
      </c>
      <c r="M892">
        <v>27509.11</v>
      </c>
      <c r="N892">
        <v>0.34</v>
      </c>
      <c r="O892">
        <v>17323.099999999999</v>
      </c>
      <c r="P892">
        <v>3413.01</v>
      </c>
      <c r="Q892">
        <v>50.42</v>
      </c>
      <c r="R892" t="s">
        <v>57</v>
      </c>
      <c r="S892">
        <v>2</v>
      </c>
      <c r="T892" t="b">
        <v>1</v>
      </c>
      <c r="U892" t="s">
        <v>50</v>
      </c>
      <c r="V892">
        <v>9</v>
      </c>
    </row>
    <row r="893" spans="1:22" x14ac:dyDescent="0.25">
      <c r="A893" t="s">
        <v>2249</v>
      </c>
      <c r="B893" s="1">
        <v>44007</v>
      </c>
      <c r="C893" t="s">
        <v>2250</v>
      </c>
      <c r="D893" t="s">
        <v>1756</v>
      </c>
      <c r="E893">
        <v>41</v>
      </c>
      <c r="F893" t="str">
        <f>IF(Table1[[#This Row],[age]]&lt;=25,"18-25",IF(Table1[[#This Row],[age]]&lt;=35,"26-35",IF(Table1[[#This Row],[age]]&lt;=50,"36-50","51+")))</f>
        <v>36-50</v>
      </c>
      <c r="G893" t="s">
        <v>54</v>
      </c>
      <c r="H893" t="s">
        <v>55</v>
      </c>
      <c r="I893" t="s">
        <v>97</v>
      </c>
      <c r="J893" t="s">
        <v>47</v>
      </c>
      <c r="K893" t="s">
        <v>156</v>
      </c>
      <c r="L893">
        <v>1</v>
      </c>
      <c r="M893">
        <v>794.97</v>
      </c>
      <c r="N893">
        <v>0.15</v>
      </c>
      <c r="O893">
        <v>910.56</v>
      </c>
      <c r="P893">
        <v>213.02</v>
      </c>
      <c r="Q893">
        <v>18.34</v>
      </c>
      <c r="R893" t="s">
        <v>29</v>
      </c>
      <c r="S893">
        <v>5</v>
      </c>
      <c r="T893" t="b">
        <v>0</v>
      </c>
      <c r="U893" t="s">
        <v>30</v>
      </c>
      <c r="V893">
        <v>6</v>
      </c>
    </row>
    <row r="894" spans="1:22" x14ac:dyDescent="0.25">
      <c r="A894" t="s">
        <v>2251</v>
      </c>
      <c r="B894" s="1">
        <v>44017</v>
      </c>
      <c r="C894" t="s">
        <v>2252</v>
      </c>
      <c r="D894" t="s">
        <v>1351</v>
      </c>
      <c r="E894">
        <v>22</v>
      </c>
      <c r="F894" t="str">
        <f>IF(Table1[[#This Row],[age]]&lt;=25,"18-25",IF(Table1[[#This Row],[age]]&lt;=35,"26-35",IF(Table1[[#This Row],[age]]&lt;=50,"36-50","51+")))</f>
        <v>18-25</v>
      </c>
      <c r="G894" t="s">
        <v>24</v>
      </c>
      <c r="H894" t="s">
        <v>25</v>
      </c>
      <c r="I894" t="s">
        <v>35</v>
      </c>
      <c r="J894" t="s">
        <v>47</v>
      </c>
      <c r="K894" t="s">
        <v>272</v>
      </c>
      <c r="L894">
        <v>2</v>
      </c>
      <c r="M894">
        <v>1319.78</v>
      </c>
      <c r="N894">
        <v>0.11</v>
      </c>
      <c r="O894">
        <v>2893.27</v>
      </c>
      <c r="P894">
        <v>758.61</v>
      </c>
      <c r="Q894">
        <v>53.87</v>
      </c>
      <c r="R894" t="s">
        <v>49</v>
      </c>
      <c r="S894">
        <v>5</v>
      </c>
      <c r="T894" t="b">
        <v>0</v>
      </c>
      <c r="U894" t="s">
        <v>30</v>
      </c>
      <c r="V894">
        <v>5</v>
      </c>
    </row>
    <row r="895" spans="1:22" x14ac:dyDescent="0.25">
      <c r="A895" t="s">
        <v>2253</v>
      </c>
      <c r="B895" s="1">
        <v>44428</v>
      </c>
      <c r="C895" t="s">
        <v>2254</v>
      </c>
      <c r="D895" t="s">
        <v>2255</v>
      </c>
      <c r="E895">
        <v>27</v>
      </c>
      <c r="F895" t="str">
        <f>IF(Table1[[#This Row],[age]]&lt;=25,"18-25",IF(Table1[[#This Row],[age]]&lt;=35,"26-35",IF(Table1[[#This Row],[age]]&lt;=50,"36-50","51+")))</f>
        <v>26-35</v>
      </c>
      <c r="G895" t="s">
        <v>24</v>
      </c>
      <c r="H895" t="s">
        <v>61</v>
      </c>
      <c r="I895" t="s">
        <v>62</v>
      </c>
      <c r="J895" t="s">
        <v>106</v>
      </c>
      <c r="K895" t="s">
        <v>331</v>
      </c>
      <c r="L895">
        <v>1</v>
      </c>
      <c r="M895">
        <v>108.73</v>
      </c>
      <c r="N895">
        <v>0.39</v>
      </c>
      <c r="O895">
        <v>87.71</v>
      </c>
      <c r="P895">
        <v>7.58</v>
      </c>
      <c r="Q895">
        <v>51.82</v>
      </c>
      <c r="R895" t="s">
        <v>49</v>
      </c>
      <c r="S895">
        <v>4</v>
      </c>
      <c r="T895" t="b">
        <v>0</v>
      </c>
      <c r="U895" t="s">
        <v>93</v>
      </c>
      <c r="V895">
        <v>7</v>
      </c>
    </row>
    <row r="896" spans="1:22" x14ac:dyDescent="0.25">
      <c r="A896" t="s">
        <v>2256</v>
      </c>
      <c r="B896" s="1">
        <v>44381</v>
      </c>
      <c r="C896" t="s">
        <v>2257</v>
      </c>
      <c r="D896" t="s">
        <v>802</v>
      </c>
      <c r="E896">
        <v>32</v>
      </c>
      <c r="F896" t="str">
        <f>IF(Table1[[#This Row],[age]]&lt;=25,"18-25",IF(Table1[[#This Row],[age]]&lt;=35,"26-35",IF(Table1[[#This Row],[age]]&lt;=50,"36-50","51+")))</f>
        <v>26-35</v>
      </c>
      <c r="G896" t="s">
        <v>24</v>
      </c>
      <c r="H896" t="s">
        <v>55</v>
      </c>
      <c r="I896" t="s">
        <v>114</v>
      </c>
      <c r="J896" t="s">
        <v>63</v>
      </c>
      <c r="K896" t="s">
        <v>82</v>
      </c>
      <c r="L896">
        <v>9</v>
      </c>
      <c r="M896">
        <v>3582.63</v>
      </c>
      <c r="N896">
        <v>0.15</v>
      </c>
      <c r="O896">
        <v>40561.11</v>
      </c>
      <c r="P896">
        <v>14700.02</v>
      </c>
      <c r="Q896">
        <v>55.73</v>
      </c>
      <c r="R896" t="s">
        <v>57</v>
      </c>
      <c r="S896">
        <v>4</v>
      </c>
      <c r="T896" t="b">
        <v>0</v>
      </c>
      <c r="U896" t="s">
        <v>30</v>
      </c>
      <c r="V896">
        <v>6</v>
      </c>
    </row>
    <row r="897" spans="1:22" x14ac:dyDescent="0.25">
      <c r="A897" t="s">
        <v>2258</v>
      </c>
      <c r="B897" s="1">
        <v>45309</v>
      </c>
      <c r="C897" t="s">
        <v>2259</v>
      </c>
      <c r="D897" t="s">
        <v>144</v>
      </c>
      <c r="E897">
        <v>29</v>
      </c>
      <c r="F897" t="str">
        <f>IF(Table1[[#This Row],[age]]&lt;=25,"18-25",IF(Table1[[#This Row],[age]]&lt;=35,"26-35",IF(Table1[[#This Row],[age]]&lt;=50,"36-50","51+")))</f>
        <v>26-35</v>
      </c>
      <c r="G897" t="s">
        <v>24</v>
      </c>
      <c r="H897" t="s">
        <v>61</v>
      </c>
      <c r="I897" t="s">
        <v>91</v>
      </c>
      <c r="J897" t="s">
        <v>36</v>
      </c>
      <c r="K897" t="s">
        <v>243</v>
      </c>
      <c r="L897">
        <v>4</v>
      </c>
      <c r="M897">
        <v>30995.42</v>
      </c>
      <c r="N897">
        <v>0.28000000000000003</v>
      </c>
      <c r="O897">
        <v>93700.04</v>
      </c>
      <c r="P897">
        <v>18542.88</v>
      </c>
      <c r="Q897">
        <v>39.880000000000003</v>
      </c>
      <c r="R897" t="s">
        <v>92</v>
      </c>
      <c r="S897">
        <v>5</v>
      </c>
      <c r="T897" t="b">
        <v>0</v>
      </c>
      <c r="U897" t="s">
        <v>30</v>
      </c>
      <c r="V897">
        <v>7</v>
      </c>
    </row>
    <row r="898" spans="1:22" x14ac:dyDescent="0.25">
      <c r="A898" t="s">
        <v>2260</v>
      </c>
      <c r="B898" s="1">
        <v>45131</v>
      </c>
      <c r="C898" t="s">
        <v>2261</v>
      </c>
      <c r="D898" t="s">
        <v>2262</v>
      </c>
      <c r="E898">
        <v>40</v>
      </c>
      <c r="F898" t="str">
        <f>IF(Table1[[#This Row],[age]]&lt;=25,"18-25",IF(Table1[[#This Row],[age]]&lt;=35,"26-35",IF(Table1[[#This Row],[age]]&lt;=50,"36-50","51+")))</f>
        <v>36-50</v>
      </c>
      <c r="G898" t="s">
        <v>34</v>
      </c>
      <c r="H898" t="s">
        <v>55</v>
      </c>
      <c r="I898" t="s">
        <v>114</v>
      </c>
      <c r="J898" t="s">
        <v>27</v>
      </c>
      <c r="K898" t="s">
        <v>128</v>
      </c>
      <c r="L898">
        <v>3</v>
      </c>
      <c r="M898">
        <v>2358.2800000000002</v>
      </c>
      <c r="N898">
        <v>0.21</v>
      </c>
      <c r="O898">
        <v>8273.92</v>
      </c>
      <c r="P898">
        <v>4056.62</v>
      </c>
      <c r="Q898">
        <v>66.180000000000007</v>
      </c>
      <c r="R898" t="s">
        <v>57</v>
      </c>
      <c r="S898">
        <v>4</v>
      </c>
      <c r="T898" t="b">
        <v>0</v>
      </c>
      <c r="U898" t="s">
        <v>30</v>
      </c>
      <c r="V898">
        <v>10</v>
      </c>
    </row>
    <row r="899" spans="1:22" x14ac:dyDescent="0.25">
      <c r="A899" t="s">
        <v>2263</v>
      </c>
      <c r="B899" s="1">
        <v>45199</v>
      </c>
      <c r="C899" t="s">
        <v>2264</v>
      </c>
      <c r="D899" t="s">
        <v>1281</v>
      </c>
      <c r="E899">
        <v>50</v>
      </c>
      <c r="F899" t="str">
        <f>IF(Table1[[#This Row],[age]]&lt;=25,"18-25",IF(Table1[[#This Row],[age]]&lt;=35,"26-35",IF(Table1[[#This Row],[age]]&lt;=50,"36-50","51+")))</f>
        <v>36-50</v>
      </c>
      <c r="G899" t="s">
        <v>24</v>
      </c>
      <c r="H899" t="s">
        <v>61</v>
      </c>
      <c r="I899" t="s">
        <v>163</v>
      </c>
      <c r="J899" t="s">
        <v>63</v>
      </c>
      <c r="K899" t="s">
        <v>87</v>
      </c>
      <c r="L899">
        <v>9</v>
      </c>
      <c r="M899">
        <v>1332.1</v>
      </c>
      <c r="N899">
        <v>0.24</v>
      </c>
      <c r="O899">
        <v>12579.87</v>
      </c>
      <c r="P899">
        <v>3205.48</v>
      </c>
      <c r="Q899">
        <v>79</v>
      </c>
      <c r="R899" t="s">
        <v>57</v>
      </c>
      <c r="S899">
        <v>2</v>
      </c>
      <c r="T899" t="b">
        <v>0</v>
      </c>
      <c r="U899" t="s">
        <v>30</v>
      </c>
      <c r="V899">
        <v>3</v>
      </c>
    </row>
    <row r="900" spans="1:22" x14ac:dyDescent="0.25">
      <c r="A900" t="s">
        <v>2265</v>
      </c>
      <c r="B900" s="1">
        <v>45327</v>
      </c>
      <c r="C900" t="s">
        <v>2266</v>
      </c>
      <c r="D900" t="s">
        <v>1662</v>
      </c>
      <c r="E900">
        <v>37</v>
      </c>
      <c r="F900" t="str">
        <f>IF(Table1[[#This Row],[age]]&lt;=25,"18-25",IF(Table1[[#This Row],[age]]&lt;=35,"26-35",IF(Table1[[#This Row],[age]]&lt;=50,"36-50","51+")))</f>
        <v>36-50</v>
      </c>
      <c r="G900" t="s">
        <v>34</v>
      </c>
      <c r="H900" t="s">
        <v>25</v>
      </c>
      <c r="I900" t="s">
        <v>298</v>
      </c>
      <c r="J900" t="s">
        <v>63</v>
      </c>
      <c r="K900" t="s">
        <v>87</v>
      </c>
      <c r="L900">
        <v>9</v>
      </c>
      <c r="M900">
        <v>1826.63</v>
      </c>
      <c r="N900">
        <v>7.0000000000000007E-2</v>
      </c>
      <c r="O900">
        <v>16207.04</v>
      </c>
      <c r="P900">
        <v>6487.83</v>
      </c>
      <c r="Q900">
        <v>57.55</v>
      </c>
      <c r="R900" t="s">
        <v>43</v>
      </c>
      <c r="S900">
        <v>5</v>
      </c>
      <c r="T900" t="b">
        <v>0</v>
      </c>
      <c r="U900" t="s">
        <v>30</v>
      </c>
      <c r="V900">
        <v>9</v>
      </c>
    </row>
    <row r="901" spans="1:22" x14ac:dyDescent="0.25">
      <c r="A901" t="s">
        <v>2267</v>
      </c>
      <c r="B901" s="1">
        <v>45127</v>
      </c>
      <c r="C901" t="s">
        <v>2268</v>
      </c>
      <c r="D901" t="s">
        <v>224</v>
      </c>
      <c r="E901">
        <v>49</v>
      </c>
      <c r="F901" t="str">
        <f>IF(Table1[[#This Row],[age]]&lt;=25,"18-25",IF(Table1[[#This Row],[age]]&lt;=35,"26-35",IF(Table1[[#This Row],[age]]&lt;=50,"36-50","51+")))</f>
        <v>36-50</v>
      </c>
      <c r="G901" t="s">
        <v>24</v>
      </c>
      <c r="H901" t="s">
        <v>25</v>
      </c>
      <c r="I901" t="s">
        <v>35</v>
      </c>
      <c r="J901" t="s">
        <v>101</v>
      </c>
      <c r="K901" t="s">
        <v>456</v>
      </c>
      <c r="L901">
        <v>10</v>
      </c>
      <c r="M901">
        <v>14494.42</v>
      </c>
      <c r="N901">
        <v>0.17</v>
      </c>
      <c r="O901">
        <v>166583.26</v>
      </c>
      <c r="P901">
        <v>37373.97</v>
      </c>
      <c r="Q901">
        <v>63.48</v>
      </c>
      <c r="R901" t="s">
        <v>65</v>
      </c>
      <c r="S901">
        <v>2</v>
      </c>
      <c r="T901" t="b">
        <v>0</v>
      </c>
      <c r="U901" t="s">
        <v>30</v>
      </c>
      <c r="V901">
        <v>9</v>
      </c>
    </row>
    <row r="902" spans="1:22" x14ac:dyDescent="0.25">
      <c r="A902" t="s">
        <v>2269</v>
      </c>
      <c r="B902" s="1">
        <v>44417</v>
      </c>
      <c r="C902" t="s">
        <v>2270</v>
      </c>
      <c r="D902" t="s">
        <v>539</v>
      </c>
      <c r="E902">
        <v>36</v>
      </c>
      <c r="F902" t="str">
        <f>IF(Table1[[#This Row],[age]]&lt;=25,"18-25",IF(Table1[[#This Row],[age]]&lt;=35,"26-35",IF(Table1[[#This Row],[age]]&lt;=50,"36-50","51+")))</f>
        <v>36-50</v>
      </c>
      <c r="G902" t="s">
        <v>24</v>
      </c>
      <c r="H902" t="s">
        <v>80</v>
      </c>
      <c r="I902" t="s">
        <v>81</v>
      </c>
      <c r="J902" t="s">
        <v>36</v>
      </c>
      <c r="K902" t="s">
        <v>243</v>
      </c>
      <c r="L902">
        <v>1</v>
      </c>
      <c r="M902">
        <v>13928.4</v>
      </c>
      <c r="N902">
        <v>0.02</v>
      </c>
      <c r="O902">
        <v>16374.89</v>
      </c>
      <c r="P902">
        <v>4982.1899999999996</v>
      </c>
      <c r="Q902">
        <v>84.29</v>
      </c>
      <c r="R902" t="s">
        <v>29</v>
      </c>
      <c r="S902">
        <v>1</v>
      </c>
      <c r="T902" t="b">
        <v>1</v>
      </c>
      <c r="U902" t="s">
        <v>50</v>
      </c>
      <c r="V902">
        <v>2</v>
      </c>
    </row>
    <row r="903" spans="1:22" x14ac:dyDescent="0.25">
      <c r="A903" t="s">
        <v>2271</v>
      </c>
      <c r="B903" s="1">
        <v>44171</v>
      </c>
      <c r="C903" t="s">
        <v>2272</v>
      </c>
      <c r="D903" t="s">
        <v>1968</v>
      </c>
      <c r="E903">
        <v>39</v>
      </c>
      <c r="F903" t="str">
        <f>IF(Table1[[#This Row],[age]]&lt;=25,"18-25",IF(Table1[[#This Row],[age]]&lt;=35,"26-35",IF(Table1[[#This Row],[age]]&lt;=50,"36-50","51+")))</f>
        <v>36-50</v>
      </c>
      <c r="G903" t="s">
        <v>34</v>
      </c>
      <c r="H903" t="s">
        <v>80</v>
      </c>
      <c r="I903" t="s">
        <v>242</v>
      </c>
      <c r="J903" t="s">
        <v>36</v>
      </c>
      <c r="K903" t="s">
        <v>132</v>
      </c>
      <c r="L903">
        <v>7</v>
      </c>
      <c r="M903">
        <v>16844.34</v>
      </c>
      <c r="N903">
        <v>0.21</v>
      </c>
      <c r="O903">
        <v>63758.45</v>
      </c>
      <c r="P903">
        <v>17615.41</v>
      </c>
      <c r="Q903">
        <v>77.12</v>
      </c>
      <c r="R903" t="s">
        <v>43</v>
      </c>
      <c r="S903">
        <v>4</v>
      </c>
      <c r="T903" t="b">
        <v>0</v>
      </c>
      <c r="U903" t="s">
        <v>30</v>
      </c>
      <c r="V903">
        <v>7</v>
      </c>
    </row>
    <row r="904" spans="1:22" x14ac:dyDescent="0.25">
      <c r="A904" t="s">
        <v>2273</v>
      </c>
      <c r="B904" s="1">
        <v>44335</v>
      </c>
      <c r="C904" t="s">
        <v>2274</v>
      </c>
      <c r="D904" t="s">
        <v>1373</v>
      </c>
      <c r="E904">
        <v>44</v>
      </c>
      <c r="F904" t="str">
        <f>IF(Table1[[#This Row],[age]]&lt;=25,"18-25",IF(Table1[[#This Row],[age]]&lt;=35,"26-35",IF(Table1[[#This Row],[age]]&lt;=50,"36-50","51+")))</f>
        <v>36-50</v>
      </c>
      <c r="G904" t="s">
        <v>24</v>
      </c>
      <c r="H904" t="s">
        <v>61</v>
      </c>
      <c r="I904" t="s">
        <v>163</v>
      </c>
      <c r="J904" t="s">
        <v>115</v>
      </c>
      <c r="K904" t="s">
        <v>116</v>
      </c>
      <c r="L904">
        <v>7</v>
      </c>
      <c r="M904">
        <v>76173.789999999994</v>
      </c>
      <c r="N904">
        <v>0.04</v>
      </c>
      <c r="O904">
        <v>700761.7</v>
      </c>
      <c r="P904">
        <v>99827.839999999997</v>
      </c>
      <c r="Q904">
        <v>53.23</v>
      </c>
      <c r="R904" t="s">
        <v>29</v>
      </c>
      <c r="S904">
        <v>3</v>
      </c>
      <c r="T904" t="b">
        <v>0</v>
      </c>
      <c r="U904" t="s">
        <v>93</v>
      </c>
      <c r="V904">
        <v>4</v>
      </c>
    </row>
    <row r="905" spans="1:22" x14ac:dyDescent="0.25">
      <c r="A905" t="s">
        <v>2275</v>
      </c>
      <c r="B905" s="1">
        <v>45088</v>
      </c>
      <c r="C905" t="s">
        <v>2276</v>
      </c>
      <c r="D905" t="s">
        <v>1069</v>
      </c>
      <c r="E905">
        <v>46</v>
      </c>
      <c r="F905" t="str">
        <f>IF(Table1[[#This Row],[age]]&lt;=25,"18-25",IF(Table1[[#This Row],[age]]&lt;=35,"26-35",IF(Table1[[#This Row],[age]]&lt;=50,"36-50","51+")))</f>
        <v>36-50</v>
      </c>
      <c r="G905" t="s">
        <v>34</v>
      </c>
      <c r="H905" t="s">
        <v>25</v>
      </c>
      <c r="I905" t="s">
        <v>26</v>
      </c>
      <c r="J905" t="s">
        <v>115</v>
      </c>
      <c r="K905" t="s">
        <v>197</v>
      </c>
      <c r="L905">
        <v>8</v>
      </c>
      <c r="M905">
        <v>74304.539999999994</v>
      </c>
      <c r="N905">
        <v>0.08</v>
      </c>
      <c r="O905">
        <v>736732.69</v>
      </c>
      <c r="P905">
        <v>73848.3</v>
      </c>
      <c r="Q905">
        <v>54.14</v>
      </c>
      <c r="R905" t="s">
        <v>43</v>
      </c>
      <c r="S905">
        <v>2</v>
      </c>
      <c r="T905" t="b">
        <v>0</v>
      </c>
      <c r="U905" t="s">
        <v>30</v>
      </c>
      <c r="V905">
        <v>9</v>
      </c>
    </row>
    <row r="906" spans="1:22" x14ac:dyDescent="0.25">
      <c r="A906" t="s">
        <v>2277</v>
      </c>
      <c r="B906" s="1">
        <v>44696</v>
      </c>
      <c r="C906" t="s">
        <v>2278</v>
      </c>
      <c r="D906" t="s">
        <v>119</v>
      </c>
      <c r="E906">
        <v>57</v>
      </c>
      <c r="F906" t="str">
        <f>IF(Table1[[#This Row],[age]]&lt;=25,"18-25",IF(Table1[[#This Row],[age]]&lt;=35,"26-35",IF(Table1[[#This Row],[age]]&lt;=50,"36-50","51+")))</f>
        <v>51+</v>
      </c>
      <c r="G906" t="s">
        <v>34</v>
      </c>
      <c r="H906" t="s">
        <v>61</v>
      </c>
      <c r="I906" t="s">
        <v>62</v>
      </c>
      <c r="J906" t="s">
        <v>115</v>
      </c>
      <c r="K906" t="s">
        <v>137</v>
      </c>
      <c r="L906">
        <v>5</v>
      </c>
      <c r="M906">
        <v>40573.07</v>
      </c>
      <c r="N906">
        <v>0.31</v>
      </c>
      <c r="O906">
        <v>232526.04</v>
      </c>
      <c r="P906">
        <v>20245.060000000001</v>
      </c>
      <c r="Q906">
        <v>51.87</v>
      </c>
      <c r="R906" t="s">
        <v>65</v>
      </c>
      <c r="S906">
        <v>5</v>
      </c>
      <c r="T906" t="b">
        <v>0</v>
      </c>
      <c r="U906" t="s">
        <v>30</v>
      </c>
      <c r="V906">
        <v>5</v>
      </c>
    </row>
    <row r="907" spans="1:22" x14ac:dyDescent="0.25">
      <c r="A907" t="s">
        <v>2279</v>
      </c>
      <c r="B907" s="1">
        <v>44411</v>
      </c>
      <c r="C907" t="s">
        <v>2280</v>
      </c>
      <c r="D907" t="s">
        <v>849</v>
      </c>
      <c r="E907">
        <v>29</v>
      </c>
      <c r="F907" t="str">
        <f>IF(Table1[[#This Row],[age]]&lt;=25,"18-25",IF(Table1[[#This Row],[age]]&lt;=35,"26-35",IF(Table1[[#This Row],[age]]&lt;=50,"36-50","51+")))</f>
        <v>26-35</v>
      </c>
      <c r="G907" t="s">
        <v>54</v>
      </c>
      <c r="H907" t="s">
        <v>80</v>
      </c>
      <c r="I907" t="s">
        <v>242</v>
      </c>
      <c r="J907" t="s">
        <v>115</v>
      </c>
      <c r="K907" t="s">
        <v>398</v>
      </c>
      <c r="L907">
        <v>9</v>
      </c>
      <c r="M907">
        <v>65957.440000000002</v>
      </c>
      <c r="N907">
        <v>0.32</v>
      </c>
      <c r="O907">
        <v>526880.46</v>
      </c>
      <c r="P907">
        <v>88344.08</v>
      </c>
      <c r="Q907">
        <v>59.57</v>
      </c>
      <c r="R907" t="s">
        <v>49</v>
      </c>
      <c r="S907">
        <v>5</v>
      </c>
      <c r="T907" t="b">
        <v>0</v>
      </c>
      <c r="U907" t="s">
        <v>30</v>
      </c>
      <c r="V907">
        <v>6</v>
      </c>
    </row>
    <row r="908" spans="1:22" x14ac:dyDescent="0.25">
      <c r="A908" t="s">
        <v>2281</v>
      </c>
      <c r="B908" s="1">
        <v>44953</v>
      </c>
      <c r="C908" t="s">
        <v>2282</v>
      </c>
      <c r="D908" t="s">
        <v>982</v>
      </c>
      <c r="E908">
        <v>55</v>
      </c>
      <c r="F908" t="str">
        <f>IF(Table1[[#This Row],[age]]&lt;=25,"18-25",IF(Table1[[#This Row],[age]]&lt;=35,"26-35",IF(Table1[[#This Row],[age]]&lt;=50,"36-50","51+")))</f>
        <v>51+</v>
      </c>
      <c r="G908" t="s">
        <v>54</v>
      </c>
      <c r="H908" t="s">
        <v>25</v>
      </c>
      <c r="I908" t="s">
        <v>26</v>
      </c>
      <c r="J908" t="s">
        <v>47</v>
      </c>
      <c r="K908" t="s">
        <v>120</v>
      </c>
      <c r="L908">
        <v>10</v>
      </c>
      <c r="M908">
        <v>262.24</v>
      </c>
      <c r="N908">
        <v>0.25</v>
      </c>
      <c r="O908">
        <v>1767.24</v>
      </c>
      <c r="P908">
        <v>706.13</v>
      </c>
      <c r="Q908">
        <v>81.67</v>
      </c>
      <c r="R908" t="s">
        <v>43</v>
      </c>
      <c r="S908">
        <v>3</v>
      </c>
      <c r="T908" t="b">
        <v>0</v>
      </c>
      <c r="U908" t="s">
        <v>30</v>
      </c>
      <c r="V908">
        <v>5</v>
      </c>
    </row>
    <row r="909" spans="1:22" x14ac:dyDescent="0.25">
      <c r="A909" t="s">
        <v>2283</v>
      </c>
      <c r="B909" s="1">
        <v>44180</v>
      </c>
      <c r="C909" t="s">
        <v>2284</v>
      </c>
      <c r="D909" t="s">
        <v>751</v>
      </c>
      <c r="E909">
        <v>46</v>
      </c>
      <c r="F909" t="str">
        <f>IF(Table1[[#This Row],[age]]&lt;=25,"18-25",IF(Table1[[#This Row],[age]]&lt;=35,"26-35",IF(Table1[[#This Row],[age]]&lt;=50,"36-50","51+")))</f>
        <v>36-50</v>
      </c>
      <c r="G909" t="s">
        <v>34</v>
      </c>
      <c r="H909" t="s">
        <v>25</v>
      </c>
      <c r="I909" t="s">
        <v>41</v>
      </c>
      <c r="J909" t="s">
        <v>47</v>
      </c>
      <c r="K909" t="s">
        <v>156</v>
      </c>
      <c r="L909">
        <v>6</v>
      </c>
      <c r="M909">
        <v>444.05</v>
      </c>
      <c r="N909">
        <v>0.38</v>
      </c>
      <c r="O909">
        <v>1040.6500000000001</v>
      </c>
      <c r="P909">
        <v>392.88</v>
      </c>
      <c r="Q909">
        <v>100.75</v>
      </c>
      <c r="R909" t="s">
        <v>43</v>
      </c>
      <c r="S909">
        <v>4</v>
      </c>
      <c r="T909" t="b">
        <v>0</v>
      </c>
      <c r="U909" t="s">
        <v>30</v>
      </c>
      <c r="V909">
        <v>10</v>
      </c>
    </row>
    <row r="910" spans="1:22" x14ac:dyDescent="0.25">
      <c r="A910" t="s">
        <v>2285</v>
      </c>
      <c r="B910" s="1">
        <v>44141</v>
      </c>
      <c r="C910" t="s">
        <v>2286</v>
      </c>
      <c r="D910" t="s">
        <v>397</v>
      </c>
      <c r="E910">
        <v>54</v>
      </c>
      <c r="F910" t="str">
        <f>IF(Table1[[#This Row],[age]]&lt;=25,"18-25",IF(Table1[[#This Row],[age]]&lt;=35,"26-35",IF(Table1[[#This Row],[age]]&lt;=50,"36-50","51+")))</f>
        <v>51+</v>
      </c>
      <c r="G910" t="s">
        <v>54</v>
      </c>
      <c r="H910" t="s">
        <v>25</v>
      </c>
      <c r="I910" t="s">
        <v>298</v>
      </c>
      <c r="J910" t="s">
        <v>47</v>
      </c>
      <c r="K910" t="s">
        <v>120</v>
      </c>
      <c r="L910">
        <v>9</v>
      </c>
      <c r="M910">
        <v>1493.02</v>
      </c>
      <c r="N910">
        <v>0.15</v>
      </c>
      <c r="O910">
        <v>6644.53</v>
      </c>
      <c r="P910">
        <v>3127.78</v>
      </c>
      <c r="Q910">
        <v>40.520000000000003</v>
      </c>
      <c r="R910" t="s">
        <v>29</v>
      </c>
      <c r="S910">
        <v>3</v>
      </c>
      <c r="T910" t="b">
        <v>0</v>
      </c>
      <c r="U910" t="s">
        <v>30</v>
      </c>
      <c r="V910">
        <v>4</v>
      </c>
    </row>
    <row r="911" spans="1:22" x14ac:dyDescent="0.25">
      <c r="A911" t="s">
        <v>2287</v>
      </c>
      <c r="B911" s="1">
        <v>43866</v>
      </c>
      <c r="C911" t="s">
        <v>2288</v>
      </c>
      <c r="D911" t="s">
        <v>802</v>
      </c>
      <c r="E911">
        <v>37</v>
      </c>
      <c r="F911" t="str">
        <f>IF(Table1[[#This Row],[age]]&lt;=25,"18-25",IF(Table1[[#This Row],[age]]&lt;=35,"26-35",IF(Table1[[#This Row],[age]]&lt;=50,"36-50","51+")))</f>
        <v>36-50</v>
      </c>
      <c r="G911" t="s">
        <v>24</v>
      </c>
      <c r="H911" t="s">
        <v>25</v>
      </c>
      <c r="I911" t="s">
        <v>35</v>
      </c>
      <c r="J911" t="s">
        <v>101</v>
      </c>
      <c r="K911" t="s">
        <v>456</v>
      </c>
      <c r="L911">
        <v>10</v>
      </c>
      <c r="M911">
        <v>8101.49</v>
      </c>
      <c r="N911">
        <v>0.21</v>
      </c>
      <c r="O911">
        <v>51880.09</v>
      </c>
      <c r="P911">
        <v>7573.04</v>
      </c>
      <c r="Q911">
        <v>83.71</v>
      </c>
      <c r="R911" t="s">
        <v>92</v>
      </c>
      <c r="S911">
        <v>2</v>
      </c>
      <c r="T911" t="b">
        <v>1</v>
      </c>
      <c r="U911" t="s">
        <v>50</v>
      </c>
      <c r="V911">
        <v>7</v>
      </c>
    </row>
    <row r="912" spans="1:22" x14ac:dyDescent="0.25">
      <c r="A912" t="s">
        <v>2289</v>
      </c>
      <c r="B912" s="1">
        <v>44783</v>
      </c>
      <c r="C912" t="s">
        <v>2290</v>
      </c>
      <c r="D912" t="s">
        <v>1023</v>
      </c>
      <c r="E912">
        <v>38</v>
      </c>
      <c r="F912" t="str">
        <f>IF(Table1[[#This Row],[age]]&lt;=25,"18-25",IF(Table1[[#This Row],[age]]&lt;=35,"26-35",IF(Table1[[#This Row],[age]]&lt;=50,"36-50","51+")))</f>
        <v>36-50</v>
      </c>
      <c r="G912" t="s">
        <v>34</v>
      </c>
      <c r="H912" t="s">
        <v>80</v>
      </c>
      <c r="I912" t="s">
        <v>86</v>
      </c>
      <c r="J912" t="s">
        <v>101</v>
      </c>
      <c r="K912" t="s">
        <v>124</v>
      </c>
      <c r="L912">
        <v>4</v>
      </c>
      <c r="M912">
        <v>2688.74</v>
      </c>
      <c r="N912">
        <v>0.36</v>
      </c>
      <c r="O912">
        <v>7914.11</v>
      </c>
      <c r="P912">
        <v>1551.65</v>
      </c>
      <c r="Q912">
        <v>54.97</v>
      </c>
      <c r="R912" t="s">
        <v>65</v>
      </c>
      <c r="S912">
        <v>2</v>
      </c>
      <c r="T912" t="b">
        <v>0</v>
      </c>
      <c r="U912" t="s">
        <v>71</v>
      </c>
      <c r="V912">
        <v>1</v>
      </c>
    </row>
    <row r="913" spans="1:22" x14ac:dyDescent="0.25">
      <c r="A913" t="s">
        <v>2291</v>
      </c>
      <c r="B913" s="1">
        <v>44234</v>
      </c>
      <c r="C913" t="s">
        <v>2292</v>
      </c>
      <c r="D913" t="s">
        <v>1921</v>
      </c>
      <c r="E913">
        <v>39</v>
      </c>
      <c r="F913" t="str">
        <f>IF(Table1[[#This Row],[age]]&lt;=25,"18-25",IF(Table1[[#This Row],[age]]&lt;=35,"26-35",IF(Table1[[#This Row],[age]]&lt;=50,"36-50","51+")))</f>
        <v>36-50</v>
      </c>
      <c r="G913" t="s">
        <v>24</v>
      </c>
      <c r="H913" t="s">
        <v>61</v>
      </c>
      <c r="I913" t="s">
        <v>62</v>
      </c>
      <c r="J913" t="s">
        <v>36</v>
      </c>
      <c r="K913" t="s">
        <v>132</v>
      </c>
      <c r="L913">
        <v>7</v>
      </c>
      <c r="M913">
        <v>15174.89</v>
      </c>
      <c r="N913">
        <v>0.06</v>
      </c>
      <c r="O913">
        <v>79635.100000000006</v>
      </c>
      <c r="P913">
        <v>24165.11</v>
      </c>
      <c r="Q913">
        <v>39.53</v>
      </c>
      <c r="R913" t="s">
        <v>43</v>
      </c>
      <c r="S913">
        <v>2</v>
      </c>
      <c r="T913" t="b">
        <v>0</v>
      </c>
      <c r="U913" t="s">
        <v>30</v>
      </c>
      <c r="V913">
        <v>1</v>
      </c>
    </row>
    <row r="914" spans="1:22" x14ac:dyDescent="0.25">
      <c r="A914" t="s">
        <v>2293</v>
      </c>
      <c r="B914" s="1">
        <v>45263</v>
      </c>
      <c r="C914" t="s">
        <v>2294</v>
      </c>
      <c r="D914" t="s">
        <v>1362</v>
      </c>
      <c r="E914">
        <v>28</v>
      </c>
      <c r="F914" t="str">
        <f>IF(Table1[[#This Row],[age]]&lt;=25,"18-25",IF(Table1[[#This Row],[age]]&lt;=35,"26-35",IF(Table1[[#This Row],[age]]&lt;=50,"36-50","51+")))</f>
        <v>26-35</v>
      </c>
      <c r="G914" t="s">
        <v>24</v>
      </c>
      <c r="H914" t="s">
        <v>25</v>
      </c>
      <c r="I914" t="s">
        <v>41</v>
      </c>
      <c r="J914" t="s">
        <v>115</v>
      </c>
      <c r="K914" t="s">
        <v>197</v>
      </c>
      <c r="L914">
        <v>4</v>
      </c>
      <c r="M914">
        <v>61847.14</v>
      </c>
      <c r="N914">
        <v>0.28000000000000003</v>
      </c>
      <c r="O914">
        <v>158246.41</v>
      </c>
      <c r="P914">
        <v>21536.45</v>
      </c>
      <c r="Q914">
        <v>70.33</v>
      </c>
      <c r="R914" t="s">
        <v>29</v>
      </c>
      <c r="S914">
        <v>4</v>
      </c>
      <c r="T914" t="b">
        <v>1</v>
      </c>
      <c r="U914" t="s">
        <v>50</v>
      </c>
      <c r="V914">
        <v>5</v>
      </c>
    </row>
    <row r="915" spans="1:22" x14ac:dyDescent="0.25">
      <c r="A915" t="s">
        <v>2295</v>
      </c>
      <c r="B915" s="1">
        <v>44646</v>
      </c>
      <c r="C915" t="s">
        <v>2296</v>
      </c>
      <c r="D915" t="s">
        <v>167</v>
      </c>
      <c r="E915">
        <v>46</v>
      </c>
      <c r="F915" t="str">
        <f>IF(Table1[[#This Row],[age]]&lt;=25,"18-25",IF(Table1[[#This Row],[age]]&lt;=35,"26-35",IF(Table1[[#This Row],[age]]&lt;=50,"36-50","51+")))</f>
        <v>36-50</v>
      </c>
      <c r="G915" t="s">
        <v>34</v>
      </c>
      <c r="H915" t="s">
        <v>25</v>
      </c>
      <c r="I915" t="s">
        <v>35</v>
      </c>
      <c r="J915" t="s">
        <v>63</v>
      </c>
      <c r="K915" t="s">
        <v>64</v>
      </c>
      <c r="L915">
        <v>6</v>
      </c>
      <c r="M915">
        <v>2129.9699999999998</v>
      </c>
      <c r="N915">
        <v>0.33</v>
      </c>
      <c r="O915">
        <v>10588.9</v>
      </c>
      <c r="P915">
        <v>4603.57</v>
      </c>
      <c r="Q915">
        <v>41.82</v>
      </c>
      <c r="R915" t="s">
        <v>92</v>
      </c>
      <c r="S915">
        <v>2</v>
      </c>
      <c r="T915" t="b">
        <v>0</v>
      </c>
      <c r="U915" t="s">
        <v>30</v>
      </c>
      <c r="V915">
        <v>1</v>
      </c>
    </row>
    <row r="916" spans="1:22" x14ac:dyDescent="0.25">
      <c r="A916" t="s">
        <v>2297</v>
      </c>
      <c r="B916" s="1">
        <v>45581</v>
      </c>
      <c r="C916" t="s">
        <v>2298</v>
      </c>
      <c r="D916" t="s">
        <v>1625</v>
      </c>
      <c r="E916">
        <v>44</v>
      </c>
      <c r="F916" t="str">
        <f>IF(Table1[[#This Row],[age]]&lt;=25,"18-25",IF(Table1[[#This Row],[age]]&lt;=35,"26-35",IF(Table1[[#This Row],[age]]&lt;=50,"36-50","51+")))</f>
        <v>36-50</v>
      </c>
      <c r="G916" t="s">
        <v>34</v>
      </c>
      <c r="H916" t="s">
        <v>69</v>
      </c>
      <c r="I916" t="s">
        <v>221</v>
      </c>
      <c r="J916" t="s">
        <v>106</v>
      </c>
      <c r="K916" t="s">
        <v>718</v>
      </c>
      <c r="L916">
        <v>9</v>
      </c>
      <c r="M916">
        <v>101.5</v>
      </c>
      <c r="N916">
        <v>0.18</v>
      </c>
      <c r="O916">
        <v>814.46</v>
      </c>
      <c r="P916">
        <v>55.74</v>
      </c>
      <c r="Q916">
        <v>85.93</v>
      </c>
      <c r="R916" t="s">
        <v>57</v>
      </c>
      <c r="S916">
        <v>3</v>
      </c>
      <c r="T916" t="b">
        <v>0</v>
      </c>
      <c r="U916" t="s">
        <v>93</v>
      </c>
      <c r="V916">
        <v>9</v>
      </c>
    </row>
    <row r="917" spans="1:22" x14ac:dyDescent="0.25">
      <c r="A917" t="s">
        <v>2299</v>
      </c>
      <c r="B917" s="1">
        <v>44549</v>
      </c>
      <c r="C917" t="s">
        <v>2300</v>
      </c>
      <c r="D917" t="s">
        <v>802</v>
      </c>
      <c r="E917">
        <v>41</v>
      </c>
      <c r="F917" t="str">
        <f>IF(Table1[[#This Row],[age]]&lt;=25,"18-25",IF(Table1[[#This Row],[age]]&lt;=35,"26-35",IF(Table1[[#This Row],[age]]&lt;=50,"36-50","51+")))</f>
        <v>36-50</v>
      </c>
      <c r="G917" t="s">
        <v>34</v>
      </c>
      <c r="H917" t="s">
        <v>25</v>
      </c>
      <c r="I917" t="s">
        <v>298</v>
      </c>
      <c r="J917" t="s">
        <v>47</v>
      </c>
      <c r="K917" t="s">
        <v>48</v>
      </c>
      <c r="L917">
        <v>1</v>
      </c>
      <c r="M917">
        <v>1086.72</v>
      </c>
      <c r="N917">
        <v>0.16</v>
      </c>
      <c r="O917">
        <v>733.62</v>
      </c>
      <c r="P917">
        <v>191.01</v>
      </c>
      <c r="Q917">
        <v>81.14</v>
      </c>
      <c r="R917" t="s">
        <v>49</v>
      </c>
      <c r="S917">
        <v>2</v>
      </c>
      <c r="T917" t="b">
        <v>0</v>
      </c>
      <c r="U917" t="s">
        <v>30</v>
      </c>
      <c r="V917">
        <v>7</v>
      </c>
    </row>
    <row r="918" spans="1:22" x14ac:dyDescent="0.25">
      <c r="A918" t="s">
        <v>2301</v>
      </c>
      <c r="B918" s="1">
        <v>44092</v>
      </c>
      <c r="C918" t="s">
        <v>2302</v>
      </c>
      <c r="D918" t="s">
        <v>131</v>
      </c>
      <c r="E918">
        <v>33</v>
      </c>
      <c r="F918" t="str">
        <f>IF(Table1[[#This Row],[age]]&lt;=25,"18-25",IF(Table1[[#This Row],[age]]&lt;=35,"26-35",IF(Table1[[#This Row],[age]]&lt;=50,"36-50","51+")))</f>
        <v>26-35</v>
      </c>
      <c r="G918" t="s">
        <v>34</v>
      </c>
      <c r="H918" t="s">
        <v>80</v>
      </c>
      <c r="I918" t="s">
        <v>81</v>
      </c>
      <c r="J918" t="s">
        <v>115</v>
      </c>
      <c r="K918" t="s">
        <v>145</v>
      </c>
      <c r="L918">
        <v>6</v>
      </c>
      <c r="M918">
        <v>51958.82</v>
      </c>
      <c r="N918">
        <v>0.09</v>
      </c>
      <c r="O918">
        <v>296590.44</v>
      </c>
      <c r="P918">
        <v>46515.89</v>
      </c>
      <c r="Q918">
        <v>67.94</v>
      </c>
      <c r="R918" t="s">
        <v>65</v>
      </c>
      <c r="S918">
        <v>5</v>
      </c>
      <c r="T918" t="b">
        <v>0</v>
      </c>
      <c r="U918" t="s">
        <v>193</v>
      </c>
      <c r="V918">
        <v>3</v>
      </c>
    </row>
    <row r="919" spans="1:22" x14ac:dyDescent="0.25">
      <c r="A919" t="s">
        <v>2303</v>
      </c>
      <c r="B919" s="1">
        <v>44825</v>
      </c>
      <c r="C919" t="s">
        <v>2304</v>
      </c>
      <c r="D919" t="s">
        <v>637</v>
      </c>
      <c r="E919">
        <v>19</v>
      </c>
      <c r="F919" t="str">
        <f>IF(Table1[[#This Row],[age]]&lt;=25,"18-25",IF(Table1[[#This Row],[age]]&lt;=35,"26-35",IF(Table1[[#This Row],[age]]&lt;=50,"36-50","51+")))</f>
        <v>18-25</v>
      </c>
      <c r="G919" t="s">
        <v>24</v>
      </c>
      <c r="H919" t="s">
        <v>55</v>
      </c>
      <c r="I919" t="s">
        <v>75</v>
      </c>
      <c r="J919" t="s">
        <v>36</v>
      </c>
      <c r="K919" t="s">
        <v>76</v>
      </c>
      <c r="L919">
        <v>9</v>
      </c>
      <c r="M919">
        <v>11670.17</v>
      </c>
      <c r="N919">
        <v>0.28999999999999998</v>
      </c>
      <c r="O919">
        <v>98477.31</v>
      </c>
      <c r="P919">
        <v>25127.73</v>
      </c>
      <c r="Q919">
        <v>70.569999999999993</v>
      </c>
      <c r="R919" t="s">
        <v>57</v>
      </c>
      <c r="S919">
        <v>2</v>
      </c>
      <c r="T919" t="b">
        <v>0</v>
      </c>
      <c r="U919" t="s">
        <v>193</v>
      </c>
      <c r="V919">
        <v>5</v>
      </c>
    </row>
    <row r="920" spans="1:22" x14ac:dyDescent="0.25">
      <c r="A920" t="s">
        <v>2305</v>
      </c>
      <c r="B920" s="1">
        <v>45296</v>
      </c>
      <c r="C920" t="s">
        <v>2306</v>
      </c>
      <c r="D920" t="s">
        <v>923</v>
      </c>
      <c r="E920">
        <v>34</v>
      </c>
      <c r="F920" t="str">
        <f>IF(Table1[[#This Row],[age]]&lt;=25,"18-25",IF(Table1[[#This Row],[age]]&lt;=35,"26-35",IF(Table1[[#This Row],[age]]&lt;=50,"36-50","51+")))</f>
        <v>26-35</v>
      </c>
      <c r="G920" t="s">
        <v>34</v>
      </c>
      <c r="H920" t="s">
        <v>55</v>
      </c>
      <c r="I920" t="s">
        <v>97</v>
      </c>
      <c r="J920" t="s">
        <v>63</v>
      </c>
      <c r="K920" t="s">
        <v>152</v>
      </c>
      <c r="L920">
        <v>3</v>
      </c>
      <c r="M920">
        <v>2014.35</v>
      </c>
      <c r="N920">
        <v>0.34</v>
      </c>
      <c r="O920">
        <v>3745.45</v>
      </c>
      <c r="P920">
        <v>1521.68</v>
      </c>
      <c r="Q920">
        <v>55.01</v>
      </c>
      <c r="R920" t="s">
        <v>65</v>
      </c>
      <c r="S920">
        <v>2</v>
      </c>
      <c r="T920" t="b">
        <v>0</v>
      </c>
      <c r="U920" t="s">
        <v>30</v>
      </c>
      <c r="V920">
        <v>2</v>
      </c>
    </row>
    <row r="921" spans="1:22" x14ac:dyDescent="0.25">
      <c r="A921" t="s">
        <v>2307</v>
      </c>
      <c r="B921" s="1">
        <v>45614</v>
      </c>
      <c r="C921" t="s">
        <v>2308</v>
      </c>
      <c r="D921" t="s">
        <v>2213</v>
      </c>
      <c r="E921">
        <v>24</v>
      </c>
      <c r="F921" t="str">
        <f>IF(Table1[[#This Row],[age]]&lt;=25,"18-25",IF(Table1[[#This Row],[age]]&lt;=35,"26-35",IF(Table1[[#This Row],[age]]&lt;=50,"36-50","51+")))</f>
        <v>18-25</v>
      </c>
      <c r="G921" t="s">
        <v>24</v>
      </c>
      <c r="H921" t="s">
        <v>25</v>
      </c>
      <c r="I921" t="s">
        <v>41</v>
      </c>
      <c r="J921" t="s">
        <v>63</v>
      </c>
      <c r="K921" t="s">
        <v>64</v>
      </c>
      <c r="L921">
        <v>6</v>
      </c>
      <c r="M921">
        <v>3683.81</v>
      </c>
      <c r="N921">
        <v>0.14000000000000001</v>
      </c>
      <c r="O921">
        <v>18294.23</v>
      </c>
      <c r="P921">
        <v>6945.87</v>
      </c>
      <c r="Q921">
        <v>62.15</v>
      </c>
      <c r="R921" t="s">
        <v>57</v>
      </c>
      <c r="S921">
        <v>3</v>
      </c>
      <c r="T921" t="b">
        <v>0</v>
      </c>
      <c r="U921" t="s">
        <v>30</v>
      </c>
      <c r="V921">
        <v>7</v>
      </c>
    </row>
    <row r="922" spans="1:22" x14ac:dyDescent="0.25">
      <c r="A922" t="s">
        <v>2309</v>
      </c>
      <c r="B922" s="1">
        <v>44911</v>
      </c>
      <c r="C922" t="s">
        <v>2310</v>
      </c>
      <c r="D922" t="s">
        <v>123</v>
      </c>
      <c r="E922">
        <v>38</v>
      </c>
      <c r="F922" t="str">
        <f>IF(Table1[[#This Row],[age]]&lt;=25,"18-25",IF(Table1[[#This Row],[age]]&lt;=35,"26-35",IF(Table1[[#This Row],[age]]&lt;=50,"36-50","51+")))</f>
        <v>36-50</v>
      </c>
      <c r="G922" t="s">
        <v>54</v>
      </c>
      <c r="H922" t="s">
        <v>55</v>
      </c>
      <c r="I922" t="s">
        <v>97</v>
      </c>
      <c r="J922" t="s">
        <v>63</v>
      </c>
      <c r="K922" t="s">
        <v>64</v>
      </c>
      <c r="L922">
        <v>7</v>
      </c>
      <c r="M922">
        <v>3070.57</v>
      </c>
      <c r="N922">
        <v>0.11</v>
      </c>
      <c r="O922">
        <v>15759.57</v>
      </c>
      <c r="P922">
        <v>5224.3900000000003</v>
      </c>
      <c r="Q922">
        <v>34.380000000000003</v>
      </c>
      <c r="R922" t="s">
        <v>57</v>
      </c>
      <c r="S922">
        <v>1</v>
      </c>
      <c r="T922" t="b">
        <v>0</v>
      </c>
      <c r="U922" t="s">
        <v>30</v>
      </c>
      <c r="V922">
        <v>2</v>
      </c>
    </row>
    <row r="923" spans="1:22" x14ac:dyDescent="0.25">
      <c r="A923" t="s">
        <v>2311</v>
      </c>
      <c r="B923" s="1">
        <v>44901</v>
      </c>
      <c r="C923" t="s">
        <v>2312</v>
      </c>
      <c r="D923" t="s">
        <v>588</v>
      </c>
      <c r="E923">
        <v>35</v>
      </c>
      <c r="F923" t="str">
        <f>IF(Table1[[#This Row],[age]]&lt;=25,"18-25",IF(Table1[[#This Row],[age]]&lt;=35,"26-35",IF(Table1[[#This Row],[age]]&lt;=50,"36-50","51+")))</f>
        <v>26-35</v>
      </c>
      <c r="G923" t="s">
        <v>24</v>
      </c>
      <c r="H923" t="s">
        <v>80</v>
      </c>
      <c r="I923" t="s">
        <v>81</v>
      </c>
      <c r="J923" t="s">
        <v>63</v>
      </c>
      <c r="K923" t="s">
        <v>111</v>
      </c>
      <c r="L923">
        <v>10</v>
      </c>
      <c r="M923">
        <v>1323.89</v>
      </c>
      <c r="N923">
        <v>0.17</v>
      </c>
      <c r="O923">
        <v>7846.07</v>
      </c>
      <c r="P923">
        <v>2864.34</v>
      </c>
      <c r="Q923">
        <v>73.19</v>
      </c>
      <c r="R923" t="s">
        <v>57</v>
      </c>
      <c r="S923">
        <v>3</v>
      </c>
      <c r="T923" t="b">
        <v>0</v>
      </c>
      <c r="U923" t="s">
        <v>30</v>
      </c>
      <c r="V923">
        <v>6</v>
      </c>
    </row>
    <row r="924" spans="1:22" x14ac:dyDescent="0.25">
      <c r="A924" t="s">
        <v>2313</v>
      </c>
      <c r="B924" s="1">
        <v>45510</v>
      </c>
      <c r="C924" t="s">
        <v>2314</v>
      </c>
      <c r="D924" t="s">
        <v>284</v>
      </c>
      <c r="E924">
        <v>31</v>
      </c>
      <c r="F924" t="str">
        <f>IF(Table1[[#This Row],[age]]&lt;=25,"18-25",IF(Table1[[#This Row],[age]]&lt;=35,"26-35",IF(Table1[[#This Row],[age]]&lt;=50,"36-50","51+")))</f>
        <v>26-35</v>
      </c>
      <c r="G924" t="s">
        <v>34</v>
      </c>
      <c r="H924" t="s">
        <v>69</v>
      </c>
      <c r="I924" t="s">
        <v>221</v>
      </c>
      <c r="J924" t="s">
        <v>115</v>
      </c>
      <c r="K924" t="s">
        <v>398</v>
      </c>
      <c r="L924">
        <v>1</v>
      </c>
      <c r="M924">
        <v>32097.99</v>
      </c>
      <c r="N924">
        <v>0.19</v>
      </c>
      <c r="O924">
        <v>38771.85</v>
      </c>
      <c r="P924">
        <v>5312.93</v>
      </c>
      <c r="Q924">
        <v>86.5</v>
      </c>
      <c r="R924" t="s">
        <v>92</v>
      </c>
      <c r="S924">
        <v>5</v>
      </c>
      <c r="T924" t="b">
        <v>0</v>
      </c>
      <c r="U924" t="s">
        <v>30</v>
      </c>
      <c r="V924">
        <v>10</v>
      </c>
    </row>
    <row r="925" spans="1:22" x14ac:dyDescent="0.25">
      <c r="A925" t="s">
        <v>2315</v>
      </c>
      <c r="B925" s="1">
        <v>44683</v>
      </c>
      <c r="C925" t="s">
        <v>2316</v>
      </c>
      <c r="D925" t="s">
        <v>2317</v>
      </c>
      <c r="E925">
        <v>23</v>
      </c>
      <c r="F925" t="str">
        <f>IF(Table1[[#This Row],[age]]&lt;=25,"18-25",IF(Table1[[#This Row],[age]]&lt;=35,"26-35",IF(Table1[[#This Row],[age]]&lt;=50,"36-50","51+")))</f>
        <v>18-25</v>
      </c>
      <c r="G925" t="s">
        <v>34</v>
      </c>
      <c r="H925" t="s">
        <v>25</v>
      </c>
      <c r="I925" t="s">
        <v>298</v>
      </c>
      <c r="J925" t="s">
        <v>63</v>
      </c>
      <c r="K925" t="s">
        <v>434</v>
      </c>
      <c r="L925">
        <v>9</v>
      </c>
      <c r="M925">
        <v>2847.87</v>
      </c>
      <c r="N925">
        <v>0.1</v>
      </c>
      <c r="O925">
        <v>33393.53</v>
      </c>
      <c r="P925">
        <v>12191.27</v>
      </c>
      <c r="Q925">
        <v>82.56</v>
      </c>
      <c r="R925" t="s">
        <v>29</v>
      </c>
      <c r="S925">
        <v>2</v>
      </c>
      <c r="T925" t="b">
        <v>0</v>
      </c>
      <c r="U925" t="s">
        <v>71</v>
      </c>
      <c r="V925">
        <v>1</v>
      </c>
    </row>
    <row r="926" spans="1:22" x14ac:dyDescent="0.25">
      <c r="A926" t="s">
        <v>2318</v>
      </c>
      <c r="B926" s="1">
        <v>45235</v>
      </c>
      <c r="C926" t="s">
        <v>2319</v>
      </c>
      <c r="D926" t="s">
        <v>1401</v>
      </c>
      <c r="E926">
        <v>26</v>
      </c>
      <c r="F926" t="str">
        <f>IF(Table1[[#This Row],[age]]&lt;=25,"18-25",IF(Table1[[#This Row],[age]]&lt;=35,"26-35",IF(Table1[[#This Row],[age]]&lt;=50,"36-50","51+")))</f>
        <v>26-35</v>
      </c>
      <c r="G926" t="s">
        <v>24</v>
      </c>
      <c r="H926" t="s">
        <v>25</v>
      </c>
      <c r="I926" t="s">
        <v>298</v>
      </c>
      <c r="J926" t="s">
        <v>63</v>
      </c>
      <c r="K926" t="s">
        <v>82</v>
      </c>
      <c r="L926">
        <v>5</v>
      </c>
      <c r="M926">
        <v>3838.12</v>
      </c>
      <c r="N926">
        <v>0.33</v>
      </c>
      <c r="O926">
        <v>12041.48</v>
      </c>
      <c r="P926">
        <v>4808.1400000000003</v>
      </c>
      <c r="Q926">
        <v>32.22</v>
      </c>
      <c r="R926" t="s">
        <v>65</v>
      </c>
      <c r="S926">
        <v>3</v>
      </c>
      <c r="T926" t="b">
        <v>0</v>
      </c>
      <c r="U926" t="s">
        <v>30</v>
      </c>
      <c r="V926">
        <v>1</v>
      </c>
    </row>
    <row r="927" spans="1:22" x14ac:dyDescent="0.25">
      <c r="A927" t="s">
        <v>2320</v>
      </c>
      <c r="B927" s="1">
        <v>44020</v>
      </c>
      <c r="C927" t="s">
        <v>2321</v>
      </c>
      <c r="D927" t="s">
        <v>1423</v>
      </c>
      <c r="E927">
        <v>23</v>
      </c>
      <c r="F927" t="str">
        <f>IF(Table1[[#This Row],[age]]&lt;=25,"18-25",IF(Table1[[#This Row],[age]]&lt;=35,"26-35",IF(Table1[[#This Row],[age]]&lt;=50,"36-50","51+")))</f>
        <v>18-25</v>
      </c>
      <c r="G927" t="s">
        <v>24</v>
      </c>
      <c r="H927" t="s">
        <v>80</v>
      </c>
      <c r="I927" t="s">
        <v>242</v>
      </c>
      <c r="J927" t="s">
        <v>115</v>
      </c>
      <c r="K927" t="s">
        <v>116</v>
      </c>
      <c r="L927">
        <v>9</v>
      </c>
      <c r="M927">
        <v>57811.07</v>
      </c>
      <c r="N927">
        <v>0.11</v>
      </c>
      <c r="O927">
        <v>535096.15</v>
      </c>
      <c r="P927">
        <v>69255.11</v>
      </c>
      <c r="Q927">
        <v>81.93</v>
      </c>
      <c r="R927" t="s">
        <v>57</v>
      </c>
      <c r="S927">
        <v>1</v>
      </c>
      <c r="T927" t="b">
        <v>0</v>
      </c>
      <c r="U927" t="s">
        <v>30</v>
      </c>
      <c r="V927">
        <v>6</v>
      </c>
    </row>
    <row r="928" spans="1:22" x14ac:dyDescent="0.25">
      <c r="A928" t="s">
        <v>2322</v>
      </c>
      <c r="B928" s="1">
        <v>45485</v>
      </c>
      <c r="C928" t="s">
        <v>2323</v>
      </c>
      <c r="D928" t="s">
        <v>527</v>
      </c>
      <c r="E928">
        <v>28</v>
      </c>
      <c r="F928" t="str">
        <f>IF(Table1[[#This Row],[age]]&lt;=25,"18-25",IF(Table1[[#This Row],[age]]&lt;=35,"26-35",IF(Table1[[#This Row],[age]]&lt;=50,"36-50","51+")))</f>
        <v>26-35</v>
      </c>
      <c r="G928" t="s">
        <v>54</v>
      </c>
      <c r="H928" t="s">
        <v>69</v>
      </c>
      <c r="I928" t="s">
        <v>136</v>
      </c>
      <c r="J928" t="s">
        <v>63</v>
      </c>
      <c r="K928" t="s">
        <v>111</v>
      </c>
      <c r="L928">
        <v>9</v>
      </c>
      <c r="M928">
        <v>2080.9899999999998</v>
      </c>
      <c r="N928">
        <v>0.16</v>
      </c>
      <c r="O928">
        <v>29349.38</v>
      </c>
      <c r="P928">
        <v>8715.61</v>
      </c>
      <c r="Q928">
        <v>71.25</v>
      </c>
      <c r="R928" t="s">
        <v>92</v>
      </c>
      <c r="S928">
        <v>4</v>
      </c>
      <c r="T928" t="b">
        <v>0</v>
      </c>
      <c r="U928" t="s">
        <v>30</v>
      </c>
      <c r="V928">
        <v>10</v>
      </c>
    </row>
    <row r="929" spans="1:22" x14ac:dyDescent="0.25">
      <c r="A929" t="s">
        <v>2324</v>
      </c>
      <c r="B929" s="1">
        <v>45262</v>
      </c>
      <c r="C929" t="s">
        <v>2325</v>
      </c>
      <c r="D929" t="s">
        <v>2326</v>
      </c>
      <c r="E929">
        <v>53</v>
      </c>
      <c r="F929" t="str">
        <f>IF(Table1[[#This Row],[age]]&lt;=25,"18-25",IF(Table1[[#This Row],[age]]&lt;=35,"26-35",IF(Table1[[#This Row],[age]]&lt;=50,"36-50","51+")))</f>
        <v>51+</v>
      </c>
      <c r="G929" t="s">
        <v>54</v>
      </c>
      <c r="H929" t="s">
        <v>69</v>
      </c>
      <c r="I929" t="s">
        <v>136</v>
      </c>
      <c r="J929" t="s">
        <v>36</v>
      </c>
      <c r="K929" t="s">
        <v>132</v>
      </c>
      <c r="L929">
        <v>7</v>
      </c>
      <c r="M929">
        <v>17240.23</v>
      </c>
      <c r="N929">
        <v>0.18</v>
      </c>
      <c r="O929">
        <v>93169.87</v>
      </c>
      <c r="P929">
        <v>29154.44</v>
      </c>
      <c r="Q929">
        <v>70.02</v>
      </c>
      <c r="R929" t="s">
        <v>65</v>
      </c>
      <c r="S929">
        <v>2</v>
      </c>
      <c r="T929" t="b">
        <v>0</v>
      </c>
      <c r="U929" t="s">
        <v>30</v>
      </c>
      <c r="V929">
        <v>10</v>
      </c>
    </row>
    <row r="930" spans="1:22" x14ac:dyDescent="0.25">
      <c r="A930" t="s">
        <v>2327</v>
      </c>
      <c r="B930" s="1">
        <v>45558</v>
      </c>
      <c r="C930" t="s">
        <v>2328</v>
      </c>
      <c r="D930" t="s">
        <v>2003</v>
      </c>
      <c r="E930">
        <v>31</v>
      </c>
      <c r="F930" t="str">
        <f>IF(Table1[[#This Row],[age]]&lt;=25,"18-25",IF(Table1[[#This Row],[age]]&lt;=35,"26-35",IF(Table1[[#This Row],[age]]&lt;=50,"36-50","51+")))</f>
        <v>26-35</v>
      </c>
      <c r="G930" t="s">
        <v>54</v>
      </c>
      <c r="H930" t="s">
        <v>80</v>
      </c>
      <c r="I930" t="s">
        <v>86</v>
      </c>
      <c r="J930" t="s">
        <v>47</v>
      </c>
      <c r="K930" t="s">
        <v>204</v>
      </c>
      <c r="L930">
        <v>5</v>
      </c>
      <c r="M930">
        <v>893.6</v>
      </c>
      <c r="N930">
        <v>0.03</v>
      </c>
      <c r="O930">
        <v>5604.17</v>
      </c>
      <c r="P930">
        <v>1918.52</v>
      </c>
      <c r="Q930">
        <v>70.92</v>
      </c>
      <c r="R930" t="s">
        <v>29</v>
      </c>
      <c r="S930">
        <v>1</v>
      </c>
      <c r="T930" t="b">
        <v>0</v>
      </c>
      <c r="U930" t="s">
        <v>30</v>
      </c>
      <c r="V930">
        <v>2</v>
      </c>
    </row>
    <row r="931" spans="1:22" x14ac:dyDescent="0.25">
      <c r="A931" t="s">
        <v>2329</v>
      </c>
      <c r="B931" s="1">
        <v>45075</v>
      </c>
      <c r="C931" t="s">
        <v>2330</v>
      </c>
      <c r="D931" t="s">
        <v>317</v>
      </c>
      <c r="E931">
        <v>43</v>
      </c>
      <c r="F931" t="str">
        <f>IF(Table1[[#This Row],[age]]&lt;=25,"18-25",IF(Table1[[#This Row],[age]]&lt;=35,"26-35",IF(Table1[[#This Row],[age]]&lt;=50,"36-50","51+")))</f>
        <v>36-50</v>
      </c>
      <c r="G931" t="s">
        <v>34</v>
      </c>
      <c r="H931" t="s">
        <v>80</v>
      </c>
      <c r="I931" t="s">
        <v>236</v>
      </c>
      <c r="J931" t="s">
        <v>106</v>
      </c>
      <c r="K931" t="s">
        <v>314</v>
      </c>
      <c r="L931">
        <v>4</v>
      </c>
      <c r="M931">
        <v>176.79</v>
      </c>
      <c r="N931">
        <v>0.34</v>
      </c>
      <c r="O931">
        <v>759.97</v>
      </c>
      <c r="P931">
        <v>71.67</v>
      </c>
      <c r="Q931">
        <v>64.69</v>
      </c>
      <c r="R931" t="s">
        <v>65</v>
      </c>
      <c r="S931">
        <v>2</v>
      </c>
      <c r="T931" t="b">
        <v>0</v>
      </c>
      <c r="U931" t="s">
        <v>30</v>
      </c>
      <c r="V931">
        <v>4</v>
      </c>
    </row>
    <row r="932" spans="1:22" x14ac:dyDescent="0.25">
      <c r="A932" t="s">
        <v>2331</v>
      </c>
      <c r="B932" s="1">
        <v>44024</v>
      </c>
      <c r="C932" t="s">
        <v>2332</v>
      </c>
      <c r="D932" t="s">
        <v>2333</v>
      </c>
      <c r="E932">
        <v>26</v>
      </c>
      <c r="F932" t="str">
        <f>IF(Table1[[#This Row],[age]]&lt;=25,"18-25",IF(Table1[[#This Row],[age]]&lt;=35,"26-35",IF(Table1[[#This Row],[age]]&lt;=50,"36-50","51+")))</f>
        <v>26-35</v>
      </c>
      <c r="G932" t="s">
        <v>34</v>
      </c>
      <c r="H932" t="s">
        <v>69</v>
      </c>
      <c r="I932" t="s">
        <v>70</v>
      </c>
      <c r="J932" t="s">
        <v>101</v>
      </c>
      <c r="K932" t="s">
        <v>124</v>
      </c>
      <c r="L932">
        <v>2</v>
      </c>
      <c r="M932">
        <v>1653.6</v>
      </c>
      <c r="N932">
        <v>0.04</v>
      </c>
      <c r="O932">
        <v>4503.3</v>
      </c>
      <c r="P932">
        <v>970.42</v>
      </c>
      <c r="Q932">
        <v>65.98</v>
      </c>
      <c r="R932" t="s">
        <v>65</v>
      </c>
      <c r="S932">
        <v>2</v>
      </c>
      <c r="T932" t="b">
        <v>0</v>
      </c>
      <c r="U932" t="s">
        <v>71</v>
      </c>
      <c r="V932">
        <v>9</v>
      </c>
    </row>
    <row r="933" spans="1:22" x14ac:dyDescent="0.25">
      <c r="A933" t="s">
        <v>2334</v>
      </c>
      <c r="B933" s="1">
        <v>44689</v>
      </c>
      <c r="C933" t="s">
        <v>2335</v>
      </c>
      <c r="D933" t="s">
        <v>734</v>
      </c>
      <c r="E933">
        <v>43</v>
      </c>
      <c r="F933" t="str">
        <f>IF(Table1[[#This Row],[age]]&lt;=25,"18-25",IF(Table1[[#This Row],[age]]&lt;=35,"26-35",IF(Table1[[#This Row],[age]]&lt;=50,"36-50","51+")))</f>
        <v>36-50</v>
      </c>
      <c r="G933" t="s">
        <v>24</v>
      </c>
      <c r="H933" t="s">
        <v>61</v>
      </c>
      <c r="I933" t="s">
        <v>62</v>
      </c>
      <c r="J933" t="s">
        <v>47</v>
      </c>
      <c r="K933" t="s">
        <v>156</v>
      </c>
      <c r="L933">
        <v>6</v>
      </c>
      <c r="M933">
        <v>1175.95</v>
      </c>
      <c r="N933">
        <v>0.21</v>
      </c>
      <c r="O933">
        <v>6295.77</v>
      </c>
      <c r="P933">
        <v>2412.9499999999998</v>
      </c>
      <c r="Q933">
        <v>48.24</v>
      </c>
      <c r="R933" t="s">
        <v>65</v>
      </c>
      <c r="S933">
        <v>1</v>
      </c>
      <c r="T933" t="b">
        <v>0</v>
      </c>
      <c r="U933" t="s">
        <v>30</v>
      </c>
      <c r="V933">
        <v>8</v>
      </c>
    </row>
    <row r="934" spans="1:22" x14ac:dyDescent="0.25">
      <c r="A934" t="s">
        <v>2336</v>
      </c>
      <c r="B934" s="1">
        <v>45231</v>
      </c>
      <c r="C934" t="s">
        <v>2337</v>
      </c>
      <c r="D934" t="s">
        <v>46</v>
      </c>
      <c r="E934">
        <v>23</v>
      </c>
      <c r="F934" t="str">
        <f>IF(Table1[[#This Row],[age]]&lt;=25,"18-25",IF(Table1[[#This Row],[age]]&lt;=35,"26-35",IF(Table1[[#This Row],[age]]&lt;=50,"36-50","51+")))</f>
        <v>18-25</v>
      </c>
      <c r="G934" t="s">
        <v>54</v>
      </c>
      <c r="H934" t="s">
        <v>61</v>
      </c>
      <c r="I934" t="s">
        <v>163</v>
      </c>
      <c r="J934" t="s">
        <v>115</v>
      </c>
      <c r="K934" t="s">
        <v>145</v>
      </c>
      <c r="L934">
        <v>2</v>
      </c>
      <c r="M934">
        <v>5533.58</v>
      </c>
      <c r="N934">
        <v>0.28000000000000003</v>
      </c>
      <c r="O934">
        <v>7936.89</v>
      </c>
      <c r="P934">
        <v>1116.53</v>
      </c>
      <c r="Q934">
        <v>64.260000000000005</v>
      </c>
      <c r="R934" t="s">
        <v>65</v>
      </c>
      <c r="S934">
        <v>3</v>
      </c>
      <c r="T934" t="b">
        <v>0</v>
      </c>
      <c r="U934" t="s">
        <v>30</v>
      </c>
      <c r="V934">
        <v>5</v>
      </c>
    </row>
    <row r="935" spans="1:22" x14ac:dyDescent="0.25">
      <c r="A935" t="s">
        <v>2338</v>
      </c>
      <c r="B935" s="1">
        <v>45476</v>
      </c>
      <c r="C935" t="s">
        <v>2339</v>
      </c>
      <c r="D935" t="s">
        <v>2340</v>
      </c>
      <c r="E935">
        <v>43</v>
      </c>
      <c r="F935" t="str">
        <f>IF(Table1[[#This Row],[age]]&lt;=25,"18-25",IF(Table1[[#This Row],[age]]&lt;=35,"26-35",IF(Table1[[#This Row],[age]]&lt;=50,"36-50","51+")))</f>
        <v>36-50</v>
      </c>
      <c r="G935" t="s">
        <v>34</v>
      </c>
      <c r="H935" t="s">
        <v>25</v>
      </c>
      <c r="I935" t="s">
        <v>35</v>
      </c>
      <c r="J935" t="s">
        <v>27</v>
      </c>
      <c r="K935" t="s">
        <v>480</v>
      </c>
      <c r="L935">
        <v>4</v>
      </c>
      <c r="M935">
        <v>1596.7</v>
      </c>
      <c r="N935">
        <v>0.35</v>
      </c>
      <c r="O935">
        <v>6225.11</v>
      </c>
      <c r="P935">
        <v>2976.56</v>
      </c>
      <c r="Q935">
        <v>47.58</v>
      </c>
      <c r="R935" t="s">
        <v>49</v>
      </c>
      <c r="S935">
        <v>2</v>
      </c>
      <c r="T935" t="b">
        <v>0</v>
      </c>
      <c r="U935" t="s">
        <v>30</v>
      </c>
      <c r="V935">
        <v>8</v>
      </c>
    </row>
    <row r="936" spans="1:22" x14ac:dyDescent="0.25">
      <c r="A936" t="s">
        <v>2341</v>
      </c>
      <c r="B936" s="1">
        <v>45204</v>
      </c>
      <c r="C936" t="s">
        <v>2342</v>
      </c>
      <c r="D936" t="s">
        <v>1341</v>
      </c>
      <c r="E936">
        <v>39</v>
      </c>
      <c r="F936" t="str">
        <f>IF(Table1[[#This Row],[age]]&lt;=25,"18-25",IF(Table1[[#This Row],[age]]&lt;=35,"26-35",IF(Table1[[#This Row],[age]]&lt;=50,"36-50","51+")))</f>
        <v>36-50</v>
      </c>
      <c r="G936" t="s">
        <v>34</v>
      </c>
      <c r="H936" t="s">
        <v>80</v>
      </c>
      <c r="I936" t="s">
        <v>236</v>
      </c>
      <c r="J936" t="s">
        <v>115</v>
      </c>
      <c r="K936" t="s">
        <v>145</v>
      </c>
      <c r="L936">
        <v>5</v>
      </c>
      <c r="M936">
        <v>11373.83</v>
      </c>
      <c r="N936">
        <v>7.0000000000000007E-2</v>
      </c>
      <c r="O936">
        <v>67236.759999999995</v>
      </c>
      <c r="P936">
        <v>8643.41</v>
      </c>
      <c r="Q936">
        <v>51.2</v>
      </c>
      <c r="R936" t="s">
        <v>65</v>
      </c>
      <c r="S936">
        <v>2</v>
      </c>
      <c r="T936" t="b">
        <v>0</v>
      </c>
      <c r="U936" t="s">
        <v>193</v>
      </c>
      <c r="V936">
        <v>7</v>
      </c>
    </row>
    <row r="937" spans="1:22" x14ac:dyDescent="0.25">
      <c r="A937" t="s">
        <v>2343</v>
      </c>
      <c r="B937" s="1">
        <v>43872</v>
      </c>
      <c r="C937" t="s">
        <v>2344</v>
      </c>
      <c r="D937" t="s">
        <v>542</v>
      </c>
      <c r="E937">
        <v>31</v>
      </c>
      <c r="F937" t="str">
        <f>IF(Table1[[#This Row],[age]]&lt;=25,"18-25",IF(Table1[[#This Row],[age]]&lt;=35,"26-35",IF(Table1[[#This Row],[age]]&lt;=50,"36-50","51+")))</f>
        <v>26-35</v>
      </c>
      <c r="G937" t="s">
        <v>54</v>
      </c>
      <c r="H937" t="s">
        <v>80</v>
      </c>
      <c r="I937" t="s">
        <v>236</v>
      </c>
      <c r="J937" t="s">
        <v>47</v>
      </c>
      <c r="K937" t="s">
        <v>120</v>
      </c>
      <c r="L937">
        <v>4</v>
      </c>
      <c r="M937">
        <v>514.80999999999995</v>
      </c>
      <c r="N937">
        <v>0.28999999999999998</v>
      </c>
      <c r="O937">
        <v>1258.03</v>
      </c>
      <c r="P937">
        <v>506.71</v>
      </c>
      <c r="Q937">
        <v>90.95</v>
      </c>
      <c r="R937" t="s">
        <v>92</v>
      </c>
      <c r="S937">
        <v>3</v>
      </c>
      <c r="T937" t="b">
        <v>1</v>
      </c>
      <c r="U937" t="s">
        <v>50</v>
      </c>
      <c r="V937">
        <v>8</v>
      </c>
    </row>
    <row r="938" spans="1:22" x14ac:dyDescent="0.25">
      <c r="A938" t="s">
        <v>2345</v>
      </c>
      <c r="B938" s="1">
        <v>45523</v>
      </c>
      <c r="C938" t="s">
        <v>2346</v>
      </c>
      <c r="D938" t="s">
        <v>502</v>
      </c>
      <c r="E938">
        <v>41</v>
      </c>
      <c r="F938" t="str">
        <f>IF(Table1[[#This Row],[age]]&lt;=25,"18-25",IF(Table1[[#This Row],[age]]&lt;=35,"26-35",IF(Table1[[#This Row],[age]]&lt;=50,"36-50","51+")))</f>
        <v>36-50</v>
      </c>
      <c r="G938" t="s">
        <v>54</v>
      </c>
      <c r="H938" t="s">
        <v>69</v>
      </c>
      <c r="I938" t="s">
        <v>181</v>
      </c>
      <c r="J938" t="s">
        <v>47</v>
      </c>
      <c r="K938" t="s">
        <v>48</v>
      </c>
      <c r="L938">
        <v>9</v>
      </c>
      <c r="M938">
        <v>252.57</v>
      </c>
      <c r="N938">
        <v>0.22</v>
      </c>
      <c r="O938">
        <v>3014.3</v>
      </c>
      <c r="P938">
        <v>1540.74</v>
      </c>
      <c r="Q938">
        <v>68.92</v>
      </c>
      <c r="R938" t="s">
        <v>92</v>
      </c>
      <c r="S938">
        <v>5</v>
      </c>
      <c r="T938" t="b">
        <v>0</v>
      </c>
      <c r="U938" t="s">
        <v>30</v>
      </c>
      <c r="V938">
        <v>4</v>
      </c>
    </row>
    <row r="939" spans="1:22" x14ac:dyDescent="0.25">
      <c r="A939" t="s">
        <v>2347</v>
      </c>
      <c r="B939" s="1">
        <v>44728</v>
      </c>
      <c r="C939" t="s">
        <v>2348</v>
      </c>
      <c r="D939" t="s">
        <v>423</v>
      </c>
      <c r="E939">
        <v>20</v>
      </c>
      <c r="F939" t="str">
        <f>IF(Table1[[#This Row],[age]]&lt;=25,"18-25",IF(Table1[[#This Row],[age]]&lt;=35,"26-35",IF(Table1[[#This Row],[age]]&lt;=50,"36-50","51+")))</f>
        <v>18-25</v>
      </c>
      <c r="G939" t="s">
        <v>54</v>
      </c>
      <c r="H939" t="s">
        <v>80</v>
      </c>
      <c r="I939" t="s">
        <v>86</v>
      </c>
      <c r="J939" t="s">
        <v>106</v>
      </c>
      <c r="K939" t="s">
        <v>331</v>
      </c>
      <c r="L939">
        <v>3</v>
      </c>
      <c r="M939">
        <v>328.35</v>
      </c>
      <c r="N939">
        <v>0.36</v>
      </c>
      <c r="O939">
        <v>955.25</v>
      </c>
      <c r="P939">
        <v>66.63</v>
      </c>
      <c r="Q939">
        <v>38.42</v>
      </c>
      <c r="R939" t="s">
        <v>57</v>
      </c>
      <c r="S939">
        <v>1</v>
      </c>
      <c r="T939" t="b">
        <v>1</v>
      </c>
      <c r="U939" t="s">
        <v>50</v>
      </c>
      <c r="V939">
        <v>3</v>
      </c>
    </row>
    <row r="940" spans="1:22" x14ac:dyDescent="0.25">
      <c r="A940" t="s">
        <v>2349</v>
      </c>
      <c r="B940" s="1">
        <v>45478</v>
      </c>
      <c r="C940" t="s">
        <v>2350</v>
      </c>
      <c r="D940" t="s">
        <v>671</v>
      </c>
      <c r="E940">
        <v>22</v>
      </c>
      <c r="F940" t="str">
        <f>IF(Table1[[#This Row],[age]]&lt;=25,"18-25",IF(Table1[[#This Row],[age]]&lt;=35,"26-35",IF(Table1[[#This Row],[age]]&lt;=50,"36-50","51+")))</f>
        <v>18-25</v>
      </c>
      <c r="G940" t="s">
        <v>24</v>
      </c>
      <c r="H940" t="s">
        <v>61</v>
      </c>
      <c r="I940" t="s">
        <v>163</v>
      </c>
      <c r="J940" t="s">
        <v>106</v>
      </c>
      <c r="K940" t="s">
        <v>188</v>
      </c>
      <c r="L940">
        <v>7</v>
      </c>
      <c r="M940">
        <v>113.61</v>
      </c>
      <c r="N940">
        <v>0.03</v>
      </c>
      <c r="O940">
        <v>1502.19</v>
      </c>
      <c r="P940">
        <v>129.15</v>
      </c>
      <c r="Q940">
        <v>65.959999999999994</v>
      </c>
      <c r="R940" t="s">
        <v>29</v>
      </c>
      <c r="S940">
        <v>5</v>
      </c>
      <c r="T940" t="b">
        <v>0</v>
      </c>
      <c r="U940" t="s">
        <v>30</v>
      </c>
      <c r="V940">
        <v>4</v>
      </c>
    </row>
    <row r="941" spans="1:22" x14ac:dyDescent="0.25">
      <c r="A941" t="s">
        <v>2351</v>
      </c>
      <c r="B941" s="1">
        <v>44556</v>
      </c>
      <c r="C941" t="s">
        <v>2352</v>
      </c>
      <c r="D941" t="s">
        <v>910</v>
      </c>
      <c r="E941">
        <v>31</v>
      </c>
      <c r="F941" t="str">
        <f>IF(Table1[[#This Row],[age]]&lt;=25,"18-25",IF(Table1[[#This Row],[age]]&lt;=35,"26-35",IF(Table1[[#This Row],[age]]&lt;=50,"36-50","51+")))</f>
        <v>26-35</v>
      </c>
      <c r="G941" t="s">
        <v>54</v>
      </c>
      <c r="H941" t="s">
        <v>61</v>
      </c>
      <c r="I941" t="s">
        <v>62</v>
      </c>
      <c r="J941" t="s">
        <v>101</v>
      </c>
      <c r="K941" t="s">
        <v>456</v>
      </c>
      <c r="L941">
        <v>3</v>
      </c>
      <c r="M941">
        <v>11948.26</v>
      </c>
      <c r="N941">
        <v>0.37</v>
      </c>
      <c r="O941">
        <v>16327.78</v>
      </c>
      <c r="P941">
        <v>3332.82</v>
      </c>
      <c r="Q941">
        <v>46.24</v>
      </c>
      <c r="R941" t="s">
        <v>43</v>
      </c>
      <c r="S941">
        <v>1</v>
      </c>
      <c r="T941" t="b">
        <v>1</v>
      </c>
      <c r="U941" t="s">
        <v>50</v>
      </c>
      <c r="V941">
        <v>9</v>
      </c>
    </row>
    <row r="942" spans="1:22" x14ac:dyDescent="0.25">
      <c r="A942" t="s">
        <v>2353</v>
      </c>
      <c r="B942" s="1">
        <v>44394</v>
      </c>
      <c r="C942" t="s">
        <v>2354</v>
      </c>
      <c r="D942" t="s">
        <v>1359</v>
      </c>
      <c r="E942">
        <v>54</v>
      </c>
      <c r="F942" t="str">
        <f>IF(Table1[[#This Row],[age]]&lt;=25,"18-25",IF(Table1[[#This Row],[age]]&lt;=35,"26-35",IF(Table1[[#This Row],[age]]&lt;=50,"36-50","51+")))</f>
        <v>51+</v>
      </c>
      <c r="G942" t="s">
        <v>54</v>
      </c>
      <c r="H942" t="s">
        <v>61</v>
      </c>
      <c r="I942" t="s">
        <v>141</v>
      </c>
      <c r="J942" t="s">
        <v>47</v>
      </c>
      <c r="K942" t="s">
        <v>204</v>
      </c>
      <c r="L942">
        <v>3</v>
      </c>
      <c r="M942">
        <v>454.35</v>
      </c>
      <c r="N942">
        <v>0.08</v>
      </c>
      <c r="O942">
        <v>1480.71</v>
      </c>
      <c r="P942">
        <v>662.33</v>
      </c>
      <c r="Q942">
        <v>36.880000000000003</v>
      </c>
      <c r="R942" t="s">
        <v>92</v>
      </c>
      <c r="S942">
        <v>5</v>
      </c>
      <c r="T942" t="b">
        <v>0</v>
      </c>
      <c r="U942" t="s">
        <v>30</v>
      </c>
      <c r="V942">
        <v>1</v>
      </c>
    </row>
    <row r="943" spans="1:22" x14ac:dyDescent="0.25">
      <c r="A943" t="s">
        <v>2355</v>
      </c>
      <c r="B943" s="1">
        <v>43865</v>
      </c>
      <c r="C943" t="s">
        <v>2356</v>
      </c>
      <c r="D943" t="s">
        <v>1436</v>
      </c>
      <c r="E943">
        <v>28</v>
      </c>
      <c r="F943" t="str">
        <f>IF(Table1[[#This Row],[age]]&lt;=25,"18-25",IF(Table1[[#This Row],[age]]&lt;=35,"26-35",IF(Table1[[#This Row],[age]]&lt;=50,"36-50","51+")))</f>
        <v>26-35</v>
      </c>
      <c r="G943" t="s">
        <v>54</v>
      </c>
      <c r="H943" t="s">
        <v>55</v>
      </c>
      <c r="I943" t="s">
        <v>97</v>
      </c>
      <c r="J943" t="s">
        <v>47</v>
      </c>
      <c r="K943" t="s">
        <v>48</v>
      </c>
      <c r="L943">
        <v>8</v>
      </c>
      <c r="M943">
        <v>466.79</v>
      </c>
      <c r="N943">
        <v>0.13</v>
      </c>
      <c r="O943">
        <v>2614.7399999999998</v>
      </c>
      <c r="P943">
        <v>1118.74</v>
      </c>
      <c r="Q943">
        <v>75.510000000000005</v>
      </c>
      <c r="R943" t="s">
        <v>92</v>
      </c>
      <c r="S943">
        <v>1</v>
      </c>
      <c r="T943" t="b">
        <v>1</v>
      </c>
      <c r="U943" t="s">
        <v>50</v>
      </c>
      <c r="V943">
        <v>10</v>
      </c>
    </row>
    <row r="944" spans="1:22" x14ac:dyDescent="0.25">
      <c r="A944" t="s">
        <v>2357</v>
      </c>
      <c r="B944" s="1">
        <v>44065</v>
      </c>
      <c r="C944" t="s">
        <v>2358</v>
      </c>
      <c r="D944" t="s">
        <v>2359</v>
      </c>
      <c r="E944">
        <v>33</v>
      </c>
      <c r="F944" t="str">
        <f>IF(Table1[[#This Row],[age]]&lt;=25,"18-25",IF(Table1[[#This Row],[age]]&lt;=35,"26-35",IF(Table1[[#This Row],[age]]&lt;=50,"36-50","51+")))</f>
        <v>26-35</v>
      </c>
      <c r="G944" t="s">
        <v>54</v>
      </c>
      <c r="H944" t="s">
        <v>55</v>
      </c>
      <c r="I944" t="s">
        <v>75</v>
      </c>
      <c r="J944" t="s">
        <v>36</v>
      </c>
      <c r="K944" t="s">
        <v>132</v>
      </c>
      <c r="L944">
        <v>1</v>
      </c>
      <c r="M944">
        <v>11106.33</v>
      </c>
      <c r="N944">
        <v>0.21</v>
      </c>
      <c r="O944">
        <v>9670.5300000000007</v>
      </c>
      <c r="P944">
        <v>3146.8</v>
      </c>
      <c r="Q944">
        <v>21.75</v>
      </c>
      <c r="R944" t="s">
        <v>43</v>
      </c>
      <c r="S944">
        <v>3</v>
      </c>
      <c r="T944" t="b">
        <v>0</v>
      </c>
      <c r="U944" t="s">
        <v>30</v>
      </c>
      <c r="V944">
        <v>4</v>
      </c>
    </row>
    <row r="945" spans="1:22" x14ac:dyDescent="0.25">
      <c r="A945" t="s">
        <v>2360</v>
      </c>
      <c r="B945" s="1">
        <v>44449</v>
      </c>
      <c r="C945" t="s">
        <v>2361</v>
      </c>
      <c r="D945" t="s">
        <v>1141</v>
      </c>
      <c r="E945">
        <v>47</v>
      </c>
      <c r="F945" t="str">
        <f>IF(Table1[[#This Row],[age]]&lt;=25,"18-25",IF(Table1[[#This Row],[age]]&lt;=35,"26-35",IF(Table1[[#This Row],[age]]&lt;=50,"36-50","51+")))</f>
        <v>36-50</v>
      </c>
      <c r="G945" t="s">
        <v>34</v>
      </c>
      <c r="H945" t="s">
        <v>80</v>
      </c>
      <c r="I945" t="s">
        <v>242</v>
      </c>
      <c r="J945" t="s">
        <v>27</v>
      </c>
      <c r="K945" t="s">
        <v>335</v>
      </c>
      <c r="L945">
        <v>6</v>
      </c>
      <c r="M945">
        <v>1969.17</v>
      </c>
      <c r="N945">
        <v>0.13</v>
      </c>
      <c r="O945">
        <v>11841.76</v>
      </c>
      <c r="P945">
        <v>3753.53</v>
      </c>
      <c r="Q945">
        <v>62.19</v>
      </c>
      <c r="R945" t="s">
        <v>92</v>
      </c>
      <c r="S945">
        <v>4</v>
      </c>
      <c r="T945" t="b">
        <v>0</v>
      </c>
      <c r="U945" t="s">
        <v>30</v>
      </c>
      <c r="V945">
        <v>7</v>
      </c>
    </row>
    <row r="946" spans="1:22" x14ac:dyDescent="0.25">
      <c r="A946" t="s">
        <v>2362</v>
      </c>
      <c r="B946" s="1">
        <v>45155</v>
      </c>
      <c r="C946" t="s">
        <v>2363</v>
      </c>
      <c r="D946" t="s">
        <v>297</v>
      </c>
      <c r="E946">
        <v>43</v>
      </c>
      <c r="F946" t="str">
        <f>IF(Table1[[#This Row],[age]]&lt;=25,"18-25",IF(Table1[[#This Row],[age]]&lt;=35,"26-35",IF(Table1[[#This Row],[age]]&lt;=50,"36-50","51+")))</f>
        <v>36-50</v>
      </c>
      <c r="G946" t="s">
        <v>34</v>
      </c>
      <c r="H946" t="s">
        <v>25</v>
      </c>
      <c r="I946" t="s">
        <v>35</v>
      </c>
      <c r="J946" t="s">
        <v>101</v>
      </c>
      <c r="K946" t="s">
        <v>164</v>
      </c>
      <c r="L946">
        <v>1</v>
      </c>
      <c r="M946">
        <v>8555.4</v>
      </c>
      <c r="N946">
        <v>0.13</v>
      </c>
      <c r="O946">
        <v>9667.42</v>
      </c>
      <c r="P946">
        <v>2139.7800000000002</v>
      </c>
      <c r="Q946">
        <v>51.56</v>
      </c>
      <c r="R946" t="s">
        <v>92</v>
      </c>
      <c r="S946">
        <v>4</v>
      </c>
      <c r="T946" t="b">
        <v>0</v>
      </c>
      <c r="U946" t="s">
        <v>30</v>
      </c>
      <c r="V946">
        <v>5</v>
      </c>
    </row>
    <row r="947" spans="1:22" x14ac:dyDescent="0.25">
      <c r="A947" t="s">
        <v>2364</v>
      </c>
      <c r="B947" s="1">
        <v>45483</v>
      </c>
      <c r="C947" t="s">
        <v>2365</v>
      </c>
      <c r="D947" t="s">
        <v>871</v>
      </c>
      <c r="E947">
        <v>32</v>
      </c>
      <c r="F947" t="str">
        <f>IF(Table1[[#This Row],[age]]&lt;=25,"18-25",IF(Table1[[#This Row],[age]]&lt;=35,"26-35",IF(Table1[[#This Row],[age]]&lt;=50,"36-50","51+")))</f>
        <v>26-35</v>
      </c>
      <c r="G947" t="s">
        <v>34</v>
      </c>
      <c r="H947" t="s">
        <v>80</v>
      </c>
      <c r="I947" t="s">
        <v>242</v>
      </c>
      <c r="J947" t="s">
        <v>115</v>
      </c>
      <c r="K947" t="s">
        <v>116</v>
      </c>
      <c r="L947">
        <v>6</v>
      </c>
      <c r="M947">
        <v>33794.81</v>
      </c>
      <c r="N947">
        <v>0.2</v>
      </c>
      <c r="O947">
        <v>278998.42</v>
      </c>
      <c r="P947">
        <v>47680.83</v>
      </c>
      <c r="Q947">
        <v>53.59</v>
      </c>
      <c r="R947" t="s">
        <v>57</v>
      </c>
      <c r="S947">
        <v>5</v>
      </c>
      <c r="T947" t="b">
        <v>0</v>
      </c>
      <c r="U947" t="s">
        <v>30</v>
      </c>
      <c r="V947">
        <v>6</v>
      </c>
    </row>
    <row r="948" spans="1:22" x14ac:dyDescent="0.25">
      <c r="A948" t="s">
        <v>2366</v>
      </c>
      <c r="B948" s="1">
        <v>44193</v>
      </c>
      <c r="C948" t="s">
        <v>2367</v>
      </c>
      <c r="D948" t="s">
        <v>2368</v>
      </c>
      <c r="E948">
        <v>41</v>
      </c>
      <c r="F948" t="str">
        <f>IF(Table1[[#This Row],[age]]&lt;=25,"18-25",IF(Table1[[#This Row],[age]]&lt;=35,"26-35",IF(Table1[[#This Row],[age]]&lt;=50,"36-50","51+")))</f>
        <v>36-50</v>
      </c>
      <c r="G948" t="s">
        <v>34</v>
      </c>
      <c r="H948" t="s">
        <v>80</v>
      </c>
      <c r="I948" t="s">
        <v>236</v>
      </c>
      <c r="J948" t="s">
        <v>101</v>
      </c>
      <c r="K948" t="s">
        <v>124</v>
      </c>
      <c r="L948">
        <v>3</v>
      </c>
      <c r="M948">
        <v>7407.34</v>
      </c>
      <c r="N948">
        <v>0.1</v>
      </c>
      <c r="O948">
        <v>11320.18</v>
      </c>
      <c r="P948">
        <v>2114.9</v>
      </c>
      <c r="Q948">
        <v>49.05</v>
      </c>
      <c r="R948" t="s">
        <v>29</v>
      </c>
      <c r="S948">
        <v>5</v>
      </c>
      <c r="T948" t="b">
        <v>0</v>
      </c>
      <c r="U948" t="s">
        <v>30</v>
      </c>
      <c r="V948">
        <v>7</v>
      </c>
    </row>
    <row r="949" spans="1:22" x14ac:dyDescent="0.25">
      <c r="A949" t="s">
        <v>2369</v>
      </c>
      <c r="B949" s="1">
        <v>44413</v>
      </c>
      <c r="C949" t="s">
        <v>2370</v>
      </c>
      <c r="D949" t="s">
        <v>1761</v>
      </c>
      <c r="E949">
        <v>32</v>
      </c>
      <c r="F949" t="str">
        <f>IF(Table1[[#This Row],[age]]&lt;=25,"18-25",IF(Table1[[#This Row],[age]]&lt;=35,"26-35",IF(Table1[[#This Row],[age]]&lt;=50,"36-50","51+")))</f>
        <v>26-35</v>
      </c>
      <c r="G949" t="s">
        <v>34</v>
      </c>
      <c r="H949" t="s">
        <v>61</v>
      </c>
      <c r="I949" t="s">
        <v>163</v>
      </c>
      <c r="J949" t="s">
        <v>27</v>
      </c>
      <c r="K949" t="s">
        <v>168</v>
      </c>
      <c r="L949">
        <v>8</v>
      </c>
      <c r="M949">
        <v>460.54</v>
      </c>
      <c r="N949">
        <v>0.18</v>
      </c>
      <c r="O949">
        <v>4504.96</v>
      </c>
      <c r="P949">
        <v>2168.77</v>
      </c>
      <c r="Q949">
        <v>52.4</v>
      </c>
      <c r="R949" t="s">
        <v>57</v>
      </c>
      <c r="S949">
        <v>2</v>
      </c>
      <c r="T949" t="b">
        <v>0</v>
      </c>
      <c r="U949" t="s">
        <v>30</v>
      </c>
      <c r="V949">
        <v>2</v>
      </c>
    </row>
    <row r="950" spans="1:22" x14ac:dyDescent="0.25">
      <c r="A950" t="s">
        <v>2371</v>
      </c>
      <c r="B950" s="1">
        <v>44812</v>
      </c>
      <c r="C950" t="s">
        <v>2372</v>
      </c>
      <c r="D950" t="s">
        <v>148</v>
      </c>
      <c r="E950">
        <v>60</v>
      </c>
      <c r="F950" t="str">
        <f>IF(Table1[[#This Row],[age]]&lt;=25,"18-25",IF(Table1[[#This Row],[age]]&lt;=35,"26-35",IF(Table1[[#This Row],[age]]&lt;=50,"36-50","51+")))</f>
        <v>51+</v>
      </c>
      <c r="G950" t="s">
        <v>24</v>
      </c>
      <c r="H950" t="s">
        <v>69</v>
      </c>
      <c r="I950" t="s">
        <v>136</v>
      </c>
      <c r="J950" t="s">
        <v>106</v>
      </c>
      <c r="K950" t="s">
        <v>718</v>
      </c>
      <c r="L950">
        <v>6</v>
      </c>
      <c r="M950">
        <v>415.02</v>
      </c>
      <c r="N950">
        <v>0.39</v>
      </c>
      <c r="O950">
        <v>1807.15</v>
      </c>
      <c r="P950">
        <v>138.97</v>
      </c>
      <c r="Q950">
        <v>100.53</v>
      </c>
      <c r="R950" t="s">
        <v>57</v>
      </c>
      <c r="S950">
        <v>1</v>
      </c>
      <c r="T950" t="b">
        <v>0</v>
      </c>
      <c r="U950" t="s">
        <v>71</v>
      </c>
      <c r="V950">
        <v>3</v>
      </c>
    </row>
    <row r="951" spans="1:22" x14ac:dyDescent="0.25">
      <c r="A951" t="s">
        <v>2373</v>
      </c>
      <c r="B951" s="1">
        <v>43847</v>
      </c>
      <c r="C951" t="s">
        <v>2374</v>
      </c>
      <c r="D951" t="s">
        <v>1392</v>
      </c>
      <c r="E951">
        <v>29</v>
      </c>
      <c r="F951" t="str">
        <f>IF(Table1[[#This Row],[age]]&lt;=25,"18-25",IF(Table1[[#This Row],[age]]&lt;=35,"26-35",IF(Table1[[#This Row],[age]]&lt;=50,"36-50","51+")))</f>
        <v>26-35</v>
      </c>
      <c r="G951" t="s">
        <v>24</v>
      </c>
      <c r="H951" t="s">
        <v>69</v>
      </c>
      <c r="I951" t="s">
        <v>70</v>
      </c>
      <c r="J951" t="s">
        <v>27</v>
      </c>
      <c r="K951" t="s">
        <v>480</v>
      </c>
      <c r="L951">
        <v>4</v>
      </c>
      <c r="M951">
        <v>487.69</v>
      </c>
      <c r="N951">
        <v>0.27</v>
      </c>
      <c r="O951">
        <v>999.41</v>
      </c>
      <c r="P951">
        <v>440.68</v>
      </c>
      <c r="Q951">
        <v>86.54</v>
      </c>
      <c r="R951" t="s">
        <v>57</v>
      </c>
      <c r="S951">
        <v>3</v>
      </c>
      <c r="T951" t="b">
        <v>0</v>
      </c>
      <c r="U951" t="s">
        <v>30</v>
      </c>
      <c r="V951">
        <v>6</v>
      </c>
    </row>
    <row r="952" spans="1:22" x14ac:dyDescent="0.25">
      <c r="A952" t="s">
        <v>2375</v>
      </c>
      <c r="B952" s="1">
        <v>45080</v>
      </c>
      <c r="C952" t="s">
        <v>2376</v>
      </c>
      <c r="D952" t="s">
        <v>530</v>
      </c>
      <c r="E952">
        <v>30</v>
      </c>
      <c r="F952" t="str">
        <f>IF(Table1[[#This Row],[age]]&lt;=25,"18-25",IF(Table1[[#This Row],[age]]&lt;=35,"26-35",IF(Table1[[#This Row],[age]]&lt;=50,"36-50","51+")))</f>
        <v>26-35</v>
      </c>
      <c r="G952" t="s">
        <v>54</v>
      </c>
      <c r="H952" t="s">
        <v>25</v>
      </c>
      <c r="I952" t="s">
        <v>298</v>
      </c>
      <c r="J952" t="s">
        <v>63</v>
      </c>
      <c r="K952" t="s">
        <v>152</v>
      </c>
      <c r="L952">
        <v>9</v>
      </c>
      <c r="M952">
        <v>378.42</v>
      </c>
      <c r="N952">
        <v>0</v>
      </c>
      <c r="O952">
        <v>4977.33</v>
      </c>
      <c r="P952">
        <v>1570.94</v>
      </c>
      <c r="Q952">
        <v>43.44</v>
      </c>
      <c r="R952" t="s">
        <v>49</v>
      </c>
      <c r="S952">
        <v>4</v>
      </c>
      <c r="T952" t="b">
        <v>0</v>
      </c>
      <c r="U952" t="s">
        <v>30</v>
      </c>
      <c r="V952">
        <v>8</v>
      </c>
    </row>
    <row r="953" spans="1:22" x14ac:dyDescent="0.25">
      <c r="A953" t="s">
        <v>2377</v>
      </c>
      <c r="B953" s="1">
        <v>45057</v>
      </c>
      <c r="C953" t="s">
        <v>2378</v>
      </c>
      <c r="D953" t="s">
        <v>162</v>
      </c>
      <c r="E953">
        <v>29</v>
      </c>
      <c r="F953" t="str">
        <f>IF(Table1[[#This Row],[age]]&lt;=25,"18-25",IF(Table1[[#This Row],[age]]&lt;=35,"26-35",IF(Table1[[#This Row],[age]]&lt;=50,"36-50","51+")))</f>
        <v>26-35</v>
      </c>
      <c r="G953" t="s">
        <v>54</v>
      </c>
      <c r="H953" t="s">
        <v>61</v>
      </c>
      <c r="I953" t="s">
        <v>163</v>
      </c>
      <c r="J953" t="s">
        <v>101</v>
      </c>
      <c r="K953" t="s">
        <v>124</v>
      </c>
      <c r="L953">
        <v>4</v>
      </c>
      <c r="M953">
        <v>3625.13</v>
      </c>
      <c r="N953">
        <v>0.28000000000000003</v>
      </c>
      <c r="O953">
        <v>14299.68</v>
      </c>
      <c r="P953">
        <v>4907.54</v>
      </c>
      <c r="Q953">
        <v>52.29</v>
      </c>
      <c r="R953" t="s">
        <v>57</v>
      </c>
      <c r="S953">
        <v>1</v>
      </c>
      <c r="T953" t="b">
        <v>0</v>
      </c>
      <c r="U953" t="s">
        <v>30</v>
      </c>
      <c r="V953">
        <v>8</v>
      </c>
    </row>
    <row r="954" spans="1:22" x14ac:dyDescent="0.25">
      <c r="A954" t="s">
        <v>2379</v>
      </c>
      <c r="B954" s="1">
        <v>45464</v>
      </c>
      <c r="C954" t="s">
        <v>2380</v>
      </c>
      <c r="D954" t="s">
        <v>313</v>
      </c>
      <c r="E954">
        <v>35</v>
      </c>
      <c r="F954" t="str">
        <f>IF(Table1[[#This Row],[age]]&lt;=25,"18-25",IF(Table1[[#This Row],[age]]&lt;=35,"26-35",IF(Table1[[#This Row],[age]]&lt;=50,"36-50","51+")))</f>
        <v>26-35</v>
      </c>
      <c r="G954" t="s">
        <v>24</v>
      </c>
      <c r="H954" t="s">
        <v>55</v>
      </c>
      <c r="I954" t="s">
        <v>75</v>
      </c>
      <c r="J954" t="s">
        <v>115</v>
      </c>
      <c r="K954" t="s">
        <v>545</v>
      </c>
      <c r="L954">
        <v>8</v>
      </c>
      <c r="M954">
        <v>67283.39</v>
      </c>
      <c r="N954">
        <v>0.11</v>
      </c>
      <c r="O954">
        <v>832824.46</v>
      </c>
      <c r="P954">
        <v>136279.91</v>
      </c>
      <c r="Q954">
        <v>61.27</v>
      </c>
      <c r="R954" t="s">
        <v>57</v>
      </c>
      <c r="S954">
        <v>4</v>
      </c>
      <c r="T954" t="b">
        <v>0</v>
      </c>
      <c r="U954" t="s">
        <v>30</v>
      </c>
      <c r="V954">
        <v>4</v>
      </c>
    </row>
    <row r="955" spans="1:22" x14ac:dyDescent="0.25">
      <c r="A955" t="s">
        <v>2381</v>
      </c>
      <c r="B955" s="1">
        <v>44305</v>
      </c>
      <c r="C955" t="s">
        <v>2382</v>
      </c>
      <c r="D955" t="s">
        <v>1898</v>
      </c>
      <c r="E955">
        <v>26</v>
      </c>
      <c r="F955" t="str">
        <f>IF(Table1[[#This Row],[age]]&lt;=25,"18-25",IF(Table1[[#This Row],[age]]&lt;=35,"26-35",IF(Table1[[#This Row],[age]]&lt;=50,"36-50","51+")))</f>
        <v>26-35</v>
      </c>
      <c r="G955" t="s">
        <v>24</v>
      </c>
      <c r="H955" t="s">
        <v>80</v>
      </c>
      <c r="I955" t="s">
        <v>81</v>
      </c>
      <c r="J955" t="s">
        <v>47</v>
      </c>
      <c r="K955" t="s">
        <v>204</v>
      </c>
      <c r="L955">
        <v>7</v>
      </c>
      <c r="M955">
        <v>845.12</v>
      </c>
      <c r="N955">
        <v>0.31</v>
      </c>
      <c r="O955">
        <v>4942.58</v>
      </c>
      <c r="P955">
        <v>2834.57</v>
      </c>
      <c r="Q955">
        <v>62.59</v>
      </c>
      <c r="R955" t="s">
        <v>43</v>
      </c>
      <c r="S955">
        <v>4</v>
      </c>
      <c r="T955" t="b">
        <v>0</v>
      </c>
      <c r="U955" t="s">
        <v>93</v>
      </c>
      <c r="V955">
        <v>6</v>
      </c>
    </row>
    <row r="956" spans="1:22" x14ac:dyDescent="0.25">
      <c r="A956" t="s">
        <v>2383</v>
      </c>
      <c r="B956" s="1">
        <v>44657</v>
      </c>
      <c r="C956" t="s">
        <v>2384</v>
      </c>
      <c r="D956" t="s">
        <v>415</v>
      </c>
      <c r="E956">
        <v>32</v>
      </c>
      <c r="F956" t="str">
        <f>IF(Table1[[#This Row],[age]]&lt;=25,"18-25",IF(Table1[[#This Row],[age]]&lt;=35,"26-35",IF(Table1[[#This Row],[age]]&lt;=50,"36-50","51+")))</f>
        <v>26-35</v>
      </c>
      <c r="G956" t="s">
        <v>24</v>
      </c>
      <c r="H956" t="s">
        <v>61</v>
      </c>
      <c r="I956" t="s">
        <v>141</v>
      </c>
      <c r="J956" t="s">
        <v>101</v>
      </c>
      <c r="K956" t="s">
        <v>124</v>
      </c>
      <c r="L956">
        <v>3</v>
      </c>
      <c r="M956">
        <v>12278.87</v>
      </c>
      <c r="N956">
        <v>7.0000000000000007E-2</v>
      </c>
      <c r="O956">
        <v>50117.69</v>
      </c>
      <c r="P956">
        <v>7600.27</v>
      </c>
      <c r="Q956">
        <v>55.32</v>
      </c>
      <c r="R956" t="s">
        <v>29</v>
      </c>
      <c r="S956">
        <v>5</v>
      </c>
      <c r="T956" t="b">
        <v>0</v>
      </c>
      <c r="U956" t="s">
        <v>30</v>
      </c>
      <c r="V956">
        <v>2</v>
      </c>
    </row>
    <row r="957" spans="1:22" x14ac:dyDescent="0.25">
      <c r="A957" t="s">
        <v>2385</v>
      </c>
      <c r="B957" s="1">
        <v>44580</v>
      </c>
      <c r="C957" t="s">
        <v>2386</v>
      </c>
      <c r="D957" t="s">
        <v>956</v>
      </c>
      <c r="E957">
        <v>21</v>
      </c>
      <c r="F957" t="str">
        <f>IF(Table1[[#This Row],[age]]&lt;=25,"18-25",IF(Table1[[#This Row],[age]]&lt;=35,"26-35",IF(Table1[[#This Row],[age]]&lt;=50,"36-50","51+")))</f>
        <v>18-25</v>
      </c>
      <c r="G957" t="s">
        <v>54</v>
      </c>
      <c r="H957" t="s">
        <v>69</v>
      </c>
      <c r="I957" t="s">
        <v>181</v>
      </c>
      <c r="J957" t="s">
        <v>36</v>
      </c>
      <c r="K957" t="s">
        <v>76</v>
      </c>
      <c r="L957">
        <v>6</v>
      </c>
      <c r="M957">
        <v>21414.6</v>
      </c>
      <c r="N957">
        <v>0.08</v>
      </c>
      <c r="O957">
        <v>101055.44</v>
      </c>
      <c r="P957">
        <v>14653.33</v>
      </c>
      <c r="Q957">
        <v>77.510000000000005</v>
      </c>
      <c r="R957" t="s">
        <v>49</v>
      </c>
      <c r="S957">
        <v>4</v>
      </c>
      <c r="T957" t="b">
        <v>0</v>
      </c>
      <c r="U957" t="s">
        <v>30</v>
      </c>
      <c r="V957">
        <v>8</v>
      </c>
    </row>
    <row r="958" spans="1:22" x14ac:dyDescent="0.25">
      <c r="A958" t="s">
        <v>2387</v>
      </c>
      <c r="B958" s="1">
        <v>44926</v>
      </c>
      <c r="C958" t="s">
        <v>2388</v>
      </c>
      <c r="D958" t="s">
        <v>1370</v>
      </c>
      <c r="E958">
        <v>26</v>
      </c>
      <c r="F958" t="str">
        <f>IF(Table1[[#This Row],[age]]&lt;=25,"18-25",IF(Table1[[#This Row],[age]]&lt;=35,"26-35",IF(Table1[[#This Row],[age]]&lt;=50,"36-50","51+")))</f>
        <v>26-35</v>
      </c>
      <c r="G958" t="s">
        <v>24</v>
      </c>
      <c r="H958" t="s">
        <v>25</v>
      </c>
      <c r="I958" t="s">
        <v>26</v>
      </c>
      <c r="J958" t="s">
        <v>106</v>
      </c>
      <c r="K958" t="s">
        <v>247</v>
      </c>
      <c r="L958">
        <v>9</v>
      </c>
      <c r="M958">
        <v>337.76</v>
      </c>
      <c r="N958">
        <v>0.24</v>
      </c>
      <c r="O958">
        <v>1704.17</v>
      </c>
      <c r="P958">
        <v>132.99</v>
      </c>
      <c r="Q958">
        <v>68.459999999999994</v>
      </c>
      <c r="R958" t="s">
        <v>65</v>
      </c>
      <c r="S958">
        <v>3</v>
      </c>
      <c r="T958" t="b">
        <v>1</v>
      </c>
      <c r="U958" t="s">
        <v>50</v>
      </c>
      <c r="V958">
        <v>5</v>
      </c>
    </row>
    <row r="959" spans="1:22" x14ac:dyDescent="0.25">
      <c r="A959" t="s">
        <v>2389</v>
      </c>
      <c r="B959" s="1">
        <v>44984</v>
      </c>
      <c r="C959" t="s">
        <v>2390</v>
      </c>
      <c r="D959" t="s">
        <v>862</v>
      </c>
      <c r="E959">
        <v>37</v>
      </c>
      <c r="F959" t="str">
        <f>IF(Table1[[#This Row],[age]]&lt;=25,"18-25",IF(Table1[[#This Row],[age]]&lt;=35,"26-35",IF(Table1[[#This Row],[age]]&lt;=50,"36-50","51+")))</f>
        <v>36-50</v>
      </c>
      <c r="G959" t="s">
        <v>54</v>
      </c>
      <c r="H959" t="s">
        <v>69</v>
      </c>
      <c r="I959" t="s">
        <v>181</v>
      </c>
      <c r="J959" t="s">
        <v>27</v>
      </c>
      <c r="K959" t="s">
        <v>128</v>
      </c>
      <c r="L959">
        <v>3</v>
      </c>
      <c r="M959">
        <v>1235.94</v>
      </c>
      <c r="N959">
        <v>0.23</v>
      </c>
      <c r="O959">
        <v>3443.74</v>
      </c>
      <c r="P959">
        <v>1621.5</v>
      </c>
      <c r="Q959">
        <v>77.11</v>
      </c>
      <c r="R959" t="s">
        <v>43</v>
      </c>
      <c r="S959">
        <v>2</v>
      </c>
      <c r="T959" t="b">
        <v>0</v>
      </c>
      <c r="U959" t="s">
        <v>30</v>
      </c>
      <c r="V959">
        <v>2</v>
      </c>
    </row>
    <row r="960" spans="1:22" x14ac:dyDescent="0.25">
      <c r="A960" t="s">
        <v>2391</v>
      </c>
      <c r="B960" s="1">
        <v>45096</v>
      </c>
      <c r="C960" t="s">
        <v>2392</v>
      </c>
      <c r="D960" t="s">
        <v>499</v>
      </c>
      <c r="E960">
        <v>19</v>
      </c>
      <c r="F960" t="str">
        <f>IF(Table1[[#This Row],[age]]&lt;=25,"18-25",IF(Table1[[#This Row],[age]]&lt;=35,"26-35",IF(Table1[[#This Row],[age]]&lt;=50,"36-50","51+")))</f>
        <v>18-25</v>
      </c>
      <c r="G960" t="s">
        <v>24</v>
      </c>
      <c r="H960" t="s">
        <v>61</v>
      </c>
      <c r="I960" t="s">
        <v>163</v>
      </c>
      <c r="J960" t="s">
        <v>115</v>
      </c>
      <c r="K960" t="s">
        <v>545</v>
      </c>
      <c r="L960">
        <v>2</v>
      </c>
      <c r="M960">
        <v>20357.2</v>
      </c>
      <c r="N960">
        <v>0.01</v>
      </c>
      <c r="O960">
        <v>56864.2</v>
      </c>
      <c r="P960">
        <v>6315.84</v>
      </c>
      <c r="Q960">
        <v>37.020000000000003</v>
      </c>
      <c r="R960" t="s">
        <v>57</v>
      </c>
      <c r="S960">
        <v>4</v>
      </c>
      <c r="T960" t="b">
        <v>0</v>
      </c>
      <c r="U960" t="s">
        <v>71</v>
      </c>
      <c r="V960">
        <v>5</v>
      </c>
    </row>
    <row r="961" spans="1:22" x14ac:dyDescent="0.25">
      <c r="A961" t="s">
        <v>2393</v>
      </c>
      <c r="B961" s="1">
        <v>44585</v>
      </c>
      <c r="C961" t="s">
        <v>2394</v>
      </c>
      <c r="D961" t="s">
        <v>1092</v>
      </c>
      <c r="E961">
        <v>18</v>
      </c>
      <c r="F961" t="str">
        <f>IF(Table1[[#This Row],[age]]&lt;=25,"18-25",IF(Table1[[#This Row],[age]]&lt;=35,"26-35",IF(Table1[[#This Row],[age]]&lt;=50,"36-50","51+")))</f>
        <v>18-25</v>
      </c>
      <c r="G961" t="s">
        <v>54</v>
      </c>
      <c r="H961" t="s">
        <v>25</v>
      </c>
      <c r="I961" t="s">
        <v>298</v>
      </c>
      <c r="J961" t="s">
        <v>27</v>
      </c>
      <c r="K961" t="s">
        <v>168</v>
      </c>
      <c r="L961">
        <v>7</v>
      </c>
      <c r="M961">
        <v>2018.15</v>
      </c>
      <c r="N961">
        <v>0.11</v>
      </c>
      <c r="O961">
        <v>10594.06</v>
      </c>
      <c r="P961">
        <v>5708.86</v>
      </c>
      <c r="Q961">
        <v>69.44</v>
      </c>
      <c r="R961" t="s">
        <v>92</v>
      </c>
      <c r="S961">
        <v>2</v>
      </c>
      <c r="T961" t="b">
        <v>0</v>
      </c>
      <c r="U961" t="s">
        <v>193</v>
      </c>
      <c r="V961">
        <v>1</v>
      </c>
    </row>
    <row r="962" spans="1:22" x14ac:dyDescent="0.25">
      <c r="A962" t="s">
        <v>2395</v>
      </c>
      <c r="B962" s="1">
        <v>44425</v>
      </c>
      <c r="C962" t="s">
        <v>2396</v>
      </c>
      <c r="D962" t="s">
        <v>937</v>
      </c>
      <c r="E962">
        <v>27</v>
      </c>
      <c r="F962" t="str">
        <f>IF(Table1[[#This Row],[age]]&lt;=25,"18-25",IF(Table1[[#This Row],[age]]&lt;=35,"26-35",IF(Table1[[#This Row],[age]]&lt;=50,"36-50","51+")))</f>
        <v>26-35</v>
      </c>
      <c r="G962" t="s">
        <v>34</v>
      </c>
      <c r="H962" t="s">
        <v>69</v>
      </c>
      <c r="I962" t="s">
        <v>136</v>
      </c>
      <c r="J962" t="s">
        <v>36</v>
      </c>
      <c r="K962" t="s">
        <v>76</v>
      </c>
      <c r="L962">
        <v>7</v>
      </c>
      <c r="M962">
        <v>7638.75</v>
      </c>
      <c r="N962">
        <v>0.3</v>
      </c>
      <c r="O962">
        <v>41709.71</v>
      </c>
      <c r="P962">
        <v>10853.15</v>
      </c>
      <c r="Q962">
        <v>79</v>
      </c>
      <c r="R962" t="s">
        <v>57</v>
      </c>
      <c r="S962">
        <v>5</v>
      </c>
      <c r="T962" t="b">
        <v>0</v>
      </c>
      <c r="U962" t="s">
        <v>71</v>
      </c>
      <c r="V962">
        <v>8</v>
      </c>
    </row>
    <row r="963" spans="1:22" x14ac:dyDescent="0.25">
      <c r="A963" t="s">
        <v>2397</v>
      </c>
      <c r="B963" s="1">
        <v>44297</v>
      </c>
      <c r="C963" t="s">
        <v>2398</v>
      </c>
      <c r="D963" t="s">
        <v>370</v>
      </c>
      <c r="E963">
        <v>23</v>
      </c>
      <c r="F963" t="str">
        <f>IF(Table1[[#This Row],[age]]&lt;=25,"18-25",IF(Table1[[#This Row],[age]]&lt;=35,"26-35",IF(Table1[[#This Row],[age]]&lt;=50,"36-50","51+")))</f>
        <v>18-25</v>
      </c>
      <c r="G963" t="s">
        <v>54</v>
      </c>
      <c r="H963" t="s">
        <v>80</v>
      </c>
      <c r="I963" t="s">
        <v>242</v>
      </c>
      <c r="J963" t="s">
        <v>36</v>
      </c>
      <c r="K963" t="s">
        <v>243</v>
      </c>
      <c r="L963">
        <v>7</v>
      </c>
      <c r="M963">
        <v>15442.1</v>
      </c>
      <c r="N963">
        <v>0.15</v>
      </c>
      <c r="O963">
        <v>116887.25</v>
      </c>
      <c r="P963">
        <v>49080.86</v>
      </c>
      <c r="Q963">
        <v>60.99</v>
      </c>
      <c r="R963" t="s">
        <v>65</v>
      </c>
      <c r="S963">
        <v>2</v>
      </c>
      <c r="T963" t="b">
        <v>1</v>
      </c>
      <c r="U963" t="s">
        <v>50</v>
      </c>
      <c r="V963">
        <v>1</v>
      </c>
    </row>
    <row r="964" spans="1:22" x14ac:dyDescent="0.25">
      <c r="A964" t="s">
        <v>2399</v>
      </c>
      <c r="B964" s="1">
        <v>45654</v>
      </c>
      <c r="C964" t="s">
        <v>2400</v>
      </c>
      <c r="D964" t="s">
        <v>79</v>
      </c>
      <c r="E964">
        <v>40</v>
      </c>
      <c r="F964" t="str">
        <f>IF(Table1[[#This Row],[age]]&lt;=25,"18-25",IF(Table1[[#This Row],[age]]&lt;=35,"26-35",IF(Table1[[#This Row],[age]]&lt;=50,"36-50","51+")))</f>
        <v>36-50</v>
      </c>
      <c r="G964" t="s">
        <v>24</v>
      </c>
      <c r="H964" t="s">
        <v>61</v>
      </c>
      <c r="I964" t="s">
        <v>163</v>
      </c>
      <c r="J964" t="s">
        <v>115</v>
      </c>
      <c r="K964" t="s">
        <v>137</v>
      </c>
      <c r="L964">
        <v>5</v>
      </c>
      <c r="M964">
        <v>8516.83</v>
      </c>
      <c r="N964">
        <v>0.34</v>
      </c>
      <c r="O964">
        <v>25126</v>
      </c>
      <c r="P964">
        <v>3420.94</v>
      </c>
      <c r="Q964">
        <v>56.78</v>
      </c>
      <c r="R964" t="s">
        <v>65</v>
      </c>
      <c r="S964">
        <v>4</v>
      </c>
      <c r="T964" t="b">
        <v>0</v>
      </c>
      <c r="U964" t="s">
        <v>30</v>
      </c>
      <c r="V964">
        <v>4</v>
      </c>
    </row>
    <row r="965" spans="1:22" x14ac:dyDescent="0.25">
      <c r="A965" t="s">
        <v>2401</v>
      </c>
      <c r="B965" s="1">
        <v>45178</v>
      </c>
      <c r="C965" t="s">
        <v>2402</v>
      </c>
      <c r="D965" t="s">
        <v>1420</v>
      </c>
      <c r="E965">
        <v>26</v>
      </c>
      <c r="F965" t="str">
        <f>IF(Table1[[#This Row],[age]]&lt;=25,"18-25",IF(Table1[[#This Row],[age]]&lt;=35,"26-35",IF(Table1[[#This Row],[age]]&lt;=50,"36-50","51+")))</f>
        <v>26-35</v>
      </c>
      <c r="G965" t="s">
        <v>54</v>
      </c>
      <c r="H965" t="s">
        <v>69</v>
      </c>
      <c r="I965" t="s">
        <v>136</v>
      </c>
      <c r="J965" t="s">
        <v>63</v>
      </c>
      <c r="K965" t="s">
        <v>152</v>
      </c>
      <c r="L965">
        <v>3</v>
      </c>
      <c r="M965">
        <v>2461.4899999999998</v>
      </c>
      <c r="N965">
        <v>0.17</v>
      </c>
      <c r="O965">
        <v>6972.95</v>
      </c>
      <c r="P965">
        <v>2178.64</v>
      </c>
      <c r="Q965">
        <v>112.99</v>
      </c>
      <c r="R965" t="s">
        <v>65</v>
      </c>
      <c r="S965">
        <v>1</v>
      </c>
      <c r="T965" t="b">
        <v>0</v>
      </c>
      <c r="U965" t="s">
        <v>30</v>
      </c>
      <c r="V965">
        <v>3</v>
      </c>
    </row>
    <row r="966" spans="1:22" x14ac:dyDescent="0.25">
      <c r="A966" t="s">
        <v>2403</v>
      </c>
      <c r="B966" s="1">
        <v>44091</v>
      </c>
      <c r="C966" t="s">
        <v>2404</v>
      </c>
      <c r="D966" t="s">
        <v>2405</v>
      </c>
      <c r="E966">
        <v>35</v>
      </c>
      <c r="F966" t="str">
        <f>IF(Table1[[#This Row],[age]]&lt;=25,"18-25",IF(Table1[[#This Row],[age]]&lt;=35,"26-35",IF(Table1[[#This Row],[age]]&lt;=50,"36-50","51+")))</f>
        <v>26-35</v>
      </c>
      <c r="G966" t="s">
        <v>54</v>
      </c>
      <c r="H966" t="s">
        <v>55</v>
      </c>
      <c r="I966" t="s">
        <v>56</v>
      </c>
      <c r="J966" t="s">
        <v>63</v>
      </c>
      <c r="K966" t="s">
        <v>152</v>
      </c>
      <c r="L966">
        <v>8</v>
      </c>
      <c r="M966">
        <v>3110.11</v>
      </c>
      <c r="N966">
        <v>0.05</v>
      </c>
      <c r="O966">
        <v>22849.8</v>
      </c>
      <c r="P966">
        <v>7429.85</v>
      </c>
      <c r="Q966">
        <v>59.8</v>
      </c>
      <c r="R966" t="s">
        <v>43</v>
      </c>
      <c r="S966">
        <v>5</v>
      </c>
      <c r="T966" t="b">
        <v>0</v>
      </c>
      <c r="U966" t="s">
        <v>30</v>
      </c>
      <c r="V966">
        <v>1</v>
      </c>
    </row>
    <row r="967" spans="1:22" x14ac:dyDescent="0.25">
      <c r="A967" t="s">
        <v>2406</v>
      </c>
      <c r="B967" s="1">
        <v>44793</v>
      </c>
      <c r="C967" t="s">
        <v>2407</v>
      </c>
      <c r="D967" t="s">
        <v>387</v>
      </c>
      <c r="E967">
        <v>32</v>
      </c>
      <c r="F967" t="str">
        <f>IF(Table1[[#This Row],[age]]&lt;=25,"18-25",IF(Table1[[#This Row],[age]]&lt;=35,"26-35",IF(Table1[[#This Row],[age]]&lt;=50,"36-50","51+")))</f>
        <v>26-35</v>
      </c>
      <c r="G967" t="s">
        <v>54</v>
      </c>
      <c r="H967" t="s">
        <v>69</v>
      </c>
      <c r="I967" t="s">
        <v>181</v>
      </c>
      <c r="J967" t="s">
        <v>47</v>
      </c>
      <c r="K967" t="s">
        <v>120</v>
      </c>
      <c r="L967">
        <v>8</v>
      </c>
      <c r="M967">
        <v>748.13</v>
      </c>
      <c r="N967">
        <v>0.13</v>
      </c>
      <c r="O967">
        <v>6986.54</v>
      </c>
      <c r="P967">
        <v>2050.35</v>
      </c>
      <c r="Q967">
        <v>76.680000000000007</v>
      </c>
      <c r="R967" t="s">
        <v>29</v>
      </c>
      <c r="S967">
        <v>2</v>
      </c>
      <c r="T967" t="b">
        <v>0</v>
      </c>
      <c r="U967" t="s">
        <v>30</v>
      </c>
      <c r="V967">
        <v>3</v>
      </c>
    </row>
    <row r="968" spans="1:22" x14ac:dyDescent="0.25">
      <c r="A968" t="s">
        <v>2408</v>
      </c>
      <c r="B968" s="1">
        <v>43877</v>
      </c>
      <c r="C968" t="s">
        <v>2409</v>
      </c>
      <c r="D968" t="s">
        <v>657</v>
      </c>
      <c r="E968">
        <v>47</v>
      </c>
      <c r="F968" t="str">
        <f>IF(Table1[[#This Row],[age]]&lt;=25,"18-25",IF(Table1[[#This Row],[age]]&lt;=35,"26-35",IF(Table1[[#This Row],[age]]&lt;=50,"36-50","51+")))</f>
        <v>36-50</v>
      </c>
      <c r="G968" t="s">
        <v>34</v>
      </c>
      <c r="H968" t="s">
        <v>61</v>
      </c>
      <c r="I968" t="s">
        <v>163</v>
      </c>
      <c r="J968" t="s">
        <v>101</v>
      </c>
      <c r="K968" t="s">
        <v>124</v>
      </c>
      <c r="L968">
        <v>4</v>
      </c>
      <c r="M968">
        <v>2203.36</v>
      </c>
      <c r="N968">
        <v>0.17</v>
      </c>
      <c r="O968">
        <v>7194.38</v>
      </c>
      <c r="P968">
        <v>1176.3599999999999</v>
      </c>
      <c r="Q968">
        <v>73.930000000000007</v>
      </c>
      <c r="R968" t="s">
        <v>57</v>
      </c>
      <c r="S968">
        <v>1</v>
      </c>
      <c r="T968" t="b">
        <v>0</v>
      </c>
      <c r="U968" t="s">
        <v>71</v>
      </c>
      <c r="V968">
        <v>1</v>
      </c>
    </row>
    <row r="969" spans="1:22" x14ac:dyDescent="0.25">
      <c r="A969" t="s">
        <v>2410</v>
      </c>
      <c r="B969" s="1">
        <v>44565</v>
      </c>
      <c r="C969" t="s">
        <v>2411</v>
      </c>
      <c r="D969" t="s">
        <v>191</v>
      </c>
      <c r="E969">
        <v>20</v>
      </c>
      <c r="F969" t="str">
        <f>IF(Table1[[#This Row],[age]]&lt;=25,"18-25",IF(Table1[[#This Row],[age]]&lt;=35,"26-35",IF(Table1[[#This Row],[age]]&lt;=50,"36-50","51+")))</f>
        <v>18-25</v>
      </c>
      <c r="G969" t="s">
        <v>24</v>
      </c>
      <c r="H969" t="s">
        <v>25</v>
      </c>
      <c r="I969" t="s">
        <v>35</v>
      </c>
      <c r="J969" t="s">
        <v>101</v>
      </c>
      <c r="K969" t="s">
        <v>318</v>
      </c>
      <c r="L969">
        <v>5</v>
      </c>
      <c r="M969">
        <v>2889.82</v>
      </c>
      <c r="N969">
        <v>0.01</v>
      </c>
      <c r="O969">
        <v>12487.02</v>
      </c>
      <c r="P969">
        <v>2820.46</v>
      </c>
      <c r="Q969">
        <v>70.260000000000005</v>
      </c>
      <c r="R969" t="s">
        <v>57</v>
      </c>
      <c r="S969">
        <v>5</v>
      </c>
      <c r="T969" t="b">
        <v>0</v>
      </c>
      <c r="U969" t="s">
        <v>30</v>
      </c>
      <c r="V969">
        <v>9</v>
      </c>
    </row>
    <row r="970" spans="1:22" x14ac:dyDescent="0.25">
      <c r="A970" t="s">
        <v>2412</v>
      </c>
      <c r="B970" s="1">
        <v>44727</v>
      </c>
      <c r="C970" t="s">
        <v>2413</v>
      </c>
      <c r="D970" t="s">
        <v>849</v>
      </c>
      <c r="E970">
        <v>38</v>
      </c>
      <c r="F970" t="str">
        <f>IF(Table1[[#This Row],[age]]&lt;=25,"18-25",IF(Table1[[#This Row],[age]]&lt;=35,"26-35",IF(Table1[[#This Row],[age]]&lt;=50,"36-50","51+")))</f>
        <v>36-50</v>
      </c>
      <c r="G970" t="s">
        <v>34</v>
      </c>
      <c r="H970" t="s">
        <v>69</v>
      </c>
      <c r="I970" t="s">
        <v>136</v>
      </c>
      <c r="J970" t="s">
        <v>101</v>
      </c>
      <c r="K970" t="s">
        <v>164</v>
      </c>
      <c r="L970">
        <v>9</v>
      </c>
      <c r="M970">
        <v>12169.11</v>
      </c>
      <c r="N970">
        <v>0.1</v>
      </c>
      <c r="O970">
        <v>140742.76999999999</v>
      </c>
      <c r="P970">
        <v>29276.65</v>
      </c>
      <c r="Q970">
        <v>63.19</v>
      </c>
      <c r="R970" t="s">
        <v>92</v>
      </c>
      <c r="S970">
        <v>5</v>
      </c>
      <c r="T970" t="b">
        <v>0</v>
      </c>
      <c r="U970" t="s">
        <v>193</v>
      </c>
      <c r="V970">
        <v>8</v>
      </c>
    </row>
    <row r="971" spans="1:22" x14ac:dyDescent="0.25">
      <c r="A971" t="s">
        <v>2414</v>
      </c>
      <c r="B971" s="1">
        <v>44829</v>
      </c>
      <c r="C971" t="s">
        <v>2415</v>
      </c>
      <c r="D971" t="s">
        <v>1417</v>
      </c>
      <c r="E971">
        <v>30</v>
      </c>
      <c r="F971" t="str">
        <f>IF(Table1[[#This Row],[age]]&lt;=25,"18-25",IF(Table1[[#This Row],[age]]&lt;=35,"26-35",IF(Table1[[#This Row],[age]]&lt;=50,"36-50","51+")))</f>
        <v>26-35</v>
      </c>
      <c r="G971" t="s">
        <v>24</v>
      </c>
      <c r="H971" t="s">
        <v>55</v>
      </c>
      <c r="I971" t="s">
        <v>97</v>
      </c>
      <c r="J971" t="s">
        <v>63</v>
      </c>
      <c r="K971" t="s">
        <v>82</v>
      </c>
      <c r="L971">
        <v>2</v>
      </c>
      <c r="M971">
        <v>1047.08</v>
      </c>
      <c r="N971">
        <v>0.14000000000000001</v>
      </c>
      <c r="O971">
        <v>2238.06</v>
      </c>
      <c r="P971">
        <v>854.12</v>
      </c>
      <c r="Q971">
        <v>49.15</v>
      </c>
      <c r="R971" t="s">
        <v>92</v>
      </c>
      <c r="S971">
        <v>5</v>
      </c>
      <c r="T971" t="b">
        <v>0</v>
      </c>
      <c r="U971" t="s">
        <v>30</v>
      </c>
      <c r="V971">
        <v>6</v>
      </c>
    </row>
    <row r="972" spans="1:22" x14ac:dyDescent="0.25">
      <c r="A972" t="s">
        <v>2416</v>
      </c>
      <c r="B972" s="1">
        <v>45629</v>
      </c>
      <c r="C972" t="s">
        <v>2417</v>
      </c>
      <c r="D972" t="s">
        <v>455</v>
      </c>
      <c r="E972">
        <v>24</v>
      </c>
      <c r="F972" t="str">
        <f>IF(Table1[[#This Row],[age]]&lt;=25,"18-25",IF(Table1[[#This Row],[age]]&lt;=35,"26-35",IF(Table1[[#This Row],[age]]&lt;=50,"36-50","51+")))</f>
        <v>18-25</v>
      </c>
      <c r="G972" t="s">
        <v>54</v>
      </c>
      <c r="H972" t="s">
        <v>55</v>
      </c>
      <c r="I972" t="s">
        <v>56</v>
      </c>
      <c r="J972" t="s">
        <v>47</v>
      </c>
      <c r="K972" t="s">
        <v>48</v>
      </c>
      <c r="L972">
        <v>2</v>
      </c>
      <c r="M972">
        <v>585.20000000000005</v>
      </c>
      <c r="N972">
        <v>0.28000000000000003</v>
      </c>
      <c r="O972">
        <v>801.85</v>
      </c>
      <c r="P972">
        <v>375.39</v>
      </c>
      <c r="Q972">
        <v>29.42</v>
      </c>
      <c r="R972" t="s">
        <v>29</v>
      </c>
      <c r="S972">
        <v>1</v>
      </c>
      <c r="T972" t="b">
        <v>0</v>
      </c>
      <c r="U972" t="s">
        <v>71</v>
      </c>
      <c r="V972">
        <v>2</v>
      </c>
    </row>
    <row r="973" spans="1:22" x14ac:dyDescent="0.25">
      <c r="A973" t="s">
        <v>2418</v>
      </c>
      <c r="B973" s="1">
        <v>44582</v>
      </c>
      <c r="C973" t="s">
        <v>2419</v>
      </c>
      <c r="D973" t="s">
        <v>2420</v>
      </c>
      <c r="E973">
        <v>41</v>
      </c>
      <c r="F973" t="str">
        <f>IF(Table1[[#This Row],[age]]&lt;=25,"18-25",IF(Table1[[#This Row],[age]]&lt;=35,"26-35",IF(Table1[[#This Row],[age]]&lt;=50,"36-50","51+")))</f>
        <v>36-50</v>
      </c>
      <c r="G973" t="s">
        <v>34</v>
      </c>
      <c r="H973" t="s">
        <v>80</v>
      </c>
      <c r="I973" t="s">
        <v>86</v>
      </c>
      <c r="J973" t="s">
        <v>27</v>
      </c>
      <c r="K973" t="s">
        <v>128</v>
      </c>
      <c r="L973">
        <v>5</v>
      </c>
      <c r="M973">
        <v>1126.8900000000001</v>
      </c>
      <c r="N973">
        <v>0.3</v>
      </c>
      <c r="O973">
        <v>3560.92</v>
      </c>
      <c r="P973">
        <v>953.02</v>
      </c>
      <c r="Q973">
        <v>77.150000000000006</v>
      </c>
      <c r="R973" t="s">
        <v>43</v>
      </c>
      <c r="S973">
        <v>4</v>
      </c>
      <c r="T973" t="b">
        <v>0</v>
      </c>
      <c r="U973" t="s">
        <v>30</v>
      </c>
      <c r="V973">
        <v>3</v>
      </c>
    </row>
    <row r="974" spans="1:22" x14ac:dyDescent="0.25">
      <c r="A974" t="s">
        <v>2421</v>
      </c>
      <c r="B974" s="1">
        <v>44201</v>
      </c>
      <c r="C974" t="s">
        <v>2422</v>
      </c>
      <c r="D974" t="s">
        <v>2423</v>
      </c>
      <c r="E974">
        <v>45</v>
      </c>
      <c r="F974" t="str">
        <f>IF(Table1[[#This Row],[age]]&lt;=25,"18-25",IF(Table1[[#This Row],[age]]&lt;=35,"26-35",IF(Table1[[#This Row],[age]]&lt;=50,"36-50","51+")))</f>
        <v>36-50</v>
      </c>
      <c r="G974" t="s">
        <v>54</v>
      </c>
      <c r="H974" t="s">
        <v>69</v>
      </c>
      <c r="I974" t="s">
        <v>221</v>
      </c>
      <c r="J974" t="s">
        <v>101</v>
      </c>
      <c r="K974" t="s">
        <v>164</v>
      </c>
      <c r="L974">
        <v>4</v>
      </c>
      <c r="M974">
        <v>5092.41</v>
      </c>
      <c r="N974">
        <v>0.23</v>
      </c>
      <c r="O974">
        <v>13542.42</v>
      </c>
      <c r="P974">
        <v>3463.99</v>
      </c>
      <c r="Q974">
        <v>74.84</v>
      </c>
      <c r="R974" t="s">
        <v>29</v>
      </c>
      <c r="S974">
        <v>4</v>
      </c>
      <c r="T974" t="b">
        <v>0</v>
      </c>
      <c r="U974" t="s">
        <v>93</v>
      </c>
      <c r="V974">
        <v>9</v>
      </c>
    </row>
    <row r="975" spans="1:22" x14ac:dyDescent="0.25">
      <c r="A975" t="s">
        <v>2424</v>
      </c>
      <c r="B975" s="1">
        <v>44802</v>
      </c>
      <c r="C975" t="s">
        <v>2425</v>
      </c>
      <c r="D975" t="s">
        <v>278</v>
      </c>
      <c r="E975">
        <v>27</v>
      </c>
      <c r="F975" t="str">
        <f>IF(Table1[[#This Row],[age]]&lt;=25,"18-25",IF(Table1[[#This Row],[age]]&lt;=35,"26-35",IF(Table1[[#This Row],[age]]&lt;=50,"36-50","51+")))</f>
        <v>26-35</v>
      </c>
      <c r="G975" t="s">
        <v>34</v>
      </c>
      <c r="H975" t="s">
        <v>69</v>
      </c>
      <c r="I975" t="s">
        <v>181</v>
      </c>
      <c r="J975" t="s">
        <v>101</v>
      </c>
      <c r="K975" t="s">
        <v>124</v>
      </c>
      <c r="L975">
        <v>1</v>
      </c>
      <c r="M975">
        <v>5779.22</v>
      </c>
      <c r="N975">
        <v>0.31</v>
      </c>
      <c r="O975">
        <v>5109.2299999999996</v>
      </c>
      <c r="P975">
        <v>997.26</v>
      </c>
      <c r="Q975">
        <v>61.33</v>
      </c>
      <c r="R975" t="s">
        <v>29</v>
      </c>
      <c r="S975">
        <v>4</v>
      </c>
      <c r="T975" t="b">
        <v>1</v>
      </c>
      <c r="U975" t="s">
        <v>50</v>
      </c>
      <c r="V975">
        <v>5</v>
      </c>
    </row>
    <row r="976" spans="1:22" x14ac:dyDescent="0.25">
      <c r="A976" t="s">
        <v>2426</v>
      </c>
      <c r="B976" s="1">
        <v>45080</v>
      </c>
      <c r="C976" t="s">
        <v>2427</v>
      </c>
      <c r="D976" t="s">
        <v>1392</v>
      </c>
      <c r="E976">
        <v>55</v>
      </c>
      <c r="F976" t="str">
        <f>IF(Table1[[#This Row],[age]]&lt;=25,"18-25",IF(Table1[[#This Row],[age]]&lt;=35,"26-35",IF(Table1[[#This Row],[age]]&lt;=50,"36-50","51+")))</f>
        <v>51+</v>
      </c>
      <c r="G976" t="s">
        <v>34</v>
      </c>
      <c r="H976" t="s">
        <v>55</v>
      </c>
      <c r="I976" t="s">
        <v>75</v>
      </c>
      <c r="J976" t="s">
        <v>63</v>
      </c>
      <c r="K976" t="s">
        <v>152</v>
      </c>
      <c r="L976">
        <v>1</v>
      </c>
      <c r="M976">
        <v>2361.96</v>
      </c>
      <c r="N976">
        <v>0.23</v>
      </c>
      <c r="O976">
        <v>2691.37</v>
      </c>
      <c r="P976">
        <v>1189.6199999999999</v>
      </c>
      <c r="Q976">
        <v>62.61</v>
      </c>
      <c r="R976" t="s">
        <v>49</v>
      </c>
      <c r="S976">
        <v>4</v>
      </c>
      <c r="T976" t="b">
        <v>0</v>
      </c>
      <c r="U976" t="s">
        <v>30</v>
      </c>
      <c r="V976">
        <v>8</v>
      </c>
    </row>
    <row r="977" spans="1:22" x14ac:dyDescent="0.25">
      <c r="A977" t="s">
        <v>2428</v>
      </c>
      <c r="B977" s="1">
        <v>44491</v>
      </c>
      <c r="C977" t="s">
        <v>2429</v>
      </c>
      <c r="D977" t="s">
        <v>1059</v>
      </c>
      <c r="E977">
        <v>38</v>
      </c>
      <c r="F977" t="str">
        <f>IF(Table1[[#This Row],[age]]&lt;=25,"18-25",IF(Table1[[#This Row],[age]]&lt;=35,"26-35",IF(Table1[[#This Row],[age]]&lt;=50,"36-50","51+")))</f>
        <v>36-50</v>
      </c>
      <c r="G977" t="s">
        <v>54</v>
      </c>
      <c r="H977" t="s">
        <v>55</v>
      </c>
      <c r="I977" t="s">
        <v>56</v>
      </c>
      <c r="J977" t="s">
        <v>47</v>
      </c>
      <c r="K977" t="s">
        <v>48</v>
      </c>
      <c r="L977">
        <v>4</v>
      </c>
      <c r="M977">
        <v>875.51</v>
      </c>
      <c r="N977">
        <v>0.3</v>
      </c>
      <c r="O977">
        <v>2078.56</v>
      </c>
      <c r="P977">
        <v>482.57</v>
      </c>
      <c r="Q977">
        <v>74.290000000000006</v>
      </c>
      <c r="R977" t="s">
        <v>57</v>
      </c>
      <c r="S977">
        <v>3</v>
      </c>
      <c r="T977" t="b">
        <v>0</v>
      </c>
      <c r="U977" t="s">
        <v>30</v>
      </c>
      <c r="V977">
        <v>3</v>
      </c>
    </row>
    <row r="978" spans="1:22" x14ac:dyDescent="0.25">
      <c r="A978" t="s">
        <v>2430</v>
      </c>
      <c r="B978" s="1">
        <v>43855</v>
      </c>
      <c r="C978" t="s">
        <v>2431</v>
      </c>
      <c r="D978" t="s">
        <v>2432</v>
      </c>
      <c r="E978">
        <v>22</v>
      </c>
      <c r="F978" t="str">
        <f>IF(Table1[[#This Row],[age]]&lt;=25,"18-25",IF(Table1[[#This Row],[age]]&lt;=35,"26-35",IF(Table1[[#This Row],[age]]&lt;=50,"36-50","51+")))</f>
        <v>18-25</v>
      </c>
      <c r="G978" t="s">
        <v>34</v>
      </c>
      <c r="H978" t="s">
        <v>61</v>
      </c>
      <c r="I978" t="s">
        <v>163</v>
      </c>
      <c r="J978" t="s">
        <v>63</v>
      </c>
      <c r="K978" t="s">
        <v>434</v>
      </c>
      <c r="L978">
        <v>9</v>
      </c>
      <c r="M978">
        <v>3803.5</v>
      </c>
      <c r="N978">
        <v>0.19</v>
      </c>
      <c r="O978">
        <v>20906.55</v>
      </c>
      <c r="P978">
        <v>4385.49</v>
      </c>
      <c r="Q978">
        <v>29.15</v>
      </c>
      <c r="R978" t="s">
        <v>65</v>
      </c>
      <c r="S978">
        <v>5</v>
      </c>
      <c r="T978" t="b">
        <v>0</v>
      </c>
      <c r="U978" t="s">
        <v>30</v>
      </c>
      <c r="V978">
        <v>10</v>
      </c>
    </row>
    <row r="979" spans="1:22" x14ac:dyDescent="0.25">
      <c r="A979" t="s">
        <v>2433</v>
      </c>
      <c r="B979" s="1">
        <v>44706</v>
      </c>
      <c r="C979" t="s">
        <v>2434</v>
      </c>
      <c r="D979" t="s">
        <v>737</v>
      </c>
      <c r="E979">
        <v>34</v>
      </c>
      <c r="F979" t="str">
        <f>IF(Table1[[#This Row],[age]]&lt;=25,"18-25",IF(Table1[[#This Row],[age]]&lt;=35,"26-35",IF(Table1[[#This Row],[age]]&lt;=50,"36-50","51+")))</f>
        <v>26-35</v>
      </c>
      <c r="G979" t="s">
        <v>24</v>
      </c>
      <c r="H979" t="s">
        <v>69</v>
      </c>
      <c r="I979" t="s">
        <v>181</v>
      </c>
      <c r="J979" t="s">
        <v>115</v>
      </c>
      <c r="K979" t="s">
        <v>398</v>
      </c>
      <c r="L979">
        <v>10</v>
      </c>
      <c r="M979">
        <v>74467.03</v>
      </c>
      <c r="N979">
        <v>0.06</v>
      </c>
      <c r="O979">
        <v>941142.08</v>
      </c>
      <c r="P979">
        <v>81264.87</v>
      </c>
      <c r="Q979">
        <v>92.07</v>
      </c>
      <c r="R979" t="s">
        <v>43</v>
      </c>
      <c r="S979">
        <v>4</v>
      </c>
      <c r="T979" t="b">
        <v>0</v>
      </c>
      <c r="U979" t="s">
        <v>30</v>
      </c>
      <c r="V979">
        <v>10</v>
      </c>
    </row>
    <row r="980" spans="1:22" x14ac:dyDescent="0.25">
      <c r="A980" t="s">
        <v>2435</v>
      </c>
      <c r="B980" s="1">
        <v>44453</v>
      </c>
      <c r="C980" t="s">
        <v>2436</v>
      </c>
      <c r="D980" t="s">
        <v>220</v>
      </c>
      <c r="E980">
        <v>56</v>
      </c>
      <c r="F980" t="str">
        <f>IF(Table1[[#This Row],[age]]&lt;=25,"18-25",IF(Table1[[#This Row],[age]]&lt;=35,"26-35",IF(Table1[[#This Row],[age]]&lt;=50,"36-50","51+")))</f>
        <v>51+</v>
      </c>
      <c r="G980" t="s">
        <v>54</v>
      </c>
      <c r="H980" t="s">
        <v>69</v>
      </c>
      <c r="I980" t="s">
        <v>181</v>
      </c>
      <c r="J980" t="s">
        <v>63</v>
      </c>
      <c r="K980" t="s">
        <v>64</v>
      </c>
      <c r="L980">
        <v>1</v>
      </c>
      <c r="M980">
        <v>2237.3200000000002</v>
      </c>
      <c r="N980">
        <v>0.36</v>
      </c>
      <c r="O980">
        <v>1298.32</v>
      </c>
      <c r="P980">
        <v>627.59</v>
      </c>
      <c r="Q980">
        <v>70.34</v>
      </c>
      <c r="R980" t="s">
        <v>92</v>
      </c>
      <c r="S980">
        <v>4</v>
      </c>
      <c r="T980" t="b">
        <v>0</v>
      </c>
      <c r="U980" t="s">
        <v>71</v>
      </c>
      <c r="V980">
        <v>6</v>
      </c>
    </row>
    <row r="981" spans="1:22" x14ac:dyDescent="0.25">
      <c r="A981" t="s">
        <v>2437</v>
      </c>
      <c r="B981" s="1">
        <v>44330</v>
      </c>
      <c r="C981" t="s">
        <v>2438</v>
      </c>
      <c r="D981" t="s">
        <v>2439</v>
      </c>
      <c r="E981">
        <v>19</v>
      </c>
      <c r="F981" t="str">
        <f>IF(Table1[[#This Row],[age]]&lt;=25,"18-25",IF(Table1[[#This Row],[age]]&lt;=35,"26-35",IF(Table1[[#This Row],[age]]&lt;=50,"36-50","51+")))</f>
        <v>18-25</v>
      </c>
      <c r="G981" t="s">
        <v>54</v>
      </c>
      <c r="H981" t="s">
        <v>69</v>
      </c>
      <c r="I981" t="s">
        <v>70</v>
      </c>
      <c r="J981" t="s">
        <v>36</v>
      </c>
      <c r="K981" t="s">
        <v>230</v>
      </c>
      <c r="L981">
        <v>4</v>
      </c>
      <c r="M981">
        <v>25489.41</v>
      </c>
      <c r="N981">
        <v>0.13</v>
      </c>
      <c r="O981">
        <v>131437.57</v>
      </c>
      <c r="P981">
        <v>32943.269999999997</v>
      </c>
      <c r="Q981">
        <v>73.78</v>
      </c>
      <c r="R981" t="s">
        <v>65</v>
      </c>
      <c r="S981">
        <v>3</v>
      </c>
      <c r="T981" t="b">
        <v>1</v>
      </c>
      <c r="U981" t="s">
        <v>50</v>
      </c>
      <c r="V981">
        <v>3</v>
      </c>
    </row>
    <row r="982" spans="1:22" x14ac:dyDescent="0.25">
      <c r="A982" t="s">
        <v>2440</v>
      </c>
      <c r="B982" s="1">
        <v>43872</v>
      </c>
      <c r="C982" t="s">
        <v>2441</v>
      </c>
      <c r="D982" t="s">
        <v>660</v>
      </c>
      <c r="E982">
        <v>49</v>
      </c>
      <c r="F982" t="str">
        <f>IF(Table1[[#This Row],[age]]&lt;=25,"18-25",IF(Table1[[#This Row],[age]]&lt;=35,"26-35",IF(Table1[[#This Row],[age]]&lt;=50,"36-50","51+")))</f>
        <v>36-50</v>
      </c>
      <c r="G982" t="s">
        <v>34</v>
      </c>
      <c r="H982" t="s">
        <v>61</v>
      </c>
      <c r="I982" t="s">
        <v>141</v>
      </c>
      <c r="J982" t="s">
        <v>106</v>
      </c>
      <c r="K982" t="s">
        <v>247</v>
      </c>
      <c r="L982">
        <v>7</v>
      </c>
      <c r="M982">
        <v>315.99</v>
      </c>
      <c r="N982">
        <v>0.13</v>
      </c>
      <c r="O982">
        <v>1630.03</v>
      </c>
      <c r="P982">
        <v>123.62</v>
      </c>
      <c r="Q982">
        <v>76.22</v>
      </c>
      <c r="R982" t="s">
        <v>57</v>
      </c>
      <c r="S982">
        <v>1</v>
      </c>
      <c r="T982" t="b">
        <v>0</v>
      </c>
      <c r="U982" t="s">
        <v>30</v>
      </c>
      <c r="V982">
        <v>4</v>
      </c>
    </row>
    <row r="983" spans="1:22" x14ac:dyDescent="0.25">
      <c r="A983" t="s">
        <v>2442</v>
      </c>
      <c r="B983" s="1">
        <v>45289</v>
      </c>
      <c r="C983" t="s">
        <v>2443</v>
      </c>
      <c r="D983" t="s">
        <v>564</v>
      </c>
      <c r="E983">
        <v>19</v>
      </c>
      <c r="F983" t="str">
        <f>IF(Table1[[#This Row],[age]]&lt;=25,"18-25",IF(Table1[[#This Row],[age]]&lt;=35,"26-35",IF(Table1[[#This Row],[age]]&lt;=50,"36-50","51+")))</f>
        <v>18-25</v>
      </c>
      <c r="G983" t="s">
        <v>54</v>
      </c>
      <c r="H983" t="s">
        <v>80</v>
      </c>
      <c r="I983" t="s">
        <v>86</v>
      </c>
      <c r="J983" t="s">
        <v>47</v>
      </c>
      <c r="K983" t="s">
        <v>156</v>
      </c>
      <c r="L983">
        <v>8</v>
      </c>
      <c r="M983">
        <v>221.14</v>
      </c>
      <c r="N983">
        <v>0.38</v>
      </c>
      <c r="O983">
        <v>1030.55</v>
      </c>
      <c r="P983">
        <v>527.82000000000005</v>
      </c>
      <c r="Q983">
        <v>92</v>
      </c>
      <c r="R983" t="s">
        <v>92</v>
      </c>
      <c r="S983">
        <v>4</v>
      </c>
      <c r="T983" t="b">
        <v>0</v>
      </c>
      <c r="U983" t="s">
        <v>30</v>
      </c>
      <c r="V983">
        <v>8</v>
      </c>
    </row>
    <row r="984" spans="1:22" x14ac:dyDescent="0.25">
      <c r="A984" t="s">
        <v>2444</v>
      </c>
      <c r="B984" s="1">
        <v>44622</v>
      </c>
      <c r="C984" t="s">
        <v>2445</v>
      </c>
      <c r="D984" t="s">
        <v>1483</v>
      </c>
      <c r="E984">
        <v>37</v>
      </c>
      <c r="F984" t="str">
        <f>IF(Table1[[#This Row],[age]]&lt;=25,"18-25",IF(Table1[[#This Row],[age]]&lt;=35,"26-35",IF(Table1[[#This Row],[age]]&lt;=50,"36-50","51+")))</f>
        <v>36-50</v>
      </c>
      <c r="G984" t="s">
        <v>54</v>
      </c>
      <c r="H984" t="s">
        <v>25</v>
      </c>
      <c r="I984" t="s">
        <v>41</v>
      </c>
      <c r="J984" t="s">
        <v>106</v>
      </c>
      <c r="K984" t="s">
        <v>331</v>
      </c>
      <c r="L984">
        <v>5</v>
      </c>
      <c r="M984">
        <v>86.9</v>
      </c>
      <c r="N984">
        <v>0.34</v>
      </c>
      <c r="O984">
        <v>357.63</v>
      </c>
      <c r="P984">
        <v>31.6</v>
      </c>
      <c r="Q984">
        <v>52.67</v>
      </c>
      <c r="R984" t="s">
        <v>92</v>
      </c>
      <c r="S984">
        <v>4</v>
      </c>
      <c r="T984" t="b">
        <v>0</v>
      </c>
      <c r="U984" t="s">
        <v>30</v>
      </c>
      <c r="V984">
        <v>2</v>
      </c>
    </row>
    <row r="985" spans="1:22" x14ac:dyDescent="0.25">
      <c r="A985" t="s">
        <v>2446</v>
      </c>
      <c r="B985" s="1">
        <v>44820</v>
      </c>
      <c r="C985" t="s">
        <v>2447</v>
      </c>
      <c r="D985" t="s">
        <v>970</v>
      </c>
      <c r="E985">
        <v>38</v>
      </c>
      <c r="F985" t="str">
        <f>IF(Table1[[#This Row],[age]]&lt;=25,"18-25",IF(Table1[[#This Row],[age]]&lt;=35,"26-35",IF(Table1[[#This Row],[age]]&lt;=50,"36-50","51+")))</f>
        <v>36-50</v>
      </c>
      <c r="G985" t="s">
        <v>24</v>
      </c>
      <c r="H985" t="s">
        <v>80</v>
      </c>
      <c r="I985" t="s">
        <v>236</v>
      </c>
      <c r="J985" t="s">
        <v>36</v>
      </c>
      <c r="K985" t="s">
        <v>243</v>
      </c>
      <c r="L985">
        <v>5</v>
      </c>
      <c r="M985">
        <v>22143.81</v>
      </c>
      <c r="N985">
        <v>0.12</v>
      </c>
      <c r="O985">
        <v>118422.68</v>
      </c>
      <c r="P985">
        <v>31149.72</v>
      </c>
      <c r="Q985">
        <v>53.5</v>
      </c>
      <c r="R985" t="s">
        <v>43</v>
      </c>
      <c r="S985">
        <v>2</v>
      </c>
      <c r="T985" t="b">
        <v>1</v>
      </c>
      <c r="U985" t="s">
        <v>50</v>
      </c>
      <c r="V985">
        <v>8</v>
      </c>
    </row>
    <row r="986" spans="1:22" x14ac:dyDescent="0.25">
      <c r="A986" t="s">
        <v>2448</v>
      </c>
      <c r="B986" s="1">
        <v>45221</v>
      </c>
      <c r="C986" t="s">
        <v>2449</v>
      </c>
      <c r="D986" t="s">
        <v>2232</v>
      </c>
      <c r="E986">
        <v>33</v>
      </c>
      <c r="F986" t="str">
        <f>IF(Table1[[#This Row],[age]]&lt;=25,"18-25",IF(Table1[[#This Row],[age]]&lt;=35,"26-35",IF(Table1[[#This Row],[age]]&lt;=50,"36-50","51+")))</f>
        <v>26-35</v>
      </c>
      <c r="G986" t="s">
        <v>24</v>
      </c>
      <c r="H986" t="s">
        <v>25</v>
      </c>
      <c r="I986" t="s">
        <v>298</v>
      </c>
      <c r="J986" t="s">
        <v>27</v>
      </c>
      <c r="K986" t="s">
        <v>192</v>
      </c>
      <c r="L986">
        <v>5</v>
      </c>
      <c r="M986">
        <v>313.72000000000003</v>
      </c>
      <c r="N986">
        <v>0.26</v>
      </c>
      <c r="O986">
        <v>1195.99</v>
      </c>
      <c r="P986">
        <v>468.82</v>
      </c>
      <c r="Q986">
        <v>41.27</v>
      </c>
      <c r="R986" t="s">
        <v>92</v>
      </c>
      <c r="S986">
        <v>1</v>
      </c>
      <c r="T986" t="b">
        <v>1</v>
      </c>
      <c r="U986" t="s">
        <v>50</v>
      </c>
      <c r="V986">
        <v>8</v>
      </c>
    </row>
    <row r="987" spans="1:22" x14ac:dyDescent="0.25">
      <c r="A987" t="s">
        <v>2450</v>
      </c>
      <c r="B987" s="1">
        <v>44668</v>
      </c>
      <c r="C987" t="s">
        <v>2451</v>
      </c>
      <c r="D987" t="s">
        <v>213</v>
      </c>
      <c r="E987">
        <v>37</v>
      </c>
      <c r="F987" t="str">
        <f>IF(Table1[[#This Row],[age]]&lt;=25,"18-25",IF(Table1[[#This Row],[age]]&lt;=35,"26-35",IF(Table1[[#This Row],[age]]&lt;=50,"36-50","51+")))</f>
        <v>36-50</v>
      </c>
      <c r="G987" t="s">
        <v>54</v>
      </c>
      <c r="H987" t="s">
        <v>69</v>
      </c>
      <c r="I987" t="s">
        <v>181</v>
      </c>
      <c r="J987" t="s">
        <v>106</v>
      </c>
      <c r="K987" t="s">
        <v>718</v>
      </c>
      <c r="L987">
        <v>10</v>
      </c>
      <c r="M987">
        <v>64.44</v>
      </c>
      <c r="N987">
        <v>0.04</v>
      </c>
      <c r="O987">
        <v>923.93</v>
      </c>
      <c r="P987">
        <v>67.39</v>
      </c>
      <c r="Q987">
        <v>69.3</v>
      </c>
      <c r="R987" t="s">
        <v>65</v>
      </c>
      <c r="S987">
        <v>3</v>
      </c>
      <c r="T987" t="b">
        <v>1</v>
      </c>
      <c r="U987" t="s">
        <v>50</v>
      </c>
      <c r="V987">
        <v>2</v>
      </c>
    </row>
    <row r="988" spans="1:22" x14ac:dyDescent="0.25">
      <c r="A988" t="s">
        <v>2452</v>
      </c>
      <c r="B988" s="1">
        <v>44280</v>
      </c>
      <c r="C988" t="s">
        <v>2453</v>
      </c>
      <c r="D988" t="s">
        <v>1442</v>
      </c>
      <c r="E988">
        <v>55</v>
      </c>
      <c r="F988" t="str">
        <f>IF(Table1[[#This Row],[age]]&lt;=25,"18-25",IF(Table1[[#This Row],[age]]&lt;=35,"26-35",IF(Table1[[#This Row],[age]]&lt;=50,"36-50","51+")))</f>
        <v>51+</v>
      </c>
      <c r="G988" t="s">
        <v>34</v>
      </c>
      <c r="H988" t="s">
        <v>80</v>
      </c>
      <c r="I988" t="s">
        <v>81</v>
      </c>
      <c r="J988" t="s">
        <v>106</v>
      </c>
      <c r="K988" t="s">
        <v>188</v>
      </c>
      <c r="L988">
        <v>3</v>
      </c>
      <c r="M988">
        <v>211.44</v>
      </c>
      <c r="N988">
        <v>0.27</v>
      </c>
      <c r="O988">
        <v>561.91999999999996</v>
      </c>
      <c r="P988">
        <v>17.100000000000001</v>
      </c>
      <c r="Q988">
        <v>58.35</v>
      </c>
      <c r="R988" t="s">
        <v>65</v>
      </c>
      <c r="S988">
        <v>1</v>
      </c>
      <c r="T988" t="b">
        <v>1</v>
      </c>
      <c r="U988" t="s">
        <v>50</v>
      </c>
      <c r="V988">
        <v>8</v>
      </c>
    </row>
    <row r="989" spans="1:22" x14ac:dyDescent="0.25">
      <c r="A989" t="s">
        <v>2454</v>
      </c>
      <c r="B989" s="1">
        <v>45393</v>
      </c>
      <c r="C989" t="s">
        <v>2455</v>
      </c>
      <c r="D989" t="s">
        <v>437</v>
      </c>
      <c r="E989">
        <v>26</v>
      </c>
      <c r="F989" t="str">
        <f>IF(Table1[[#This Row],[age]]&lt;=25,"18-25",IF(Table1[[#This Row],[age]]&lt;=35,"26-35",IF(Table1[[#This Row],[age]]&lt;=50,"36-50","51+")))</f>
        <v>26-35</v>
      </c>
      <c r="G989" t="s">
        <v>34</v>
      </c>
      <c r="H989" t="s">
        <v>55</v>
      </c>
      <c r="I989" t="s">
        <v>75</v>
      </c>
      <c r="J989" t="s">
        <v>106</v>
      </c>
      <c r="K989" t="s">
        <v>107</v>
      </c>
      <c r="L989">
        <v>2</v>
      </c>
      <c r="M989">
        <v>426.88</v>
      </c>
      <c r="N989">
        <v>0.22</v>
      </c>
      <c r="O989">
        <v>1081.17</v>
      </c>
      <c r="P989">
        <v>85.91</v>
      </c>
      <c r="Q989">
        <v>71.23</v>
      </c>
      <c r="R989" t="s">
        <v>49</v>
      </c>
      <c r="S989">
        <v>3</v>
      </c>
      <c r="T989" t="b">
        <v>0</v>
      </c>
      <c r="U989" t="s">
        <v>30</v>
      </c>
      <c r="V989">
        <v>8</v>
      </c>
    </row>
    <row r="990" spans="1:22" x14ac:dyDescent="0.25">
      <c r="A990" t="s">
        <v>2456</v>
      </c>
      <c r="B990" s="1">
        <v>44938</v>
      </c>
      <c r="C990" t="s">
        <v>2457</v>
      </c>
      <c r="D990" t="s">
        <v>387</v>
      </c>
      <c r="E990">
        <v>54</v>
      </c>
      <c r="F990" t="str">
        <f>IF(Table1[[#This Row],[age]]&lt;=25,"18-25",IF(Table1[[#This Row],[age]]&lt;=35,"26-35",IF(Table1[[#This Row],[age]]&lt;=50,"36-50","51+")))</f>
        <v>51+</v>
      </c>
      <c r="G990" t="s">
        <v>54</v>
      </c>
      <c r="H990" t="s">
        <v>55</v>
      </c>
      <c r="I990" t="s">
        <v>56</v>
      </c>
      <c r="J990" t="s">
        <v>101</v>
      </c>
      <c r="K990" t="s">
        <v>456</v>
      </c>
      <c r="L990">
        <v>8</v>
      </c>
      <c r="M990">
        <v>7866.66</v>
      </c>
      <c r="N990">
        <v>0.28000000000000003</v>
      </c>
      <c r="O990">
        <v>36459.410000000003</v>
      </c>
      <c r="P990">
        <v>9536.2099999999991</v>
      </c>
      <c r="Q990">
        <v>48.3</v>
      </c>
      <c r="R990" t="s">
        <v>92</v>
      </c>
      <c r="S990">
        <v>4</v>
      </c>
      <c r="T990" t="b">
        <v>0</v>
      </c>
      <c r="U990" t="s">
        <v>71</v>
      </c>
      <c r="V990">
        <v>2</v>
      </c>
    </row>
    <row r="991" spans="1:22" x14ac:dyDescent="0.25">
      <c r="A991" t="s">
        <v>2458</v>
      </c>
      <c r="B991" s="1">
        <v>44306</v>
      </c>
      <c r="C991" t="s">
        <v>2459</v>
      </c>
      <c r="D991" t="s">
        <v>2460</v>
      </c>
      <c r="E991">
        <v>32</v>
      </c>
      <c r="F991" t="str">
        <f>IF(Table1[[#This Row],[age]]&lt;=25,"18-25",IF(Table1[[#This Row],[age]]&lt;=35,"26-35",IF(Table1[[#This Row],[age]]&lt;=50,"36-50","51+")))</f>
        <v>26-35</v>
      </c>
      <c r="G991" t="s">
        <v>54</v>
      </c>
      <c r="H991" t="s">
        <v>25</v>
      </c>
      <c r="I991" t="s">
        <v>26</v>
      </c>
      <c r="J991" t="s">
        <v>106</v>
      </c>
      <c r="K991" t="s">
        <v>314</v>
      </c>
      <c r="L991">
        <v>8</v>
      </c>
      <c r="M991">
        <v>376.57</v>
      </c>
      <c r="N991">
        <v>0.18</v>
      </c>
      <c r="O991">
        <v>3472.2</v>
      </c>
      <c r="P991">
        <v>314.20999999999998</v>
      </c>
      <c r="Q991">
        <v>52.43</v>
      </c>
      <c r="R991" t="s">
        <v>65</v>
      </c>
      <c r="S991">
        <v>3</v>
      </c>
      <c r="T991" t="b">
        <v>0</v>
      </c>
      <c r="U991" t="s">
        <v>30</v>
      </c>
      <c r="V991">
        <v>6</v>
      </c>
    </row>
    <row r="992" spans="1:22" x14ac:dyDescent="0.25">
      <c r="A992" t="s">
        <v>2461</v>
      </c>
      <c r="B992" s="1">
        <v>45499</v>
      </c>
      <c r="C992" t="s">
        <v>2462</v>
      </c>
      <c r="D992" t="s">
        <v>220</v>
      </c>
      <c r="E992">
        <v>29</v>
      </c>
      <c r="F992" t="str">
        <f>IF(Table1[[#This Row],[age]]&lt;=25,"18-25",IF(Table1[[#This Row],[age]]&lt;=35,"26-35",IF(Table1[[#This Row],[age]]&lt;=50,"36-50","51+")))</f>
        <v>26-35</v>
      </c>
      <c r="G992" t="s">
        <v>24</v>
      </c>
      <c r="H992" t="s">
        <v>80</v>
      </c>
      <c r="I992" t="s">
        <v>236</v>
      </c>
      <c r="J992" t="s">
        <v>27</v>
      </c>
      <c r="K992" t="s">
        <v>28</v>
      </c>
      <c r="L992">
        <v>9</v>
      </c>
      <c r="M992">
        <v>2362.56</v>
      </c>
      <c r="N992">
        <v>0.24</v>
      </c>
      <c r="O992">
        <v>27141.72</v>
      </c>
      <c r="P992">
        <v>10738.54</v>
      </c>
      <c r="Q992">
        <v>78.73</v>
      </c>
      <c r="R992" t="s">
        <v>92</v>
      </c>
      <c r="S992">
        <v>4</v>
      </c>
      <c r="T992" t="b">
        <v>0</v>
      </c>
      <c r="U992" t="s">
        <v>30</v>
      </c>
      <c r="V992">
        <v>2</v>
      </c>
    </row>
    <row r="993" spans="1:22" x14ac:dyDescent="0.25">
      <c r="A993" t="s">
        <v>2463</v>
      </c>
      <c r="B993" s="1">
        <v>45495</v>
      </c>
      <c r="C993" t="s">
        <v>2464</v>
      </c>
      <c r="D993" t="s">
        <v>990</v>
      </c>
      <c r="E993">
        <v>34</v>
      </c>
      <c r="F993" t="str">
        <f>IF(Table1[[#This Row],[age]]&lt;=25,"18-25",IF(Table1[[#This Row],[age]]&lt;=35,"26-35",IF(Table1[[#This Row],[age]]&lt;=50,"36-50","51+")))</f>
        <v>26-35</v>
      </c>
      <c r="G993" t="s">
        <v>24</v>
      </c>
      <c r="H993" t="s">
        <v>61</v>
      </c>
      <c r="I993" t="s">
        <v>141</v>
      </c>
      <c r="J993" t="s">
        <v>36</v>
      </c>
      <c r="K993" t="s">
        <v>76</v>
      </c>
      <c r="L993">
        <v>8</v>
      </c>
      <c r="M993">
        <v>26461.22</v>
      </c>
      <c r="N993">
        <v>0.33</v>
      </c>
      <c r="O993">
        <v>222317.82</v>
      </c>
      <c r="P993">
        <v>66500.31</v>
      </c>
      <c r="Q993">
        <v>67.8</v>
      </c>
      <c r="R993" t="s">
        <v>29</v>
      </c>
      <c r="S993">
        <v>3</v>
      </c>
      <c r="T993" t="b">
        <v>0</v>
      </c>
      <c r="U993" t="s">
        <v>30</v>
      </c>
      <c r="V993">
        <v>7</v>
      </c>
    </row>
    <row r="994" spans="1:22" x14ac:dyDescent="0.25">
      <c r="A994" t="s">
        <v>2465</v>
      </c>
      <c r="B994" s="1">
        <v>45040</v>
      </c>
      <c r="C994" t="s">
        <v>2466</v>
      </c>
      <c r="D994" t="s">
        <v>213</v>
      </c>
      <c r="E994">
        <v>40</v>
      </c>
      <c r="F994" t="str">
        <f>IF(Table1[[#This Row],[age]]&lt;=25,"18-25",IF(Table1[[#This Row],[age]]&lt;=35,"26-35",IF(Table1[[#This Row],[age]]&lt;=50,"36-50","51+")))</f>
        <v>36-50</v>
      </c>
      <c r="G994" t="s">
        <v>34</v>
      </c>
      <c r="H994" t="s">
        <v>61</v>
      </c>
      <c r="I994" t="s">
        <v>141</v>
      </c>
      <c r="J994" t="s">
        <v>47</v>
      </c>
      <c r="K994" t="s">
        <v>156</v>
      </c>
      <c r="L994">
        <v>5</v>
      </c>
      <c r="M994">
        <v>375.59</v>
      </c>
      <c r="N994">
        <v>7.0000000000000007E-2</v>
      </c>
      <c r="O994">
        <v>2462.15</v>
      </c>
      <c r="P994">
        <v>759.54</v>
      </c>
      <c r="Q994">
        <v>86.48</v>
      </c>
      <c r="R994" t="s">
        <v>29</v>
      </c>
      <c r="S994">
        <v>4</v>
      </c>
      <c r="T994" t="b">
        <v>0</v>
      </c>
      <c r="U994" t="s">
        <v>30</v>
      </c>
      <c r="V994">
        <v>6</v>
      </c>
    </row>
    <row r="995" spans="1:22" x14ac:dyDescent="0.25">
      <c r="A995" t="s">
        <v>2467</v>
      </c>
      <c r="B995" s="1">
        <v>44636</v>
      </c>
      <c r="C995" t="s">
        <v>2468</v>
      </c>
      <c r="D995" t="s">
        <v>131</v>
      </c>
      <c r="E995">
        <v>54</v>
      </c>
      <c r="F995" t="str">
        <f>IF(Table1[[#This Row],[age]]&lt;=25,"18-25",IF(Table1[[#This Row],[age]]&lt;=35,"26-35",IF(Table1[[#This Row],[age]]&lt;=50,"36-50","51+")))</f>
        <v>51+</v>
      </c>
      <c r="G995" t="s">
        <v>54</v>
      </c>
      <c r="H995" t="s">
        <v>69</v>
      </c>
      <c r="I995" t="s">
        <v>181</v>
      </c>
      <c r="J995" t="s">
        <v>63</v>
      </c>
      <c r="K995" t="s">
        <v>87</v>
      </c>
      <c r="L995">
        <v>8</v>
      </c>
      <c r="M995">
        <v>3480.42</v>
      </c>
      <c r="N995">
        <v>0.26</v>
      </c>
      <c r="O995">
        <v>26432.66</v>
      </c>
      <c r="P995">
        <v>9634.6200000000008</v>
      </c>
      <c r="Q995">
        <v>82.01</v>
      </c>
      <c r="R995" t="s">
        <v>43</v>
      </c>
      <c r="S995">
        <v>2</v>
      </c>
      <c r="T995" t="b">
        <v>1</v>
      </c>
      <c r="U995" t="s">
        <v>50</v>
      </c>
      <c r="V995">
        <v>10</v>
      </c>
    </row>
    <row r="996" spans="1:22" x14ac:dyDescent="0.25">
      <c r="A996" t="s">
        <v>2469</v>
      </c>
      <c r="B996" s="1">
        <v>44910</v>
      </c>
      <c r="C996" t="s">
        <v>2470</v>
      </c>
      <c r="D996" t="s">
        <v>401</v>
      </c>
      <c r="E996">
        <v>27</v>
      </c>
      <c r="F996" t="str">
        <f>IF(Table1[[#This Row],[age]]&lt;=25,"18-25",IF(Table1[[#This Row],[age]]&lt;=35,"26-35",IF(Table1[[#This Row],[age]]&lt;=50,"36-50","51+")))</f>
        <v>26-35</v>
      </c>
      <c r="G996" t="s">
        <v>54</v>
      </c>
      <c r="H996" t="s">
        <v>80</v>
      </c>
      <c r="I996" t="s">
        <v>81</v>
      </c>
      <c r="J996" t="s">
        <v>115</v>
      </c>
      <c r="K996" t="s">
        <v>137</v>
      </c>
      <c r="L996">
        <v>10</v>
      </c>
      <c r="M996">
        <v>27390.35</v>
      </c>
      <c r="N996">
        <v>0.14000000000000001</v>
      </c>
      <c r="O996">
        <v>206094.85</v>
      </c>
      <c r="P996">
        <v>28830.39</v>
      </c>
      <c r="Q996">
        <v>84.68</v>
      </c>
      <c r="R996" t="s">
        <v>65</v>
      </c>
      <c r="S996">
        <v>3</v>
      </c>
      <c r="T996" t="b">
        <v>1</v>
      </c>
      <c r="U996" t="s">
        <v>50</v>
      </c>
      <c r="V996">
        <v>10</v>
      </c>
    </row>
    <row r="997" spans="1:22" x14ac:dyDescent="0.25">
      <c r="A997" t="s">
        <v>2471</v>
      </c>
      <c r="B997" s="1">
        <v>45418</v>
      </c>
      <c r="C997" t="s">
        <v>2472</v>
      </c>
      <c r="D997" t="s">
        <v>611</v>
      </c>
      <c r="E997">
        <v>41</v>
      </c>
      <c r="F997" t="str">
        <f>IF(Table1[[#This Row],[age]]&lt;=25,"18-25",IF(Table1[[#This Row],[age]]&lt;=35,"26-35",IF(Table1[[#This Row],[age]]&lt;=50,"36-50","51+")))</f>
        <v>36-50</v>
      </c>
      <c r="G997" t="s">
        <v>24</v>
      </c>
      <c r="H997" t="s">
        <v>55</v>
      </c>
      <c r="I997" t="s">
        <v>75</v>
      </c>
      <c r="J997" t="s">
        <v>106</v>
      </c>
      <c r="K997" t="s">
        <v>331</v>
      </c>
      <c r="L997">
        <v>1</v>
      </c>
      <c r="M997">
        <v>429.16</v>
      </c>
      <c r="N997">
        <v>0.06</v>
      </c>
      <c r="O997">
        <v>614.69000000000005</v>
      </c>
      <c r="P997">
        <v>40.82</v>
      </c>
      <c r="Q997">
        <v>38.15</v>
      </c>
      <c r="R997" t="s">
        <v>49</v>
      </c>
      <c r="S997">
        <v>2</v>
      </c>
      <c r="T997" t="b">
        <v>0</v>
      </c>
      <c r="U997" t="s">
        <v>30</v>
      </c>
      <c r="V997">
        <v>7</v>
      </c>
    </row>
    <row r="998" spans="1:22" x14ac:dyDescent="0.25">
      <c r="A998" t="s">
        <v>2473</v>
      </c>
      <c r="B998" s="1">
        <v>45037</v>
      </c>
      <c r="C998" t="s">
        <v>2474</v>
      </c>
      <c r="D998" t="s">
        <v>397</v>
      </c>
      <c r="E998">
        <v>20</v>
      </c>
      <c r="F998" t="str">
        <f>IF(Table1[[#This Row],[age]]&lt;=25,"18-25",IF(Table1[[#This Row],[age]]&lt;=35,"26-35",IF(Table1[[#This Row],[age]]&lt;=50,"36-50","51+")))</f>
        <v>18-25</v>
      </c>
      <c r="G998" t="s">
        <v>24</v>
      </c>
      <c r="H998" t="s">
        <v>55</v>
      </c>
      <c r="I998" t="s">
        <v>56</v>
      </c>
      <c r="J998" t="s">
        <v>47</v>
      </c>
      <c r="K998" t="s">
        <v>272</v>
      </c>
      <c r="L998">
        <v>7</v>
      </c>
      <c r="M998">
        <v>714.91</v>
      </c>
      <c r="N998">
        <v>0.34</v>
      </c>
      <c r="O998">
        <v>5029.55</v>
      </c>
      <c r="P998">
        <v>1690.54</v>
      </c>
      <c r="Q998">
        <v>56.73</v>
      </c>
      <c r="R998" t="s">
        <v>57</v>
      </c>
      <c r="S998">
        <v>3</v>
      </c>
      <c r="T998" t="b">
        <v>0</v>
      </c>
      <c r="U998" t="s">
        <v>30</v>
      </c>
      <c r="V998">
        <v>8</v>
      </c>
    </row>
    <row r="999" spans="1:22" x14ac:dyDescent="0.25">
      <c r="A999" t="s">
        <v>2475</v>
      </c>
      <c r="B999" s="1">
        <v>44835</v>
      </c>
      <c r="C999" t="s">
        <v>2476</v>
      </c>
      <c r="D999" t="s">
        <v>1348</v>
      </c>
      <c r="E999">
        <v>32</v>
      </c>
      <c r="F999" t="str">
        <f>IF(Table1[[#This Row],[age]]&lt;=25,"18-25",IF(Table1[[#This Row],[age]]&lt;=35,"26-35",IF(Table1[[#This Row],[age]]&lt;=50,"36-50","51+")))</f>
        <v>26-35</v>
      </c>
      <c r="G999" t="s">
        <v>34</v>
      </c>
      <c r="H999" t="s">
        <v>61</v>
      </c>
      <c r="I999" t="s">
        <v>62</v>
      </c>
      <c r="J999" t="s">
        <v>27</v>
      </c>
      <c r="K999" t="s">
        <v>128</v>
      </c>
      <c r="L999">
        <v>8</v>
      </c>
      <c r="M999">
        <v>963.22</v>
      </c>
      <c r="N999">
        <v>0.23</v>
      </c>
      <c r="O999">
        <v>5534.19</v>
      </c>
      <c r="P999">
        <v>2484.8000000000002</v>
      </c>
      <c r="Q999">
        <v>60.98</v>
      </c>
      <c r="R999" t="s">
        <v>43</v>
      </c>
      <c r="S999">
        <v>3</v>
      </c>
      <c r="T999" t="b">
        <v>0</v>
      </c>
      <c r="U999" t="s">
        <v>30</v>
      </c>
      <c r="V999">
        <v>3</v>
      </c>
    </row>
    <row r="1000" spans="1:22" x14ac:dyDescent="0.25">
      <c r="A1000" t="s">
        <v>2477</v>
      </c>
      <c r="B1000" s="1">
        <v>45138</v>
      </c>
      <c r="C1000" t="s">
        <v>2478</v>
      </c>
      <c r="D1000" t="s">
        <v>235</v>
      </c>
      <c r="E1000">
        <v>30</v>
      </c>
      <c r="F1000" t="str">
        <f>IF(Table1[[#This Row],[age]]&lt;=25,"18-25",IF(Table1[[#This Row],[age]]&lt;=35,"26-35",IF(Table1[[#This Row],[age]]&lt;=50,"36-50","51+")))</f>
        <v>26-35</v>
      </c>
      <c r="G1000" t="s">
        <v>34</v>
      </c>
      <c r="H1000" t="s">
        <v>25</v>
      </c>
      <c r="I1000" t="s">
        <v>298</v>
      </c>
      <c r="J1000" t="s">
        <v>63</v>
      </c>
      <c r="K1000" t="s">
        <v>434</v>
      </c>
      <c r="L1000">
        <v>2</v>
      </c>
      <c r="M1000">
        <v>1744.92</v>
      </c>
      <c r="N1000">
        <v>0.39</v>
      </c>
      <c r="O1000">
        <v>3236.74</v>
      </c>
      <c r="P1000">
        <v>1198.8399999999999</v>
      </c>
      <c r="Q1000">
        <v>44.94</v>
      </c>
      <c r="R1000" t="s">
        <v>57</v>
      </c>
      <c r="S1000">
        <v>3</v>
      </c>
      <c r="T1000" t="b">
        <v>1</v>
      </c>
      <c r="U1000" t="s">
        <v>50</v>
      </c>
      <c r="V1000">
        <v>7</v>
      </c>
    </row>
    <row r="1001" spans="1:22" x14ac:dyDescent="0.25">
      <c r="A1001" t="s">
        <v>2479</v>
      </c>
      <c r="B1001" s="1">
        <v>44721</v>
      </c>
      <c r="C1001" t="s">
        <v>2480</v>
      </c>
      <c r="D1001" t="s">
        <v>2481</v>
      </c>
      <c r="E1001">
        <v>26</v>
      </c>
      <c r="F1001" t="str">
        <f>IF(Table1[[#This Row],[age]]&lt;=25,"18-25",IF(Table1[[#This Row],[age]]&lt;=35,"26-35",IF(Table1[[#This Row],[age]]&lt;=50,"36-50","51+")))</f>
        <v>26-35</v>
      </c>
      <c r="G1001" t="s">
        <v>54</v>
      </c>
      <c r="H1001" t="s">
        <v>69</v>
      </c>
      <c r="I1001" t="s">
        <v>221</v>
      </c>
      <c r="J1001" t="s">
        <v>36</v>
      </c>
      <c r="K1001" t="s">
        <v>243</v>
      </c>
      <c r="L1001">
        <v>7</v>
      </c>
      <c r="M1001">
        <v>27994.03</v>
      </c>
      <c r="N1001">
        <v>0.19</v>
      </c>
      <c r="O1001">
        <v>268698.01</v>
      </c>
      <c r="P1001">
        <v>53596.61</v>
      </c>
      <c r="Q1001">
        <v>69.11</v>
      </c>
      <c r="R1001" t="s">
        <v>49</v>
      </c>
      <c r="S1001">
        <v>3</v>
      </c>
      <c r="T1001" t="b">
        <v>0</v>
      </c>
      <c r="U1001" t="s">
        <v>71</v>
      </c>
      <c r="V1001">
        <v>2</v>
      </c>
    </row>
    <row r="1002" spans="1:22" x14ac:dyDescent="0.25">
      <c r="A1002" t="s">
        <v>2482</v>
      </c>
      <c r="B1002" s="1">
        <v>45014</v>
      </c>
      <c r="C1002" t="s">
        <v>2483</v>
      </c>
      <c r="D1002" t="s">
        <v>1020</v>
      </c>
      <c r="E1002">
        <v>22</v>
      </c>
      <c r="F1002" t="str">
        <f>IF(Table1[[#This Row],[age]]&lt;=25,"18-25",IF(Table1[[#This Row],[age]]&lt;=35,"26-35",IF(Table1[[#This Row],[age]]&lt;=50,"36-50","51+")))</f>
        <v>18-25</v>
      </c>
      <c r="G1002" t="s">
        <v>34</v>
      </c>
      <c r="H1002" t="s">
        <v>25</v>
      </c>
      <c r="I1002" t="s">
        <v>298</v>
      </c>
      <c r="J1002" t="s">
        <v>101</v>
      </c>
      <c r="K1002" t="s">
        <v>318</v>
      </c>
      <c r="L1002">
        <v>5</v>
      </c>
      <c r="M1002">
        <v>9438.65</v>
      </c>
      <c r="N1002">
        <v>0.19</v>
      </c>
      <c r="O1002">
        <v>50601.3</v>
      </c>
      <c r="P1002">
        <v>10853.36</v>
      </c>
      <c r="Q1002">
        <v>59.57</v>
      </c>
      <c r="R1002" t="s">
        <v>65</v>
      </c>
      <c r="S1002">
        <v>2</v>
      </c>
      <c r="T1002" t="b">
        <v>0</v>
      </c>
      <c r="U1002" t="s">
        <v>30</v>
      </c>
      <c r="V1002">
        <v>9</v>
      </c>
    </row>
    <row r="1003" spans="1:22" x14ac:dyDescent="0.25">
      <c r="A1003" t="s">
        <v>2484</v>
      </c>
      <c r="B1003" s="1">
        <v>44258</v>
      </c>
      <c r="C1003" t="s">
        <v>2485</v>
      </c>
      <c r="D1003" t="s">
        <v>53</v>
      </c>
      <c r="E1003">
        <v>29</v>
      </c>
      <c r="F1003" t="str">
        <f>IF(Table1[[#This Row],[age]]&lt;=25,"18-25",IF(Table1[[#This Row],[age]]&lt;=35,"26-35",IF(Table1[[#This Row],[age]]&lt;=50,"36-50","51+")))</f>
        <v>26-35</v>
      </c>
      <c r="G1003" t="s">
        <v>24</v>
      </c>
      <c r="H1003" t="s">
        <v>80</v>
      </c>
      <c r="I1003" t="s">
        <v>86</v>
      </c>
      <c r="J1003" t="s">
        <v>47</v>
      </c>
      <c r="K1003" t="s">
        <v>120</v>
      </c>
      <c r="L1003">
        <v>3</v>
      </c>
      <c r="M1003">
        <v>265.72000000000003</v>
      </c>
      <c r="N1003">
        <v>0.26</v>
      </c>
      <c r="O1003">
        <v>642.25</v>
      </c>
      <c r="P1003">
        <v>162.11000000000001</v>
      </c>
      <c r="Q1003">
        <v>60.04</v>
      </c>
      <c r="R1003" t="s">
        <v>92</v>
      </c>
      <c r="S1003">
        <v>1</v>
      </c>
      <c r="T1003" t="b">
        <v>0</v>
      </c>
      <c r="U1003" t="s">
        <v>71</v>
      </c>
      <c r="V1003">
        <v>10</v>
      </c>
    </row>
    <row r="1004" spans="1:22" x14ac:dyDescent="0.25">
      <c r="A1004" t="s">
        <v>2486</v>
      </c>
      <c r="B1004" s="1">
        <v>45001</v>
      </c>
      <c r="C1004" t="s">
        <v>2487</v>
      </c>
      <c r="D1004" t="s">
        <v>1059</v>
      </c>
      <c r="E1004">
        <v>34</v>
      </c>
      <c r="F1004" t="str">
        <f>IF(Table1[[#This Row],[age]]&lt;=25,"18-25",IF(Table1[[#This Row],[age]]&lt;=35,"26-35",IF(Table1[[#This Row],[age]]&lt;=50,"36-50","51+")))</f>
        <v>26-35</v>
      </c>
      <c r="G1004" t="s">
        <v>24</v>
      </c>
      <c r="H1004" t="s">
        <v>25</v>
      </c>
      <c r="I1004" t="s">
        <v>41</v>
      </c>
      <c r="J1004" t="s">
        <v>47</v>
      </c>
      <c r="K1004" t="s">
        <v>156</v>
      </c>
      <c r="L1004">
        <v>6</v>
      </c>
      <c r="M1004">
        <v>942.74</v>
      </c>
      <c r="N1004">
        <v>0.28000000000000003</v>
      </c>
      <c r="O1004">
        <v>4651.1099999999997</v>
      </c>
      <c r="P1004">
        <v>1628.44</v>
      </c>
      <c r="Q1004">
        <v>67.17</v>
      </c>
      <c r="R1004" t="s">
        <v>65</v>
      </c>
      <c r="S1004">
        <v>3</v>
      </c>
      <c r="T1004" t="b">
        <v>0</v>
      </c>
      <c r="U1004" t="s">
        <v>30</v>
      </c>
      <c r="V1004">
        <v>9</v>
      </c>
    </row>
    <row r="1005" spans="1:22" x14ac:dyDescent="0.25">
      <c r="A1005" t="s">
        <v>2488</v>
      </c>
      <c r="B1005" s="1">
        <v>45154</v>
      </c>
      <c r="C1005" t="s">
        <v>2489</v>
      </c>
      <c r="D1005" t="s">
        <v>392</v>
      </c>
      <c r="E1005">
        <v>45</v>
      </c>
      <c r="F1005" t="str">
        <f>IF(Table1[[#This Row],[age]]&lt;=25,"18-25",IF(Table1[[#This Row],[age]]&lt;=35,"26-35",IF(Table1[[#This Row],[age]]&lt;=50,"36-50","51+")))</f>
        <v>36-50</v>
      </c>
      <c r="G1005" t="s">
        <v>54</v>
      </c>
      <c r="H1005" t="s">
        <v>55</v>
      </c>
      <c r="I1005" t="s">
        <v>75</v>
      </c>
      <c r="J1005" t="s">
        <v>36</v>
      </c>
      <c r="K1005" t="s">
        <v>42</v>
      </c>
      <c r="L1005">
        <v>7</v>
      </c>
      <c r="M1005">
        <v>21860.37</v>
      </c>
      <c r="N1005">
        <v>0.22</v>
      </c>
      <c r="O1005">
        <v>156258.37</v>
      </c>
      <c r="P1005">
        <v>37409.1</v>
      </c>
      <c r="Q1005">
        <v>28.9</v>
      </c>
      <c r="R1005" t="s">
        <v>57</v>
      </c>
      <c r="S1005">
        <v>1</v>
      </c>
      <c r="T1005" t="b">
        <v>1</v>
      </c>
      <c r="U1005" t="s">
        <v>50</v>
      </c>
      <c r="V1005">
        <v>7</v>
      </c>
    </row>
    <row r="1006" spans="1:22" x14ac:dyDescent="0.25">
      <c r="A1006" t="s">
        <v>2490</v>
      </c>
      <c r="B1006" s="1">
        <v>44400</v>
      </c>
      <c r="C1006" t="s">
        <v>2491</v>
      </c>
      <c r="D1006" t="s">
        <v>1825</v>
      </c>
      <c r="E1006">
        <v>43</v>
      </c>
      <c r="F1006" t="str">
        <f>IF(Table1[[#This Row],[age]]&lt;=25,"18-25",IF(Table1[[#This Row],[age]]&lt;=35,"26-35",IF(Table1[[#This Row],[age]]&lt;=50,"36-50","51+")))</f>
        <v>36-50</v>
      </c>
      <c r="G1006" t="s">
        <v>54</v>
      </c>
      <c r="H1006" t="s">
        <v>61</v>
      </c>
      <c r="I1006" t="s">
        <v>141</v>
      </c>
      <c r="J1006" t="s">
        <v>63</v>
      </c>
      <c r="K1006" t="s">
        <v>64</v>
      </c>
      <c r="L1006">
        <v>4</v>
      </c>
      <c r="M1006">
        <v>3539.46</v>
      </c>
      <c r="N1006">
        <v>0.36</v>
      </c>
      <c r="O1006">
        <v>13144.99</v>
      </c>
      <c r="P1006">
        <v>4582.45</v>
      </c>
      <c r="Q1006">
        <v>80.650000000000006</v>
      </c>
      <c r="R1006" t="s">
        <v>43</v>
      </c>
      <c r="S1006">
        <v>3</v>
      </c>
      <c r="T1006" t="b">
        <v>1</v>
      </c>
      <c r="U1006" t="s">
        <v>50</v>
      </c>
      <c r="V1006">
        <v>10</v>
      </c>
    </row>
    <row r="1007" spans="1:22" x14ac:dyDescent="0.25">
      <c r="A1007" t="s">
        <v>2492</v>
      </c>
      <c r="B1007" s="1">
        <v>44354</v>
      </c>
      <c r="C1007" t="s">
        <v>2493</v>
      </c>
      <c r="D1007" t="s">
        <v>671</v>
      </c>
      <c r="E1007">
        <v>41</v>
      </c>
      <c r="F1007" t="str">
        <f>IF(Table1[[#This Row],[age]]&lt;=25,"18-25",IF(Table1[[#This Row],[age]]&lt;=35,"26-35",IF(Table1[[#This Row],[age]]&lt;=50,"36-50","51+")))</f>
        <v>36-50</v>
      </c>
      <c r="G1007" t="s">
        <v>24</v>
      </c>
      <c r="H1007" t="s">
        <v>80</v>
      </c>
      <c r="I1007" t="s">
        <v>236</v>
      </c>
      <c r="J1007" t="s">
        <v>115</v>
      </c>
      <c r="K1007" t="s">
        <v>137</v>
      </c>
      <c r="L1007">
        <v>9</v>
      </c>
      <c r="M1007">
        <v>63927.14</v>
      </c>
      <c r="N1007">
        <v>0.28999999999999998</v>
      </c>
      <c r="O1007">
        <v>604434.02</v>
      </c>
      <c r="P1007">
        <v>73248.66</v>
      </c>
      <c r="Q1007">
        <v>68.239999999999995</v>
      </c>
      <c r="R1007" t="s">
        <v>92</v>
      </c>
      <c r="S1007">
        <v>2</v>
      </c>
      <c r="T1007" t="b">
        <v>0</v>
      </c>
      <c r="U1007" t="s">
        <v>30</v>
      </c>
      <c r="V1007">
        <v>3</v>
      </c>
    </row>
    <row r="1008" spans="1:22" x14ac:dyDescent="0.25">
      <c r="A1008" t="s">
        <v>2494</v>
      </c>
      <c r="B1008" s="1">
        <v>45517</v>
      </c>
      <c r="C1008" t="s">
        <v>2495</v>
      </c>
      <c r="D1008" t="s">
        <v>663</v>
      </c>
      <c r="E1008">
        <v>37</v>
      </c>
      <c r="F1008" t="str">
        <f>IF(Table1[[#This Row],[age]]&lt;=25,"18-25",IF(Table1[[#This Row],[age]]&lt;=35,"26-35",IF(Table1[[#This Row],[age]]&lt;=50,"36-50","51+")))</f>
        <v>36-50</v>
      </c>
      <c r="G1008" t="s">
        <v>24</v>
      </c>
      <c r="H1008" t="s">
        <v>55</v>
      </c>
      <c r="I1008" t="s">
        <v>56</v>
      </c>
      <c r="J1008" t="s">
        <v>27</v>
      </c>
      <c r="K1008" t="s">
        <v>480</v>
      </c>
      <c r="L1008">
        <v>2</v>
      </c>
      <c r="M1008">
        <v>1715.59</v>
      </c>
      <c r="N1008">
        <v>0.39</v>
      </c>
      <c r="O1008">
        <v>2886.91</v>
      </c>
      <c r="P1008">
        <v>1724.71</v>
      </c>
      <c r="Q1008">
        <v>47.41</v>
      </c>
      <c r="R1008" t="s">
        <v>49</v>
      </c>
      <c r="S1008">
        <v>2</v>
      </c>
      <c r="T1008" t="b">
        <v>0</v>
      </c>
      <c r="U1008" t="s">
        <v>93</v>
      </c>
      <c r="V1008">
        <v>7</v>
      </c>
    </row>
    <row r="1009" spans="1:22" x14ac:dyDescent="0.25">
      <c r="A1009" t="s">
        <v>2496</v>
      </c>
      <c r="B1009" s="1">
        <v>44356</v>
      </c>
      <c r="C1009" t="s">
        <v>2497</v>
      </c>
      <c r="D1009" t="s">
        <v>1100</v>
      </c>
      <c r="E1009">
        <v>29</v>
      </c>
      <c r="F1009" t="str">
        <f>IF(Table1[[#This Row],[age]]&lt;=25,"18-25",IF(Table1[[#This Row],[age]]&lt;=35,"26-35",IF(Table1[[#This Row],[age]]&lt;=50,"36-50","51+")))</f>
        <v>26-35</v>
      </c>
      <c r="G1009" t="s">
        <v>54</v>
      </c>
      <c r="H1009" t="s">
        <v>69</v>
      </c>
      <c r="I1009" t="s">
        <v>136</v>
      </c>
      <c r="J1009" t="s">
        <v>106</v>
      </c>
      <c r="K1009" t="s">
        <v>247</v>
      </c>
      <c r="L1009">
        <v>2</v>
      </c>
      <c r="M1009">
        <v>359.79</v>
      </c>
      <c r="N1009">
        <v>0.37</v>
      </c>
      <c r="O1009">
        <v>638.01</v>
      </c>
      <c r="P1009">
        <v>52.57</v>
      </c>
      <c r="Q1009">
        <v>85.35</v>
      </c>
      <c r="R1009" t="s">
        <v>92</v>
      </c>
      <c r="S1009">
        <v>3</v>
      </c>
      <c r="T1009" t="b">
        <v>0</v>
      </c>
      <c r="U1009" t="s">
        <v>30</v>
      </c>
      <c r="V1009">
        <v>9</v>
      </c>
    </row>
    <row r="1010" spans="1:22" x14ac:dyDescent="0.25">
      <c r="A1010" t="s">
        <v>2498</v>
      </c>
      <c r="B1010" s="1">
        <v>45459</v>
      </c>
      <c r="C1010" t="s">
        <v>2499</v>
      </c>
      <c r="D1010" t="s">
        <v>2500</v>
      </c>
      <c r="E1010">
        <v>46</v>
      </c>
      <c r="F1010" t="str">
        <f>IF(Table1[[#This Row],[age]]&lt;=25,"18-25",IF(Table1[[#This Row],[age]]&lt;=35,"26-35",IF(Table1[[#This Row],[age]]&lt;=50,"36-50","51+")))</f>
        <v>36-50</v>
      </c>
      <c r="G1010" t="s">
        <v>24</v>
      </c>
      <c r="H1010" t="s">
        <v>61</v>
      </c>
      <c r="I1010" t="s">
        <v>91</v>
      </c>
      <c r="J1010" t="s">
        <v>27</v>
      </c>
      <c r="K1010" t="s">
        <v>168</v>
      </c>
      <c r="L1010">
        <v>3</v>
      </c>
      <c r="M1010">
        <v>2171.12</v>
      </c>
      <c r="N1010">
        <v>0.37</v>
      </c>
      <c r="O1010">
        <v>6476.71</v>
      </c>
      <c r="P1010">
        <v>2737.34</v>
      </c>
      <c r="Q1010">
        <v>57.34</v>
      </c>
      <c r="R1010" t="s">
        <v>92</v>
      </c>
      <c r="S1010">
        <v>4</v>
      </c>
      <c r="T1010" t="b">
        <v>1</v>
      </c>
      <c r="U1010" t="s">
        <v>50</v>
      </c>
      <c r="V1010">
        <v>2</v>
      </c>
    </row>
    <row r="1011" spans="1:22" x14ac:dyDescent="0.25">
      <c r="A1011" t="s">
        <v>2501</v>
      </c>
      <c r="B1011" s="1">
        <v>45008</v>
      </c>
      <c r="C1011" t="s">
        <v>2502</v>
      </c>
      <c r="D1011" t="s">
        <v>2503</v>
      </c>
      <c r="E1011">
        <v>20</v>
      </c>
      <c r="F1011" t="str">
        <f>IF(Table1[[#This Row],[age]]&lt;=25,"18-25",IF(Table1[[#This Row],[age]]&lt;=35,"26-35",IF(Table1[[#This Row],[age]]&lt;=50,"36-50","51+")))</f>
        <v>18-25</v>
      </c>
      <c r="G1011" t="s">
        <v>24</v>
      </c>
      <c r="H1011" t="s">
        <v>55</v>
      </c>
      <c r="I1011" t="s">
        <v>75</v>
      </c>
      <c r="J1011" t="s">
        <v>106</v>
      </c>
      <c r="K1011" t="s">
        <v>314</v>
      </c>
      <c r="L1011">
        <v>7</v>
      </c>
      <c r="M1011">
        <v>258.92</v>
      </c>
      <c r="N1011">
        <v>0.28000000000000003</v>
      </c>
      <c r="O1011">
        <v>1758.81</v>
      </c>
      <c r="P1011">
        <v>177.42</v>
      </c>
      <c r="Q1011">
        <v>37.369999999999997</v>
      </c>
      <c r="R1011" t="s">
        <v>65</v>
      </c>
      <c r="S1011">
        <v>3</v>
      </c>
      <c r="T1011" t="b">
        <v>0</v>
      </c>
      <c r="U1011" t="s">
        <v>30</v>
      </c>
      <c r="V1011">
        <v>6</v>
      </c>
    </row>
    <row r="1012" spans="1:22" x14ac:dyDescent="0.25">
      <c r="A1012" t="s">
        <v>2504</v>
      </c>
      <c r="B1012" s="1">
        <v>45655</v>
      </c>
      <c r="C1012" t="s">
        <v>2505</v>
      </c>
      <c r="D1012" t="s">
        <v>1281</v>
      </c>
      <c r="E1012">
        <v>36</v>
      </c>
      <c r="F1012" t="str">
        <f>IF(Table1[[#This Row],[age]]&lt;=25,"18-25",IF(Table1[[#This Row],[age]]&lt;=35,"26-35",IF(Table1[[#This Row],[age]]&lt;=50,"36-50","51+")))</f>
        <v>36-50</v>
      </c>
      <c r="G1012" t="s">
        <v>34</v>
      </c>
      <c r="H1012" t="s">
        <v>69</v>
      </c>
      <c r="I1012" t="s">
        <v>70</v>
      </c>
      <c r="J1012" t="s">
        <v>36</v>
      </c>
      <c r="K1012" t="s">
        <v>243</v>
      </c>
      <c r="L1012">
        <v>6</v>
      </c>
      <c r="M1012">
        <v>21398.46</v>
      </c>
      <c r="N1012">
        <v>0.34</v>
      </c>
      <c r="O1012">
        <v>75488.55</v>
      </c>
      <c r="P1012">
        <v>18648.21</v>
      </c>
      <c r="Q1012">
        <v>99.52</v>
      </c>
      <c r="R1012" t="s">
        <v>43</v>
      </c>
      <c r="S1012">
        <v>4</v>
      </c>
      <c r="T1012" t="b">
        <v>0</v>
      </c>
      <c r="U1012" t="s">
        <v>30</v>
      </c>
      <c r="V1012">
        <v>1</v>
      </c>
    </row>
    <row r="1013" spans="1:22" x14ac:dyDescent="0.25">
      <c r="A1013" t="s">
        <v>2506</v>
      </c>
      <c r="B1013" s="1">
        <v>45257</v>
      </c>
      <c r="C1013" t="s">
        <v>2507</v>
      </c>
      <c r="D1013" t="s">
        <v>772</v>
      </c>
      <c r="E1013">
        <v>29</v>
      </c>
      <c r="F1013" t="str">
        <f>IF(Table1[[#This Row],[age]]&lt;=25,"18-25",IF(Table1[[#This Row],[age]]&lt;=35,"26-35",IF(Table1[[#This Row],[age]]&lt;=50,"36-50","51+")))</f>
        <v>26-35</v>
      </c>
      <c r="G1013" t="s">
        <v>34</v>
      </c>
      <c r="H1013" t="s">
        <v>80</v>
      </c>
      <c r="I1013" t="s">
        <v>81</v>
      </c>
      <c r="J1013" t="s">
        <v>106</v>
      </c>
      <c r="K1013" t="s">
        <v>188</v>
      </c>
      <c r="L1013">
        <v>9</v>
      </c>
      <c r="M1013">
        <v>56.27</v>
      </c>
      <c r="N1013">
        <v>0.15</v>
      </c>
      <c r="O1013">
        <v>407.16</v>
      </c>
      <c r="P1013">
        <v>20.82</v>
      </c>
      <c r="Q1013">
        <v>82.79</v>
      </c>
      <c r="R1013" t="s">
        <v>65</v>
      </c>
      <c r="S1013">
        <v>5</v>
      </c>
      <c r="T1013" t="b">
        <v>0</v>
      </c>
      <c r="U1013" t="s">
        <v>30</v>
      </c>
      <c r="V1013">
        <v>2</v>
      </c>
    </row>
    <row r="1014" spans="1:22" x14ac:dyDescent="0.25">
      <c r="A1014" t="s">
        <v>2508</v>
      </c>
      <c r="B1014" s="1">
        <v>45055</v>
      </c>
      <c r="C1014" t="s">
        <v>2509</v>
      </c>
      <c r="D1014" t="s">
        <v>490</v>
      </c>
      <c r="E1014">
        <v>49</v>
      </c>
      <c r="F1014" t="str">
        <f>IF(Table1[[#This Row],[age]]&lt;=25,"18-25",IF(Table1[[#This Row],[age]]&lt;=35,"26-35",IF(Table1[[#This Row],[age]]&lt;=50,"36-50","51+")))</f>
        <v>36-50</v>
      </c>
      <c r="G1014" t="s">
        <v>24</v>
      </c>
      <c r="H1014" t="s">
        <v>69</v>
      </c>
      <c r="I1014" t="s">
        <v>181</v>
      </c>
      <c r="J1014" t="s">
        <v>63</v>
      </c>
      <c r="K1014" t="s">
        <v>64</v>
      </c>
      <c r="L1014">
        <v>1</v>
      </c>
      <c r="M1014">
        <v>3976.86</v>
      </c>
      <c r="N1014">
        <v>0.21</v>
      </c>
      <c r="O1014">
        <v>4653</v>
      </c>
      <c r="P1014">
        <v>1981.56</v>
      </c>
      <c r="Q1014">
        <v>86.05</v>
      </c>
      <c r="R1014" t="s">
        <v>57</v>
      </c>
      <c r="S1014">
        <v>2</v>
      </c>
      <c r="T1014" t="b">
        <v>0</v>
      </c>
      <c r="U1014" t="s">
        <v>30</v>
      </c>
      <c r="V1014">
        <v>4</v>
      </c>
    </row>
    <row r="1015" spans="1:22" x14ac:dyDescent="0.25">
      <c r="A1015" t="s">
        <v>2510</v>
      </c>
      <c r="B1015" s="1">
        <v>45141</v>
      </c>
      <c r="C1015" t="s">
        <v>2511</v>
      </c>
      <c r="D1015" t="s">
        <v>1498</v>
      </c>
      <c r="E1015">
        <v>34</v>
      </c>
      <c r="F1015" t="str">
        <f>IF(Table1[[#This Row],[age]]&lt;=25,"18-25",IF(Table1[[#This Row],[age]]&lt;=35,"26-35",IF(Table1[[#This Row],[age]]&lt;=50,"36-50","51+")))</f>
        <v>26-35</v>
      </c>
      <c r="G1015" t="s">
        <v>24</v>
      </c>
      <c r="H1015" t="s">
        <v>55</v>
      </c>
      <c r="I1015" t="s">
        <v>114</v>
      </c>
      <c r="J1015" t="s">
        <v>101</v>
      </c>
      <c r="K1015" t="s">
        <v>164</v>
      </c>
      <c r="L1015">
        <v>5</v>
      </c>
      <c r="M1015">
        <v>8699.81</v>
      </c>
      <c r="N1015">
        <v>0.36</v>
      </c>
      <c r="O1015">
        <v>43806.61</v>
      </c>
      <c r="P1015">
        <v>9308.41</v>
      </c>
      <c r="Q1015">
        <v>42.55</v>
      </c>
      <c r="R1015" t="s">
        <v>29</v>
      </c>
      <c r="S1015">
        <v>1</v>
      </c>
      <c r="T1015" t="b">
        <v>0</v>
      </c>
      <c r="U1015" t="s">
        <v>30</v>
      </c>
      <c r="V1015">
        <v>5</v>
      </c>
    </row>
    <row r="1016" spans="1:22" x14ac:dyDescent="0.25">
      <c r="A1016" t="s">
        <v>2512</v>
      </c>
      <c r="B1016" s="1">
        <v>43961</v>
      </c>
      <c r="C1016" t="s">
        <v>2513</v>
      </c>
      <c r="D1016" t="s">
        <v>2514</v>
      </c>
      <c r="E1016">
        <v>55</v>
      </c>
      <c r="F1016" t="str">
        <f>IF(Table1[[#This Row],[age]]&lt;=25,"18-25",IF(Table1[[#This Row],[age]]&lt;=35,"26-35",IF(Table1[[#This Row],[age]]&lt;=50,"36-50","51+")))</f>
        <v>51+</v>
      </c>
      <c r="G1016" t="s">
        <v>34</v>
      </c>
      <c r="H1016" t="s">
        <v>55</v>
      </c>
      <c r="I1016" t="s">
        <v>97</v>
      </c>
      <c r="J1016" t="s">
        <v>63</v>
      </c>
      <c r="K1016" t="s">
        <v>111</v>
      </c>
      <c r="L1016">
        <v>8</v>
      </c>
      <c r="M1016">
        <v>2351.5700000000002</v>
      </c>
      <c r="N1016">
        <v>0.34</v>
      </c>
      <c r="O1016">
        <v>17421.060000000001</v>
      </c>
      <c r="P1016">
        <v>5554.48</v>
      </c>
      <c r="Q1016">
        <v>71.02</v>
      </c>
      <c r="R1016" t="s">
        <v>43</v>
      </c>
      <c r="S1016">
        <v>2</v>
      </c>
      <c r="T1016" t="b">
        <v>0</v>
      </c>
      <c r="U1016" t="s">
        <v>71</v>
      </c>
      <c r="V1016">
        <v>5</v>
      </c>
    </row>
    <row r="1017" spans="1:22" x14ac:dyDescent="0.25">
      <c r="A1017" t="s">
        <v>2515</v>
      </c>
      <c r="B1017" s="1">
        <v>44339</v>
      </c>
      <c r="C1017" t="s">
        <v>2516</v>
      </c>
      <c r="D1017" t="s">
        <v>2420</v>
      </c>
      <c r="E1017">
        <v>36</v>
      </c>
      <c r="F1017" t="str">
        <f>IF(Table1[[#This Row],[age]]&lt;=25,"18-25",IF(Table1[[#This Row],[age]]&lt;=35,"26-35",IF(Table1[[#This Row],[age]]&lt;=50,"36-50","51+")))</f>
        <v>36-50</v>
      </c>
      <c r="G1017" t="s">
        <v>34</v>
      </c>
      <c r="H1017" t="s">
        <v>25</v>
      </c>
      <c r="I1017" t="s">
        <v>41</v>
      </c>
      <c r="J1017" t="s">
        <v>36</v>
      </c>
      <c r="K1017" t="s">
        <v>132</v>
      </c>
      <c r="L1017">
        <v>1</v>
      </c>
      <c r="M1017">
        <v>19884.830000000002</v>
      </c>
      <c r="N1017">
        <v>0.21</v>
      </c>
      <c r="O1017">
        <v>23868.33</v>
      </c>
      <c r="P1017">
        <v>5629.58</v>
      </c>
      <c r="Q1017">
        <v>50.84</v>
      </c>
      <c r="R1017" t="s">
        <v>92</v>
      </c>
      <c r="S1017">
        <v>2</v>
      </c>
      <c r="T1017" t="b">
        <v>0</v>
      </c>
      <c r="U1017" t="s">
        <v>30</v>
      </c>
      <c r="V1017">
        <v>8</v>
      </c>
    </row>
    <row r="1018" spans="1:22" x14ac:dyDescent="0.25">
      <c r="A1018" t="s">
        <v>2517</v>
      </c>
      <c r="B1018" s="1">
        <v>43858</v>
      </c>
      <c r="C1018" t="s">
        <v>2518</v>
      </c>
      <c r="D1018" t="s">
        <v>629</v>
      </c>
      <c r="E1018">
        <v>46</v>
      </c>
      <c r="F1018" t="str">
        <f>IF(Table1[[#This Row],[age]]&lt;=25,"18-25",IF(Table1[[#This Row],[age]]&lt;=35,"26-35",IF(Table1[[#This Row],[age]]&lt;=50,"36-50","51+")))</f>
        <v>36-50</v>
      </c>
      <c r="G1018" t="s">
        <v>24</v>
      </c>
      <c r="H1018" t="s">
        <v>25</v>
      </c>
      <c r="I1018" t="s">
        <v>35</v>
      </c>
      <c r="J1018" t="s">
        <v>106</v>
      </c>
      <c r="K1018" t="s">
        <v>107</v>
      </c>
      <c r="L1018">
        <v>9</v>
      </c>
      <c r="M1018">
        <v>225.4</v>
      </c>
      <c r="N1018">
        <v>0.26</v>
      </c>
      <c r="O1018">
        <v>1125.8599999999999</v>
      </c>
      <c r="P1018">
        <v>112.52</v>
      </c>
      <c r="Q1018">
        <v>48.11</v>
      </c>
      <c r="R1018" t="s">
        <v>92</v>
      </c>
      <c r="S1018">
        <v>1</v>
      </c>
      <c r="T1018" t="b">
        <v>1</v>
      </c>
      <c r="U1018" t="s">
        <v>50</v>
      </c>
      <c r="V1018">
        <v>2</v>
      </c>
    </row>
    <row r="1019" spans="1:22" x14ac:dyDescent="0.25">
      <c r="A1019" t="s">
        <v>2519</v>
      </c>
      <c r="B1019" s="1">
        <v>43846</v>
      </c>
      <c r="C1019" t="s">
        <v>2520</v>
      </c>
      <c r="D1019" t="s">
        <v>1248</v>
      </c>
      <c r="E1019">
        <v>57</v>
      </c>
      <c r="F1019" t="str">
        <f>IF(Table1[[#This Row],[age]]&lt;=25,"18-25",IF(Table1[[#This Row],[age]]&lt;=35,"26-35",IF(Table1[[#This Row],[age]]&lt;=50,"36-50","51+")))</f>
        <v>51+</v>
      </c>
      <c r="G1019" t="s">
        <v>54</v>
      </c>
      <c r="H1019" t="s">
        <v>55</v>
      </c>
      <c r="I1019" t="s">
        <v>97</v>
      </c>
      <c r="J1019" t="s">
        <v>115</v>
      </c>
      <c r="K1019" t="s">
        <v>545</v>
      </c>
      <c r="L1019">
        <v>7</v>
      </c>
      <c r="M1019">
        <v>52597.3</v>
      </c>
      <c r="N1019">
        <v>0.26</v>
      </c>
      <c r="O1019">
        <v>203835.56</v>
      </c>
      <c r="P1019">
        <v>25641.97</v>
      </c>
      <c r="Q1019">
        <v>41.61</v>
      </c>
      <c r="R1019" t="s">
        <v>65</v>
      </c>
      <c r="S1019">
        <v>2</v>
      </c>
      <c r="T1019" t="b">
        <v>0</v>
      </c>
      <c r="U1019" t="s">
        <v>30</v>
      </c>
      <c r="V1019">
        <v>1</v>
      </c>
    </row>
    <row r="1020" spans="1:22" x14ac:dyDescent="0.25">
      <c r="A1020" t="s">
        <v>2521</v>
      </c>
      <c r="B1020" s="1">
        <v>44098</v>
      </c>
      <c r="C1020" t="s">
        <v>2522</v>
      </c>
      <c r="D1020" t="s">
        <v>1921</v>
      </c>
      <c r="E1020">
        <v>35</v>
      </c>
      <c r="F1020" t="str">
        <f>IF(Table1[[#This Row],[age]]&lt;=25,"18-25",IF(Table1[[#This Row],[age]]&lt;=35,"26-35",IF(Table1[[#This Row],[age]]&lt;=50,"36-50","51+")))</f>
        <v>26-35</v>
      </c>
      <c r="G1020" t="s">
        <v>34</v>
      </c>
      <c r="H1020" t="s">
        <v>25</v>
      </c>
      <c r="I1020" t="s">
        <v>35</v>
      </c>
      <c r="J1020" t="s">
        <v>115</v>
      </c>
      <c r="K1020" t="s">
        <v>116</v>
      </c>
      <c r="L1020">
        <v>7</v>
      </c>
      <c r="M1020">
        <v>32603.73</v>
      </c>
      <c r="N1020">
        <v>0.22</v>
      </c>
      <c r="O1020">
        <v>175205.59</v>
      </c>
      <c r="P1020">
        <v>16796.740000000002</v>
      </c>
      <c r="Q1020">
        <v>53.05</v>
      </c>
      <c r="R1020" t="s">
        <v>92</v>
      </c>
      <c r="S1020">
        <v>5</v>
      </c>
      <c r="T1020" t="b">
        <v>0</v>
      </c>
      <c r="U1020" t="s">
        <v>30</v>
      </c>
      <c r="V1020">
        <v>5</v>
      </c>
    </row>
    <row r="1021" spans="1:22" x14ac:dyDescent="0.25">
      <c r="A1021" t="s">
        <v>2523</v>
      </c>
      <c r="B1021" s="1">
        <v>44746</v>
      </c>
      <c r="C1021" t="s">
        <v>2524</v>
      </c>
      <c r="D1021" t="s">
        <v>1341</v>
      </c>
      <c r="E1021">
        <v>30</v>
      </c>
      <c r="F1021" t="str">
        <f>IF(Table1[[#This Row],[age]]&lt;=25,"18-25",IF(Table1[[#This Row],[age]]&lt;=35,"26-35",IF(Table1[[#This Row],[age]]&lt;=50,"36-50","51+")))</f>
        <v>26-35</v>
      </c>
      <c r="G1021" t="s">
        <v>54</v>
      </c>
      <c r="H1021" t="s">
        <v>69</v>
      </c>
      <c r="I1021" t="s">
        <v>70</v>
      </c>
      <c r="J1021" t="s">
        <v>63</v>
      </c>
      <c r="K1021" t="s">
        <v>64</v>
      </c>
      <c r="L1021">
        <v>7</v>
      </c>
      <c r="M1021">
        <v>411.78</v>
      </c>
      <c r="N1021">
        <v>0.28000000000000003</v>
      </c>
      <c r="O1021">
        <v>3259.85</v>
      </c>
      <c r="P1021">
        <v>1493.17</v>
      </c>
      <c r="Q1021">
        <v>93.37</v>
      </c>
      <c r="R1021" t="s">
        <v>57</v>
      </c>
      <c r="S1021">
        <v>1</v>
      </c>
      <c r="T1021" t="b">
        <v>1</v>
      </c>
      <c r="U1021" t="s">
        <v>50</v>
      </c>
      <c r="V1021">
        <v>3</v>
      </c>
    </row>
    <row r="1022" spans="1:22" x14ac:dyDescent="0.25">
      <c r="A1022" t="s">
        <v>2525</v>
      </c>
      <c r="B1022" s="1">
        <v>44574</v>
      </c>
      <c r="C1022" t="s">
        <v>2526</v>
      </c>
      <c r="D1022" t="s">
        <v>304</v>
      </c>
      <c r="E1022">
        <v>41</v>
      </c>
      <c r="F1022" t="str">
        <f>IF(Table1[[#This Row],[age]]&lt;=25,"18-25",IF(Table1[[#This Row],[age]]&lt;=35,"26-35",IF(Table1[[#This Row],[age]]&lt;=50,"36-50","51+")))</f>
        <v>36-50</v>
      </c>
      <c r="G1022" t="s">
        <v>24</v>
      </c>
      <c r="H1022" t="s">
        <v>80</v>
      </c>
      <c r="I1022" t="s">
        <v>242</v>
      </c>
      <c r="J1022" t="s">
        <v>101</v>
      </c>
      <c r="K1022" t="s">
        <v>164</v>
      </c>
      <c r="L1022">
        <v>7</v>
      </c>
      <c r="M1022">
        <v>14245.64</v>
      </c>
      <c r="N1022">
        <v>0.23</v>
      </c>
      <c r="O1022">
        <v>63223.16</v>
      </c>
      <c r="P1022">
        <v>13091.37</v>
      </c>
      <c r="Q1022">
        <v>63.46</v>
      </c>
      <c r="R1022" t="s">
        <v>65</v>
      </c>
      <c r="S1022">
        <v>1</v>
      </c>
      <c r="T1022" t="b">
        <v>0</v>
      </c>
      <c r="U1022" t="s">
        <v>30</v>
      </c>
      <c r="V1022">
        <v>3</v>
      </c>
    </row>
    <row r="1023" spans="1:22" x14ac:dyDescent="0.25">
      <c r="A1023" t="s">
        <v>2527</v>
      </c>
      <c r="B1023" s="1">
        <v>45210</v>
      </c>
      <c r="C1023" t="s">
        <v>2528</v>
      </c>
      <c r="D1023" t="s">
        <v>307</v>
      </c>
      <c r="E1023">
        <v>30</v>
      </c>
      <c r="F1023" t="str">
        <f>IF(Table1[[#This Row],[age]]&lt;=25,"18-25",IF(Table1[[#This Row],[age]]&lt;=35,"26-35",IF(Table1[[#This Row],[age]]&lt;=50,"36-50","51+")))</f>
        <v>26-35</v>
      </c>
      <c r="G1023" t="s">
        <v>34</v>
      </c>
      <c r="H1023" t="s">
        <v>61</v>
      </c>
      <c r="I1023" t="s">
        <v>91</v>
      </c>
      <c r="J1023" t="s">
        <v>106</v>
      </c>
      <c r="K1023" t="s">
        <v>331</v>
      </c>
      <c r="L1023">
        <v>2</v>
      </c>
      <c r="M1023">
        <v>312.70999999999998</v>
      </c>
      <c r="N1023">
        <v>0.16</v>
      </c>
      <c r="O1023">
        <v>580.22</v>
      </c>
      <c r="P1023">
        <v>45.18</v>
      </c>
      <c r="Q1023">
        <v>67.16</v>
      </c>
      <c r="R1023" t="s">
        <v>29</v>
      </c>
      <c r="S1023">
        <v>2</v>
      </c>
      <c r="T1023" t="b">
        <v>0</v>
      </c>
      <c r="U1023" t="s">
        <v>30</v>
      </c>
      <c r="V1023">
        <v>6</v>
      </c>
    </row>
    <row r="1024" spans="1:22" x14ac:dyDescent="0.25">
      <c r="A1024" t="s">
        <v>2529</v>
      </c>
      <c r="B1024" s="1">
        <v>45336</v>
      </c>
      <c r="C1024" t="s">
        <v>2530</v>
      </c>
      <c r="D1024" t="s">
        <v>468</v>
      </c>
      <c r="E1024">
        <v>33</v>
      </c>
      <c r="F1024" t="str">
        <f>IF(Table1[[#This Row],[age]]&lt;=25,"18-25",IF(Table1[[#This Row],[age]]&lt;=35,"26-35",IF(Table1[[#This Row],[age]]&lt;=50,"36-50","51+")))</f>
        <v>26-35</v>
      </c>
      <c r="G1024" t="s">
        <v>54</v>
      </c>
      <c r="H1024" t="s">
        <v>80</v>
      </c>
      <c r="I1024" t="s">
        <v>81</v>
      </c>
      <c r="J1024" t="s">
        <v>63</v>
      </c>
      <c r="K1024" t="s">
        <v>87</v>
      </c>
      <c r="L1024">
        <v>5</v>
      </c>
      <c r="M1024">
        <v>3983.26</v>
      </c>
      <c r="N1024">
        <v>0.19</v>
      </c>
      <c r="O1024">
        <v>18870.57</v>
      </c>
      <c r="P1024">
        <v>7723.98</v>
      </c>
      <c r="Q1024">
        <v>90.81</v>
      </c>
      <c r="R1024" t="s">
        <v>29</v>
      </c>
      <c r="S1024">
        <v>1</v>
      </c>
      <c r="T1024" t="b">
        <v>0</v>
      </c>
      <c r="U1024" t="s">
        <v>30</v>
      </c>
      <c r="V1024">
        <v>2</v>
      </c>
    </row>
    <row r="1025" spans="1:22" x14ac:dyDescent="0.25">
      <c r="A1025" t="s">
        <v>2531</v>
      </c>
      <c r="B1025" s="1">
        <v>44458</v>
      </c>
      <c r="C1025" t="s">
        <v>2532</v>
      </c>
      <c r="D1025" t="s">
        <v>1704</v>
      </c>
      <c r="E1025">
        <v>42</v>
      </c>
      <c r="F1025" t="str">
        <f>IF(Table1[[#This Row],[age]]&lt;=25,"18-25",IF(Table1[[#This Row],[age]]&lt;=35,"26-35",IF(Table1[[#This Row],[age]]&lt;=50,"36-50","51+")))</f>
        <v>36-50</v>
      </c>
      <c r="G1025" t="s">
        <v>34</v>
      </c>
      <c r="H1025" t="s">
        <v>25</v>
      </c>
      <c r="I1025" t="s">
        <v>35</v>
      </c>
      <c r="J1025" t="s">
        <v>101</v>
      </c>
      <c r="K1025" t="s">
        <v>456</v>
      </c>
      <c r="L1025">
        <v>7</v>
      </c>
      <c r="M1025">
        <v>2078.41</v>
      </c>
      <c r="N1025">
        <v>0.23</v>
      </c>
      <c r="O1025">
        <v>13731.31</v>
      </c>
      <c r="P1025">
        <v>4242.83</v>
      </c>
      <c r="Q1025">
        <v>42.68</v>
      </c>
      <c r="R1025" t="s">
        <v>57</v>
      </c>
      <c r="S1025">
        <v>2</v>
      </c>
      <c r="T1025" t="b">
        <v>0</v>
      </c>
      <c r="U1025" t="s">
        <v>30</v>
      </c>
      <c r="V1025">
        <v>1</v>
      </c>
    </row>
    <row r="1026" spans="1:22" x14ac:dyDescent="0.25">
      <c r="A1026" t="s">
        <v>2533</v>
      </c>
      <c r="B1026" s="1">
        <v>44448</v>
      </c>
      <c r="C1026" t="s">
        <v>2534</v>
      </c>
      <c r="D1026" t="s">
        <v>2159</v>
      </c>
      <c r="E1026">
        <v>42</v>
      </c>
      <c r="F1026" t="str">
        <f>IF(Table1[[#This Row],[age]]&lt;=25,"18-25",IF(Table1[[#This Row],[age]]&lt;=35,"26-35",IF(Table1[[#This Row],[age]]&lt;=50,"36-50","51+")))</f>
        <v>36-50</v>
      </c>
      <c r="G1026" t="s">
        <v>34</v>
      </c>
      <c r="H1026" t="s">
        <v>55</v>
      </c>
      <c r="I1026" t="s">
        <v>75</v>
      </c>
      <c r="J1026" t="s">
        <v>106</v>
      </c>
      <c r="K1026" t="s">
        <v>107</v>
      </c>
      <c r="L1026">
        <v>7</v>
      </c>
      <c r="M1026">
        <v>496.14</v>
      </c>
      <c r="N1026">
        <v>0.3</v>
      </c>
      <c r="O1026">
        <v>2839.68</v>
      </c>
      <c r="P1026">
        <v>279.88</v>
      </c>
      <c r="Q1026">
        <v>63.12</v>
      </c>
      <c r="R1026" t="s">
        <v>49</v>
      </c>
      <c r="S1026">
        <v>1</v>
      </c>
      <c r="T1026" t="b">
        <v>1</v>
      </c>
      <c r="U1026" t="s">
        <v>50</v>
      </c>
      <c r="V1026">
        <v>5</v>
      </c>
    </row>
    <row r="1027" spans="1:22" x14ac:dyDescent="0.25">
      <c r="A1027" t="s">
        <v>2535</v>
      </c>
      <c r="B1027" s="1">
        <v>45036</v>
      </c>
      <c r="C1027" t="s">
        <v>2536</v>
      </c>
      <c r="D1027" t="s">
        <v>349</v>
      </c>
      <c r="E1027">
        <v>38</v>
      </c>
      <c r="F1027" t="str">
        <f>IF(Table1[[#This Row],[age]]&lt;=25,"18-25",IF(Table1[[#This Row],[age]]&lt;=35,"26-35",IF(Table1[[#This Row],[age]]&lt;=50,"36-50","51+")))</f>
        <v>36-50</v>
      </c>
      <c r="G1027" t="s">
        <v>24</v>
      </c>
      <c r="H1027" t="s">
        <v>61</v>
      </c>
      <c r="I1027" t="s">
        <v>91</v>
      </c>
      <c r="J1027" t="s">
        <v>115</v>
      </c>
      <c r="K1027" t="s">
        <v>398</v>
      </c>
      <c r="L1027">
        <v>7</v>
      </c>
      <c r="M1027">
        <v>50711.3</v>
      </c>
      <c r="N1027">
        <v>0.14000000000000001</v>
      </c>
      <c r="O1027">
        <v>442866.28</v>
      </c>
      <c r="P1027">
        <v>58822.76</v>
      </c>
      <c r="Q1027">
        <v>44.77</v>
      </c>
      <c r="R1027" t="s">
        <v>43</v>
      </c>
      <c r="S1027">
        <v>3</v>
      </c>
      <c r="T1027" t="b">
        <v>0</v>
      </c>
      <c r="U1027" t="s">
        <v>30</v>
      </c>
      <c r="V1027">
        <v>10</v>
      </c>
    </row>
    <row r="1028" spans="1:22" x14ac:dyDescent="0.25">
      <c r="A1028" t="s">
        <v>2537</v>
      </c>
      <c r="B1028" s="1">
        <v>44574</v>
      </c>
      <c r="C1028" t="s">
        <v>2538</v>
      </c>
      <c r="D1028" t="s">
        <v>200</v>
      </c>
      <c r="E1028">
        <v>60</v>
      </c>
      <c r="F1028" t="str">
        <f>IF(Table1[[#This Row],[age]]&lt;=25,"18-25",IF(Table1[[#This Row],[age]]&lt;=35,"26-35",IF(Table1[[#This Row],[age]]&lt;=50,"36-50","51+")))</f>
        <v>51+</v>
      </c>
      <c r="G1028" t="s">
        <v>34</v>
      </c>
      <c r="H1028" t="s">
        <v>69</v>
      </c>
      <c r="I1028" t="s">
        <v>70</v>
      </c>
      <c r="J1028" t="s">
        <v>106</v>
      </c>
      <c r="K1028" t="s">
        <v>314</v>
      </c>
      <c r="L1028">
        <v>5</v>
      </c>
      <c r="M1028">
        <v>77.06</v>
      </c>
      <c r="N1028">
        <v>0.11</v>
      </c>
      <c r="O1028">
        <v>253.58</v>
      </c>
      <c r="P1028">
        <v>18.829999999999998</v>
      </c>
      <c r="Q1028">
        <v>83.91</v>
      </c>
      <c r="R1028" t="s">
        <v>92</v>
      </c>
      <c r="S1028">
        <v>4</v>
      </c>
      <c r="T1028" t="b">
        <v>0</v>
      </c>
      <c r="U1028" t="s">
        <v>30</v>
      </c>
      <c r="V1028">
        <v>10</v>
      </c>
    </row>
    <row r="1029" spans="1:22" x14ac:dyDescent="0.25">
      <c r="A1029" t="s">
        <v>2539</v>
      </c>
      <c r="B1029" s="1">
        <v>44941</v>
      </c>
      <c r="C1029" t="s">
        <v>2540</v>
      </c>
      <c r="D1029" t="s">
        <v>797</v>
      </c>
      <c r="E1029">
        <v>62</v>
      </c>
      <c r="F1029" t="str">
        <f>IF(Table1[[#This Row],[age]]&lt;=25,"18-25",IF(Table1[[#This Row],[age]]&lt;=35,"26-35",IF(Table1[[#This Row],[age]]&lt;=50,"36-50","51+")))</f>
        <v>51+</v>
      </c>
      <c r="G1029" t="s">
        <v>24</v>
      </c>
      <c r="H1029" t="s">
        <v>80</v>
      </c>
      <c r="I1029" t="s">
        <v>242</v>
      </c>
      <c r="J1029" t="s">
        <v>47</v>
      </c>
      <c r="K1029" t="s">
        <v>272</v>
      </c>
      <c r="L1029">
        <v>4</v>
      </c>
      <c r="M1029">
        <v>1045.52</v>
      </c>
      <c r="N1029">
        <v>0.19</v>
      </c>
      <c r="O1029">
        <v>3378.55</v>
      </c>
      <c r="P1029">
        <v>1234.47</v>
      </c>
      <c r="Q1029">
        <v>69.47</v>
      </c>
      <c r="R1029" t="s">
        <v>49</v>
      </c>
      <c r="S1029">
        <v>4</v>
      </c>
      <c r="T1029" t="b">
        <v>0</v>
      </c>
      <c r="U1029" t="s">
        <v>30</v>
      </c>
      <c r="V1029">
        <v>3</v>
      </c>
    </row>
    <row r="1030" spans="1:22" x14ac:dyDescent="0.25">
      <c r="A1030" t="s">
        <v>2541</v>
      </c>
      <c r="B1030" s="1">
        <v>45571</v>
      </c>
      <c r="C1030" t="s">
        <v>2542</v>
      </c>
      <c r="D1030" t="s">
        <v>200</v>
      </c>
      <c r="E1030">
        <v>30</v>
      </c>
      <c r="F1030" t="str">
        <f>IF(Table1[[#This Row],[age]]&lt;=25,"18-25",IF(Table1[[#This Row],[age]]&lt;=35,"26-35",IF(Table1[[#This Row],[age]]&lt;=50,"36-50","51+")))</f>
        <v>26-35</v>
      </c>
      <c r="G1030" t="s">
        <v>34</v>
      </c>
      <c r="H1030" t="s">
        <v>61</v>
      </c>
      <c r="I1030" t="s">
        <v>163</v>
      </c>
      <c r="J1030" t="s">
        <v>36</v>
      </c>
      <c r="K1030" t="s">
        <v>230</v>
      </c>
      <c r="L1030">
        <v>3</v>
      </c>
      <c r="M1030">
        <v>20526.57</v>
      </c>
      <c r="N1030">
        <v>0.39</v>
      </c>
      <c r="O1030">
        <v>39110.300000000003</v>
      </c>
      <c r="P1030">
        <v>5636.16</v>
      </c>
      <c r="Q1030">
        <v>58.12</v>
      </c>
      <c r="R1030" t="s">
        <v>43</v>
      </c>
      <c r="S1030">
        <v>5</v>
      </c>
      <c r="T1030" t="b">
        <v>0</v>
      </c>
      <c r="U1030" t="s">
        <v>30</v>
      </c>
      <c r="V1030">
        <v>5</v>
      </c>
    </row>
    <row r="1031" spans="1:22" x14ac:dyDescent="0.25">
      <c r="A1031" t="s">
        <v>2543</v>
      </c>
      <c r="B1031" s="1">
        <v>44290</v>
      </c>
      <c r="C1031" t="s">
        <v>2544</v>
      </c>
      <c r="D1031" t="s">
        <v>310</v>
      </c>
      <c r="E1031">
        <v>40</v>
      </c>
      <c r="F1031" t="str">
        <f>IF(Table1[[#This Row],[age]]&lt;=25,"18-25",IF(Table1[[#This Row],[age]]&lt;=35,"26-35",IF(Table1[[#This Row],[age]]&lt;=50,"36-50","51+")))</f>
        <v>36-50</v>
      </c>
      <c r="G1031" t="s">
        <v>24</v>
      </c>
      <c r="H1031" t="s">
        <v>69</v>
      </c>
      <c r="I1031" t="s">
        <v>136</v>
      </c>
      <c r="J1031" t="s">
        <v>63</v>
      </c>
      <c r="K1031" t="s">
        <v>152</v>
      </c>
      <c r="L1031">
        <v>7</v>
      </c>
      <c r="M1031">
        <v>2196.3000000000002</v>
      </c>
      <c r="N1031">
        <v>0.21</v>
      </c>
      <c r="O1031">
        <v>15799.82</v>
      </c>
      <c r="P1031">
        <v>5078.38</v>
      </c>
      <c r="Q1031">
        <v>61.62</v>
      </c>
      <c r="R1031" t="s">
        <v>49</v>
      </c>
      <c r="S1031">
        <v>1</v>
      </c>
      <c r="T1031" t="b">
        <v>0</v>
      </c>
      <c r="U1031" t="s">
        <v>30</v>
      </c>
      <c r="V1031">
        <v>10</v>
      </c>
    </row>
    <row r="1032" spans="1:22" x14ac:dyDescent="0.25">
      <c r="A1032" t="s">
        <v>2545</v>
      </c>
      <c r="B1032" s="1">
        <v>44180</v>
      </c>
      <c r="C1032" t="s">
        <v>2546</v>
      </c>
      <c r="D1032" t="s">
        <v>33</v>
      </c>
      <c r="E1032">
        <v>56</v>
      </c>
      <c r="F1032" t="str">
        <f>IF(Table1[[#This Row],[age]]&lt;=25,"18-25",IF(Table1[[#This Row],[age]]&lt;=35,"26-35",IF(Table1[[#This Row],[age]]&lt;=50,"36-50","51+")))</f>
        <v>51+</v>
      </c>
      <c r="G1032" t="s">
        <v>54</v>
      </c>
      <c r="H1032" t="s">
        <v>61</v>
      </c>
      <c r="I1032" t="s">
        <v>91</v>
      </c>
      <c r="J1032" t="s">
        <v>36</v>
      </c>
      <c r="K1032" t="s">
        <v>37</v>
      </c>
      <c r="L1032">
        <v>2</v>
      </c>
      <c r="M1032">
        <v>8330.94</v>
      </c>
      <c r="N1032">
        <v>0.36</v>
      </c>
      <c r="O1032">
        <v>7172.01</v>
      </c>
      <c r="P1032">
        <v>1030.6600000000001</v>
      </c>
      <c r="Q1032">
        <v>34.58</v>
      </c>
      <c r="R1032" t="s">
        <v>65</v>
      </c>
      <c r="S1032">
        <v>5</v>
      </c>
      <c r="T1032" t="b">
        <v>0</v>
      </c>
      <c r="U1032" t="s">
        <v>193</v>
      </c>
      <c r="V1032">
        <v>6</v>
      </c>
    </row>
    <row r="1033" spans="1:22" x14ac:dyDescent="0.25">
      <c r="A1033" t="s">
        <v>2547</v>
      </c>
      <c r="B1033" s="1">
        <v>44838</v>
      </c>
      <c r="C1033" t="s">
        <v>2548</v>
      </c>
      <c r="D1033" t="s">
        <v>317</v>
      </c>
      <c r="E1033">
        <v>41</v>
      </c>
      <c r="F1033" t="str">
        <f>IF(Table1[[#This Row],[age]]&lt;=25,"18-25",IF(Table1[[#This Row],[age]]&lt;=35,"26-35",IF(Table1[[#This Row],[age]]&lt;=50,"36-50","51+")))</f>
        <v>36-50</v>
      </c>
      <c r="G1033" t="s">
        <v>34</v>
      </c>
      <c r="H1033" t="s">
        <v>61</v>
      </c>
      <c r="I1033" t="s">
        <v>91</v>
      </c>
      <c r="J1033" t="s">
        <v>63</v>
      </c>
      <c r="K1033" t="s">
        <v>434</v>
      </c>
      <c r="L1033">
        <v>7</v>
      </c>
      <c r="M1033">
        <v>3985.89</v>
      </c>
      <c r="N1033">
        <v>0.33</v>
      </c>
      <c r="O1033">
        <v>19751.990000000002</v>
      </c>
      <c r="P1033">
        <v>7041.24</v>
      </c>
      <c r="Q1033">
        <v>37.549999999999997</v>
      </c>
      <c r="R1033" t="s">
        <v>65</v>
      </c>
      <c r="S1033">
        <v>5</v>
      </c>
      <c r="T1033" t="b">
        <v>0</v>
      </c>
      <c r="U1033" t="s">
        <v>93</v>
      </c>
      <c r="V1033">
        <v>2</v>
      </c>
    </row>
    <row r="1034" spans="1:22" x14ac:dyDescent="0.25">
      <c r="A1034" t="s">
        <v>2549</v>
      </c>
      <c r="B1034" s="1">
        <v>45588</v>
      </c>
      <c r="C1034" t="s">
        <v>2550</v>
      </c>
      <c r="D1034" t="s">
        <v>666</v>
      </c>
      <c r="E1034">
        <v>38</v>
      </c>
      <c r="F1034" t="str">
        <f>IF(Table1[[#This Row],[age]]&lt;=25,"18-25",IF(Table1[[#This Row],[age]]&lt;=35,"26-35",IF(Table1[[#This Row],[age]]&lt;=50,"36-50","51+")))</f>
        <v>36-50</v>
      </c>
      <c r="G1034" t="s">
        <v>24</v>
      </c>
      <c r="H1034" t="s">
        <v>25</v>
      </c>
      <c r="I1034" t="s">
        <v>298</v>
      </c>
      <c r="J1034" t="s">
        <v>47</v>
      </c>
      <c r="K1034" t="s">
        <v>600</v>
      </c>
      <c r="L1034">
        <v>3</v>
      </c>
      <c r="M1034">
        <v>1455.69</v>
      </c>
      <c r="N1034">
        <v>0.31</v>
      </c>
      <c r="O1034">
        <v>3171.19</v>
      </c>
      <c r="P1034">
        <v>1460.04</v>
      </c>
      <c r="Q1034">
        <v>68.989999999999995</v>
      </c>
      <c r="R1034" t="s">
        <v>92</v>
      </c>
      <c r="S1034">
        <v>1</v>
      </c>
      <c r="T1034" t="b">
        <v>0</v>
      </c>
      <c r="U1034" t="s">
        <v>30</v>
      </c>
      <c r="V1034">
        <v>1</v>
      </c>
    </row>
    <row r="1035" spans="1:22" x14ac:dyDescent="0.25">
      <c r="A1035" t="s">
        <v>2551</v>
      </c>
      <c r="B1035" s="1">
        <v>45079</v>
      </c>
      <c r="C1035" t="s">
        <v>2552</v>
      </c>
      <c r="D1035" t="s">
        <v>757</v>
      </c>
      <c r="E1035">
        <v>37</v>
      </c>
      <c r="F1035" t="str">
        <f>IF(Table1[[#This Row],[age]]&lt;=25,"18-25",IF(Table1[[#This Row],[age]]&lt;=35,"26-35",IF(Table1[[#This Row],[age]]&lt;=50,"36-50","51+")))</f>
        <v>36-50</v>
      </c>
      <c r="G1035" t="s">
        <v>54</v>
      </c>
      <c r="H1035" t="s">
        <v>25</v>
      </c>
      <c r="I1035" t="s">
        <v>35</v>
      </c>
      <c r="J1035" t="s">
        <v>27</v>
      </c>
      <c r="K1035" t="s">
        <v>168</v>
      </c>
      <c r="L1035">
        <v>10</v>
      </c>
      <c r="M1035">
        <v>1285.07</v>
      </c>
      <c r="N1035">
        <v>0.28000000000000003</v>
      </c>
      <c r="O1035">
        <v>15333.34</v>
      </c>
      <c r="P1035">
        <v>9585.0300000000007</v>
      </c>
      <c r="Q1035">
        <v>77.58</v>
      </c>
      <c r="R1035" t="s">
        <v>57</v>
      </c>
      <c r="S1035">
        <v>2</v>
      </c>
      <c r="T1035" t="b">
        <v>0</v>
      </c>
      <c r="U1035" t="s">
        <v>30</v>
      </c>
      <c r="V1035">
        <v>9</v>
      </c>
    </row>
    <row r="1036" spans="1:22" x14ac:dyDescent="0.25">
      <c r="A1036" t="s">
        <v>2553</v>
      </c>
      <c r="B1036" s="1">
        <v>44424</v>
      </c>
      <c r="C1036" t="s">
        <v>2554</v>
      </c>
      <c r="D1036" t="s">
        <v>1719</v>
      </c>
      <c r="E1036">
        <v>28</v>
      </c>
      <c r="F1036" t="str">
        <f>IF(Table1[[#This Row],[age]]&lt;=25,"18-25",IF(Table1[[#This Row],[age]]&lt;=35,"26-35",IF(Table1[[#This Row],[age]]&lt;=50,"36-50","51+")))</f>
        <v>26-35</v>
      </c>
      <c r="G1036" t="s">
        <v>54</v>
      </c>
      <c r="H1036" t="s">
        <v>69</v>
      </c>
      <c r="I1036" t="s">
        <v>181</v>
      </c>
      <c r="J1036" t="s">
        <v>63</v>
      </c>
      <c r="K1036" t="s">
        <v>434</v>
      </c>
      <c r="L1036">
        <v>9</v>
      </c>
      <c r="M1036">
        <v>541.46</v>
      </c>
      <c r="N1036">
        <v>0.14000000000000001</v>
      </c>
      <c r="O1036">
        <v>4738.37</v>
      </c>
      <c r="P1036">
        <v>1400.95</v>
      </c>
      <c r="Q1036">
        <v>53.44</v>
      </c>
      <c r="R1036" t="s">
        <v>65</v>
      </c>
      <c r="S1036">
        <v>1</v>
      </c>
      <c r="T1036" t="b">
        <v>0</v>
      </c>
      <c r="U1036" t="s">
        <v>30</v>
      </c>
      <c r="V1036">
        <v>4</v>
      </c>
    </row>
    <row r="1037" spans="1:22" x14ac:dyDescent="0.25">
      <c r="A1037" t="s">
        <v>2555</v>
      </c>
      <c r="B1037" s="1">
        <v>44974</v>
      </c>
      <c r="C1037" t="s">
        <v>2556</v>
      </c>
      <c r="D1037" t="s">
        <v>2037</v>
      </c>
      <c r="E1037">
        <v>46</v>
      </c>
      <c r="F1037" t="str">
        <f>IF(Table1[[#This Row],[age]]&lt;=25,"18-25",IF(Table1[[#This Row],[age]]&lt;=35,"26-35",IF(Table1[[#This Row],[age]]&lt;=50,"36-50","51+")))</f>
        <v>36-50</v>
      </c>
      <c r="G1037" t="s">
        <v>34</v>
      </c>
      <c r="H1037" t="s">
        <v>25</v>
      </c>
      <c r="I1037" t="s">
        <v>298</v>
      </c>
      <c r="J1037" t="s">
        <v>63</v>
      </c>
      <c r="K1037" t="s">
        <v>87</v>
      </c>
      <c r="L1037">
        <v>6</v>
      </c>
      <c r="M1037">
        <v>2371.79</v>
      </c>
      <c r="N1037">
        <v>0.11</v>
      </c>
      <c r="O1037">
        <v>13350.85</v>
      </c>
      <c r="P1037">
        <v>4678.25</v>
      </c>
      <c r="Q1037">
        <v>45.39</v>
      </c>
      <c r="R1037" t="s">
        <v>49</v>
      </c>
      <c r="S1037">
        <v>4</v>
      </c>
      <c r="T1037" t="b">
        <v>0</v>
      </c>
      <c r="U1037" t="s">
        <v>30</v>
      </c>
      <c r="V1037">
        <v>6</v>
      </c>
    </row>
    <row r="1038" spans="1:22" x14ac:dyDescent="0.25">
      <c r="A1038" t="s">
        <v>2557</v>
      </c>
      <c r="B1038" s="1">
        <v>45504</v>
      </c>
      <c r="C1038" t="s">
        <v>2558</v>
      </c>
      <c r="D1038" t="s">
        <v>577</v>
      </c>
      <c r="E1038">
        <v>59</v>
      </c>
      <c r="F1038" t="str">
        <f>IF(Table1[[#This Row],[age]]&lt;=25,"18-25",IF(Table1[[#This Row],[age]]&lt;=35,"26-35",IF(Table1[[#This Row],[age]]&lt;=50,"36-50","51+")))</f>
        <v>51+</v>
      </c>
      <c r="G1038" t="s">
        <v>34</v>
      </c>
      <c r="H1038" t="s">
        <v>61</v>
      </c>
      <c r="I1038" t="s">
        <v>91</v>
      </c>
      <c r="J1038" t="s">
        <v>63</v>
      </c>
      <c r="K1038" t="s">
        <v>434</v>
      </c>
      <c r="L1038">
        <v>8</v>
      </c>
      <c r="M1038">
        <v>3536.11</v>
      </c>
      <c r="N1038">
        <v>0.38</v>
      </c>
      <c r="O1038">
        <v>33772.339999999997</v>
      </c>
      <c r="P1038">
        <v>8415.7800000000007</v>
      </c>
      <c r="Q1038">
        <v>42.65</v>
      </c>
      <c r="R1038" t="s">
        <v>65</v>
      </c>
      <c r="S1038">
        <v>1</v>
      </c>
      <c r="T1038" t="b">
        <v>0</v>
      </c>
      <c r="U1038" t="s">
        <v>30</v>
      </c>
      <c r="V1038">
        <v>1</v>
      </c>
    </row>
    <row r="1039" spans="1:22" x14ac:dyDescent="0.25">
      <c r="A1039" t="s">
        <v>2559</v>
      </c>
      <c r="B1039" s="1">
        <v>45141</v>
      </c>
      <c r="C1039" t="s">
        <v>2560</v>
      </c>
      <c r="D1039" t="s">
        <v>1545</v>
      </c>
      <c r="E1039">
        <v>40</v>
      </c>
      <c r="F1039" t="str">
        <f>IF(Table1[[#This Row],[age]]&lt;=25,"18-25",IF(Table1[[#This Row],[age]]&lt;=35,"26-35",IF(Table1[[#This Row],[age]]&lt;=50,"36-50","51+")))</f>
        <v>36-50</v>
      </c>
      <c r="G1039" t="s">
        <v>54</v>
      </c>
      <c r="H1039" t="s">
        <v>80</v>
      </c>
      <c r="I1039" t="s">
        <v>242</v>
      </c>
      <c r="J1039" t="s">
        <v>106</v>
      </c>
      <c r="K1039" t="s">
        <v>247</v>
      </c>
      <c r="L1039">
        <v>2</v>
      </c>
      <c r="M1039">
        <v>188.62</v>
      </c>
      <c r="N1039">
        <v>0.32</v>
      </c>
      <c r="O1039">
        <v>395.46</v>
      </c>
      <c r="P1039">
        <v>23.93</v>
      </c>
      <c r="Q1039">
        <v>82.57</v>
      </c>
      <c r="R1039" t="s">
        <v>49</v>
      </c>
      <c r="S1039">
        <v>5</v>
      </c>
      <c r="T1039" t="b">
        <v>0</v>
      </c>
      <c r="U1039" t="s">
        <v>30</v>
      </c>
      <c r="V1039">
        <v>9</v>
      </c>
    </row>
    <row r="1040" spans="1:22" x14ac:dyDescent="0.25">
      <c r="A1040" t="s">
        <v>2561</v>
      </c>
      <c r="B1040" s="1">
        <v>44550</v>
      </c>
      <c r="C1040" t="s">
        <v>2562</v>
      </c>
      <c r="D1040" t="s">
        <v>572</v>
      </c>
      <c r="E1040">
        <v>37</v>
      </c>
      <c r="F1040" t="str">
        <f>IF(Table1[[#This Row],[age]]&lt;=25,"18-25",IF(Table1[[#This Row],[age]]&lt;=35,"26-35",IF(Table1[[#This Row],[age]]&lt;=50,"36-50","51+")))</f>
        <v>36-50</v>
      </c>
      <c r="G1040" t="s">
        <v>34</v>
      </c>
      <c r="H1040" t="s">
        <v>25</v>
      </c>
      <c r="I1040" t="s">
        <v>41</v>
      </c>
      <c r="J1040" t="s">
        <v>27</v>
      </c>
      <c r="K1040" t="s">
        <v>480</v>
      </c>
      <c r="L1040">
        <v>2</v>
      </c>
      <c r="M1040">
        <v>984.2</v>
      </c>
      <c r="N1040">
        <v>0.17</v>
      </c>
      <c r="O1040">
        <v>1250.93</v>
      </c>
      <c r="P1040">
        <v>608.62</v>
      </c>
      <c r="Q1040">
        <v>62.93</v>
      </c>
      <c r="R1040" t="s">
        <v>57</v>
      </c>
      <c r="S1040">
        <v>2</v>
      </c>
      <c r="T1040" t="b">
        <v>0</v>
      </c>
      <c r="U1040" t="s">
        <v>30</v>
      </c>
      <c r="V1040">
        <v>9</v>
      </c>
    </row>
    <row r="1041" spans="1:22" x14ac:dyDescent="0.25">
      <c r="A1041" t="s">
        <v>2563</v>
      </c>
      <c r="B1041" s="1">
        <v>44227</v>
      </c>
      <c r="C1041" t="s">
        <v>2564</v>
      </c>
      <c r="D1041" t="s">
        <v>723</v>
      </c>
      <c r="E1041">
        <v>56</v>
      </c>
      <c r="F1041" t="str">
        <f>IF(Table1[[#This Row],[age]]&lt;=25,"18-25",IF(Table1[[#This Row],[age]]&lt;=35,"26-35",IF(Table1[[#This Row],[age]]&lt;=50,"36-50","51+")))</f>
        <v>51+</v>
      </c>
      <c r="G1041" t="s">
        <v>54</v>
      </c>
      <c r="H1041" t="s">
        <v>61</v>
      </c>
      <c r="I1041" t="s">
        <v>91</v>
      </c>
      <c r="J1041" t="s">
        <v>115</v>
      </c>
      <c r="K1041" t="s">
        <v>137</v>
      </c>
      <c r="L1041">
        <v>8</v>
      </c>
      <c r="M1041">
        <v>16693.21</v>
      </c>
      <c r="N1041">
        <v>0.26</v>
      </c>
      <c r="O1041">
        <v>81693.149999999994</v>
      </c>
      <c r="P1041">
        <v>9097.41</v>
      </c>
      <c r="Q1041">
        <v>65.45</v>
      </c>
      <c r="R1041" t="s">
        <v>49</v>
      </c>
      <c r="S1041">
        <v>3</v>
      </c>
      <c r="T1041" t="b">
        <v>1</v>
      </c>
      <c r="U1041" t="s">
        <v>50</v>
      </c>
      <c r="V1041">
        <v>10</v>
      </c>
    </row>
    <row r="1042" spans="1:22" x14ac:dyDescent="0.25">
      <c r="A1042" t="s">
        <v>2565</v>
      </c>
      <c r="B1042" s="1">
        <v>45605</v>
      </c>
      <c r="C1042" t="s">
        <v>2566</v>
      </c>
      <c r="D1042" t="s">
        <v>1281</v>
      </c>
      <c r="E1042">
        <v>49</v>
      </c>
      <c r="F1042" t="str">
        <f>IF(Table1[[#This Row],[age]]&lt;=25,"18-25",IF(Table1[[#This Row],[age]]&lt;=35,"26-35",IF(Table1[[#This Row],[age]]&lt;=50,"36-50","51+")))</f>
        <v>36-50</v>
      </c>
      <c r="G1042" t="s">
        <v>54</v>
      </c>
      <c r="H1042" t="s">
        <v>80</v>
      </c>
      <c r="I1042" t="s">
        <v>81</v>
      </c>
      <c r="J1042" t="s">
        <v>47</v>
      </c>
      <c r="K1042" t="s">
        <v>120</v>
      </c>
      <c r="L1042">
        <v>5</v>
      </c>
      <c r="M1042">
        <v>733.86</v>
      </c>
      <c r="N1042">
        <v>0.28000000000000003</v>
      </c>
      <c r="O1042">
        <v>2368.12</v>
      </c>
      <c r="P1042">
        <v>846.43</v>
      </c>
      <c r="Q1042">
        <v>68.42</v>
      </c>
      <c r="R1042" t="s">
        <v>65</v>
      </c>
      <c r="S1042">
        <v>5</v>
      </c>
      <c r="T1042" t="b">
        <v>0</v>
      </c>
      <c r="U1042" t="s">
        <v>30</v>
      </c>
      <c r="V1042">
        <v>1</v>
      </c>
    </row>
    <row r="1043" spans="1:22" x14ac:dyDescent="0.25">
      <c r="A1043" t="s">
        <v>2567</v>
      </c>
      <c r="B1043" s="1">
        <v>45410</v>
      </c>
      <c r="C1043" t="s">
        <v>2568</v>
      </c>
      <c r="D1043" t="s">
        <v>1439</v>
      </c>
      <c r="E1043">
        <v>31</v>
      </c>
      <c r="F1043" t="str">
        <f>IF(Table1[[#This Row],[age]]&lt;=25,"18-25",IF(Table1[[#This Row],[age]]&lt;=35,"26-35",IF(Table1[[#This Row],[age]]&lt;=50,"36-50","51+")))</f>
        <v>26-35</v>
      </c>
      <c r="G1043" t="s">
        <v>24</v>
      </c>
      <c r="H1043" t="s">
        <v>80</v>
      </c>
      <c r="I1043" t="s">
        <v>86</v>
      </c>
      <c r="J1043" t="s">
        <v>27</v>
      </c>
      <c r="K1043" t="s">
        <v>128</v>
      </c>
      <c r="L1043">
        <v>6</v>
      </c>
      <c r="M1043">
        <v>1419.67</v>
      </c>
      <c r="N1043">
        <v>0.01</v>
      </c>
      <c r="O1043">
        <v>11838.84</v>
      </c>
      <c r="P1043">
        <v>7704.41</v>
      </c>
      <c r="Q1043">
        <v>81.849999999999994</v>
      </c>
      <c r="R1043" t="s">
        <v>57</v>
      </c>
      <c r="S1043">
        <v>5</v>
      </c>
      <c r="T1043" t="b">
        <v>0</v>
      </c>
      <c r="U1043" t="s">
        <v>30</v>
      </c>
      <c r="V1043">
        <v>10</v>
      </c>
    </row>
    <row r="1044" spans="1:22" x14ac:dyDescent="0.25">
      <c r="A1044" t="s">
        <v>2569</v>
      </c>
      <c r="B1044" s="1">
        <v>44543</v>
      </c>
      <c r="C1044" t="s">
        <v>2570</v>
      </c>
      <c r="D1044" t="s">
        <v>2571</v>
      </c>
      <c r="E1044">
        <v>49</v>
      </c>
      <c r="F1044" t="str">
        <f>IF(Table1[[#This Row],[age]]&lt;=25,"18-25",IF(Table1[[#This Row],[age]]&lt;=35,"26-35",IF(Table1[[#This Row],[age]]&lt;=50,"36-50","51+")))</f>
        <v>36-50</v>
      </c>
      <c r="G1044" t="s">
        <v>54</v>
      </c>
      <c r="H1044" t="s">
        <v>69</v>
      </c>
      <c r="I1044" t="s">
        <v>181</v>
      </c>
      <c r="J1044" t="s">
        <v>63</v>
      </c>
      <c r="K1044" t="s">
        <v>64</v>
      </c>
      <c r="L1044">
        <v>1</v>
      </c>
      <c r="M1044">
        <v>3144.7</v>
      </c>
      <c r="N1044">
        <v>0.35</v>
      </c>
      <c r="O1044">
        <v>1412.65</v>
      </c>
      <c r="P1044">
        <v>506.25</v>
      </c>
      <c r="Q1044">
        <v>89.01</v>
      </c>
      <c r="R1044" t="s">
        <v>49</v>
      </c>
      <c r="S1044">
        <v>3</v>
      </c>
      <c r="T1044" t="b">
        <v>0</v>
      </c>
      <c r="U1044" t="s">
        <v>93</v>
      </c>
      <c r="V1044">
        <v>5</v>
      </c>
    </row>
    <row r="1045" spans="1:22" x14ac:dyDescent="0.25">
      <c r="A1045" t="s">
        <v>2572</v>
      </c>
      <c r="B1045" s="1">
        <v>44893</v>
      </c>
      <c r="C1045" t="s">
        <v>2573</v>
      </c>
      <c r="D1045" t="s">
        <v>1423</v>
      </c>
      <c r="E1045">
        <v>36</v>
      </c>
      <c r="F1045" t="str">
        <f>IF(Table1[[#This Row],[age]]&lt;=25,"18-25",IF(Table1[[#This Row],[age]]&lt;=35,"26-35",IF(Table1[[#This Row],[age]]&lt;=50,"36-50","51+")))</f>
        <v>36-50</v>
      </c>
      <c r="G1045" t="s">
        <v>54</v>
      </c>
      <c r="H1045" t="s">
        <v>55</v>
      </c>
      <c r="I1045" t="s">
        <v>56</v>
      </c>
      <c r="J1045" t="s">
        <v>101</v>
      </c>
      <c r="K1045" t="s">
        <v>102</v>
      </c>
      <c r="L1045">
        <v>8</v>
      </c>
      <c r="M1045">
        <v>7873.54</v>
      </c>
      <c r="N1045">
        <v>0.23</v>
      </c>
      <c r="O1045">
        <v>37930.36</v>
      </c>
      <c r="P1045">
        <v>9903.07</v>
      </c>
      <c r="Q1045">
        <v>42.71</v>
      </c>
      <c r="R1045" t="s">
        <v>65</v>
      </c>
      <c r="S1045">
        <v>2</v>
      </c>
      <c r="T1045" t="b">
        <v>0</v>
      </c>
      <c r="U1045" t="s">
        <v>30</v>
      </c>
      <c r="V1045">
        <v>5</v>
      </c>
    </row>
    <row r="1046" spans="1:22" x14ac:dyDescent="0.25">
      <c r="A1046" t="s">
        <v>2574</v>
      </c>
      <c r="B1046" s="1">
        <v>44600</v>
      </c>
      <c r="C1046" t="s">
        <v>2575</v>
      </c>
      <c r="D1046" t="s">
        <v>2340</v>
      </c>
      <c r="E1046">
        <v>20</v>
      </c>
      <c r="F1046" t="str">
        <f>IF(Table1[[#This Row],[age]]&lt;=25,"18-25",IF(Table1[[#This Row],[age]]&lt;=35,"26-35",IF(Table1[[#This Row],[age]]&lt;=50,"36-50","51+")))</f>
        <v>18-25</v>
      </c>
      <c r="G1046" t="s">
        <v>34</v>
      </c>
      <c r="H1046" t="s">
        <v>55</v>
      </c>
      <c r="I1046" t="s">
        <v>56</v>
      </c>
      <c r="J1046" t="s">
        <v>36</v>
      </c>
      <c r="K1046" t="s">
        <v>230</v>
      </c>
      <c r="L1046">
        <v>9</v>
      </c>
      <c r="M1046">
        <v>22414.18</v>
      </c>
      <c r="N1046">
        <v>0.26</v>
      </c>
      <c r="O1046">
        <v>154810.39000000001</v>
      </c>
      <c r="P1046">
        <v>52685.24</v>
      </c>
      <c r="Q1046">
        <v>39.71</v>
      </c>
      <c r="R1046" t="s">
        <v>65</v>
      </c>
      <c r="S1046">
        <v>4</v>
      </c>
      <c r="T1046" t="b">
        <v>0</v>
      </c>
      <c r="U1046" t="s">
        <v>30</v>
      </c>
      <c r="V1046">
        <v>5</v>
      </c>
    </row>
    <row r="1047" spans="1:22" x14ac:dyDescent="0.25">
      <c r="A1047" t="s">
        <v>2576</v>
      </c>
      <c r="B1047" s="1">
        <v>43976</v>
      </c>
      <c r="C1047" t="s">
        <v>2577</v>
      </c>
      <c r="D1047" t="s">
        <v>1220</v>
      </c>
      <c r="E1047">
        <v>37</v>
      </c>
      <c r="F1047" t="str">
        <f>IF(Table1[[#This Row],[age]]&lt;=25,"18-25",IF(Table1[[#This Row],[age]]&lt;=35,"26-35",IF(Table1[[#This Row],[age]]&lt;=50,"36-50","51+")))</f>
        <v>36-50</v>
      </c>
      <c r="G1047" t="s">
        <v>24</v>
      </c>
      <c r="H1047" t="s">
        <v>25</v>
      </c>
      <c r="I1047" t="s">
        <v>298</v>
      </c>
      <c r="J1047" t="s">
        <v>47</v>
      </c>
      <c r="K1047" t="s">
        <v>120</v>
      </c>
      <c r="L1047">
        <v>4</v>
      </c>
      <c r="M1047">
        <v>822.35</v>
      </c>
      <c r="N1047">
        <v>0.05</v>
      </c>
      <c r="O1047">
        <v>3604.16</v>
      </c>
      <c r="P1047">
        <v>1181.07</v>
      </c>
      <c r="Q1047">
        <v>54.01</v>
      </c>
      <c r="R1047" t="s">
        <v>92</v>
      </c>
      <c r="S1047">
        <v>4</v>
      </c>
      <c r="T1047" t="b">
        <v>1</v>
      </c>
      <c r="U1047" t="s">
        <v>50</v>
      </c>
      <c r="V1047">
        <v>9</v>
      </c>
    </row>
    <row r="1048" spans="1:22" x14ac:dyDescent="0.25">
      <c r="A1048" t="s">
        <v>2578</v>
      </c>
      <c r="B1048" s="1">
        <v>45069</v>
      </c>
      <c r="C1048" t="s">
        <v>2579</v>
      </c>
      <c r="D1048" t="s">
        <v>449</v>
      </c>
      <c r="E1048">
        <v>26</v>
      </c>
      <c r="F1048" t="str">
        <f>IF(Table1[[#This Row],[age]]&lt;=25,"18-25",IF(Table1[[#This Row],[age]]&lt;=35,"26-35",IF(Table1[[#This Row],[age]]&lt;=50,"36-50","51+")))</f>
        <v>26-35</v>
      </c>
      <c r="G1048" t="s">
        <v>24</v>
      </c>
      <c r="H1048" t="s">
        <v>69</v>
      </c>
      <c r="I1048" t="s">
        <v>181</v>
      </c>
      <c r="J1048" t="s">
        <v>27</v>
      </c>
      <c r="K1048" t="s">
        <v>168</v>
      </c>
      <c r="L1048">
        <v>8</v>
      </c>
      <c r="M1048">
        <v>317.17</v>
      </c>
      <c r="N1048">
        <v>0.06</v>
      </c>
      <c r="O1048">
        <v>3774.97</v>
      </c>
      <c r="P1048">
        <v>2233.34</v>
      </c>
      <c r="Q1048">
        <v>81.48</v>
      </c>
      <c r="R1048" t="s">
        <v>65</v>
      </c>
      <c r="S1048">
        <v>3</v>
      </c>
      <c r="T1048" t="b">
        <v>0</v>
      </c>
      <c r="U1048" t="s">
        <v>193</v>
      </c>
      <c r="V1048">
        <v>5</v>
      </c>
    </row>
    <row r="1049" spans="1:22" x14ac:dyDescent="0.25">
      <c r="A1049" t="s">
        <v>2580</v>
      </c>
      <c r="B1049" s="1">
        <v>44105</v>
      </c>
      <c r="C1049" t="s">
        <v>2581</v>
      </c>
      <c r="D1049" t="s">
        <v>184</v>
      </c>
      <c r="E1049">
        <v>39</v>
      </c>
      <c r="F1049" t="str">
        <f>IF(Table1[[#This Row],[age]]&lt;=25,"18-25",IF(Table1[[#This Row],[age]]&lt;=35,"26-35",IF(Table1[[#This Row],[age]]&lt;=50,"36-50","51+")))</f>
        <v>36-50</v>
      </c>
      <c r="G1049" t="s">
        <v>34</v>
      </c>
      <c r="H1049" t="s">
        <v>55</v>
      </c>
      <c r="I1049" t="s">
        <v>97</v>
      </c>
      <c r="J1049" t="s">
        <v>47</v>
      </c>
      <c r="K1049" t="s">
        <v>48</v>
      </c>
      <c r="L1049">
        <v>8</v>
      </c>
      <c r="M1049">
        <v>479.33</v>
      </c>
      <c r="N1049">
        <v>0.17</v>
      </c>
      <c r="O1049">
        <v>2895.46</v>
      </c>
      <c r="P1049">
        <v>1623.81</v>
      </c>
      <c r="Q1049">
        <v>57.89</v>
      </c>
      <c r="R1049" t="s">
        <v>92</v>
      </c>
      <c r="S1049">
        <v>4</v>
      </c>
      <c r="T1049" t="b">
        <v>0</v>
      </c>
      <c r="U1049" t="s">
        <v>30</v>
      </c>
      <c r="V1049">
        <v>8</v>
      </c>
    </row>
    <row r="1050" spans="1:22" x14ac:dyDescent="0.25">
      <c r="A1050" t="s">
        <v>2582</v>
      </c>
      <c r="B1050" s="1">
        <v>44164</v>
      </c>
      <c r="C1050" t="s">
        <v>2583</v>
      </c>
      <c r="D1050" t="s">
        <v>995</v>
      </c>
      <c r="E1050">
        <v>19</v>
      </c>
      <c r="F1050" t="str">
        <f>IF(Table1[[#This Row],[age]]&lt;=25,"18-25",IF(Table1[[#This Row],[age]]&lt;=35,"26-35",IF(Table1[[#This Row],[age]]&lt;=50,"36-50","51+")))</f>
        <v>18-25</v>
      </c>
      <c r="G1050" t="s">
        <v>24</v>
      </c>
      <c r="H1050" t="s">
        <v>55</v>
      </c>
      <c r="I1050" t="s">
        <v>75</v>
      </c>
      <c r="J1050" t="s">
        <v>63</v>
      </c>
      <c r="K1050" t="s">
        <v>152</v>
      </c>
      <c r="L1050">
        <v>10</v>
      </c>
      <c r="M1050">
        <v>1410.27</v>
      </c>
      <c r="N1050">
        <v>0.1</v>
      </c>
      <c r="O1050">
        <v>8950.43</v>
      </c>
      <c r="P1050">
        <v>2283.3000000000002</v>
      </c>
      <c r="Q1050">
        <v>52.24</v>
      </c>
      <c r="R1050" t="s">
        <v>49</v>
      </c>
      <c r="S1050">
        <v>5</v>
      </c>
      <c r="T1050" t="b">
        <v>0</v>
      </c>
      <c r="U1050" t="s">
        <v>71</v>
      </c>
      <c r="V1050">
        <v>5</v>
      </c>
    </row>
    <row r="1051" spans="1:22" x14ac:dyDescent="0.25">
      <c r="A1051" t="s">
        <v>2584</v>
      </c>
      <c r="B1051" s="1">
        <v>44426</v>
      </c>
      <c r="C1051" t="s">
        <v>2585</v>
      </c>
      <c r="D1051" t="s">
        <v>1327</v>
      </c>
      <c r="E1051">
        <v>43</v>
      </c>
      <c r="F1051" t="str">
        <f>IF(Table1[[#This Row],[age]]&lt;=25,"18-25",IF(Table1[[#This Row],[age]]&lt;=35,"26-35",IF(Table1[[#This Row],[age]]&lt;=50,"36-50","51+")))</f>
        <v>36-50</v>
      </c>
      <c r="G1051" t="s">
        <v>34</v>
      </c>
      <c r="H1051" t="s">
        <v>80</v>
      </c>
      <c r="I1051" t="s">
        <v>242</v>
      </c>
      <c r="J1051" t="s">
        <v>101</v>
      </c>
      <c r="K1051" t="s">
        <v>214</v>
      </c>
      <c r="L1051">
        <v>2</v>
      </c>
      <c r="M1051">
        <v>10207.68</v>
      </c>
      <c r="N1051">
        <v>0.39</v>
      </c>
      <c r="O1051">
        <v>15448.23</v>
      </c>
      <c r="P1051">
        <v>3254.54</v>
      </c>
      <c r="Q1051">
        <v>51.21</v>
      </c>
      <c r="R1051" t="s">
        <v>92</v>
      </c>
      <c r="S1051">
        <v>1</v>
      </c>
      <c r="T1051" t="b">
        <v>0</v>
      </c>
      <c r="U1051" t="s">
        <v>193</v>
      </c>
      <c r="V1051">
        <v>4</v>
      </c>
    </row>
    <row r="1052" spans="1:22" x14ac:dyDescent="0.25">
      <c r="A1052" t="s">
        <v>2586</v>
      </c>
      <c r="B1052" s="1">
        <v>45157</v>
      </c>
      <c r="C1052" t="s">
        <v>2587</v>
      </c>
      <c r="D1052" t="s">
        <v>1023</v>
      </c>
      <c r="E1052">
        <v>35</v>
      </c>
      <c r="F1052" t="str">
        <f>IF(Table1[[#This Row],[age]]&lt;=25,"18-25",IF(Table1[[#This Row],[age]]&lt;=35,"26-35",IF(Table1[[#This Row],[age]]&lt;=50,"36-50","51+")))</f>
        <v>26-35</v>
      </c>
      <c r="G1052" t="s">
        <v>34</v>
      </c>
      <c r="H1052" t="s">
        <v>69</v>
      </c>
      <c r="I1052" t="s">
        <v>221</v>
      </c>
      <c r="J1052" t="s">
        <v>115</v>
      </c>
      <c r="K1052" t="s">
        <v>116</v>
      </c>
      <c r="L1052">
        <v>8</v>
      </c>
      <c r="M1052">
        <v>20964.05</v>
      </c>
      <c r="N1052">
        <v>0.28999999999999998</v>
      </c>
      <c r="O1052">
        <v>174884.92</v>
      </c>
      <c r="P1052">
        <v>24207.47</v>
      </c>
      <c r="Q1052">
        <v>77.540000000000006</v>
      </c>
      <c r="R1052" t="s">
        <v>65</v>
      </c>
      <c r="S1052">
        <v>2</v>
      </c>
      <c r="T1052" t="b">
        <v>0</v>
      </c>
      <c r="U1052" t="s">
        <v>30</v>
      </c>
      <c r="V1052">
        <v>5</v>
      </c>
    </row>
    <row r="1053" spans="1:22" x14ac:dyDescent="0.25">
      <c r="A1053" t="s">
        <v>2588</v>
      </c>
      <c r="B1053" s="1">
        <v>44612</v>
      </c>
      <c r="C1053" t="s">
        <v>2589</v>
      </c>
      <c r="D1053" t="s">
        <v>79</v>
      </c>
      <c r="E1053">
        <v>35</v>
      </c>
      <c r="F1053" t="str">
        <f>IF(Table1[[#This Row],[age]]&lt;=25,"18-25",IF(Table1[[#This Row],[age]]&lt;=35,"26-35",IF(Table1[[#This Row],[age]]&lt;=50,"36-50","51+")))</f>
        <v>26-35</v>
      </c>
      <c r="G1053" t="s">
        <v>54</v>
      </c>
      <c r="H1053" t="s">
        <v>61</v>
      </c>
      <c r="I1053" t="s">
        <v>91</v>
      </c>
      <c r="J1053" t="s">
        <v>47</v>
      </c>
      <c r="K1053" t="s">
        <v>204</v>
      </c>
      <c r="L1053">
        <v>3</v>
      </c>
      <c r="M1053">
        <v>477.72</v>
      </c>
      <c r="N1053">
        <v>0.39</v>
      </c>
      <c r="O1053">
        <v>901.37</v>
      </c>
      <c r="P1053">
        <v>311.79000000000002</v>
      </c>
      <c r="Q1053">
        <v>41.76</v>
      </c>
      <c r="R1053" t="s">
        <v>43</v>
      </c>
      <c r="S1053">
        <v>1</v>
      </c>
      <c r="T1053" t="b">
        <v>1</v>
      </c>
      <c r="U1053" t="s">
        <v>50</v>
      </c>
      <c r="V1053">
        <v>2</v>
      </c>
    </row>
    <row r="1054" spans="1:22" x14ac:dyDescent="0.25">
      <c r="A1054" t="s">
        <v>2590</v>
      </c>
      <c r="B1054" s="1">
        <v>45565</v>
      </c>
      <c r="C1054" t="s">
        <v>2591</v>
      </c>
      <c r="D1054" t="s">
        <v>423</v>
      </c>
      <c r="E1054">
        <v>21</v>
      </c>
      <c r="F1054" t="str">
        <f>IF(Table1[[#This Row],[age]]&lt;=25,"18-25",IF(Table1[[#This Row],[age]]&lt;=35,"26-35",IF(Table1[[#This Row],[age]]&lt;=50,"36-50","51+")))</f>
        <v>18-25</v>
      </c>
      <c r="G1054" t="s">
        <v>24</v>
      </c>
      <c r="H1054" t="s">
        <v>61</v>
      </c>
      <c r="I1054" t="s">
        <v>163</v>
      </c>
      <c r="J1054" t="s">
        <v>101</v>
      </c>
      <c r="K1054" t="s">
        <v>102</v>
      </c>
      <c r="L1054">
        <v>7</v>
      </c>
      <c r="M1054">
        <v>1420.89</v>
      </c>
      <c r="N1054">
        <v>0.01</v>
      </c>
      <c r="O1054">
        <v>14785.98</v>
      </c>
      <c r="P1054">
        <v>3969.68</v>
      </c>
      <c r="Q1054">
        <v>38.840000000000003</v>
      </c>
      <c r="R1054" t="s">
        <v>29</v>
      </c>
      <c r="S1054">
        <v>2</v>
      </c>
      <c r="T1054" t="b">
        <v>0</v>
      </c>
      <c r="U1054" t="s">
        <v>30</v>
      </c>
      <c r="V1054">
        <v>7</v>
      </c>
    </row>
    <row r="1055" spans="1:22" x14ac:dyDescent="0.25">
      <c r="A1055" t="s">
        <v>2592</v>
      </c>
      <c r="B1055" s="1">
        <v>45599</v>
      </c>
      <c r="C1055" t="s">
        <v>2593</v>
      </c>
      <c r="D1055" t="s">
        <v>649</v>
      </c>
      <c r="E1055">
        <v>40</v>
      </c>
      <c r="F1055" t="str">
        <f>IF(Table1[[#This Row],[age]]&lt;=25,"18-25",IF(Table1[[#This Row],[age]]&lt;=35,"26-35",IF(Table1[[#This Row],[age]]&lt;=50,"36-50","51+")))</f>
        <v>36-50</v>
      </c>
      <c r="G1055" t="s">
        <v>24</v>
      </c>
      <c r="H1055" t="s">
        <v>80</v>
      </c>
      <c r="I1055" t="s">
        <v>236</v>
      </c>
      <c r="J1055" t="s">
        <v>36</v>
      </c>
      <c r="K1055" t="s">
        <v>230</v>
      </c>
      <c r="L1055">
        <v>4</v>
      </c>
      <c r="M1055">
        <v>25047.24</v>
      </c>
      <c r="N1055">
        <v>0.06</v>
      </c>
      <c r="O1055">
        <v>86856.88</v>
      </c>
      <c r="P1055">
        <v>33882.26</v>
      </c>
      <c r="Q1055">
        <v>83.32</v>
      </c>
      <c r="R1055" t="s">
        <v>43</v>
      </c>
      <c r="S1055">
        <v>5</v>
      </c>
      <c r="T1055" t="b">
        <v>0</v>
      </c>
      <c r="U1055" t="s">
        <v>30</v>
      </c>
      <c r="V1055">
        <v>4</v>
      </c>
    </row>
    <row r="1056" spans="1:22" x14ac:dyDescent="0.25">
      <c r="A1056" t="s">
        <v>2594</v>
      </c>
      <c r="B1056" s="1">
        <v>44424</v>
      </c>
      <c r="C1056" t="s">
        <v>2595</v>
      </c>
      <c r="D1056" t="s">
        <v>737</v>
      </c>
      <c r="E1056">
        <v>42</v>
      </c>
      <c r="F1056" t="str">
        <f>IF(Table1[[#This Row],[age]]&lt;=25,"18-25",IF(Table1[[#This Row],[age]]&lt;=35,"26-35",IF(Table1[[#This Row],[age]]&lt;=50,"36-50","51+")))</f>
        <v>36-50</v>
      </c>
      <c r="G1056" t="s">
        <v>34</v>
      </c>
      <c r="H1056" t="s">
        <v>55</v>
      </c>
      <c r="I1056" t="s">
        <v>97</v>
      </c>
      <c r="J1056" t="s">
        <v>115</v>
      </c>
      <c r="K1056" t="s">
        <v>137</v>
      </c>
      <c r="L1056">
        <v>5</v>
      </c>
      <c r="M1056">
        <v>25084.959999999999</v>
      </c>
      <c r="N1056">
        <v>0.05</v>
      </c>
      <c r="O1056">
        <v>172376.29</v>
      </c>
      <c r="P1056">
        <v>18968.099999999999</v>
      </c>
      <c r="Q1056">
        <v>74.02</v>
      </c>
      <c r="R1056" t="s">
        <v>43</v>
      </c>
      <c r="S1056">
        <v>1</v>
      </c>
      <c r="T1056" t="b">
        <v>0</v>
      </c>
      <c r="U1056" t="s">
        <v>30</v>
      </c>
      <c r="V1056">
        <v>8</v>
      </c>
    </row>
    <row r="1057" spans="1:22" x14ac:dyDescent="0.25">
      <c r="A1057" t="s">
        <v>2596</v>
      </c>
      <c r="B1057" s="1">
        <v>44271</v>
      </c>
      <c r="C1057" t="s">
        <v>2597</v>
      </c>
      <c r="D1057" t="s">
        <v>2598</v>
      </c>
      <c r="E1057">
        <v>38</v>
      </c>
      <c r="F1057" t="str">
        <f>IF(Table1[[#This Row],[age]]&lt;=25,"18-25",IF(Table1[[#This Row],[age]]&lt;=35,"26-35",IF(Table1[[#This Row],[age]]&lt;=50,"36-50","51+")))</f>
        <v>36-50</v>
      </c>
      <c r="G1057" t="s">
        <v>54</v>
      </c>
      <c r="H1057" t="s">
        <v>61</v>
      </c>
      <c r="I1057" t="s">
        <v>163</v>
      </c>
      <c r="J1057" t="s">
        <v>63</v>
      </c>
      <c r="K1057" t="s">
        <v>87</v>
      </c>
      <c r="L1057">
        <v>5</v>
      </c>
      <c r="M1057">
        <v>888.01</v>
      </c>
      <c r="N1057">
        <v>0.25</v>
      </c>
      <c r="O1057">
        <v>3544.92</v>
      </c>
      <c r="P1057">
        <v>906.65</v>
      </c>
      <c r="Q1057">
        <v>30.07</v>
      </c>
      <c r="R1057" t="s">
        <v>57</v>
      </c>
      <c r="S1057">
        <v>1</v>
      </c>
      <c r="T1057" t="b">
        <v>0</v>
      </c>
      <c r="U1057" t="s">
        <v>193</v>
      </c>
      <c r="V1057">
        <v>4</v>
      </c>
    </row>
    <row r="1058" spans="1:22" x14ac:dyDescent="0.25">
      <c r="A1058" t="s">
        <v>2599</v>
      </c>
      <c r="B1058" s="1">
        <v>44488</v>
      </c>
      <c r="C1058" t="s">
        <v>2600</v>
      </c>
      <c r="D1058" t="s">
        <v>40</v>
      </c>
      <c r="E1058">
        <v>20</v>
      </c>
      <c r="F1058" t="str">
        <f>IF(Table1[[#This Row],[age]]&lt;=25,"18-25",IF(Table1[[#This Row],[age]]&lt;=35,"26-35",IF(Table1[[#This Row],[age]]&lt;=50,"36-50","51+")))</f>
        <v>18-25</v>
      </c>
      <c r="G1058" t="s">
        <v>24</v>
      </c>
      <c r="H1058" t="s">
        <v>25</v>
      </c>
      <c r="I1058" t="s">
        <v>35</v>
      </c>
      <c r="J1058" t="s">
        <v>27</v>
      </c>
      <c r="K1058" t="s">
        <v>480</v>
      </c>
      <c r="L1058">
        <v>3</v>
      </c>
      <c r="M1058">
        <v>805.93</v>
      </c>
      <c r="N1058">
        <v>0.05</v>
      </c>
      <c r="O1058">
        <v>2114.44</v>
      </c>
      <c r="P1058">
        <v>1247.55</v>
      </c>
      <c r="Q1058">
        <v>55.34</v>
      </c>
      <c r="R1058" t="s">
        <v>65</v>
      </c>
      <c r="S1058">
        <v>3</v>
      </c>
      <c r="T1058" t="b">
        <v>0</v>
      </c>
      <c r="U1058" t="s">
        <v>30</v>
      </c>
      <c r="V1058">
        <v>5</v>
      </c>
    </row>
    <row r="1059" spans="1:22" x14ac:dyDescent="0.25">
      <c r="A1059" t="s">
        <v>2601</v>
      </c>
      <c r="B1059" s="1">
        <v>45143</v>
      </c>
      <c r="C1059" t="s">
        <v>2602</v>
      </c>
      <c r="D1059" t="s">
        <v>1630</v>
      </c>
      <c r="E1059">
        <v>25</v>
      </c>
      <c r="F1059" t="str">
        <f>IF(Table1[[#This Row],[age]]&lt;=25,"18-25",IF(Table1[[#This Row],[age]]&lt;=35,"26-35",IF(Table1[[#This Row],[age]]&lt;=50,"36-50","51+")))</f>
        <v>18-25</v>
      </c>
      <c r="G1059" t="s">
        <v>54</v>
      </c>
      <c r="H1059" t="s">
        <v>25</v>
      </c>
      <c r="I1059" t="s">
        <v>41</v>
      </c>
      <c r="J1059" t="s">
        <v>27</v>
      </c>
      <c r="K1059" t="s">
        <v>28</v>
      </c>
      <c r="L1059">
        <v>1</v>
      </c>
      <c r="M1059">
        <v>1196.94</v>
      </c>
      <c r="N1059">
        <v>0.09</v>
      </c>
      <c r="O1059">
        <v>1644.73</v>
      </c>
      <c r="P1059">
        <v>754.93</v>
      </c>
      <c r="Q1059">
        <v>47.47</v>
      </c>
      <c r="R1059" t="s">
        <v>49</v>
      </c>
      <c r="S1059">
        <v>3</v>
      </c>
      <c r="T1059" t="b">
        <v>0</v>
      </c>
      <c r="U1059" t="s">
        <v>30</v>
      </c>
      <c r="V1059">
        <v>1</v>
      </c>
    </row>
    <row r="1060" spans="1:22" x14ac:dyDescent="0.25">
      <c r="A1060" t="s">
        <v>2603</v>
      </c>
      <c r="B1060" s="1">
        <v>43932</v>
      </c>
      <c r="C1060" t="s">
        <v>2604</v>
      </c>
      <c r="D1060" t="s">
        <v>148</v>
      </c>
      <c r="E1060">
        <v>39</v>
      </c>
      <c r="F1060" t="str">
        <f>IF(Table1[[#This Row],[age]]&lt;=25,"18-25",IF(Table1[[#This Row],[age]]&lt;=35,"26-35",IF(Table1[[#This Row],[age]]&lt;=50,"36-50","51+")))</f>
        <v>36-50</v>
      </c>
      <c r="G1060" t="s">
        <v>54</v>
      </c>
      <c r="H1060" t="s">
        <v>69</v>
      </c>
      <c r="I1060" t="s">
        <v>221</v>
      </c>
      <c r="J1060" t="s">
        <v>115</v>
      </c>
      <c r="K1060" t="s">
        <v>398</v>
      </c>
      <c r="L1060">
        <v>5</v>
      </c>
      <c r="M1060">
        <v>71617.52</v>
      </c>
      <c r="N1060">
        <v>0.36</v>
      </c>
      <c r="O1060">
        <v>255897.86</v>
      </c>
      <c r="P1060">
        <v>28898.92</v>
      </c>
      <c r="Q1060">
        <v>75.489999999999995</v>
      </c>
      <c r="R1060" t="s">
        <v>43</v>
      </c>
      <c r="S1060">
        <v>4</v>
      </c>
      <c r="T1060" t="b">
        <v>1</v>
      </c>
      <c r="U1060" t="s">
        <v>50</v>
      </c>
      <c r="V1060">
        <v>2</v>
      </c>
    </row>
    <row r="1061" spans="1:22" x14ac:dyDescent="0.25">
      <c r="A1061" t="s">
        <v>2605</v>
      </c>
      <c r="B1061" s="1">
        <v>44418</v>
      </c>
      <c r="C1061" t="s">
        <v>2606</v>
      </c>
      <c r="D1061" t="s">
        <v>591</v>
      </c>
      <c r="E1061">
        <v>32</v>
      </c>
      <c r="F1061" t="str">
        <f>IF(Table1[[#This Row],[age]]&lt;=25,"18-25",IF(Table1[[#This Row],[age]]&lt;=35,"26-35",IF(Table1[[#This Row],[age]]&lt;=50,"36-50","51+")))</f>
        <v>26-35</v>
      </c>
      <c r="G1061" t="s">
        <v>24</v>
      </c>
      <c r="H1061" t="s">
        <v>61</v>
      </c>
      <c r="I1061" t="s">
        <v>62</v>
      </c>
      <c r="J1061" t="s">
        <v>36</v>
      </c>
      <c r="K1061" t="s">
        <v>42</v>
      </c>
      <c r="L1061">
        <v>1</v>
      </c>
      <c r="M1061">
        <v>9518.8799999999992</v>
      </c>
      <c r="N1061">
        <v>0.28000000000000003</v>
      </c>
      <c r="O1061">
        <v>8848.99</v>
      </c>
      <c r="P1061">
        <v>3106.65</v>
      </c>
      <c r="Q1061">
        <v>60.55</v>
      </c>
      <c r="R1061" t="s">
        <v>65</v>
      </c>
      <c r="S1061">
        <v>5</v>
      </c>
      <c r="T1061" t="b">
        <v>0</v>
      </c>
      <c r="U1061" t="s">
        <v>93</v>
      </c>
      <c r="V1061">
        <v>6</v>
      </c>
    </row>
    <row r="1062" spans="1:22" x14ac:dyDescent="0.25">
      <c r="A1062" t="s">
        <v>2607</v>
      </c>
      <c r="B1062" s="1">
        <v>44613</v>
      </c>
      <c r="C1062" t="s">
        <v>2608</v>
      </c>
      <c r="D1062" t="s">
        <v>1281</v>
      </c>
      <c r="E1062">
        <v>37</v>
      </c>
      <c r="F1062" t="str">
        <f>IF(Table1[[#This Row],[age]]&lt;=25,"18-25",IF(Table1[[#This Row],[age]]&lt;=35,"26-35",IF(Table1[[#This Row],[age]]&lt;=50,"36-50","51+")))</f>
        <v>36-50</v>
      </c>
      <c r="G1062" t="s">
        <v>34</v>
      </c>
      <c r="H1062" t="s">
        <v>55</v>
      </c>
      <c r="I1062" t="s">
        <v>97</v>
      </c>
      <c r="J1062" t="s">
        <v>101</v>
      </c>
      <c r="K1062" t="s">
        <v>164</v>
      </c>
      <c r="L1062">
        <v>6</v>
      </c>
      <c r="M1062">
        <v>4023.89</v>
      </c>
      <c r="N1062">
        <v>0.1</v>
      </c>
      <c r="O1062">
        <v>22623.39</v>
      </c>
      <c r="P1062">
        <v>2450.1799999999998</v>
      </c>
      <c r="Q1062">
        <v>43.87</v>
      </c>
      <c r="R1062" t="s">
        <v>57</v>
      </c>
      <c r="S1062">
        <v>4</v>
      </c>
      <c r="T1062" t="b">
        <v>0</v>
      </c>
      <c r="U1062" t="s">
        <v>71</v>
      </c>
      <c r="V1062">
        <v>2</v>
      </c>
    </row>
    <row r="1063" spans="1:22" x14ac:dyDescent="0.25">
      <c r="A1063" t="s">
        <v>2609</v>
      </c>
      <c r="B1063" s="1">
        <v>45026</v>
      </c>
      <c r="C1063" t="s">
        <v>2610</v>
      </c>
      <c r="D1063" t="s">
        <v>1215</v>
      </c>
      <c r="E1063">
        <v>21</v>
      </c>
      <c r="F1063" t="str">
        <f>IF(Table1[[#This Row],[age]]&lt;=25,"18-25",IF(Table1[[#This Row],[age]]&lt;=35,"26-35",IF(Table1[[#This Row],[age]]&lt;=50,"36-50","51+")))</f>
        <v>18-25</v>
      </c>
      <c r="G1063" t="s">
        <v>34</v>
      </c>
      <c r="H1063" t="s">
        <v>25</v>
      </c>
      <c r="I1063" t="s">
        <v>26</v>
      </c>
      <c r="J1063" t="s">
        <v>101</v>
      </c>
      <c r="K1063" t="s">
        <v>164</v>
      </c>
      <c r="L1063">
        <v>10</v>
      </c>
      <c r="M1063">
        <v>12942.94</v>
      </c>
      <c r="N1063">
        <v>0.17</v>
      </c>
      <c r="O1063">
        <v>168816.96</v>
      </c>
      <c r="P1063">
        <v>44825.88</v>
      </c>
      <c r="Q1063">
        <v>57.55</v>
      </c>
      <c r="R1063" t="s">
        <v>49</v>
      </c>
      <c r="S1063">
        <v>3</v>
      </c>
      <c r="T1063" t="b">
        <v>0</v>
      </c>
      <c r="U1063" t="s">
        <v>93</v>
      </c>
      <c r="V1063">
        <v>6</v>
      </c>
    </row>
    <row r="1064" spans="1:22" x14ac:dyDescent="0.25">
      <c r="A1064" t="s">
        <v>2611</v>
      </c>
      <c r="B1064" s="1">
        <v>45246</v>
      </c>
      <c r="C1064" t="s">
        <v>2612</v>
      </c>
      <c r="D1064" t="s">
        <v>2333</v>
      </c>
      <c r="E1064">
        <v>44</v>
      </c>
      <c r="F1064" t="str">
        <f>IF(Table1[[#This Row],[age]]&lt;=25,"18-25",IF(Table1[[#This Row],[age]]&lt;=35,"26-35",IF(Table1[[#This Row],[age]]&lt;=50,"36-50","51+")))</f>
        <v>36-50</v>
      </c>
      <c r="G1064" t="s">
        <v>24</v>
      </c>
      <c r="H1064" t="s">
        <v>69</v>
      </c>
      <c r="I1064" t="s">
        <v>70</v>
      </c>
      <c r="J1064" t="s">
        <v>101</v>
      </c>
      <c r="K1064" t="s">
        <v>124</v>
      </c>
      <c r="L1064">
        <v>9</v>
      </c>
      <c r="M1064">
        <v>6566.64</v>
      </c>
      <c r="N1064">
        <v>0.11</v>
      </c>
      <c r="O1064">
        <v>50681.89</v>
      </c>
      <c r="P1064">
        <v>12859.41</v>
      </c>
      <c r="Q1064">
        <v>88.55</v>
      </c>
      <c r="R1064" t="s">
        <v>29</v>
      </c>
      <c r="S1064">
        <v>3</v>
      </c>
      <c r="T1064" t="b">
        <v>0</v>
      </c>
      <c r="U1064" t="s">
        <v>30</v>
      </c>
      <c r="V1064">
        <v>2</v>
      </c>
    </row>
    <row r="1065" spans="1:22" x14ac:dyDescent="0.25">
      <c r="A1065" t="s">
        <v>2613</v>
      </c>
      <c r="B1065" s="1">
        <v>43859</v>
      </c>
      <c r="C1065" t="s">
        <v>2614</v>
      </c>
      <c r="D1065" t="s">
        <v>304</v>
      </c>
      <c r="E1065">
        <v>32</v>
      </c>
      <c r="F1065" t="str">
        <f>IF(Table1[[#This Row],[age]]&lt;=25,"18-25",IF(Table1[[#This Row],[age]]&lt;=35,"26-35",IF(Table1[[#This Row],[age]]&lt;=50,"36-50","51+")))</f>
        <v>26-35</v>
      </c>
      <c r="G1065" t="s">
        <v>54</v>
      </c>
      <c r="H1065" t="s">
        <v>55</v>
      </c>
      <c r="I1065" t="s">
        <v>75</v>
      </c>
      <c r="J1065" t="s">
        <v>106</v>
      </c>
      <c r="K1065" t="s">
        <v>107</v>
      </c>
      <c r="L1065">
        <v>3</v>
      </c>
      <c r="M1065">
        <v>111.25</v>
      </c>
      <c r="N1065">
        <v>0.34</v>
      </c>
      <c r="O1065">
        <v>169.55</v>
      </c>
      <c r="P1065">
        <v>14.81</v>
      </c>
      <c r="Q1065">
        <v>67.44</v>
      </c>
      <c r="R1065" t="s">
        <v>92</v>
      </c>
      <c r="S1065">
        <v>4</v>
      </c>
      <c r="T1065" t="b">
        <v>1</v>
      </c>
      <c r="U1065" t="s">
        <v>50</v>
      </c>
      <c r="V1065">
        <v>2</v>
      </c>
    </row>
    <row r="1066" spans="1:22" x14ac:dyDescent="0.25">
      <c r="A1066" t="s">
        <v>2615</v>
      </c>
      <c r="B1066" s="1">
        <v>45444</v>
      </c>
      <c r="C1066" t="s">
        <v>2616</v>
      </c>
      <c r="D1066" t="s">
        <v>923</v>
      </c>
      <c r="E1066">
        <v>19</v>
      </c>
      <c r="F1066" t="str">
        <f>IF(Table1[[#This Row],[age]]&lt;=25,"18-25",IF(Table1[[#This Row],[age]]&lt;=35,"26-35",IF(Table1[[#This Row],[age]]&lt;=50,"36-50","51+")))</f>
        <v>18-25</v>
      </c>
      <c r="G1066" t="s">
        <v>24</v>
      </c>
      <c r="H1066" t="s">
        <v>61</v>
      </c>
      <c r="I1066" t="s">
        <v>141</v>
      </c>
      <c r="J1066" t="s">
        <v>63</v>
      </c>
      <c r="K1066" t="s">
        <v>111</v>
      </c>
      <c r="L1066">
        <v>4</v>
      </c>
      <c r="M1066">
        <v>2911.82</v>
      </c>
      <c r="N1066">
        <v>0.11</v>
      </c>
      <c r="O1066">
        <v>17929.64</v>
      </c>
      <c r="P1066">
        <v>6962.57</v>
      </c>
      <c r="Q1066">
        <v>69.31</v>
      </c>
      <c r="R1066" t="s">
        <v>92</v>
      </c>
      <c r="S1066">
        <v>4</v>
      </c>
      <c r="T1066" t="b">
        <v>1</v>
      </c>
      <c r="U1066" t="s">
        <v>50</v>
      </c>
      <c r="V1066">
        <v>7</v>
      </c>
    </row>
    <row r="1067" spans="1:22" x14ac:dyDescent="0.25">
      <c r="A1067" t="s">
        <v>2617</v>
      </c>
      <c r="B1067" s="1">
        <v>43933</v>
      </c>
      <c r="C1067" t="s">
        <v>2618</v>
      </c>
      <c r="D1067" t="s">
        <v>591</v>
      </c>
      <c r="E1067">
        <v>33</v>
      </c>
      <c r="F1067" t="str">
        <f>IF(Table1[[#This Row],[age]]&lt;=25,"18-25",IF(Table1[[#This Row],[age]]&lt;=35,"26-35",IF(Table1[[#This Row],[age]]&lt;=50,"36-50","51+")))</f>
        <v>26-35</v>
      </c>
      <c r="G1067" t="s">
        <v>54</v>
      </c>
      <c r="H1067" t="s">
        <v>69</v>
      </c>
      <c r="I1067" t="s">
        <v>181</v>
      </c>
      <c r="J1067" t="s">
        <v>27</v>
      </c>
      <c r="K1067" t="s">
        <v>168</v>
      </c>
      <c r="L1067">
        <v>9</v>
      </c>
      <c r="M1067">
        <v>2037.1</v>
      </c>
      <c r="N1067">
        <v>0.35</v>
      </c>
      <c r="O1067">
        <v>12133.55</v>
      </c>
      <c r="P1067">
        <v>4748.4399999999996</v>
      </c>
      <c r="Q1067">
        <v>81.709999999999994</v>
      </c>
      <c r="R1067" t="s">
        <v>92</v>
      </c>
      <c r="S1067">
        <v>5</v>
      </c>
      <c r="T1067" t="b">
        <v>0</v>
      </c>
      <c r="U1067" t="s">
        <v>30</v>
      </c>
      <c r="V1067">
        <v>10</v>
      </c>
    </row>
    <row r="1068" spans="1:22" x14ac:dyDescent="0.25">
      <c r="A1068" t="s">
        <v>2619</v>
      </c>
      <c r="B1068" s="1">
        <v>44622</v>
      </c>
      <c r="C1068" t="s">
        <v>2620</v>
      </c>
      <c r="D1068" t="s">
        <v>734</v>
      </c>
      <c r="E1068">
        <v>26</v>
      </c>
      <c r="F1068" t="str">
        <f>IF(Table1[[#This Row],[age]]&lt;=25,"18-25",IF(Table1[[#This Row],[age]]&lt;=35,"26-35",IF(Table1[[#This Row],[age]]&lt;=50,"36-50","51+")))</f>
        <v>26-35</v>
      </c>
      <c r="G1068" t="s">
        <v>54</v>
      </c>
      <c r="H1068" t="s">
        <v>55</v>
      </c>
      <c r="I1068" t="s">
        <v>56</v>
      </c>
      <c r="J1068" t="s">
        <v>36</v>
      </c>
      <c r="K1068" t="s">
        <v>37</v>
      </c>
      <c r="L1068">
        <v>4</v>
      </c>
      <c r="M1068">
        <v>9797.48</v>
      </c>
      <c r="N1068">
        <v>0.19</v>
      </c>
      <c r="O1068">
        <v>35253.800000000003</v>
      </c>
      <c r="P1068">
        <v>6234.5</v>
      </c>
      <c r="Q1068">
        <v>54.57</v>
      </c>
      <c r="R1068" t="s">
        <v>57</v>
      </c>
      <c r="S1068">
        <v>4</v>
      </c>
      <c r="T1068" t="b">
        <v>0</v>
      </c>
      <c r="U1068" t="s">
        <v>30</v>
      </c>
      <c r="V1068">
        <v>10</v>
      </c>
    </row>
    <row r="1069" spans="1:22" x14ac:dyDescent="0.25">
      <c r="A1069" t="s">
        <v>2621</v>
      </c>
      <c r="B1069" s="1">
        <v>43944</v>
      </c>
      <c r="C1069" t="s">
        <v>2622</v>
      </c>
      <c r="D1069" t="s">
        <v>723</v>
      </c>
      <c r="E1069">
        <v>53</v>
      </c>
      <c r="F1069" t="str">
        <f>IF(Table1[[#This Row],[age]]&lt;=25,"18-25",IF(Table1[[#This Row],[age]]&lt;=35,"26-35",IF(Table1[[#This Row],[age]]&lt;=50,"36-50","51+")))</f>
        <v>51+</v>
      </c>
      <c r="G1069" t="s">
        <v>34</v>
      </c>
      <c r="H1069" t="s">
        <v>25</v>
      </c>
      <c r="I1069" t="s">
        <v>26</v>
      </c>
      <c r="J1069" t="s">
        <v>106</v>
      </c>
      <c r="K1069" t="s">
        <v>107</v>
      </c>
      <c r="L1069">
        <v>10</v>
      </c>
      <c r="M1069">
        <v>396.88</v>
      </c>
      <c r="N1069">
        <v>0.2</v>
      </c>
      <c r="O1069">
        <v>3258.96</v>
      </c>
      <c r="P1069">
        <v>349.2</v>
      </c>
      <c r="Q1069">
        <v>85.52</v>
      </c>
      <c r="R1069" t="s">
        <v>43</v>
      </c>
      <c r="S1069">
        <v>4</v>
      </c>
      <c r="T1069" t="b">
        <v>0</v>
      </c>
      <c r="U1069" t="s">
        <v>30</v>
      </c>
      <c r="V1069">
        <v>8</v>
      </c>
    </row>
    <row r="1070" spans="1:22" x14ac:dyDescent="0.25">
      <c r="A1070" t="s">
        <v>2623</v>
      </c>
      <c r="B1070" s="1">
        <v>44866</v>
      </c>
      <c r="C1070" t="s">
        <v>2624</v>
      </c>
      <c r="D1070" t="s">
        <v>1898</v>
      </c>
      <c r="E1070">
        <v>32</v>
      </c>
      <c r="F1070" t="str">
        <f>IF(Table1[[#This Row],[age]]&lt;=25,"18-25",IF(Table1[[#This Row],[age]]&lt;=35,"26-35",IF(Table1[[#This Row],[age]]&lt;=50,"36-50","51+")))</f>
        <v>26-35</v>
      </c>
      <c r="G1070" t="s">
        <v>34</v>
      </c>
      <c r="H1070" t="s">
        <v>25</v>
      </c>
      <c r="I1070" t="s">
        <v>298</v>
      </c>
      <c r="J1070" t="s">
        <v>106</v>
      </c>
      <c r="K1070" t="s">
        <v>188</v>
      </c>
      <c r="L1070">
        <v>3</v>
      </c>
      <c r="M1070">
        <v>391.44</v>
      </c>
      <c r="N1070">
        <v>0.02</v>
      </c>
      <c r="O1070">
        <v>842.74</v>
      </c>
      <c r="P1070">
        <v>75.650000000000006</v>
      </c>
      <c r="Q1070">
        <v>67.459999999999994</v>
      </c>
      <c r="R1070" t="s">
        <v>43</v>
      </c>
      <c r="S1070">
        <v>5</v>
      </c>
      <c r="T1070" t="b">
        <v>0</v>
      </c>
      <c r="U1070" t="s">
        <v>30</v>
      </c>
      <c r="V1070">
        <v>2</v>
      </c>
    </row>
    <row r="1071" spans="1:22" x14ac:dyDescent="0.25">
      <c r="A1071" t="s">
        <v>2625</v>
      </c>
      <c r="B1071" s="1">
        <v>45373</v>
      </c>
      <c r="C1071" t="s">
        <v>2626</v>
      </c>
      <c r="D1071" t="s">
        <v>281</v>
      </c>
      <c r="E1071">
        <v>43</v>
      </c>
      <c r="F1071" t="str">
        <f>IF(Table1[[#This Row],[age]]&lt;=25,"18-25",IF(Table1[[#This Row],[age]]&lt;=35,"26-35",IF(Table1[[#This Row],[age]]&lt;=50,"36-50","51+")))</f>
        <v>36-50</v>
      </c>
      <c r="G1071" t="s">
        <v>24</v>
      </c>
      <c r="H1071" t="s">
        <v>55</v>
      </c>
      <c r="I1071" t="s">
        <v>75</v>
      </c>
      <c r="J1071" t="s">
        <v>47</v>
      </c>
      <c r="K1071" t="s">
        <v>48</v>
      </c>
      <c r="L1071">
        <v>3</v>
      </c>
      <c r="M1071">
        <v>520.52</v>
      </c>
      <c r="N1071">
        <v>0.27</v>
      </c>
      <c r="O1071">
        <v>1527.32</v>
      </c>
      <c r="P1071">
        <v>542.48</v>
      </c>
      <c r="Q1071">
        <v>45.42</v>
      </c>
      <c r="R1071" t="s">
        <v>65</v>
      </c>
      <c r="S1071">
        <v>1</v>
      </c>
      <c r="T1071" t="b">
        <v>0</v>
      </c>
      <c r="U1071" t="s">
        <v>30</v>
      </c>
      <c r="V1071">
        <v>5</v>
      </c>
    </row>
    <row r="1072" spans="1:22" x14ac:dyDescent="0.25">
      <c r="A1072" t="s">
        <v>2627</v>
      </c>
      <c r="B1072" s="1">
        <v>44810</v>
      </c>
      <c r="C1072" t="s">
        <v>2628</v>
      </c>
      <c r="D1072" t="s">
        <v>533</v>
      </c>
      <c r="E1072">
        <v>25</v>
      </c>
      <c r="F1072" t="str">
        <f>IF(Table1[[#This Row],[age]]&lt;=25,"18-25",IF(Table1[[#This Row],[age]]&lt;=35,"26-35",IF(Table1[[#This Row],[age]]&lt;=50,"36-50","51+")))</f>
        <v>18-25</v>
      </c>
      <c r="G1072" t="s">
        <v>24</v>
      </c>
      <c r="H1072" t="s">
        <v>61</v>
      </c>
      <c r="I1072" t="s">
        <v>62</v>
      </c>
      <c r="J1072" t="s">
        <v>47</v>
      </c>
      <c r="K1072" t="s">
        <v>48</v>
      </c>
      <c r="L1072">
        <v>1</v>
      </c>
      <c r="M1072">
        <v>834.25</v>
      </c>
      <c r="N1072">
        <v>0.18</v>
      </c>
      <c r="O1072">
        <v>828.78</v>
      </c>
      <c r="P1072">
        <v>257.11</v>
      </c>
      <c r="Q1072">
        <v>40.700000000000003</v>
      </c>
      <c r="R1072" t="s">
        <v>43</v>
      </c>
      <c r="S1072">
        <v>1</v>
      </c>
      <c r="T1072" t="b">
        <v>0</v>
      </c>
      <c r="U1072" t="s">
        <v>71</v>
      </c>
      <c r="V1072">
        <v>2</v>
      </c>
    </row>
    <row r="1073" spans="1:22" x14ac:dyDescent="0.25">
      <c r="A1073" t="s">
        <v>2629</v>
      </c>
      <c r="B1073" s="1">
        <v>45646</v>
      </c>
      <c r="C1073" t="s">
        <v>2630</v>
      </c>
      <c r="D1073" t="s">
        <v>599</v>
      </c>
      <c r="E1073">
        <v>48</v>
      </c>
      <c r="F1073" t="str">
        <f>IF(Table1[[#This Row],[age]]&lt;=25,"18-25",IF(Table1[[#This Row],[age]]&lt;=35,"26-35",IF(Table1[[#This Row],[age]]&lt;=50,"36-50","51+")))</f>
        <v>36-50</v>
      </c>
      <c r="G1073" t="s">
        <v>34</v>
      </c>
      <c r="H1073" t="s">
        <v>61</v>
      </c>
      <c r="I1073" t="s">
        <v>163</v>
      </c>
      <c r="J1073" t="s">
        <v>27</v>
      </c>
      <c r="K1073" t="s">
        <v>192</v>
      </c>
      <c r="L1073">
        <v>5</v>
      </c>
      <c r="M1073">
        <v>1283.6099999999999</v>
      </c>
      <c r="N1073">
        <v>0.36</v>
      </c>
      <c r="O1073">
        <v>3770.64</v>
      </c>
      <c r="P1073">
        <v>2025.41</v>
      </c>
      <c r="Q1073">
        <v>50.14</v>
      </c>
      <c r="R1073" t="s">
        <v>57</v>
      </c>
      <c r="S1073">
        <v>4</v>
      </c>
      <c r="T1073" t="b">
        <v>0</v>
      </c>
      <c r="U1073" t="s">
        <v>30</v>
      </c>
      <c r="V1073">
        <v>8</v>
      </c>
    </row>
    <row r="1074" spans="1:22" x14ac:dyDescent="0.25">
      <c r="A1074" t="s">
        <v>2631</v>
      </c>
      <c r="B1074" s="1">
        <v>44319</v>
      </c>
      <c r="C1074" t="s">
        <v>2632</v>
      </c>
      <c r="D1074" t="s">
        <v>2439</v>
      </c>
      <c r="E1074">
        <v>27</v>
      </c>
      <c r="F1074" t="str">
        <f>IF(Table1[[#This Row],[age]]&lt;=25,"18-25",IF(Table1[[#This Row],[age]]&lt;=35,"26-35",IF(Table1[[#This Row],[age]]&lt;=50,"36-50","51+")))</f>
        <v>26-35</v>
      </c>
      <c r="G1074" t="s">
        <v>54</v>
      </c>
      <c r="H1074" t="s">
        <v>25</v>
      </c>
      <c r="I1074" t="s">
        <v>26</v>
      </c>
      <c r="J1074" t="s">
        <v>63</v>
      </c>
      <c r="K1074" t="s">
        <v>64</v>
      </c>
      <c r="L1074">
        <v>4</v>
      </c>
      <c r="M1074">
        <v>2657.71</v>
      </c>
      <c r="N1074">
        <v>0.06</v>
      </c>
      <c r="O1074">
        <v>13392.95</v>
      </c>
      <c r="P1074">
        <v>6034.89</v>
      </c>
      <c r="Q1074">
        <v>21.27</v>
      </c>
      <c r="R1074" t="s">
        <v>92</v>
      </c>
      <c r="S1074">
        <v>5</v>
      </c>
      <c r="T1074" t="b">
        <v>0</v>
      </c>
      <c r="U1074" t="s">
        <v>30</v>
      </c>
      <c r="V1074">
        <v>9</v>
      </c>
    </row>
    <row r="1075" spans="1:22" x14ac:dyDescent="0.25">
      <c r="A1075" t="s">
        <v>2633</v>
      </c>
      <c r="B1075" s="1">
        <v>43895</v>
      </c>
      <c r="C1075" t="s">
        <v>2634</v>
      </c>
      <c r="D1075" t="s">
        <v>1233</v>
      </c>
      <c r="E1075">
        <v>29</v>
      </c>
      <c r="F1075" t="str">
        <f>IF(Table1[[#This Row],[age]]&lt;=25,"18-25",IF(Table1[[#This Row],[age]]&lt;=35,"26-35",IF(Table1[[#This Row],[age]]&lt;=50,"36-50","51+")))</f>
        <v>26-35</v>
      </c>
      <c r="G1075" t="s">
        <v>54</v>
      </c>
      <c r="H1075" t="s">
        <v>25</v>
      </c>
      <c r="I1075" t="s">
        <v>26</v>
      </c>
      <c r="J1075" t="s">
        <v>106</v>
      </c>
      <c r="K1075" t="s">
        <v>314</v>
      </c>
      <c r="L1075">
        <v>7</v>
      </c>
      <c r="M1075">
        <v>363.04</v>
      </c>
      <c r="N1075">
        <v>0.17</v>
      </c>
      <c r="O1075">
        <v>1919.38</v>
      </c>
      <c r="P1075">
        <v>104.66</v>
      </c>
      <c r="Q1075">
        <v>54.23</v>
      </c>
      <c r="R1075" t="s">
        <v>43</v>
      </c>
      <c r="S1075">
        <v>5</v>
      </c>
      <c r="T1075" t="b">
        <v>0</v>
      </c>
      <c r="U1075" t="s">
        <v>30</v>
      </c>
      <c r="V1075">
        <v>5</v>
      </c>
    </row>
    <row r="1076" spans="1:22" x14ac:dyDescent="0.25">
      <c r="A1076" t="s">
        <v>2635</v>
      </c>
      <c r="B1076" s="1">
        <v>45061</v>
      </c>
      <c r="C1076" t="s">
        <v>2636</v>
      </c>
      <c r="D1076" t="s">
        <v>1362</v>
      </c>
      <c r="E1076">
        <v>36</v>
      </c>
      <c r="F1076" t="str">
        <f>IF(Table1[[#This Row],[age]]&lt;=25,"18-25",IF(Table1[[#This Row],[age]]&lt;=35,"26-35",IF(Table1[[#This Row],[age]]&lt;=50,"36-50","51+")))</f>
        <v>36-50</v>
      </c>
      <c r="G1076" t="s">
        <v>24</v>
      </c>
      <c r="H1076" t="s">
        <v>80</v>
      </c>
      <c r="I1076" t="s">
        <v>236</v>
      </c>
      <c r="J1076" t="s">
        <v>106</v>
      </c>
      <c r="K1076" t="s">
        <v>247</v>
      </c>
      <c r="L1076">
        <v>2</v>
      </c>
      <c r="M1076">
        <v>399.16</v>
      </c>
      <c r="N1076">
        <v>0.34</v>
      </c>
      <c r="O1076">
        <v>850.9</v>
      </c>
      <c r="P1076">
        <v>55.39</v>
      </c>
      <c r="Q1076">
        <v>50.2</v>
      </c>
      <c r="R1076" t="s">
        <v>65</v>
      </c>
      <c r="S1076">
        <v>5</v>
      </c>
      <c r="T1076" t="b">
        <v>0</v>
      </c>
      <c r="U1076" t="s">
        <v>93</v>
      </c>
      <c r="V1076">
        <v>1</v>
      </c>
    </row>
    <row r="1077" spans="1:22" x14ac:dyDescent="0.25">
      <c r="A1077" t="s">
        <v>2637</v>
      </c>
      <c r="B1077" s="1">
        <v>44891</v>
      </c>
      <c r="C1077" t="s">
        <v>2638</v>
      </c>
      <c r="D1077" t="s">
        <v>2639</v>
      </c>
      <c r="E1077">
        <v>62</v>
      </c>
      <c r="F1077" t="str">
        <f>IF(Table1[[#This Row],[age]]&lt;=25,"18-25",IF(Table1[[#This Row],[age]]&lt;=35,"26-35",IF(Table1[[#This Row],[age]]&lt;=50,"36-50","51+")))</f>
        <v>51+</v>
      </c>
      <c r="G1077" t="s">
        <v>54</v>
      </c>
      <c r="H1077" t="s">
        <v>69</v>
      </c>
      <c r="I1077" t="s">
        <v>136</v>
      </c>
      <c r="J1077" t="s">
        <v>63</v>
      </c>
      <c r="K1077" t="s">
        <v>434</v>
      </c>
      <c r="L1077">
        <v>6</v>
      </c>
      <c r="M1077">
        <v>2854.71</v>
      </c>
      <c r="N1077">
        <v>0.08</v>
      </c>
      <c r="O1077">
        <v>14003.32</v>
      </c>
      <c r="P1077">
        <v>2778.35</v>
      </c>
      <c r="Q1077">
        <v>104.98</v>
      </c>
      <c r="R1077" t="s">
        <v>57</v>
      </c>
      <c r="S1077">
        <v>3</v>
      </c>
      <c r="T1077" t="b">
        <v>0</v>
      </c>
      <c r="U1077" t="s">
        <v>30</v>
      </c>
      <c r="V1077">
        <v>7</v>
      </c>
    </row>
    <row r="1078" spans="1:22" x14ac:dyDescent="0.25">
      <c r="A1078" t="s">
        <v>2640</v>
      </c>
      <c r="B1078" s="1">
        <v>43895</v>
      </c>
      <c r="C1078" t="s">
        <v>2641</v>
      </c>
      <c r="D1078" t="s">
        <v>937</v>
      </c>
      <c r="E1078">
        <v>42</v>
      </c>
      <c r="F1078" t="str">
        <f>IF(Table1[[#This Row],[age]]&lt;=25,"18-25",IF(Table1[[#This Row],[age]]&lt;=35,"26-35",IF(Table1[[#This Row],[age]]&lt;=50,"36-50","51+")))</f>
        <v>36-50</v>
      </c>
      <c r="G1078" t="s">
        <v>24</v>
      </c>
      <c r="H1078" t="s">
        <v>80</v>
      </c>
      <c r="I1078" t="s">
        <v>81</v>
      </c>
      <c r="J1078" t="s">
        <v>27</v>
      </c>
      <c r="K1078" t="s">
        <v>28</v>
      </c>
      <c r="L1078">
        <v>6</v>
      </c>
      <c r="M1078">
        <v>1391.35</v>
      </c>
      <c r="N1078">
        <v>0.11</v>
      </c>
      <c r="O1078">
        <v>7920.74</v>
      </c>
      <c r="P1078">
        <v>3630.28</v>
      </c>
      <c r="Q1078">
        <v>103.09</v>
      </c>
      <c r="R1078" t="s">
        <v>57</v>
      </c>
      <c r="S1078">
        <v>5</v>
      </c>
      <c r="T1078" t="b">
        <v>1</v>
      </c>
      <c r="U1078" t="s">
        <v>50</v>
      </c>
      <c r="V1078">
        <v>1</v>
      </c>
    </row>
    <row r="1079" spans="1:22" x14ac:dyDescent="0.25">
      <c r="A1079" t="s">
        <v>2642</v>
      </c>
      <c r="B1079" s="1">
        <v>45317</v>
      </c>
      <c r="C1079" t="s">
        <v>2643</v>
      </c>
      <c r="D1079" t="s">
        <v>1129</v>
      </c>
      <c r="E1079">
        <v>36</v>
      </c>
      <c r="F1079" t="str">
        <f>IF(Table1[[#This Row],[age]]&lt;=25,"18-25",IF(Table1[[#This Row],[age]]&lt;=35,"26-35",IF(Table1[[#This Row],[age]]&lt;=50,"36-50","51+")))</f>
        <v>36-50</v>
      </c>
      <c r="G1079" t="s">
        <v>54</v>
      </c>
      <c r="H1079" t="s">
        <v>25</v>
      </c>
      <c r="I1079" t="s">
        <v>41</v>
      </c>
      <c r="J1079" t="s">
        <v>27</v>
      </c>
      <c r="K1079" t="s">
        <v>28</v>
      </c>
      <c r="L1079">
        <v>10</v>
      </c>
      <c r="M1079">
        <v>1843.94</v>
      </c>
      <c r="N1079">
        <v>0.31</v>
      </c>
      <c r="O1079">
        <v>13547.2</v>
      </c>
      <c r="P1079">
        <v>6188.12</v>
      </c>
      <c r="Q1079">
        <v>63.02</v>
      </c>
      <c r="R1079" t="s">
        <v>43</v>
      </c>
      <c r="S1079">
        <v>3</v>
      </c>
      <c r="T1079" t="b">
        <v>0</v>
      </c>
      <c r="U1079" t="s">
        <v>30</v>
      </c>
      <c r="V1079">
        <v>10</v>
      </c>
    </row>
    <row r="1080" spans="1:22" x14ac:dyDescent="0.25">
      <c r="A1080" t="s">
        <v>2644</v>
      </c>
      <c r="B1080" s="1">
        <v>45520</v>
      </c>
      <c r="C1080" t="s">
        <v>2645</v>
      </c>
      <c r="D1080" t="s">
        <v>317</v>
      </c>
      <c r="E1080">
        <v>44</v>
      </c>
      <c r="F1080" t="str">
        <f>IF(Table1[[#This Row],[age]]&lt;=25,"18-25",IF(Table1[[#This Row],[age]]&lt;=35,"26-35",IF(Table1[[#This Row],[age]]&lt;=50,"36-50","51+")))</f>
        <v>36-50</v>
      </c>
      <c r="G1080" t="s">
        <v>34</v>
      </c>
      <c r="H1080" t="s">
        <v>25</v>
      </c>
      <c r="I1080" t="s">
        <v>26</v>
      </c>
      <c r="J1080" t="s">
        <v>115</v>
      </c>
      <c r="K1080" t="s">
        <v>197</v>
      </c>
      <c r="L1080">
        <v>10</v>
      </c>
      <c r="M1080">
        <v>70999.960000000006</v>
      </c>
      <c r="N1080">
        <v>0.37</v>
      </c>
      <c r="O1080">
        <v>619186.18000000005</v>
      </c>
      <c r="P1080">
        <v>80911.12</v>
      </c>
      <c r="Q1080">
        <v>58.51</v>
      </c>
      <c r="R1080" t="s">
        <v>43</v>
      </c>
      <c r="S1080">
        <v>5</v>
      </c>
      <c r="T1080" t="b">
        <v>0</v>
      </c>
      <c r="U1080" t="s">
        <v>93</v>
      </c>
      <c r="V1080">
        <v>6</v>
      </c>
    </row>
    <row r="1081" spans="1:22" x14ac:dyDescent="0.25">
      <c r="A1081" t="s">
        <v>2646</v>
      </c>
      <c r="B1081" s="1">
        <v>44476</v>
      </c>
      <c r="C1081" t="s">
        <v>2647</v>
      </c>
      <c r="D1081" t="s">
        <v>471</v>
      </c>
      <c r="E1081">
        <v>22</v>
      </c>
      <c r="F1081" t="str">
        <f>IF(Table1[[#This Row],[age]]&lt;=25,"18-25",IF(Table1[[#This Row],[age]]&lt;=35,"26-35",IF(Table1[[#This Row],[age]]&lt;=50,"36-50","51+")))</f>
        <v>18-25</v>
      </c>
      <c r="G1081" t="s">
        <v>24</v>
      </c>
      <c r="H1081" t="s">
        <v>80</v>
      </c>
      <c r="I1081" t="s">
        <v>242</v>
      </c>
      <c r="J1081" t="s">
        <v>27</v>
      </c>
      <c r="K1081" t="s">
        <v>192</v>
      </c>
      <c r="L1081">
        <v>2</v>
      </c>
      <c r="M1081">
        <v>785.12</v>
      </c>
      <c r="N1081">
        <v>0.23</v>
      </c>
      <c r="O1081">
        <v>1096.54</v>
      </c>
      <c r="P1081">
        <v>569.29999999999995</v>
      </c>
      <c r="Q1081">
        <v>95.2</v>
      </c>
      <c r="R1081" t="s">
        <v>57</v>
      </c>
      <c r="S1081">
        <v>4</v>
      </c>
      <c r="T1081" t="b">
        <v>1</v>
      </c>
      <c r="U1081" t="s">
        <v>50</v>
      </c>
      <c r="V1081">
        <v>10</v>
      </c>
    </row>
    <row r="1082" spans="1:22" x14ac:dyDescent="0.25">
      <c r="A1082" t="s">
        <v>2648</v>
      </c>
      <c r="B1082" s="1">
        <v>45115</v>
      </c>
      <c r="C1082" t="s">
        <v>2649</v>
      </c>
      <c r="D1082" t="s">
        <v>2255</v>
      </c>
      <c r="E1082">
        <v>36</v>
      </c>
      <c r="F1082" t="str">
        <f>IF(Table1[[#This Row],[age]]&lt;=25,"18-25",IF(Table1[[#This Row],[age]]&lt;=35,"26-35",IF(Table1[[#This Row],[age]]&lt;=50,"36-50","51+")))</f>
        <v>36-50</v>
      </c>
      <c r="G1082" t="s">
        <v>34</v>
      </c>
      <c r="H1082" t="s">
        <v>61</v>
      </c>
      <c r="I1082" t="s">
        <v>62</v>
      </c>
      <c r="J1082" t="s">
        <v>63</v>
      </c>
      <c r="K1082" t="s">
        <v>82</v>
      </c>
      <c r="L1082">
        <v>1</v>
      </c>
      <c r="M1082">
        <v>1861.32</v>
      </c>
      <c r="N1082">
        <v>0.38</v>
      </c>
      <c r="O1082">
        <v>1580.05</v>
      </c>
      <c r="P1082">
        <v>590.29</v>
      </c>
      <c r="Q1082">
        <v>55.74</v>
      </c>
      <c r="R1082" t="s">
        <v>65</v>
      </c>
      <c r="S1082">
        <v>4</v>
      </c>
      <c r="T1082" t="b">
        <v>0</v>
      </c>
      <c r="U1082" t="s">
        <v>30</v>
      </c>
      <c r="V1082">
        <v>1</v>
      </c>
    </row>
    <row r="1083" spans="1:22" x14ac:dyDescent="0.25">
      <c r="A1083" t="s">
        <v>2650</v>
      </c>
      <c r="B1083" s="1">
        <v>44459</v>
      </c>
      <c r="C1083" t="s">
        <v>2651</v>
      </c>
      <c r="D1083" t="s">
        <v>1017</v>
      </c>
      <c r="E1083">
        <v>54</v>
      </c>
      <c r="F1083" t="str">
        <f>IF(Table1[[#This Row],[age]]&lt;=25,"18-25",IF(Table1[[#This Row],[age]]&lt;=35,"26-35",IF(Table1[[#This Row],[age]]&lt;=50,"36-50","51+")))</f>
        <v>51+</v>
      </c>
      <c r="G1083" t="s">
        <v>34</v>
      </c>
      <c r="H1083" t="s">
        <v>61</v>
      </c>
      <c r="I1083" t="s">
        <v>91</v>
      </c>
      <c r="J1083" t="s">
        <v>101</v>
      </c>
      <c r="K1083" t="s">
        <v>164</v>
      </c>
      <c r="L1083">
        <v>1</v>
      </c>
      <c r="M1083">
        <v>7834.86</v>
      </c>
      <c r="N1083">
        <v>0.37</v>
      </c>
      <c r="O1083">
        <v>4867.16</v>
      </c>
      <c r="P1083">
        <v>961.37</v>
      </c>
      <c r="Q1083">
        <v>53.04</v>
      </c>
      <c r="R1083" t="s">
        <v>29</v>
      </c>
      <c r="S1083">
        <v>1</v>
      </c>
      <c r="T1083" t="b">
        <v>0</v>
      </c>
      <c r="U1083" t="s">
        <v>30</v>
      </c>
      <c r="V1083">
        <v>8</v>
      </c>
    </row>
    <row r="1084" spans="1:22" x14ac:dyDescent="0.25">
      <c r="A1084" t="s">
        <v>2652</v>
      </c>
      <c r="B1084" s="1">
        <v>45588</v>
      </c>
      <c r="C1084" t="s">
        <v>2653</v>
      </c>
      <c r="D1084" t="s">
        <v>692</v>
      </c>
      <c r="E1084">
        <v>32</v>
      </c>
      <c r="F1084" t="str">
        <f>IF(Table1[[#This Row],[age]]&lt;=25,"18-25",IF(Table1[[#This Row],[age]]&lt;=35,"26-35",IF(Table1[[#This Row],[age]]&lt;=50,"36-50","51+")))</f>
        <v>26-35</v>
      </c>
      <c r="G1084" t="s">
        <v>54</v>
      </c>
      <c r="H1084" t="s">
        <v>69</v>
      </c>
      <c r="I1084" t="s">
        <v>70</v>
      </c>
      <c r="J1084" t="s">
        <v>115</v>
      </c>
      <c r="K1084" t="s">
        <v>137</v>
      </c>
      <c r="L1084">
        <v>9</v>
      </c>
      <c r="M1084">
        <v>45487.77</v>
      </c>
      <c r="N1084">
        <v>0.17</v>
      </c>
      <c r="O1084">
        <v>355300.24</v>
      </c>
      <c r="P1084">
        <v>48057.8</v>
      </c>
      <c r="Q1084">
        <v>81.010000000000005</v>
      </c>
      <c r="R1084" t="s">
        <v>29</v>
      </c>
      <c r="S1084">
        <v>5</v>
      </c>
      <c r="T1084" t="b">
        <v>0</v>
      </c>
      <c r="U1084" t="s">
        <v>30</v>
      </c>
      <c r="V1084">
        <v>10</v>
      </c>
    </row>
    <row r="1085" spans="1:22" x14ac:dyDescent="0.25">
      <c r="A1085" t="s">
        <v>2654</v>
      </c>
      <c r="B1085" s="1">
        <v>44814</v>
      </c>
      <c r="C1085" t="s">
        <v>2655</v>
      </c>
      <c r="D1085" t="s">
        <v>784</v>
      </c>
      <c r="E1085">
        <v>47</v>
      </c>
      <c r="F1085" t="str">
        <f>IF(Table1[[#This Row],[age]]&lt;=25,"18-25",IF(Table1[[#This Row],[age]]&lt;=35,"26-35",IF(Table1[[#This Row],[age]]&lt;=50,"36-50","51+")))</f>
        <v>36-50</v>
      </c>
      <c r="G1085" t="s">
        <v>34</v>
      </c>
      <c r="H1085" t="s">
        <v>80</v>
      </c>
      <c r="I1085" t="s">
        <v>81</v>
      </c>
      <c r="J1085" t="s">
        <v>36</v>
      </c>
      <c r="K1085" t="s">
        <v>37</v>
      </c>
      <c r="L1085">
        <v>6</v>
      </c>
      <c r="M1085">
        <v>5535.62</v>
      </c>
      <c r="N1085">
        <v>0.27</v>
      </c>
      <c r="O1085">
        <v>20778.29</v>
      </c>
      <c r="P1085">
        <v>3962.34</v>
      </c>
      <c r="Q1085">
        <v>76.760000000000005</v>
      </c>
      <c r="R1085" t="s">
        <v>57</v>
      </c>
      <c r="S1085">
        <v>3</v>
      </c>
      <c r="T1085" t="b">
        <v>0</v>
      </c>
      <c r="U1085" t="s">
        <v>30</v>
      </c>
      <c r="V1085">
        <v>5</v>
      </c>
    </row>
    <row r="1086" spans="1:22" x14ac:dyDescent="0.25">
      <c r="A1086" t="s">
        <v>2656</v>
      </c>
      <c r="B1086" s="1">
        <v>45526</v>
      </c>
      <c r="C1086" t="s">
        <v>2657</v>
      </c>
      <c r="D1086" t="s">
        <v>2021</v>
      </c>
      <c r="E1086">
        <v>31</v>
      </c>
      <c r="F1086" t="str">
        <f>IF(Table1[[#This Row],[age]]&lt;=25,"18-25",IF(Table1[[#This Row],[age]]&lt;=35,"26-35",IF(Table1[[#This Row],[age]]&lt;=50,"36-50","51+")))</f>
        <v>26-35</v>
      </c>
      <c r="G1086" t="s">
        <v>24</v>
      </c>
      <c r="H1086" t="s">
        <v>55</v>
      </c>
      <c r="I1086" t="s">
        <v>75</v>
      </c>
      <c r="J1086" t="s">
        <v>63</v>
      </c>
      <c r="K1086" t="s">
        <v>152</v>
      </c>
      <c r="L1086">
        <v>3</v>
      </c>
      <c r="M1086">
        <v>2207.16</v>
      </c>
      <c r="N1086">
        <v>0.2</v>
      </c>
      <c r="O1086">
        <v>7894.09</v>
      </c>
      <c r="P1086">
        <v>2384.5700000000002</v>
      </c>
      <c r="Q1086">
        <v>30.61</v>
      </c>
      <c r="R1086" t="s">
        <v>57</v>
      </c>
      <c r="S1086">
        <v>3</v>
      </c>
      <c r="T1086" t="b">
        <v>0</v>
      </c>
      <c r="U1086" t="s">
        <v>30</v>
      </c>
      <c r="V1086">
        <v>2</v>
      </c>
    </row>
    <row r="1087" spans="1:22" x14ac:dyDescent="0.25">
      <c r="A1087" t="s">
        <v>2658</v>
      </c>
      <c r="B1087" s="1">
        <v>44557</v>
      </c>
      <c r="C1087" t="s">
        <v>2659</v>
      </c>
      <c r="D1087" t="s">
        <v>1262</v>
      </c>
      <c r="E1087">
        <v>50</v>
      </c>
      <c r="F1087" t="str">
        <f>IF(Table1[[#This Row],[age]]&lt;=25,"18-25",IF(Table1[[#This Row],[age]]&lt;=35,"26-35",IF(Table1[[#This Row],[age]]&lt;=50,"36-50","51+")))</f>
        <v>36-50</v>
      </c>
      <c r="G1087" t="s">
        <v>34</v>
      </c>
      <c r="H1087" t="s">
        <v>25</v>
      </c>
      <c r="I1087" t="s">
        <v>41</v>
      </c>
      <c r="J1087" t="s">
        <v>27</v>
      </c>
      <c r="K1087" t="s">
        <v>192</v>
      </c>
      <c r="L1087">
        <v>9</v>
      </c>
      <c r="M1087">
        <v>1833.53</v>
      </c>
      <c r="N1087">
        <v>0.17</v>
      </c>
      <c r="O1087">
        <v>10130.450000000001</v>
      </c>
      <c r="P1087">
        <v>6082.08</v>
      </c>
      <c r="Q1087">
        <v>40.130000000000003</v>
      </c>
      <c r="R1087" t="s">
        <v>92</v>
      </c>
      <c r="S1087">
        <v>1</v>
      </c>
      <c r="T1087" t="b">
        <v>1</v>
      </c>
      <c r="U1087" t="s">
        <v>50</v>
      </c>
      <c r="V1087">
        <v>3</v>
      </c>
    </row>
    <row r="1088" spans="1:22" x14ac:dyDescent="0.25">
      <c r="A1088" t="s">
        <v>2660</v>
      </c>
      <c r="B1088" s="1">
        <v>44667</v>
      </c>
      <c r="C1088" t="s">
        <v>2661</v>
      </c>
      <c r="D1088" t="s">
        <v>74</v>
      </c>
      <c r="E1088">
        <v>32</v>
      </c>
      <c r="F1088" t="str">
        <f>IF(Table1[[#This Row],[age]]&lt;=25,"18-25",IF(Table1[[#This Row],[age]]&lt;=35,"26-35",IF(Table1[[#This Row],[age]]&lt;=50,"36-50","51+")))</f>
        <v>26-35</v>
      </c>
      <c r="G1088" t="s">
        <v>34</v>
      </c>
      <c r="H1088" t="s">
        <v>55</v>
      </c>
      <c r="I1088" t="s">
        <v>97</v>
      </c>
      <c r="J1088" t="s">
        <v>106</v>
      </c>
      <c r="K1088" t="s">
        <v>247</v>
      </c>
      <c r="L1088">
        <v>6</v>
      </c>
      <c r="M1088">
        <v>85.52</v>
      </c>
      <c r="N1088">
        <v>0.26</v>
      </c>
      <c r="O1088">
        <v>564.09</v>
      </c>
      <c r="P1088">
        <v>43.08</v>
      </c>
      <c r="Q1088">
        <v>32.799999999999997</v>
      </c>
      <c r="R1088" t="s">
        <v>29</v>
      </c>
      <c r="S1088">
        <v>4</v>
      </c>
      <c r="T1088" t="b">
        <v>0</v>
      </c>
      <c r="U1088" t="s">
        <v>30</v>
      </c>
      <c r="V1088">
        <v>7</v>
      </c>
    </row>
    <row r="1089" spans="1:22" x14ac:dyDescent="0.25">
      <c r="A1089" t="s">
        <v>2662</v>
      </c>
      <c r="B1089" s="1">
        <v>44464</v>
      </c>
      <c r="C1089" t="s">
        <v>2663</v>
      </c>
      <c r="D1089" t="s">
        <v>346</v>
      </c>
      <c r="E1089">
        <v>47</v>
      </c>
      <c r="F1089" t="str">
        <f>IF(Table1[[#This Row],[age]]&lt;=25,"18-25",IF(Table1[[#This Row],[age]]&lt;=35,"26-35",IF(Table1[[#This Row],[age]]&lt;=50,"36-50","51+")))</f>
        <v>36-50</v>
      </c>
      <c r="G1089" t="s">
        <v>34</v>
      </c>
      <c r="H1089" t="s">
        <v>61</v>
      </c>
      <c r="I1089" t="s">
        <v>91</v>
      </c>
      <c r="J1089" t="s">
        <v>115</v>
      </c>
      <c r="K1089" t="s">
        <v>116</v>
      </c>
      <c r="L1089">
        <v>8</v>
      </c>
      <c r="M1089">
        <v>75788.600000000006</v>
      </c>
      <c r="N1089">
        <v>0.25</v>
      </c>
      <c r="O1089">
        <v>518764.77</v>
      </c>
      <c r="P1089">
        <v>69163.47</v>
      </c>
      <c r="Q1089">
        <v>47.81</v>
      </c>
      <c r="R1089" t="s">
        <v>49</v>
      </c>
      <c r="S1089">
        <v>2</v>
      </c>
      <c r="T1089" t="b">
        <v>0</v>
      </c>
      <c r="U1089" t="s">
        <v>30</v>
      </c>
      <c r="V1089">
        <v>10</v>
      </c>
    </row>
    <row r="1090" spans="1:22" x14ac:dyDescent="0.25">
      <c r="A1090" t="s">
        <v>2664</v>
      </c>
      <c r="B1090" s="1">
        <v>44186</v>
      </c>
      <c r="C1090" t="s">
        <v>2665</v>
      </c>
      <c r="D1090" t="s">
        <v>1782</v>
      </c>
      <c r="E1090">
        <v>39</v>
      </c>
      <c r="F1090" t="str">
        <f>IF(Table1[[#This Row],[age]]&lt;=25,"18-25",IF(Table1[[#This Row],[age]]&lt;=35,"26-35",IF(Table1[[#This Row],[age]]&lt;=50,"36-50","51+")))</f>
        <v>36-50</v>
      </c>
      <c r="G1090" t="s">
        <v>24</v>
      </c>
      <c r="H1090" t="s">
        <v>80</v>
      </c>
      <c r="I1090" t="s">
        <v>86</v>
      </c>
      <c r="J1090" t="s">
        <v>36</v>
      </c>
      <c r="K1090" t="s">
        <v>76</v>
      </c>
      <c r="L1090">
        <v>2</v>
      </c>
      <c r="M1090">
        <v>10151.9</v>
      </c>
      <c r="N1090">
        <v>0.21</v>
      </c>
      <c r="O1090">
        <v>11388.89</v>
      </c>
      <c r="P1090">
        <v>2489.06</v>
      </c>
      <c r="Q1090">
        <v>77</v>
      </c>
      <c r="R1090" t="s">
        <v>43</v>
      </c>
      <c r="S1090">
        <v>5</v>
      </c>
      <c r="T1090" t="b">
        <v>1</v>
      </c>
      <c r="U1090" t="s">
        <v>50</v>
      </c>
      <c r="V1090">
        <v>5</v>
      </c>
    </row>
    <row r="1091" spans="1:22" x14ac:dyDescent="0.25">
      <c r="A1091" t="s">
        <v>2666</v>
      </c>
      <c r="B1091" s="1">
        <v>45387</v>
      </c>
      <c r="C1091" t="s">
        <v>2667</v>
      </c>
      <c r="D1091" t="s">
        <v>923</v>
      </c>
      <c r="E1091">
        <v>32</v>
      </c>
      <c r="F1091" t="str">
        <f>IF(Table1[[#This Row],[age]]&lt;=25,"18-25",IF(Table1[[#This Row],[age]]&lt;=35,"26-35",IF(Table1[[#This Row],[age]]&lt;=50,"36-50","51+")))</f>
        <v>26-35</v>
      </c>
      <c r="G1091" t="s">
        <v>24</v>
      </c>
      <c r="H1091" t="s">
        <v>55</v>
      </c>
      <c r="I1091" t="s">
        <v>75</v>
      </c>
      <c r="J1091" t="s">
        <v>27</v>
      </c>
      <c r="K1091" t="s">
        <v>335</v>
      </c>
      <c r="L1091">
        <v>5</v>
      </c>
      <c r="M1091">
        <v>1353.73</v>
      </c>
      <c r="N1091">
        <v>0.34</v>
      </c>
      <c r="O1091">
        <v>6179.59</v>
      </c>
      <c r="P1091">
        <v>3104.88</v>
      </c>
      <c r="Q1091">
        <v>47.49</v>
      </c>
      <c r="R1091" t="s">
        <v>49</v>
      </c>
      <c r="S1091">
        <v>1</v>
      </c>
      <c r="T1091" t="b">
        <v>0</v>
      </c>
      <c r="U1091" t="s">
        <v>30</v>
      </c>
      <c r="V1091">
        <v>6</v>
      </c>
    </row>
    <row r="1092" spans="1:22" x14ac:dyDescent="0.25">
      <c r="A1092" t="s">
        <v>2668</v>
      </c>
      <c r="B1092" s="1">
        <v>45026</v>
      </c>
      <c r="C1092" t="s">
        <v>2669</v>
      </c>
      <c r="D1092" t="s">
        <v>437</v>
      </c>
      <c r="E1092">
        <v>32</v>
      </c>
      <c r="F1092" t="str">
        <f>IF(Table1[[#This Row],[age]]&lt;=25,"18-25",IF(Table1[[#This Row],[age]]&lt;=35,"26-35",IF(Table1[[#This Row],[age]]&lt;=50,"36-50","51+")))</f>
        <v>26-35</v>
      </c>
      <c r="G1092" t="s">
        <v>24</v>
      </c>
      <c r="H1092" t="s">
        <v>80</v>
      </c>
      <c r="I1092" t="s">
        <v>86</v>
      </c>
      <c r="J1092" t="s">
        <v>115</v>
      </c>
      <c r="K1092" t="s">
        <v>116</v>
      </c>
      <c r="L1092">
        <v>5</v>
      </c>
      <c r="M1092">
        <v>79827.98</v>
      </c>
      <c r="N1092">
        <v>0.28000000000000003</v>
      </c>
      <c r="O1092">
        <v>418460.95</v>
      </c>
      <c r="P1092">
        <v>34788.35</v>
      </c>
      <c r="Q1092">
        <v>73.92</v>
      </c>
      <c r="R1092" t="s">
        <v>49</v>
      </c>
      <c r="S1092">
        <v>2</v>
      </c>
      <c r="T1092" t="b">
        <v>0</v>
      </c>
      <c r="U1092" t="s">
        <v>30</v>
      </c>
      <c r="V1092">
        <v>2</v>
      </c>
    </row>
    <row r="1093" spans="1:22" x14ac:dyDescent="0.25">
      <c r="A1093" t="s">
        <v>2670</v>
      </c>
      <c r="B1093" s="1">
        <v>44275</v>
      </c>
      <c r="C1093" t="s">
        <v>2671</v>
      </c>
      <c r="D1093" t="s">
        <v>618</v>
      </c>
      <c r="E1093">
        <v>41</v>
      </c>
      <c r="F1093" t="str">
        <f>IF(Table1[[#This Row],[age]]&lt;=25,"18-25",IF(Table1[[#This Row],[age]]&lt;=35,"26-35",IF(Table1[[#This Row],[age]]&lt;=50,"36-50","51+")))</f>
        <v>36-50</v>
      </c>
      <c r="G1093" t="s">
        <v>54</v>
      </c>
      <c r="H1093" t="s">
        <v>25</v>
      </c>
      <c r="I1093" t="s">
        <v>35</v>
      </c>
      <c r="J1093" t="s">
        <v>101</v>
      </c>
      <c r="K1093" t="s">
        <v>124</v>
      </c>
      <c r="L1093">
        <v>5</v>
      </c>
      <c r="M1093">
        <v>12410.73</v>
      </c>
      <c r="N1093">
        <v>0.36</v>
      </c>
      <c r="O1093">
        <v>40821.89</v>
      </c>
      <c r="P1093">
        <v>12307.83</v>
      </c>
      <c r="Q1093">
        <v>65.83</v>
      </c>
      <c r="R1093" t="s">
        <v>65</v>
      </c>
      <c r="S1093">
        <v>1</v>
      </c>
      <c r="T1093" t="b">
        <v>0</v>
      </c>
      <c r="U1093" t="s">
        <v>30</v>
      </c>
      <c r="V1093">
        <v>2</v>
      </c>
    </row>
    <row r="1094" spans="1:22" x14ac:dyDescent="0.25">
      <c r="A1094" t="s">
        <v>2672</v>
      </c>
      <c r="B1094" s="1">
        <v>45081</v>
      </c>
      <c r="C1094" t="s">
        <v>2673</v>
      </c>
      <c r="D1094" t="s">
        <v>2262</v>
      </c>
      <c r="E1094">
        <v>32</v>
      </c>
      <c r="F1094" t="str">
        <f>IF(Table1[[#This Row],[age]]&lt;=25,"18-25",IF(Table1[[#This Row],[age]]&lt;=35,"26-35",IF(Table1[[#This Row],[age]]&lt;=50,"36-50","51+")))</f>
        <v>26-35</v>
      </c>
      <c r="G1094" t="s">
        <v>24</v>
      </c>
      <c r="H1094" t="s">
        <v>69</v>
      </c>
      <c r="I1094" t="s">
        <v>70</v>
      </c>
      <c r="J1094" t="s">
        <v>47</v>
      </c>
      <c r="K1094" t="s">
        <v>156</v>
      </c>
      <c r="L1094">
        <v>2</v>
      </c>
      <c r="M1094">
        <v>200.96</v>
      </c>
      <c r="N1094">
        <v>0.25</v>
      </c>
      <c r="O1094">
        <v>458.12</v>
      </c>
      <c r="P1094">
        <v>104.93</v>
      </c>
      <c r="Q1094">
        <v>75.89</v>
      </c>
      <c r="R1094" t="s">
        <v>57</v>
      </c>
      <c r="S1094">
        <v>1</v>
      </c>
      <c r="T1094" t="b">
        <v>1</v>
      </c>
      <c r="U1094" t="s">
        <v>50</v>
      </c>
      <c r="V1094">
        <v>4</v>
      </c>
    </row>
    <row r="1095" spans="1:22" x14ac:dyDescent="0.25">
      <c r="A1095" t="s">
        <v>2674</v>
      </c>
      <c r="B1095" s="1">
        <v>44463</v>
      </c>
      <c r="C1095" t="s">
        <v>2675</v>
      </c>
      <c r="D1095" t="s">
        <v>606</v>
      </c>
      <c r="E1095">
        <v>43</v>
      </c>
      <c r="F1095" t="str">
        <f>IF(Table1[[#This Row],[age]]&lt;=25,"18-25",IF(Table1[[#This Row],[age]]&lt;=35,"26-35",IF(Table1[[#This Row],[age]]&lt;=50,"36-50","51+")))</f>
        <v>36-50</v>
      </c>
      <c r="G1095" t="s">
        <v>24</v>
      </c>
      <c r="H1095" t="s">
        <v>25</v>
      </c>
      <c r="I1095" t="s">
        <v>41</v>
      </c>
      <c r="J1095" t="s">
        <v>36</v>
      </c>
      <c r="K1095" t="s">
        <v>76</v>
      </c>
      <c r="L1095">
        <v>2</v>
      </c>
      <c r="M1095">
        <v>2701.39</v>
      </c>
      <c r="N1095">
        <v>0.33</v>
      </c>
      <c r="O1095">
        <v>4179.32</v>
      </c>
      <c r="P1095">
        <v>933.32</v>
      </c>
      <c r="Q1095">
        <v>79.239999999999995</v>
      </c>
      <c r="R1095" t="s">
        <v>57</v>
      </c>
      <c r="S1095">
        <v>5</v>
      </c>
      <c r="T1095" t="b">
        <v>0</v>
      </c>
      <c r="U1095" t="s">
        <v>71</v>
      </c>
      <c r="V1095">
        <v>2</v>
      </c>
    </row>
    <row r="1096" spans="1:22" x14ac:dyDescent="0.25">
      <c r="A1096" t="s">
        <v>2676</v>
      </c>
      <c r="B1096" s="1">
        <v>43908</v>
      </c>
      <c r="C1096" t="s">
        <v>2677</v>
      </c>
      <c r="D1096" t="s">
        <v>1095</v>
      </c>
      <c r="E1096">
        <v>35</v>
      </c>
      <c r="F1096" t="str">
        <f>IF(Table1[[#This Row],[age]]&lt;=25,"18-25",IF(Table1[[#This Row],[age]]&lt;=35,"26-35",IF(Table1[[#This Row],[age]]&lt;=50,"36-50","51+")))</f>
        <v>26-35</v>
      </c>
      <c r="G1096" t="s">
        <v>24</v>
      </c>
      <c r="H1096" t="s">
        <v>25</v>
      </c>
      <c r="I1096" t="s">
        <v>41</v>
      </c>
      <c r="J1096" t="s">
        <v>27</v>
      </c>
      <c r="K1096" t="s">
        <v>192</v>
      </c>
      <c r="L1096">
        <v>9</v>
      </c>
      <c r="M1096">
        <v>2028.03</v>
      </c>
      <c r="N1096">
        <v>0.12</v>
      </c>
      <c r="O1096">
        <v>15078.05</v>
      </c>
      <c r="P1096">
        <v>8126.73</v>
      </c>
      <c r="Q1096">
        <v>55.01</v>
      </c>
      <c r="R1096" t="s">
        <v>92</v>
      </c>
      <c r="S1096">
        <v>4</v>
      </c>
      <c r="T1096" t="b">
        <v>0</v>
      </c>
      <c r="U1096" t="s">
        <v>30</v>
      </c>
      <c r="V1096">
        <v>9</v>
      </c>
    </row>
    <row r="1097" spans="1:22" x14ac:dyDescent="0.25">
      <c r="A1097" t="s">
        <v>2678</v>
      </c>
      <c r="B1097" s="1">
        <v>43831</v>
      </c>
      <c r="C1097" t="s">
        <v>2679</v>
      </c>
      <c r="D1097" t="s">
        <v>606</v>
      </c>
      <c r="E1097">
        <v>29</v>
      </c>
      <c r="F1097" t="str">
        <f>IF(Table1[[#This Row],[age]]&lt;=25,"18-25",IF(Table1[[#This Row],[age]]&lt;=35,"26-35",IF(Table1[[#This Row],[age]]&lt;=50,"36-50","51+")))</f>
        <v>26-35</v>
      </c>
      <c r="G1097" t="s">
        <v>24</v>
      </c>
      <c r="H1097" t="s">
        <v>25</v>
      </c>
      <c r="I1097" t="s">
        <v>298</v>
      </c>
      <c r="J1097" t="s">
        <v>63</v>
      </c>
      <c r="K1097" t="s">
        <v>152</v>
      </c>
      <c r="L1097">
        <v>4</v>
      </c>
      <c r="M1097">
        <v>2870.76</v>
      </c>
      <c r="N1097">
        <v>0.08</v>
      </c>
      <c r="O1097">
        <v>7950.72</v>
      </c>
      <c r="P1097">
        <v>2135.16</v>
      </c>
      <c r="Q1097">
        <v>55.33</v>
      </c>
      <c r="R1097" t="s">
        <v>65</v>
      </c>
      <c r="S1097">
        <v>3</v>
      </c>
      <c r="T1097" t="b">
        <v>0</v>
      </c>
      <c r="U1097" t="s">
        <v>71</v>
      </c>
      <c r="V1097">
        <v>1</v>
      </c>
    </row>
    <row r="1098" spans="1:22" x14ac:dyDescent="0.25">
      <c r="A1098" t="s">
        <v>2680</v>
      </c>
      <c r="B1098" s="1">
        <v>45628</v>
      </c>
      <c r="C1098" t="s">
        <v>2681</v>
      </c>
      <c r="D1098" t="s">
        <v>519</v>
      </c>
      <c r="E1098">
        <v>53</v>
      </c>
      <c r="F1098" t="str">
        <f>IF(Table1[[#This Row],[age]]&lt;=25,"18-25",IF(Table1[[#This Row],[age]]&lt;=35,"26-35",IF(Table1[[#This Row],[age]]&lt;=50,"36-50","51+")))</f>
        <v>51+</v>
      </c>
      <c r="G1098" t="s">
        <v>24</v>
      </c>
      <c r="H1098" t="s">
        <v>61</v>
      </c>
      <c r="I1098" t="s">
        <v>91</v>
      </c>
      <c r="J1098" t="s">
        <v>63</v>
      </c>
      <c r="K1098" t="s">
        <v>434</v>
      </c>
      <c r="L1098">
        <v>9</v>
      </c>
      <c r="M1098">
        <v>3206.85</v>
      </c>
      <c r="N1098">
        <v>0.36</v>
      </c>
      <c r="O1098">
        <v>16832.810000000001</v>
      </c>
      <c r="P1098">
        <v>7356.75</v>
      </c>
      <c r="Q1098">
        <v>78.400000000000006</v>
      </c>
      <c r="R1098" t="s">
        <v>43</v>
      </c>
      <c r="S1098">
        <v>2</v>
      </c>
      <c r="T1098" t="b">
        <v>0</v>
      </c>
      <c r="U1098" t="s">
        <v>30</v>
      </c>
      <c r="V1098">
        <v>9</v>
      </c>
    </row>
    <row r="1099" spans="1:22" x14ac:dyDescent="0.25">
      <c r="A1099" t="s">
        <v>2682</v>
      </c>
      <c r="B1099" s="1">
        <v>44957</v>
      </c>
      <c r="C1099" t="s">
        <v>2683</v>
      </c>
      <c r="D1099" t="s">
        <v>1521</v>
      </c>
      <c r="E1099">
        <v>25</v>
      </c>
      <c r="F1099" t="str">
        <f>IF(Table1[[#This Row],[age]]&lt;=25,"18-25",IF(Table1[[#This Row],[age]]&lt;=35,"26-35",IF(Table1[[#This Row],[age]]&lt;=50,"36-50","51+")))</f>
        <v>18-25</v>
      </c>
      <c r="G1099" t="s">
        <v>34</v>
      </c>
      <c r="H1099" t="s">
        <v>80</v>
      </c>
      <c r="I1099" t="s">
        <v>81</v>
      </c>
      <c r="J1099" t="s">
        <v>106</v>
      </c>
      <c r="K1099" t="s">
        <v>718</v>
      </c>
      <c r="L1099">
        <v>8</v>
      </c>
      <c r="M1099">
        <v>100.16</v>
      </c>
      <c r="N1099">
        <v>0.37</v>
      </c>
      <c r="O1099">
        <v>487.77</v>
      </c>
      <c r="P1099">
        <v>30.28</v>
      </c>
      <c r="Q1099">
        <v>43.77</v>
      </c>
      <c r="R1099" t="s">
        <v>57</v>
      </c>
      <c r="S1099">
        <v>3</v>
      </c>
      <c r="T1099" t="b">
        <v>0</v>
      </c>
      <c r="U1099" t="s">
        <v>30</v>
      </c>
      <c r="V1099">
        <v>8</v>
      </c>
    </row>
    <row r="1100" spans="1:22" x14ac:dyDescent="0.25">
      <c r="A1100" t="s">
        <v>2684</v>
      </c>
      <c r="B1100" s="1">
        <v>44668</v>
      </c>
      <c r="C1100" t="s">
        <v>2685</v>
      </c>
      <c r="D1100" t="s">
        <v>1051</v>
      </c>
      <c r="E1100">
        <v>18</v>
      </c>
      <c r="F1100" t="str">
        <f>IF(Table1[[#This Row],[age]]&lt;=25,"18-25",IF(Table1[[#This Row],[age]]&lt;=35,"26-35",IF(Table1[[#This Row],[age]]&lt;=50,"36-50","51+")))</f>
        <v>18-25</v>
      </c>
      <c r="G1100" t="s">
        <v>34</v>
      </c>
      <c r="H1100" t="s">
        <v>25</v>
      </c>
      <c r="I1100" t="s">
        <v>35</v>
      </c>
      <c r="J1100" t="s">
        <v>36</v>
      </c>
      <c r="K1100" t="s">
        <v>132</v>
      </c>
      <c r="L1100">
        <v>5</v>
      </c>
      <c r="M1100">
        <v>15688.53</v>
      </c>
      <c r="N1100">
        <v>0.03</v>
      </c>
      <c r="O1100">
        <v>85481.83</v>
      </c>
      <c r="P1100">
        <v>16735.14</v>
      </c>
      <c r="Q1100">
        <v>49.69</v>
      </c>
      <c r="R1100" t="s">
        <v>57</v>
      </c>
      <c r="S1100">
        <v>4</v>
      </c>
      <c r="T1100" t="b">
        <v>0</v>
      </c>
      <c r="U1100" t="s">
        <v>30</v>
      </c>
      <c r="V1100">
        <v>10</v>
      </c>
    </row>
    <row r="1101" spans="1:22" x14ac:dyDescent="0.25">
      <c r="A1101" t="s">
        <v>2686</v>
      </c>
      <c r="B1101" s="1">
        <v>44998</v>
      </c>
      <c r="C1101" t="s">
        <v>2687</v>
      </c>
      <c r="D1101" t="s">
        <v>68</v>
      </c>
      <c r="E1101">
        <v>21</v>
      </c>
      <c r="F1101" t="str">
        <f>IF(Table1[[#This Row],[age]]&lt;=25,"18-25",IF(Table1[[#This Row],[age]]&lt;=35,"26-35",IF(Table1[[#This Row],[age]]&lt;=50,"36-50","51+")))</f>
        <v>18-25</v>
      </c>
      <c r="G1101" t="s">
        <v>54</v>
      </c>
      <c r="H1101" t="s">
        <v>80</v>
      </c>
      <c r="I1101" t="s">
        <v>242</v>
      </c>
      <c r="J1101" t="s">
        <v>115</v>
      </c>
      <c r="K1101" t="s">
        <v>398</v>
      </c>
      <c r="L1101">
        <v>2</v>
      </c>
      <c r="M1101">
        <v>76616.83</v>
      </c>
      <c r="N1101">
        <v>0.1</v>
      </c>
      <c r="O1101">
        <v>186369.89</v>
      </c>
      <c r="P1101">
        <v>20529.28</v>
      </c>
      <c r="Q1101">
        <v>55.12</v>
      </c>
      <c r="R1101" t="s">
        <v>65</v>
      </c>
      <c r="S1101">
        <v>4</v>
      </c>
      <c r="T1101" t="b">
        <v>0</v>
      </c>
      <c r="U1101" t="s">
        <v>30</v>
      </c>
      <c r="V1101">
        <v>5</v>
      </c>
    </row>
    <row r="1102" spans="1:22" x14ac:dyDescent="0.25">
      <c r="A1102" t="s">
        <v>2688</v>
      </c>
      <c r="B1102" s="1">
        <v>45274</v>
      </c>
      <c r="C1102" t="s">
        <v>2689</v>
      </c>
      <c r="D1102" t="s">
        <v>468</v>
      </c>
      <c r="E1102">
        <v>26</v>
      </c>
      <c r="F1102" t="str">
        <f>IF(Table1[[#This Row],[age]]&lt;=25,"18-25",IF(Table1[[#This Row],[age]]&lt;=35,"26-35",IF(Table1[[#This Row],[age]]&lt;=50,"36-50","51+")))</f>
        <v>26-35</v>
      </c>
      <c r="G1102" t="s">
        <v>34</v>
      </c>
      <c r="H1102" t="s">
        <v>25</v>
      </c>
      <c r="I1102" t="s">
        <v>298</v>
      </c>
      <c r="J1102" t="s">
        <v>63</v>
      </c>
      <c r="K1102" t="s">
        <v>111</v>
      </c>
      <c r="L1102">
        <v>9</v>
      </c>
      <c r="M1102">
        <v>3755.73</v>
      </c>
      <c r="N1102">
        <v>0.11</v>
      </c>
      <c r="O1102">
        <v>27923.07</v>
      </c>
      <c r="P1102">
        <v>12762.99</v>
      </c>
      <c r="Q1102">
        <v>89.92</v>
      </c>
      <c r="R1102" t="s">
        <v>29</v>
      </c>
      <c r="S1102">
        <v>1</v>
      </c>
      <c r="T1102" t="b">
        <v>0</v>
      </c>
      <c r="U1102" t="s">
        <v>30</v>
      </c>
      <c r="V1102">
        <v>3</v>
      </c>
    </row>
    <row r="1103" spans="1:22" x14ac:dyDescent="0.25">
      <c r="A1103" t="s">
        <v>2690</v>
      </c>
      <c r="B1103" s="1">
        <v>44284</v>
      </c>
      <c r="C1103" t="s">
        <v>2691</v>
      </c>
      <c r="D1103" t="s">
        <v>246</v>
      </c>
      <c r="E1103">
        <v>28</v>
      </c>
      <c r="F1103" t="str">
        <f>IF(Table1[[#This Row],[age]]&lt;=25,"18-25",IF(Table1[[#This Row],[age]]&lt;=35,"26-35",IF(Table1[[#This Row],[age]]&lt;=50,"36-50","51+")))</f>
        <v>26-35</v>
      </c>
      <c r="G1103" t="s">
        <v>24</v>
      </c>
      <c r="H1103" t="s">
        <v>69</v>
      </c>
      <c r="I1103" t="s">
        <v>70</v>
      </c>
      <c r="J1103" t="s">
        <v>63</v>
      </c>
      <c r="K1103" t="s">
        <v>152</v>
      </c>
      <c r="L1103">
        <v>2</v>
      </c>
      <c r="M1103">
        <v>2973.25</v>
      </c>
      <c r="N1103">
        <v>0.16</v>
      </c>
      <c r="O1103">
        <v>5032.59</v>
      </c>
      <c r="P1103">
        <v>2113.6999999999998</v>
      </c>
      <c r="Q1103">
        <v>62.75</v>
      </c>
      <c r="R1103" t="s">
        <v>65</v>
      </c>
      <c r="S1103">
        <v>1</v>
      </c>
      <c r="T1103" t="b">
        <v>1</v>
      </c>
      <c r="U1103" t="s">
        <v>50</v>
      </c>
      <c r="V1103">
        <v>8</v>
      </c>
    </row>
    <row r="1104" spans="1:22" x14ac:dyDescent="0.25">
      <c r="A1104" t="s">
        <v>2692</v>
      </c>
      <c r="B1104" s="1">
        <v>45036</v>
      </c>
      <c r="C1104" t="s">
        <v>2693</v>
      </c>
      <c r="D1104" t="s">
        <v>2255</v>
      </c>
      <c r="E1104">
        <v>45</v>
      </c>
      <c r="F1104" t="str">
        <f>IF(Table1[[#This Row],[age]]&lt;=25,"18-25",IF(Table1[[#This Row],[age]]&lt;=35,"26-35",IF(Table1[[#This Row],[age]]&lt;=50,"36-50","51+")))</f>
        <v>36-50</v>
      </c>
      <c r="G1104" t="s">
        <v>54</v>
      </c>
      <c r="H1104" t="s">
        <v>25</v>
      </c>
      <c r="I1104" t="s">
        <v>41</v>
      </c>
      <c r="J1104" t="s">
        <v>101</v>
      </c>
      <c r="K1104" t="s">
        <v>456</v>
      </c>
      <c r="L1104">
        <v>3</v>
      </c>
      <c r="M1104">
        <v>9606.06</v>
      </c>
      <c r="N1104">
        <v>0.27</v>
      </c>
      <c r="O1104">
        <v>22984.85</v>
      </c>
      <c r="P1104">
        <v>4327.42</v>
      </c>
      <c r="Q1104">
        <v>50.91</v>
      </c>
      <c r="R1104" t="s">
        <v>92</v>
      </c>
      <c r="S1104">
        <v>5</v>
      </c>
      <c r="T1104" t="b">
        <v>0</v>
      </c>
      <c r="U1104" t="s">
        <v>30</v>
      </c>
      <c r="V1104">
        <v>4</v>
      </c>
    </row>
    <row r="1105" spans="1:22" x14ac:dyDescent="0.25">
      <c r="A1105" t="s">
        <v>2694</v>
      </c>
      <c r="B1105" s="1">
        <v>44733</v>
      </c>
      <c r="C1105" t="s">
        <v>2695</v>
      </c>
      <c r="D1105" t="s">
        <v>1351</v>
      </c>
      <c r="E1105">
        <v>55</v>
      </c>
      <c r="F1105" t="str">
        <f>IF(Table1[[#This Row],[age]]&lt;=25,"18-25",IF(Table1[[#This Row],[age]]&lt;=35,"26-35",IF(Table1[[#This Row],[age]]&lt;=50,"36-50","51+")))</f>
        <v>51+</v>
      </c>
      <c r="G1105" t="s">
        <v>54</v>
      </c>
      <c r="H1105" t="s">
        <v>61</v>
      </c>
      <c r="I1105" t="s">
        <v>91</v>
      </c>
      <c r="J1105" t="s">
        <v>27</v>
      </c>
      <c r="K1105" t="s">
        <v>28</v>
      </c>
      <c r="L1105">
        <v>7</v>
      </c>
      <c r="M1105">
        <v>2037.82</v>
      </c>
      <c r="N1105">
        <v>0.02</v>
      </c>
      <c r="O1105">
        <v>21578.84</v>
      </c>
      <c r="P1105">
        <v>9156.6</v>
      </c>
      <c r="Q1105">
        <v>69.790000000000006</v>
      </c>
      <c r="R1105" t="s">
        <v>57</v>
      </c>
      <c r="S1105">
        <v>3</v>
      </c>
      <c r="T1105" t="b">
        <v>0</v>
      </c>
      <c r="U1105" t="s">
        <v>93</v>
      </c>
      <c r="V1105">
        <v>8</v>
      </c>
    </row>
    <row r="1106" spans="1:22" x14ac:dyDescent="0.25">
      <c r="A1106" t="s">
        <v>2696</v>
      </c>
      <c r="B1106" s="1">
        <v>44011</v>
      </c>
      <c r="C1106" t="s">
        <v>2697</v>
      </c>
      <c r="D1106" t="s">
        <v>468</v>
      </c>
      <c r="E1106">
        <v>44</v>
      </c>
      <c r="F1106" t="str">
        <f>IF(Table1[[#This Row],[age]]&lt;=25,"18-25",IF(Table1[[#This Row],[age]]&lt;=35,"26-35",IF(Table1[[#This Row],[age]]&lt;=50,"36-50","51+")))</f>
        <v>36-50</v>
      </c>
      <c r="G1106" t="s">
        <v>24</v>
      </c>
      <c r="H1106" t="s">
        <v>80</v>
      </c>
      <c r="I1106" t="s">
        <v>81</v>
      </c>
      <c r="J1106" t="s">
        <v>63</v>
      </c>
      <c r="K1106" t="s">
        <v>82</v>
      </c>
      <c r="L1106">
        <v>10</v>
      </c>
      <c r="M1106">
        <v>1705.06</v>
      </c>
      <c r="N1106">
        <v>0.23</v>
      </c>
      <c r="O1106">
        <v>16597.509999999998</v>
      </c>
      <c r="P1106">
        <v>4467.97</v>
      </c>
      <c r="Q1106">
        <v>63.43</v>
      </c>
      <c r="R1106" t="s">
        <v>29</v>
      </c>
      <c r="S1106">
        <v>1</v>
      </c>
      <c r="T1106" t="b">
        <v>1</v>
      </c>
      <c r="U1106" t="s">
        <v>50</v>
      </c>
      <c r="V1106">
        <v>10</v>
      </c>
    </row>
    <row r="1107" spans="1:22" x14ac:dyDescent="0.25">
      <c r="A1107" t="s">
        <v>2698</v>
      </c>
      <c r="B1107" s="1">
        <v>44196</v>
      </c>
      <c r="C1107" t="s">
        <v>2699</v>
      </c>
      <c r="D1107" t="s">
        <v>1598</v>
      </c>
      <c r="E1107">
        <v>27</v>
      </c>
      <c r="F1107" t="str">
        <f>IF(Table1[[#This Row],[age]]&lt;=25,"18-25",IF(Table1[[#This Row],[age]]&lt;=35,"26-35",IF(Table1[[#This Row],[age]]&lt;=50,"36-50","51+")))</f>
        <v>26-35</v>
      </c>
      <c r="G1107" t="s">
        <v>34</v>
      </c>
      <c r="H1107" t="s">
        <v>55</v>
      </c>
      <c r="I1107" t="s">
        <v>56</v>
      </c>
      <c r="J1107" t="s">
        <v>36</v>
      </c>
      <c r="K1107" t="s">
        <v>132</v>
      </c>
      <c r="L1107">
        <v>8</v>
      </c>
      <c r="M1107">
        <v>9942.4500000000007</v>
      </c>
      <c r="N1107">
        <v>0.03</v>
      </c>
      <c r="O1107">
        <v>60313.96</v>
      </c>
      <c r="P1107">
        <v>18873.68</v>
      </c>
      <c r="Q1107">
        <v>68.3</v>
      </c>
      <c r="R1107" t="s">
        <v>92</v>
      </c>
      <c r="S1107">
        <v>5</v>
      </c>
      <c r="T1107" t="b">
        <v>0</v>
      </c>
      <c r="U1107" t="s">
        <v>71</v>
      </c>
      <c r="V1107">
        <v>4</v>
      </c>
    </row>
    <row r="1108" spans="1:22" x14ac:dyDescent="0.25">
      <c r="A1108" t="s">
        <v>2700</v>
      </c>
      <c r="B1108" s="1">
        <v>44523</v>
      </c>
      <c r="C1108" t="s">
        <v>2701</v>
      </c>
      <c r="D1108" t="s">
        <v>415</v>
      </c>
      <c r="E1108">
        <v>33</v>
      </c>
      <c r="F1108" t="str">
        <f>IF(Table1[[#This Row],[age]]&lt;=25,"18-25",IF(Table1[[#This Row],[age]]&lt;=35,"26-35",IF(Table1[[#This Row],[age]]&lt;=50,"36-50","51+")))</f>
        <v>26-35</v>
      </c>
      <c r="G1108" t="s">
        <v>24</v>
      </c>
      <c r="H1108" t="s">
        <v>55</v>
      </c>
      <c r="I1108" t="s">
        <v>114</v>
      </c>
      <c r="J1108" t="s">
        <v>106</v>
      </c>
      <c r="K1108" t="s">
        <v>247</v>
      </c>
      <c r="L1108">
        <v>7</v>
      </c>
      <c r="M1108">
        <v>307.63</v>
      </c>
      <c r="N1108">
        <v>0.33</v>
      </c>
      <c r="O1108">
        <v>1086.05</v>
      </c>
      <c r="P1108">
        <v>55.5</v>
      </c>
      <c r="Q1108">
        <v>33.159999999999997</v>
      </c>
      <c r="R1108" t="s">
        <v>43</v>
      </c>
      <c r="S1108">
        <v>4</v>
      </c>
      <c r="T1108" t="b">
        <v>0</v>
      </c>
      <c r="U1108" t="s">
        <v>30</v>
      </c>
      <c r="V1108">
        <v>1</v>
      </c>
    </row>
    <row r="1109" spans="1:22" x14ac:dyDescent="0.25">
      <c r="A1109" t="s">
        <v>2702</v>
      </c>
      <c r="B1109" s="1">
        <v>45360</v>
      </c>
      <c r="C1109" t="s">
        <v>2703</v>
      </c>
      <c r="D1109" t="s">
        <v>499</v>
      </c>
      <c r="E1109">
        <v>42</v>
      </c>
      <c r="F1109" t="str">
        <f>IF(Table1[[#This Row],[age]]&lt;=25,"18-25",IF(Table1[[#This Row],[age]]&lt;=35,"26-35",IF(Table1[[#This Row],[age]]&lt;=50,"36-50","51+")))</f>
        <v>36-50</v>
      </c>
      <c r="G1109" t="s">
        <v>54</v>
      </c>
      <c r="H1109" t="s">
        <v>55</v>
      </c>
      <c r="I1109" t="s">
        <v>97</v>
      </c>
      <c r="J1109" t="s">
        <v>36</v>
      </c>
      <c r="K1109" t="s">
        <v>132</v>
      </c>
      <c r="L1109">
        <v>9</v>
      </c>
      <c r="M1109">
        <v>17413.689999999999</v>
      </c>
      <c r="N1109">
        <v>0.05</v>
      </c>
      <c r="O1109">
        <v>193913.96</v>
      </c>
      <c r="P1109">
        <v>54048.53</v>
      </c>
      <c r="Q1109">
        <v>50.26</v>
      </c>
      <c r="R1109" t="s">
        <v>65</v>
      </c>
      <c r="S1109">
        <v>2</v>
      </c>
      <c r="T1109" t="b">
        <v>0</v>
      </c>
      <c r="U1109" t="s">
        <v>30</v>
      </c>
      <c r="V1109">
        <v>1</v>
      </c>
    </row>
    <row r="1110" spans="1:22" x14ac:dyDescent="0.25">
      <c r="A1110" t="s">
        <v>2704</v>
      </c>
      <c r="B1110" s="1">
        <v>44540</v>
      </c>
      <c r="C1110" t="s">
        <v>2705</v>
      </c>
      <c r="D1110" t="s">
        <v>1659</v>
      </c>
      <c r="E1110">
        <v>44</v>
      </c>
      <c r="F1110" t="str">
        <f>IF(Table1[[#This Row],[age]]&lt;=25,"18-25",IF(Table1[[#This Row],[age]]&lt;=35,"26-35",IF(Table1[[#This Row],[age]]&lt;=50,"36-50","51+")))</f>
        <v>36-50</v>
      </c>
      <c r="G1110" t="s">
        <v>24</v>
      </c>
      <c r="H1110" t="s">
        <v>61</v>
      </c>
      <c r="I1110" t="s">
        <v>62</v>
      </c>
      <c r="J1110" t="s">
        <v>115</v>
      </c>
      <c r="K1110" t="s">
        <v>145</v>
      </c>
      <c r="L1110">
        <v>5</v>
      </c>
      <c r="M1110">
        <v>11301.06</v>
      </c>
      <c r="N1110">
        <v>0.25</v>
      </c>
      <c r="O1110">
        <v>34158.03</v>
      </c>
      <c r="P1110">
        <v>4246.6000000000004</v>
      </c>
      <c r="Q1110">
        <v>53.85</v>
      </c>
      <c r="R1110" t="s">
        <v>57</v>
      </c>
      <c r="S1110">
        <v>3</v>
      </c>
      <c r="T1110" t="b">
        <v>0</v>
      </c>
      <c r="U1110" t="s">
        <v>193</v>
      </c>
      <c r="V1110">
        <v>6</v>
      </c>
    </row>
    <row r="1111" spans="1:22" x14ac:dyDescent="0.25">
      <c r="A1111" t="s">
        <v>2706</v>
      </c>
      <c r="B1111" s="1">
        <v>44905</v>
      </c>
      <c r="C1111" t="s">
        <v>2707</v>
      </c>
      <c r="D1111" t="s">
        <v>2405</v>
      </c>
      <c r="E1111">
        <v>54</v>
      </c>
      <c r="F1111" t="str">
        <f>IF(Table1[[#This Row],[age]]&lt;=25,"18-25",IF(Table1[[#This Row],[age]]&lt;=35,"26-35",IF(Table1[[#This Row],[age]]&lt;=50,"36-50","51+")))</f>
        <v>51+</v>
      </c>
      <c r="G1111" t="s">
        <v>34</v>
      </c>
      <c r="H1111" t="s">
        <v>61</v>
      </c>
      <c r="I1111" t="s">
        <v>163</v>
      </c>
      <c r="J1111" t="s">
        <v>106</v>
      </c>
      <c r="K1111" t="s">
        <v>107</v>
      </c>
      <c r="L1111">
        <v>3</v>
      </c>
      <c r="M1111">
        <v>448.85</v>
      </c>
      <c r="N1111">
        <v>0.02</v>
      </c>
      <c r="O1111">
        <v>1000.55</v>
      </c>
      <c r="P1111">
        <v>81.62</v>
      </c>
      <c r="Q1111">
        <v>54.31</v>
      </c>
      <c r="R1111" t="s">
        <v>57</v>
      </c>
      <c r="S1111">
        <v>2</v>
      </c>
      <c r="T1111" t="b">
        <v>0</v>
      </c>
      <c r="U1111" t="s">
        <v>71</v>
      </c>
      <c r="V1111">
        <v>2</v>
      </c>
    </row>
    <row r="1112" spans="1:22" x14ac:dyDescent="0.25">
      <c r="A1112" t="s">
        <v>2708</v>
      </c>
      <c r="B1112" s="1">
        <v>44798</v>
      </c>
      <c r="C1112" t="s">
        <v>2709</v>
      </c>
      <c r="D1112" t="s">
        <v>1103</v>
      </c>
      <c r="E1112">
        <v>35</v>
      </c>
      <c r="F1112" t="str">
        <f>IF(Table1[[#This Row],[age]]&lt;=25,"18-25",IF(Table1[[#This Row],[age]]&lt;=35,"26-35",IF(Table1[[#This Row],[age]]&lt;=50,"36-50","51+")))</f>
        <v>26-35</v>
      </c>
      <c r="G1112" t="s">
        <v>54</v>
      </c>
      <c r="H1112" t="s">
        <v>61</v>
      </c>
      <c r="I1112" t="s">
        <v>62</v>
      </c>
      <c r="J1112" t="s">
        <v>115</v>
      </c>
      <c r="K1112" t="s">
        <v>197</v>
      </c>
      <c r="L1112">
        <v>7</v>
      </c>
      <c r="M1112">
        <v>62975.42</v>
      </c>
      <c r="N1112">
        <v>0.22</v>
      </c>
      <c r="O1112">
        <v>468129.68</v>
      </c>
      <c r="P1112">
        <v>79235.509999999995</v>
      </c>
      <c r="Q1112">
        <v>49.03</v>
      </c>
      <c r="R1112" t="s">
        <v>43</v>
      </c>
      <c r="S1112">
        <v>2</v>
      </c>
      <c r="T1112" t="b">
        <v>1</v>
      </c>
      <c r="U1112" t="s">
        <v>50</v>
      </c>
      <c r="V1112">
        <v>9</v>
      </c>
    </row>
    <row r="1113" spans="1:22" x14ac:dyDescent="0.25">
      <c r="A1113" t="s">
        <v>2710</v>
      </c>
      <c r="B1113" s="1">
        <v>44748</v>
      </c>
      <c r="C1113" t="s">
        <v>2711</v>
      </c>
      <c r="D1113" t="s">
        <v>606</v>
      </c>
      <c r="E1113">
        <v>27</v>
      </c>
      <c r="F1113" t="str">
        <f>IF(Table1[[#This Row],[age]]&lt;=25,"18-25",IF(Table1[[#This Row],[age]]&lt;=35,"26-35",IF(Table1[[#This Row],[age]]&lt;=50,"36-50","51+")))</f>
        <v>26-35</v>
      </c>
      <c r="G1113" t="s">
        <v>54</v>
      </c>
      <c r="H1113" t="s">
        <v>80</v>
      </c>
      <c r="I1113" t="s">
        <v>242</v>
      </c>
      <c r="J1113" t="s">
        <v>27</v>
      </c>
      <c r="K1113" t="s">
        <v>335</v>
      </c>
      <c r="L1113">
        <v>9</v>
      </c>
      <c r="M1113">
        <v>1127.06</v>
      </c>
      <c r="N1113">
        <v>0.38</v>
      </c>
      <c r="O1113">
        <v>9829.11</v>
      </c>
      <c r="P1113">
        <v>4003.53</v>
      </c>
      <c r="Q1113">
        <v>54.43</v>
      </c>
      <c r="R1113" t="s">
        <v>43</v>
      </c>
      <c r="S1113">
        <v>5</v>
      </c>
      <c r="T1113" t="b">
        <v>0</v>
      </c>
      <c r="U1113" t="s">
        <v>30</v>
      </c>
      <c r="V1113">
        <v>5</v>
      </c>
    </row>
    <row r="1114" spans="1:22" x14ac:dyDescent="0.25">
      <c r="A1114" t="s">
        <v>2712</v>
      </c>
      <c r="B1114" s="1">
        <v>44778</v>
      </c>
      <c r="C1114" t="s">
        <v>2713</v>
      </c>
      <c r="D1114" t="s">
        <v>46</v>
      </c>
      <c r="E1114">
        <v>38</v>
      </c>
      <c r="F1114" t="str">
        <f>IF(Table1[[#This Row],[age]]&lt;=25,"18-25",IF(Table1[[#This Row],[age]]&lt;=35,"26-35",IF(Table1[[#This Row],[age]]&lt;=50,"36-50","51+")))</f>
        <v>36-50</v>
      </c>
      <c r="G1114" t="s">
        <v>34</v>
      </c>
      <c r="H1114" t="s">
        <v>80</v>
      </c>
      <c r="I1114" t="s">
        <v>242</v>
      </c>
      <c r="J1114" t="s">
        <v>36</v>
      </c>
      <c r="K1114" t="s">
        <v>37</v>
      </c>
      <c r="L1114">
        <v>5</v>
      </c>
      <c r="M1114">
        <v>17880.95</v>
      </c>
      <c r="N1114">
        <v>0.03</v>
      </c>
      <c r="O1114">
        <v>116528.23</v>
      </c>
      <c r="P1114">
        <v>33231.599999999999</v>
      </c>
      <c r="Q1114">
        <v>47.07</v>
      </c>
      <c r="R1114" t="s">
        <v>92</v>
      </c>
      <c r="S1114">
        <v>1</v>
      </c>
      <c r="T1114" t="b">
        <v>0</v>
      </c>
      <c r="U1114" t="s">
        <v>193</v>
      </c>
      <c r="V1114">
        <v>2</v>
      </c>
    </row>
    <row r="1115" spans="1:22" x14ac:dyDescent="0.25">
      <c r="A1115" t="s">
        <v>2714</v>
      </c>
      <c r="B1115" s="1">
        <v>44794</v>
      </c>
      <c r="C1115" t="s">
        <v>2715</v>
      </c>
      <c r="D1115" t="s">
        <v>2716</v>
      </c>
      <c r="E1115">
        <v>44</v>
      </c>
      <c r="F1115" t="str">
        <f>IF(Table1[[#This Row],[age]]&lt;=25,"18-25",IF(Table1[[#This Row],[age]]&lt;=35,"26-35",IF(Table1[[#This Row],[age]]&lt;=50,"36-50","51+")))</f>
        <v>36-50</v>
      </c>
      <c r="G1115" t="s">
        <v>54</v>
      </c>
      <c r="H1115" t="s">
        <v>80</v>
      </c>
      <c r="I1115" t="s">
        <v>236</v>
      </c>
      <c r="J1115" t="s">
        <v>47</v>
      </c>
      <c r="K1115" t="s">
        <v>120</v>
      </c>
      <c r="L1115">
        <v>2</v>
      </c>
      <c r="M1115">
        <v>1390.9</v>
      </c>
      <c r="N1115">
        <v>0.4</v>
      </c>
      <c r="O1115">
        <v>2194.06</v>
      </c>
      <c r="P1115">
        <v>741.62</v>
      </c>
      <c r="Q1115">
        <v>68.5</v>
      </c>
      <c r="R1115" t="s">
        <v>57</v>
      </c>
      <c r="S1115">
        <v>2</v>
      </c>
      <c r="T1115" t="b">
        <v>0</v>
      </c>
      <c r="U1115" t="s">
        <v>30</v>
      </c>
      <c r="V1115">
        <v>8</v>
      </c>
    </row>
    <row r="1116" spans="1:22" x14ac:dyDescent="0.25">
      <c r="A1116" t="s">
        <v>2717</v>
      </c>
      <c r="B1116" s="1">
        <v>45491</v>
      </c>
      <c r="C1116" t="s">
        <v>2718</v>
      </c>
      <c r="D1116" t="s">
        <v>726</v>
      </c>
      <c r="E1116">
        <v>28</v>
      </c>
      <c r="F1116" t="str">
        <f>IF(Table1[[#This Row],[age]]&lt;=25,"18-25",IF(Table1[[#This Row],[age]]&lt;=35,"26-35",IF(Table1[[#This Row],[age]]&lt;=50,"36-50","51+")))</f>
        <v>26-35</v>
      </c>
      <c r="G1116" t="s">
        <v>24</v>
      </c>
      <c r="H1116" t="s">
        <v>25</v>
      </c>
      <c r="I1116" t="s">
        <v>26</v>
      </c>
      <c r="J1116" t="s">
        <v>36</v>
      </c>
      <c r="K1116" t="s">
        <v>230</v>
      </c>
      <c r="L1116">
        <v>9</v>
      </c>
      <c r="M1116">
        <v>10925.91</v>
      </c>
      <c r="N1116">
        <v>0.33</v>
      </c>
      <c r="O1116">
        <v>95157.91</v>
      </c>
      <c r="P1116">
        <v>21495.8</v>
      </c>
      <c r="Q1116">
        <v>38.47</v>
      </c>
      <c r="R1116" t="s">
        <v>92</v>
      </c>
      <c r="S1116">
        <v>4</v>
      </c>
      <c r="T1116" t="b">
        <v>0</v>
      </c>
      <c r="U1116" t="s">
        <v>30</v>
      </c>
      <c r="V1116">
        <v>9</v>
      </c>
    </row>
    <row r="1117" spans="1:22" x14ac:dyDescent="0.25">
      <c r="A1117" t="s">
        <v>2719</v>
      </c>
      <c r="B1117" s="1">
        <v>43943</v>
      </c>
      <c r="C1117" t="s">
        <v>2720</v>
      </c>
      <c r="D1117" t="s">
        <v>2721</v>
      </c>
      <c r="E1117">
        <v>18</v>
      </c>
      <c r="F1117" t="str">
        <f>IF(Table1[[#This Row],[age]]&lt;=25,"18-25",IF(Table1[[#This Row],[age]]&lt;=35,"26-35",IF(Table1[[#This Row],[age]]&lt;=50,"36-50","51+")))</f>
        <v>18-25</v>
      </c>
      <c r="G1117" t="s">
        <v>24</v>
      </c>
      <c r="H1117" t="s">
        <v>55</v>
      </c>
      <c r="I1117" t="s">
        <v>56</v>
      </c>
      <c r="J1117" t="s">
        <v>106</v>
      </c>
      <c r="K1117" t="s">
        <v>314</v>
      </c>
      <c r="L1117">
        <v>7</v>
      </c>
      <c r="M1117">
        <v>224.96</v>
      </c>
      <c r="N1117">
        <v>0.22</v>
      </c>
      <c r="O1117">
        <v>1195.3</v>
      </c>
      <c r="P1117">
        <v>91.79</v>
      </c>
      <c r="Q1117">
        <v>52.6</v>
      </c>
      <c r="R1117" t="s">
        <v>57</v>
      </c>
      <c r="S1117">
        <v>2</v>
      </c>
      <c r="T1117" t="b">
        <v>0</v>
      </c>
      <c r="U1117" t="s">
        <v>30</v>
      </c>
      <c r="V1117">
        <v>8</v>
      </c>
    </row>
    <row r="1118" spans="1:22" x14ac:dyDescent="0.25">
      <c r="A1118" t="s">
        <v>2722</v>
      </c>
      <c r="B1118" s="1">
        <v>45590</v>
      </c>
      <c r="C1118" t="s">
        <v>2723</v>
      </c>
      <c r="D1118" t="s">
        <v>23</v>
      </c>
      <c r="E1118">
        <v>69</v>
      </c>
      <c r="F1118" t="str">
        <f>IF(Table1[[#This Row],[age]]&lt;=25,"18-25",IF(Table1[[#This Row],[age]]&lt;=35,"26-35",IF(Table1[[#This Row],[age]]&lt;=50,"36-50","51+")))</f>
        <v>51+</v>
      </c>
      <c r="G1118" t="s">
        <v>34</v>
      </c>
      <c r="H1118" t="s">
        <v>25</v>
      </c>
      <c r="I1118" t="s">
        <v>26</v>
      </c>
      <c r="J1118" t="s">
        <v>106</v>
      </c>
      <c r="K1118" t="s">
        <v>188</v>
      </c>
      <c r="L1118">
        <v>4</v>
      </c>
      <c r="M1118">
        <v>226.36</v>
      </c>
      <c r="N1118">
        <v>0.27</v>
      </c>
      <c r="O1118">
        <v>801.8</v>
      </c>
      <c r="P1118">
        <v>89.81</v>
      </c>
      <c r="Q1118">
        <v>59.7</v>
      </c>
      <c r="R1118" t="s">
        <v>29</v>
      </c>
      <c r="S1118">
        <v>2</v>
      </c>
      <c r="T1118" t="b">
        <v>0</v>
      </c>
      <c r="U1118" t="s">
        <v>93</v>
      </c>
      <c r="V1118">
        <v>5</v>
      </c>
    </row>
    <row r="1119" spans="1:22" x14ac:dyDescent="0.25">
      <c r="A1119" t="s">
        <v>2724</v>
      </c>
      <c r="B1119" s="1">
        <v>44844</v>
      </c>
      <c r="C1119" t="s">
        <v>2725</v>
      </c>
      <c r="D1119" t="s">
        <v>1066</v>
      </c>
      <c r="E1119">
        <v>21</v>
      </c>
      <c r="F1119" t="str">
        <f>IF(Table1[[#This Row],[age]]&lt;=25,"18-25",IF(Table1[[#This Row],[age]]&lt;=35,"26-35",IF(Table1[[#This Row],[age]]&lt;=50,"36-50","51+")))</f>
        <v>18-25</v>
      </c>
      <c r="G1119" t="s">
        <v>24</v>
      </c>
      <c r="H1119" t="s">
        <v>25</v>
      </c>
      <c r="I1119" t="s">
        <v>41</v>
      </c>
      <c r="J1119" t="s">
        <v>115</v>
      </c>
      <c r="K1119" t="s">
        <v>398</v>
      </c>
      <c r="L1119">
        <v>6</v>
      </c>
      <c r="M1119">
        <v>78971.02</v>
      </c>
      <c r="N1119">
        <v>0.22</v>
      </c>
      <c r="O1119">
        <v>377676.65</v>
      </c>
      <c r="P1119">
        <v>38339.769999999997</v>
      </c>
      <c r="Q1119">
        <v>61.31</v>
      </c>
      <c r="R1119" t="s">
        <v>43</v>
      </c>
      <c r="S1119">
        <v>3</v>
      </c>
      <c r="T1119" t="b">
        <v>0</v>
      </c>
      <c r="U1119" t="s">
        <v>93</v>
      </c>
      <c r="V1119">
        <v>9</v>
      </c>
    </row>
    <row r="1120" spans="1:22" x14ac:dyDescent="0.25">
      <c r="A1120" t="s">
        <v>2726</v>
      </c>
      <c r="B1120" s="1">
        <v>44150</v>
      </c>
      <c r="C1120" t="s">
        <v>2727</v>
      </c>
      <c r="D1120" t="s">
        <v>184</v>
      </c>
      <c r="E1120">
        <v>26</v>
      </c>
      <c r="F1120" t="str">
        <f>IF(Table1[[#This Row],[age]]&lt;=25,"18-25",IF(Table1[[#This Row],[age]]&lt;=35,"26-35",IF(Table1[[#This Row],[age]]&lt;=50,"36-50","51+")))</f>
        <v>26-35</v>
      </c>
      <c r="G1120" t="s">
        <v>54</v>
      </c>
      <c r="H1120" t="s">
        <v>25</v>
      </c>
      <c r="I1120" t="s">
        <v>41</v>
      </c>
      <c r="J1120" t="s">
        <v>106</v>
      </c>
      <c r="K1120" t="s">
        <v>247</v>
      </c>
      <c r="L1120">
        <v>8</v>
      </c>
      <c r="M1120">
        <v>52.56</v>
      </c>
      <c r="N1120">
        <v>0.37</v>
      </c>
      <c r="O1120">
        <v>225.58</v>
      </c>
      <c r="P1120">
        <v>17.940000000000001</v>
      </c>
      <c r="Q1120">
        <v>62.46</v>
      </c>
      <c r="R1120" t="s">
        <v>29</v>
      </c>
      <c r="S1120">
        <v>5</v>
      </c>
      <c r="T1120" t="b">
        <v>1</v>
      </c>
      <c r="U1120" t="s">
        <v>50</v>
      </c>
      <c r="V1120">
        <v>1</v>
      </c>
    </row>
    <row r="1121" spans="1:22" x14ac:dyDescent="0.25">
      <c r="A1121" t="s">
        <v>2728</v>
      </c>
      <c r="B1121" s="1">
        <v>45077</v>
      </c>
      <c r="C1121" t="s">
        <v>2729</v>
      </c>
      <c r="D1121" t="s">
        <v>621</v>
      </c>
      <c r="E1121">
        <v>30</v>
      </c>
      <c r="F1121" t="str">
        <f>IF(Table1[[#This Row],[age]]&lt;=25,"18-25",IF(Table1[[#This Row],[age]]&lt;=35,"26-35",IF(Table1[[#This Row],[age]]&lt;=50,"36-50","51+")))</f>
        <v>26-35</v>
      </c>
      <c r="G1121" t="s">
        <v>24</v>
      </c>
      <c r="H1121" t="s">
        <v>25</v>
      </c>
      <c r="I1121" t="s">
        <v>35</v>
      </c>
      <c r="J1121" t="s">
        <v>27</v>
      </c>
      <c r="K1121" t="s">
        <v>128</v>
      </c>
      <c r="L1121">
        <v>10</v>
      </c>
      <c r="M1121">
        <v>1573.67</v>
      </c>
      <c r="N1121">
        <v>0.23</v>
      </c>
      <c r="O1121">
        <v>18377.46</v>
      </c>
      <c r="P1121">
        <v>7519.84</v>
      </c>
      <c r="Q1121">
        <v>64.77</v>
      </c>
      <c r="R1121" t="s">
        <v>49</v>
      </c>
      <c r="S1121">
        <v>5</v>
      </c>
      <c r="T1121" t="b">
        <v>0</v>
      </c>
      <c r="U1121" t="s">
        <v>30</v>
      </c>
      <c r="V1121">
        <v>7</v>
      </c>
    </row>
    <row r="1122" spans="1:22" x14ac:dyDescent="0.25">
      <c r="A1122" t="s">
        <v>2730</v>
      </c>
      <c r="B1122" s="1">
        <v>44656</v>
      </c>
      <c r="C1122" t="s">
        <v>2731</v>
      </c>
      <c r="D1122" t="s">
        <v>2368</v>
      </c>
      <c r="E1122">
        <v>41</v>
      </c>
      <c r="F1122" t="str">
        <f>IF(Table1[[#This Row],[age]]&lt;=25,"18-25",IF(Table1[[#This Row],[age]]&lt;=35,"26-35",IF(Table1[[#This Row],[age]]&lt;=50,"36-50","51+")))</f>
        <v>36-50</v>
      </c>
      <c r="G1122" t="s">
        <v>54</v>
      </c>
      <c r="H1122" t="s">
        <v>61</v>
      </c>
      <c r="I1122" t="s">
        <v>91</v>
      </c>
      <c r="J1122" t="s">
        <v>115</v>
      </c>
      <c r="K1122" t="s">
        <v>137</v>
      </c>
      <c r="L1122">
        <v>2</v>
      </c>
      <c r="M1122">
        <v>17140.580000000002</v>
      </c>
      <c r="N1122">
        <v>0.38</v>
      </c>
      <c r="O1122">
        <v>30862.38</v>
      </c>
      <c r="P1122">
        <v>4123.18</v>
      </c>
      <c r="Q1122">
        <v>34.79</v>
      </c>
      <c r="R1122" t="s">
        <v>29</v>
      </c>
      <c r="S1122">
        <v>2</v>
      </c>
      <c r="T1122" t="b">
        <v>0</v>
      </c>
      <c r="U1122" t="s">
        <v>30</v>
      </c>
      <c r="V1122">
        <v>5</v>
      </c>
    </row>
    <row r="1123" spans="1:22" x14ac:dyDescent="0.25">
      <c r="A1123" t="s">
        <v>2732</v>
      </c>
      <c r="B1123" s="1">
        <v>44984</v>
      </c>
      <c r="C1123" t="s">
        <v>2733</v>
      </c>
      <c r="D1123" t="s">
        <v>1598</v>
      </c>
      <c r="E1123">
        <v>42</v>
      </c>
      <c r="F1123" t="str">
        <f>IF(Table1[[#This Row],[age]]&lt;=25,"18-25",IF(Table1[[#This Row],[age]]&lt;=35,"26-35",IF(Table1[[#This Row],[age]]&lt;=50,"36-50","51+")))</f>
        <v>36-50</v>
      </c>
      <c r="G1123" t="s">
        <v>24</v>
      </c>
      <c r="H1123" t="s">
        <v>25</v>
      </c>
      <c r="I1123" t="s">
        <v>298</v>
      </c>
      <c r="J1123" t="s">
        <v>115</v>
      </c>
      <c r="K1123" t="s">
        <v>398</v>
      </c>
      <c r="L1123">
        <v>8</v>
      </c>
      <c r="M1123">
        <v>63840.88</v>
      </c>
      <c r="N1123">
        <v>0.28999999999999998</v>
      </c>
      <c r="O1123">
        <v>376670.08</v>
      </c>
      <c r="P1123">
        <v>52527.72</v>
      </c>
      <c r="Q1123">
        <v>64.650000000000006</v>
      </c>
      <c r="R1123" t="s">
        <v>65</v>
      </c>
      <c r="S1123">
        <v>4</v>
      </c>
      <c r="T1123" t="b">
        <v>0</v>
      </c>
      <c r="U1123" t="s">
        <v>30</v>
      </c>
      <c r="V1123">
        <v>8</v>
      </c>
    </row>
    <row r="1124" spans="1:22" x14ac:dyDescent="0.25">
      <c r="A1124" t="s">
        <v>2734</v>
      </c>
      <c r="B1124" s="1">
        <v>44066</v>
      </c>
      <c r="C1124" t="s">
        <v>2735</v>
      </c>
      <c r="D1124" t="s">
        <v>2736</v>
      </c>
      <c r="E1124">
        <v>41</v>
      </c>
      <c r="F1124" t="str">
        <f>IF(Table1[[#This Row],[age]]&lt;=25,"18-25",IF(Table1[[#This Row],[age]]&lt;=35,"26-35",IF(Table1[[#This Row],[age]]&lt;=50,"36-50","51+")))</f>
        <v>36-50</v>
      </c>
      <c r="G1124" t="s">
        <v>24</v>
      </c>
      <c r="H1124" t="s">
        <v>61</v>
      </c>
      <c r="I1124" t="s">
        <v>141</v>
      </c>
      <c r="J1124" t="s">
        <v>47</v>
      </c>
      <c r="K1124" t="s">
        <v>600</v>
      </c>
      <c r="L1124">
        <v>10</v>
      </c>
      <c r="M1124">
        <v>788.79</v>
      </c>
      <c r="N1124">
        <v>0.14000000000000001</v>
      </c>
      <c r="O1124">
        <v>7024.12</v>
      </c>
      <c r="P1124">
        <v>3794.94</v>
      </c>
      <c r="Q1124">
        <v>48.05</v>
      </c>
      <c r="R1124" t="s">
        <v>92</v>
      </c>
      <c r="S1124">
        <v>2</v>
      </c>
      <c r="T1124" t="b">
        <v>0</v>
      </c>
      <c r="U1124" t="s">
        <v>30</v>
      </c>
      <c r="V1124">
        <v>9</v>
      </c>
    </row>
    <row r="1125" spans="1:22" x14ac:dyDescent="0.25">
      <c r="A1125" t="s">
        <v>2737</v>
      </c>
      <c r="B1125" s="1">
        <v>45387</v>
      </c>
      <c r="C1125" t="s">
        <v>2738</v>
      </c>
      <c r="D1125" t="s">
        <v>387</v>
      </c>
      <c r="E1125">
        <v>51</v>
      </c>
      <c r="F1125" t="str">
        <f>IF(Table1[[#This Row],[age]]&lt;=25,"18-25",IF(Table1[[#This Row],[age]]&lt;=35,"26-35",IF(Table1[[#This Row],[age]]&lt;=50,"36-50","51+")))</f>
        <v>51+</v>
      </c>
      <c r="G1125" t="s">
        <v>24</v>
      </c>
      <c r="H1125" t="s">
        <v>69</v>
      </c>
      <c r="I1125" t="s">
        <v>181</v>
      </c>
      <c r="J1125" t="s">
        <v>115</v>
      </c>
      <c r="K1125" t="s">
        <v>137</v>
      </c>
      <c r="L1125">
        <v>3</v>
      </c>
      <c r="M1125">
        <v>15320.14</v>
      </c>
      <c r="N1125">
        <v>0.14000000000000001</v>
      </c>
      <c r="O1125">
        <v>58711.83</v>
      </c>
      <c r="P1125">
        <v>5168.1000000000004</v>
      </c>
      <c r="Q1125">
        <v>65.67</v>
      </c>
      <c r="R1125" t="s">
        <v>49</v>
      </c>
      <c r="S1125">
        <v>4</v>
      </c>
      <c r="T1125" t="b">
        <v>0</v>
      </c>
      <c r="U1125" t="s">
        <v>30</v>
      </c>
      <c r="V1125">
        <v>5</v>
      </c>
    </row>
    <row r="1126" spans="1:22" x14ac:dyDescent="0.25">
      <c r="A1126" t="s">
        <v>2739</v>
      </c>
      <c r="B1126" s="1">
        <v>43939</v>
      </c>
      <c r="C1126" t="s">
        <v>2740</v>
      </c>
      <c r="D1126" t="s">
        <v>1212</v>
      </c>
      <c r="E1126">
        <v>31</v>
      </c>
      <c r="F1126" t="str">
        <f>IF(Table1[[#This Row],[age]]&lt;=25,"18-25",IF(Table1[[#This Row],[age]]&lt;=35,"26-35",IF(Table1[[#This Row],[age]]&lt;=50,"36-50","51+")))</f>
        <v>26-35</v>
      </c>
      <c r="G1126" t="s">
        <v>34</v>
      </c>
      <c r="H1126" t="s">
        <v>61</v>
      </c>
      <c r="I1126" t="s">
        <v>62</v>
      </c>
      <c r="J1126" t="s">
        <v>101</v>
      </c>
      <c r="K1126" t="s">
        <v>124</v>
      </c>
      <c r="L1126">
        <v>2</v>
      </c>
      <c r="M1126">
        <v>10120.93</v>
      </c>
      <c r="N1126">
        <v>0.3</v>
      </c>
      <c r="O1126">
        <v>14109.98</v>
      </c>
      <c r="P1126">
        <v>2053.92</v>
      </c>
      <c r="Q1126">
        <v>26.6</v>
      </c>
      <c r="R1126" t="s">
        <v>43</v>
      </c>
      <c r="S1126">
        <v>1</v>
      </c>
      <c r="T1126" t="b">
        <v>0</v>
      </c>
      <c r="U1126" t="s">
        <v>30</v>
      </c>
      <c r="V1126">
        <v>9</v>
      </c>
    </row>
    <row r="1127" spans="1:22" x14ac:dyDescent="0.25">
      <c r="A1127" t="s">
        <v>2741</v>
      </c>
      <c r="B1127" s="1">
        <v>44619</v>
      </c>
      <c r="C1127" t="s">
        <v>2742</v>
      </c>
      <c r="D1127" t="s">
        <v>536</v>
      </c>
      <c r="E1127">
        <v>26</v>
      </c>
      <c r="F1127" t="str">
        <f>IF(Table1[[#This Row],[age]]&lt;=25,"18-25",IF(Table1[[#This Row],[age]]&lt;=35,"26-35",IF(Table1[[#This Row],[age]]&lt;=50,"36-50","51+")))</f>
        <v>26-35</v>
      </c>
      <c r="G1127" t="s">
        <v>54</v>
      </c>
      <c r="H1127" t="s">
        <v>80</v>
      </c>
      <c r="I1127" t="s">
        <v>86</v>
      </c>
      <c r="J1127" t="s">
        <v>63</v>
      </c>
      <c r="K1127" t="s">
        <v>434</v>
      </c>
      <c r="L1127">
        <v>7</v>
      </c>
      <c r="M1127">
        <v>3036.93</v>
      </c>
      <c r="N1127">
        <v>0.24</v>
      </c>
      <c r="O1127">
        <v>15791.37</v>
      </c>
      <c r="P1127">
        <v>5788.85</v>
      </c>
      <c r="Q1127">
        <v>87.14</v>
      </c>
      <c r="R1127" t="s">
        <v>92</v>
      </c>
      <c r="S1127">
        <v>1</v>
      </c>
      <c r="T1127" t="b">
        <v>0</v>
      </c>
      <c r="U1127" t="s">
        <v>30</v>
      </c>
      <c r="V1127">
        <v>10</v>
      </c>
    </row>
    <row r="1128" spans="1:22" x14ac:dyDescent="0.25">
      <c r="A1128" t="s">
        <v>2743</v>
      </c>
      <c r="B1128" s="1">
        <v>43870</v>
      </c>
      <c r="C1128" t="s">
        <v>2744</v>
      </c>
      <c r="D1128" t="s">
        <v>561</v>
      </c>
      <c r="E1128">
        <v>38</v>
      </c>
      <c r="F1128" t="str">
        <f>IF(Table1[[#This Row],[age]]&lt;=25,"18-25",IF(Table1[[#This Row],[age]]&lt;=35,"26-35",IF(Table1[[#This Row],[age]]&lt;=50,"36-50","51+")))</f>
        <v>36-50</v>
      </c>
      <c r="G1128" t="s">
        <v>34</v>
      </c>
      <c r="H1128" t="s">
        <v>25</v>
      </c>
      <c r="I1128" t="s">
        <v>298</v>
      </c>
      <c r="J1128" t="s">
        <v>115</v>
      </c>
      <c r="K1128" t="s">
        <v>116</v>
      </c>
      <c r="L1128">
        <v>5</v>
      </c>
      <c r="M1128">
        <v>79820.399999999994</v>
      </c>
      <c r="N1128">
        <v>0.39</v>
      </c>
      <c r="O1128">
        <v>221917.54</v>
      </c>
      <c r="P1128">
        <v>22317.55</v>
      </c>
      <c r="Q1128">
        <v>38.44</v>
      </c>
      <c r="R1128" t="s">
        <v>92</v>
      </c>
      <c r="S1128">
        <v>1</v>
      </c>
      <c r="T1128" t="b">
        <v>0</v>
      </c>
      <c r="U1128" t="s">
        <v>193</v>
      </c>
      <c r="V1128">
        <v>8</v>
      </c>
    </row>
    <row r="1129" spans="1:22" x14ac:dyDescent="0.25">
      <c r="A1129" t="s">
        <v>2745</v>
      </c>
      <c r="B1129" s="1">
        <v>43857</v>
      </c>
      <c r="C1129" t="s">
        <v>2746</v>
      </c>
      <c r="D1129" t="s">
        <v>599</v>
      </c>
      <c r="E1129">
        <v>19</v>
      </c>
      <c r="F1129" t="str">
        <f>IF(Table1[[#This Row],[age]]&lt;=25,"18-25",IF(Table1[[#This Row],[age]]&lt;=35,"26-35",IF(Table1[[#This Row],[age]]&lt;=50,"36-50","51+")))</f>
        <v>18-25</v>
      </c>
      <c r="G1129" t="s">
        <v>34</v>
      </c>
      <c r="H1129" t="s">
        <v>80</v>
      </c>
      <c r="I1129" t="s">
        <v>236</v>
      </c>
      <c r="J1129" t="s">
        <v>115</v>
      </c>
      <c r="K1129" t="s">
        <v>145</v>
      </c>
      <c r="L1129">
        <v>4</v>
      </c>
      <c r="M1129">
        <v>17422.66</v>
      </c>
      <c r="N1129">
        <v>7.0000000000000007E-2</v>
      </c>
      <c r="O1129">
        <v>52626.5</v>
      </c>
      <c r="P1129">
        <v>6738.52</v>
      </c>
      <c r="Q1129">
        <v>87.09</v>
      </c>
      <c r="R1129" t="s">
        <v>43</v>
      </c>
      <c r="S1129">
        <v>2</v>
      </c>
      <c r="T1129" t="b">
        <v>1</v>
      </c>
      <c r="U1129" t="s">
        <v>50</v>
      </c>
      <c r="V1129">
        <v>2</v>
      </c>
    </row>
    <row r="1130" spans="1:22" x14ac:dyDescent="0.25">
      <c r="A1130" t="s">
        <v>2747</v>
      </c>
      <c r="B1130" s="1">
        <v>43996</v>
      </c>
      <c r="C1130" t="s">
        <v>2748</v>
      </c>
      <c r="D1130" t="s">
        <v>895</v>
      </c>
      <c r="E1130">
        <v>36</v>
      </c>
      <c r="F1130" t="str">
        <f>IF(Table1[[#This Row],[age]]&lt;=25,"18-25",IF(Table1[[#This Row],[age]]&lt;=35,"26-35",IF(Table1[[#This Row],[age]]&lt;=50,"36-50","51+")))</f>
        <v>36-50</v>
      </c>
      <c r="G1130" t="s">
        <v>24</v>
      </c>
      <c r="H1130" t="s">
        <v>25</v>
      </c>
      <c r="I1130" t="s">
        <v>298</v>
      </c>
      <c r="J1130" t="s">
        <v>101</v>
      </c>
      <c r="K1130" t="s">
        <v>164</v>
      </c>
      <c r="L1130">
        <v>4</v>
      </c>
      <c r="M1130">
        <v>3136.59</v>
      </c>
      <c r="N1130">
        <v>0.12</v>
      </c>
      <c r="O1130">
        <v>14497.79</v>
      </c>
      <c r="P1130">
        <v>2492.75</v>
      </c>
      <c r="Q1130">
        <v>79.400000000000006</v>
      </c>
      <c r="R1130" t="s">
        <v>43</v>
      </c>
      <c r="S1130">
        <v>2</v>
      </c>
      <c r="T1130" t="b">
        <v>1</v>
      </c>
      <c r="U1130" t="s">
        <v>50</v>
      </c>
      <c r="V1130">
        <v>6</v>
      </c>
    </row>
    <row r="1131" spans="1:22" x14ac:dyDescent="0.25">
      <c r="A1131" t="s">
        <v>2749</v>
      </c>
      <c r="B1131" s="1">
        <v>45564</v>
      </c>
      <c r="C1131" t="s">
        <v>2750</v>
      </c>
      <c r="D1131" t="s">
        <v>734</v>
      </c>
      <c r="E1131">
        <v>31</v>
      </c>
      <c r="F1131" t="str">
        <f>IF(Table1[[#This Row],[age]]&lt;=25,"18-25",IF(Table1[[#This Row],[age]]&lt;=35,"26-35",IF(Table1[[#This Row],[age]]&lt;=50,"36-50","51+")))</f>
        <v>26-35</v>
      </c>
      <c r="G1131" t="s">
        <v>34</v>
      </c>
      <c r="H1131" t="s">
        <v>55</v>
      </c>
      <c r="I1131" t="s">
        <v>56</v>
      </c>
      <c r="J1131" t="s">
        <v>115</v>
      </c>
      <c r="K1131" t="s">
        <v>197</v>
      </c>
      <c r="L1131">
        <v>8</v>
      </c>
      <c r="M1131">
        <v>31909.439999999999</v>
      </c>
      <c r="N1131">
        <v>0.22</v>
      </c>
      <c r="O1131">
        <v>265931.19</v>
      </c>
      <c r="P1131">
        <v>40509.78</v>
      </c>
      <c r="Q1131">
        <v>54.88</v>
      </c>
      <c r="R1131" t="s">
        <v>65</v>
      </c>
      <c r="S1131">
        <v>4</v>
      </c>
      <c r="T1131" t="b">
        <v>0</v>
      </c>
      <c r="U1131" t="s">
        <v>30</v>
      </c>
      <c r="V1131">
        <v>6</v>
      </c>
    </row>
    <row r="1132" spans="1:22" x14ac:dyDescent="0.25">
      <c r="A1132" t="s">
        <v>2751</v>
      </c>
      <c r="B1132" s="1">
        <v>44874</v>
      </c>
      <c r="C1132" t="s">
        <v>2752</v>
      </c>
      <c r="D1132" t="s">
        <v>384</v>
      </c>
      <c r="E1132">
        <v>37</v>
      </c>
      <c r="F1132" t="str">
        <f>IF(Table1[[#This Row],[age]]&lt;=25,"18-25",IF(Table1[[#This Row],[age]]&lt;=35,"26-35",IF(Table1[[#This Row],[age]]&lt;=50,"36-50","51+")))</f>
        <v>36-50</v>
      </c>
      <c r="G1132" t="s">
        <v>54</v>
      </c>
      <c r="H1132" t="s">
        <v>25</v>
      </c>
      <c r="I1132" t="s">
        <v>35</v>
      </c>
      <c r="J1132" t="s">
        <v>106</v>
      </c>
      <c r="K1132" t="s">
        <v>107</v>
      </c>
      <c r="L1132">
        <v>9</v>
      </c>
      <c r="M1132">
        <v>389.41</v>
      </c>
      <c r="N1132">
        <v>0.02</v>
      </c>
      <c r="O1132">
        <v>2847.85</v>
      </c>
      <c r="P1132">
        <v>272.2</v>
      </c>
      <c r="Q1132">
        <v>66.430000000000007</v>
      </c>
      <c r="R1132" t="s">
        <v>43</v>
      </c>
      <c r="S1132">
        <v>5</v>
      </c>
      <c r="T1132" t="b">
        <v>0</v>
      </c>
      <c r="U1132" t="s">
        <v>30</v>
      </c>
      <c r="V1132">
        <v>1</v>
      </c>
    </row>
    <row r="1133" spans="1:22" x14ac:dyDescent="0.25">
      <c r="A1133" t="s">
        <v>2753</v>
      </c>
      <c r="B1133" s="1">
        <v>44663</v>
      </c>
      <c r="C1133" t="s">
        <v>2754</v>
      </c>
      <c r="D1133" t="s">
        <v>1430</v>
      </c>
      <c r="E1133">
        <v>39</v>
      </c>
      <c r="F1133" t="str">
        <f>IF(Table1[[#This Row],[age]]&lt;=25,"18-25",IF(Table1[[#This Row],[age]]&lt;=35,"26-35",IF(Table1[[#This Row],[age]]&lt;=50,"36-50","51+")))</f>
        <v>36-50</v>
      </c>
      <c r="G1133" t="s">
        <v>54</v>
      </c>
      <c r="H1133" t="s">
        <v>80</v>
      </c>
      <c r="I1133" t="s">
        <v>81</v>
      </c>
      <c r="J1133" t="s">
        <v>47</v>
      </c>
      <c r="K1133" t="s">
        <v>48</v>
      </c>
      <c r="L1133">
        <v>10</v>
      </c>
      <c r="M1133">
        <v>231.25</v>
      </c>
      <c r="N1133">
        <v>0.27</v>
      </c>
      <c r="O1133">
        <v>2387.56</v>
      </c>
      <c r="P1133">
        <v>908.86</v>
      </c>
      <c r="Q1133">
        <v>50.77</v>
      </c>
      <c r="R1133" t="s">
        <v>49</v>
      </c>
      <c r="S1133">
        <v>1</v>
      </c>
      <c r="T1133" t="b">
        <v>0</v>
      </c>
      <c r="U1133" t="s">
        <v>193</v>
      </c>
      <c r="V1133">
        <v>5</v>
      </c>
    </row>
    <row r="1134" spans="1:22" x14ac:dyDescent="0.25">
      <c r="A1134" t="s">
        <v>2755</v>
      </c>
      <c r="B1134" s="1">
        <v>45401</v>
      </c>
      <c r="C1134" t="s">
        <v>2756</v>
      </c>
      <c r="D1134" t="s">
        <v>797</v>
      </c>
      <c r="E1134">
        <v>26</v>
      </c>
      <c r="F1134" t="str">
        <f>IF(Table1[[#This Row],[age]]&lt;=25,"18-25",IF(Table1[[#This Row],[age]]&lt;=35,"26-35",IF(Table1[[#This Row],[age]]&lt;=50,"36-50","51+")))</f>
        <v>26-35</v>
      </c>
      <c r="G1134" t="s">
        <v>54</v>
      </c>
      <c r="H1134" t="s">
        <v>80</v>
      </c>
      <c r="I1134" t="s">
        <v>236</v>
      </c>
      <c r="J1134" t="s">
        <v>27</v>
      </c>
      <c r="K1134" t="s">
        <v>335</v>
      </c>
      <c r="L1134">
        <v>9</v>
      </c>
      <c r="M1134">
        <v>1545.52</v>
      </c>
      <c r="N1134">
        <v>0.19</v>
      </c>
      <c r="O1134">
        <v>17885.64</v>
      </c>
      <c r="P1134">
        <v>11381.04</v>
      </c>
      <c r="Q1134">
        <v>81</v>
      </c>
      <c r="R1134" t="s">
        <v>43</v>
      </c>
      <c r="S1134">
        <v>1</v>
      </c>
      <c r="T1134" t="b">
        <v>0</v>
      </c>
      <c r="U1134" t="s">
        <v>93</v>
      </c>
      <c r="V1134">
        <v>9</v>
      </c>
    </row>
    <row r="1135" spans="1:22" x14ac:dyDescent="0.25">
      <c r="A1135" t="s">
        <v>2757</v>
      </c>
      <c r="B1135" s="1">
        <v>44171</v>
      </c>
      <c r="C1135" t="s">
        <v>2758</v>
      </c>
      <c r="D1135" t="s">
        <v>1641</v>
      </c>
      <c r="E1135">
        <v>31</v>
      </c>
      <c r="F1135" t="str">
        <f>IF(Table1[[#This Row],[age]]&lt;=25,"18-25",IF(Table1[[#This Row],[age]]&lt;=35,"26-35",IF(Table1[[#This Row],[age]]&lt;=50,"36-50","51+")))</f>
        <v>26-35</v>
      </c>
      <c r="G1135" t="s">
        <v>54</v>
      </c>
      <c r="H1135" t="s">
        <v>80</v>
      </c>
      <c r="I1135" t="s">
        <v>242</v>
      </c>
      <c r="J1135" t="s">
        <v>27</v>
      </c>
      <c r="K1135" t="s">
        <v>480</v>
      </c>
      <c r="L1135">
        <v>9</v>
      </c>
      <c r="M1135">
        <v>1896.41</v>
      </c>
      <c r="N1135">
        <v>0.01</v>
      </c>
      <c r="O1135">
        <v>12286.54</v>
      </c>
      <c r="P1135">
        <v>5443.3</v>
      </c>
      <c r="Q1135">
        <v>40.44</v>
      </c>
      <c r="R1135" t="s">
        <v>65</v>
      </c>
      <c r="S1135">
        <v>2</v>
      </c>
      <c r="T1135" t="b">
        <v>0</v>
      </c>
      <c r="U1135" t="s">
        <v>30</v>
      </c>
      <c r="V1135">
        <v>2</v>
      </c>
    </row>
    <row r="1136" spans="1:22" x14ac:dyDescent="0.25">
      <c r="A1136" t="s">
        <v>2759</v>
      </c>
      <c r="B1136" s="1">
        <v>45026</v>
      </c>
      <c r="C1136" t="s">
        <v>2760</v>
      </c>
      <c r="D1136" t="s">
        <v>833</v>
      </c>
      <c r="E1136">
        <v>24</v>
      </c>
      <c r="F1136" t="str">
        <f>IF(Table1[[#This Row],[age]]&lt;=25,"18-25",IF(Table1[[#This Row],[age]]&lt;=35,"26-35",IF(Table1[[#This Row],[age]]&lt;=50,"36-50","51+")))</f>
        <v>18-25</v>
      </c>
      <c r="G1136" t="s">
        <v>34</v>
      </c>
      <c r="H1136" t="s">
        <v>25</v>
      </c>
      <c r="I1136" t="s">
        <v>26</v>
      </c>
      <c r="J1136" t="s">
        <v>101</v>
      </c>
      <c r="K1136" t="s">
        <v>164</v>
      </c>
      <c r="L1136">
        <v>3</v>
      </c>
      <c r="M1136">
        <v>8534.5</v>
      </c>
      <c r="N1136">
        <v>0.34</v>
      </c>
      <c r="O1136">
        <v>18094.21</v>
      </c>
      <c r="P1136">
        <v>4596.01</v>
      </c>
      <c r="Q1136">
        <v>55.57</v>
      </c>
      <c r="R1136" t="s">
        <v>49</v>
      </c>
      <c r="S1136">
        <v>4</v>
      </c>
      <c r="T1136" t="b">
        <v>0</v>
      </c>
      <c r="U1136" t="s">
        <v>30</v>
      </c>
      <c r="V1136">
        <v>4</v>
      </c>
    </row>
    <row r="1137" spans="1:22" x14ac:dyDescent="0.25">
      <c r="A1137" t="s">
        <v>2761</v>
      </c>
      <c r="B1137" s="1">
        <v>44825</v>
      </c>
      <c r="C1137" t="s">
        <v>2762</v>
      </c>
      <c r="D1137" t="s">
        <v>1756</v>
      </c>
      <c r="E1137">
        <v>54</v>
      </c>
      <c r="F1137" t="str">
        <f>IF(Table1[[#This Row],[age]]&lt;=25,"18-25",IF(Table1[[#This Row],[age]]&lt;=35,"26-35",IF(Table1[[#This Row],[age]]&lt;=50,"36-50","51+")))</f>
        <v>51+</v>
      </c>
      <c r="G1137" t="s">
        <v>54</v>
      </c>
      <c r="H1137" t="s">
        <v>55</v>
      </c>
      <c r="I1137" t="s">
        <v>114</v>
      </c>
      <c r="J1137" t="s">
        <v>47</v>
      </c>
      <c r="K1137" t="s">
        <v>204</v>
      </c>
      <c r="L1137">
        <v>2</v>
      </c>
      <c r="M1137">
        <v>1340.31</v>
      </c>
      <c r="N1137">
        <v>0.03</v>
      </c>
      <c r="O1137">
        <v>2902.07</v>
      </c>
      <c r="P1137">
        <v>1116.1600000000001</v>
      </c>
      <c r="Q1137">
        <v>67.16</v>
      </c>
      <c r="R1137" t="s">
        <v>43</v>
      </c>
      <c r="S1137">
        <v>4</v>
      </c>
      <c r="T1137" t="b">
        <v>0</v>
      </c>
      <c r="U1137" t="s">
        <v>193</v>
      </c>
      <c r="V1137">
        <v>7</v>
      </c>
    </row>
    <row r="1138" spans="1:22" x14ac:dyDescent="0.25">
      <c r="A1138" t="s">
        <v>2763</v>
      </c>
      <c r="B1138" s="1">
        <v>44769</v>
      </c>
      <c r="C1138" t="s">
        <v>2764</v>
      </c>
      <c r="D1138" t="s">
        <v>96</v>
      </c>
      <c r="E1138">
        <v>37</v>
      </c>
      <c r="F1138" t="str">
        <f>IF(Table1[[#This Row],[age]]&lt;=25,"18-25",IF(Table1[[#This Row],[age]]&lt;=35,"26-35",IF(Table1[[#This Row],[age]]&lt;=50,"36-50","51+")))</f>
        <v>36-50</v>
      </c>
      <c r="G1138" t="s">
        <v>54</v>
      </c>
      <c r="H1138" t="s">
        <v>55</v>
      </c>
      <c r="I1138" t="s">
        <v>97</v>
      </c>
      <c r="J1138" t="s">
        <v>36</v>
      </c>
      <c r="K1138" t="s">
        <v>230</v>
      </c>
      <c r="L1138">
        <v>8</v>
      </c>
      <c r="M1138">
        <v>31076.19</v>
      </c>
      <c r="N1138">
        <v>0.36</v>
      </c>
      <c r="O1138">
        <v>234872.45</v>
      </c>
      <c r="P1138">
        <v>66519.22</v>
      </c>
      <c r="Q1138">
        <v>47.98</v>
      </c>
      <c r="R1138" t="s">
        <v>92</v>
      </c>
      <c r="S1138">
        <v>2</v>
      </c>
      <c r="T1138" t="b">
        <v>0</v>
      </c>
      <c r="U1138" t="s">
        <v>30</v>
      </c>
      <c r="V1138">
        <v>6</v>
      </c>
    </row>
    <row r="1139" spans="1:22" x14ac:dyDescent="0.25">
      <c r="A1139" t="s">
        <v>2765</v>
      </c>
      <c r="B1139" s="1">
        <v>44600</v>
      </c>
      <c r="C1139" t="s">
        <v>2766</v>
      </c>
      <c r="D1139" t="s">
        <v>443</v>
      </c>
      <c r="E1139">
        <v>38</v>
      </c>
      <c r="F1139" t="str">
        <f>IF(Table1[[#This Row],[age]]&lt;=25,"18-25",IF(Table1[[#This Row],[age]]&lt;=35,"26-35",IF(Table1[[#This Row],[age]]&lt;=50,"36-50","51+")))</f>
        <v>36-50</v>
      </c>
      <c r="G1139" t="s">
        <v>24</v>
      </c>
      <c r="H1139" t="s">
        <v>80</v>
      </c>
      <c r="I1139" t="s">
        <v>86</v>
      </c>
      <c r="J1139" t="s">
        <v>101</v>
      </c>
      <c r="K1139" t="s">
        <v>214</v>
      </c>
      <c r="L1139">
        <v>1</v>
      </c>
      <c r="M1139">
        <v>11257.57</v>
      </c>
      <c r="N1139">
        <v>0.19</v>
      </c>
      <c r="O1139">
        <v>9056.57</v>
      </c>
      <c r="P1139">
        <v>2063.37</v>
      </c>
      <c r="Q1139">
        <v>75.319999999999993</v>
      </c>
      <c r="R1139" t="s">
        <v>57</v>
      </c>
      <c r="S1139">
        <v>5</v>
      </c>
      <c r="T1139" t="b">
        <v>0</v>
      </c>
      <c r="U1139" t="s">
        <v>30</v>
      </c>
      <c r="V1139">
        <v>1</v>
      </c>
    </row>
    <row r="1140" spans="1:22" x14ac:dyDescent="0.25">
      <c r="A1140" t="s">
        <v>2767</v>
      </c>
      <c r="B1140" s="1">
        <v>45398</v>
      </c>
      <c r="C1140" t="s">
        <v>2768</v>
      </c>
      <c r="D1140" t="s">
        <v>184</v>
      </c>
      <c r="E1140">
        <v>45</v>
      </c>
      <c r="F1140" t="str">
        <f>IF(Table1[[#This Row],[age]]&lt;=25,"18-25",IF(Table1[[#This Row],[age]]&lt;=35,"26-35",IF(Table1[[#This Row],[age]]&lt;=50,"36-50","51+")))</f>
        <v>36-50</v>
      </c>
      <c r="G1140" t="s">
        <v>24</v>
      </c>
      <c r="H1140" t="s">
        <v>55</v>
      </c>
      <c r="I1140" t="s">
        <v>97</v>
      </c>
      <c r="J1140" t="s">
        <v>36</v>
      </c>
      <c r="K1140" t="s">
        <v>230</v>
      </c>
      <c r="L1140">
        <v>4</v>
      </c>
      <c r="M1140">
        <v>28347.279999999999</v>
      </c>
      <c r="N1140">
        <v>0.03</v>
      </c>
      <c r="O1140">
        <v>180991</v>
      </c>
      <c r="P1140">
        <v>31963.08</v>
      </c>
      <c r="Q1140">
        <v>74.83</v>
      </c>
      <c r="R1140" t="s">
        <v>49</v>
      </c>
      <c r="S1140">
        <v>5</v>
      </c>
      <c r="T1140" t="b">
        <v>0</v>
      </c>
      <c r="U1140" t="s">
        <v>30</v>
      </c>
      <c r="V1140">
        <v>4</v>
      </c>
    </row>
    <row r="1141" spans="1:22" x14ac:dyDescent="0.25">
      <c r="A1141" t="s">
        <v>2769</v>
      </c>
      <c r="B1141" s="1">
        <v>43930</v>
      </c>
      <c r="C1141" t="s">
        <v>2770</v>
      </c>
      <c r="D1141" t="s">
        <v>674</v>
      </c>
      <c r="E1141">
        <v>47</v>
      </c>
      <c r="F1141" t="str">
        <f>IF(Table1[[#This Row],[age]]&lt;=25,"18-25",IF(Table1[[#This Row],[age]]&lt;=35,"26-35",IF(Table1[[#This Row],[age]]&lt;=50,"36-50","51+")))</f>
        <v>36-50</v>
      </c>
      <c r="G1141" t="s">
        <v>54</v>
      </c>
      <c r="H1141" t="s">
        <v>69</v>
      </c>
      <c r="I1141" t="s">
        <v>136</v>
      </c>
      <c r="J1141" t="s">
        <v>63</v>
      </c>
      <c r="K1141" t="s">
        <v>87</v>
      </c>
      <c r="L1141">
        <v>4</v>
      </c>
      <c r="M1141">
        <v>657.77</v>
      </c>
      <c r="N1141">
        <v>0.03</v>
      </c>
      <c r="O1141">
        <v>3207.24</v>
      </c>
      <c r="P1141">
        <v>961.26</v>
      </c>
      <c r="Q1141">
        <v>83.48</v>
      </c>
      <c r="R1141" t="s">
        <v>57</v>
      </c>
      <c r="S1141">
        <v>3</v>
      </c>
      <c r="T1141" t="b">
        <v>0</v>
      </c>
      <c r="U1141" t="s">
        <v>30</v>
      </c>
      <c r="V1141">
        <v>9</v>
      </c>
    </row>
    <row r="1142" spans="1:22" x14ac:dyDescent="0.25">
      <c r="A1142" t="s">
        <v>2771</v>
      </c>
      <c r="B1142" s="1">
        <v>44300</v>
      </c>
      <c r="C1142" t="s">
        <v>2772</v>
      </c>
      <c r="D1142" t="s">
        <v>967</v>
      </c>
      <c r="E1142">
        <v>39</v>
      </c>
      <c r="F1142" t="str">
        <f>IF(Table1[[#This Row],[age]]&lt;=25,"18-25",IF(Table1[[#This Row],[age]]&lt;=35,"26-35",IF(Table1[[#This Row],[age]]&lt;=50,"36-50","51+")))</f>
        <v>36-50</v>
      </c>
      <c r="G1142" t="s">
        <v>24</v>
      </c>
      <c r="H1142" t="s">
        <v>80</v>
      </c>
      <c r="I1142" t="s">
        <v>242</v>
      </c>
      <c r="J1142" t="s">
        <v>27</v>
      </c>
      <c r="K1142" t="s">
        <v>168</v>
      </c>
      <c r="L1142">
        <v>5</v>
      </c>
      <c r="M1142">
        <v>2059.98</v>
      </c>
      <c r="N1142">
        <v>0.02</v>
      </c>
      <c r="O1142">
        <v>12556.26</v>
      </c>
      <c r="P1142">
        <v>8037.6</v>
      </c>
      <c r="Q1142">
        <v>70.48</v>
      </c>
      <c r="R1142" t="s">
        <v>65</v>
      </c>
      <c r="S1142">
        <v>2</v>
      </c>
      <c r="T1142" t="b">
        <v>1</v>
      </c>
      <c r="U1142" t="s">
        <v>50</v>
      </c>
      <c r="V1142">
        <v>8</v>
      </c>
    </row>
    <row r="1143" spans="1:22" x14ac:dyDescent="0.25">
      <c r="A1143" t="s">
        <v>2773</v>
      </c>
      <c r="B1143" s="1">
        <v>44368</v>
      </c>
      <c r="C1143" t="s">
        <v>2774</v>
      </c>
      <c r="D1143" t="s">
        <v>923</v>
      </c>
      <c r="E1143">
        <v>19</v>
      </c>
      <c r="F1143" t="str">
        <f>IF(Table1[[#This Row],[age]]&lt;=25,"18-25",IF(Table1[[#This Row],[age]]&lt;=35,"26-35",IF(Table1[[#This Row],[age]]&lt;=50,"36-50","51+")))</f>
        <v>18-25</v>
      </c>
      <c r="G1143" t="s">
        <v>54</v>
      </c>
      <c r="H1143" t="s">
        <v>55</v>
      </c>
      <c r="I1143" t="s">
        <v>56</v>
      </c>
      <c r="J1143" t="s">
        <v>106</v>
      </c>
      <c r="K1143" t="s">
        <v>331</v>
      </c>
      <c r="L1143">
        <v>6</v>
      </c>
      <c r="M1143">
        <v>428.86</v>
      </c>
      <c r="N1143">
        <v>0.34</v>
      </c>
      <c r="O1143">
        <v>2486.44</v>
      </c>
      <c r="P1143">
        <v>163.61000000000001</v>
      </c>
      <c r="Q1143">
        <v>58.49</v>
      </c>
      <c r="R1143" t="s">
        <v>92</v>
      </c>
      <c r="S1143">
        <v>4</v>
      </c>
      <c r="T1143" t="b">
        <v>0</v>
      </c>
      <c r="U1143" t="s">
        <v>30</v>
      </c>
      <c r="V1143">
        <v>9</v>
      </c>
    </row>
    <row r="1144" spans="1:22" x14ac:dyDescent="0.25">
      <c r="A1144" t="s">
        <v>2775</v>
      </c>
      <c r="B1144" s="1">
        <v>44325</v>
      </c>
      <c r="C1144" t="s">
        <v>2776</v>
      </c>
      <c r="D1144" t="s">
        <v>990</v>
      </c>
      <c r="E1144">
        <v>20</v>
      </c>
      <c r="F1144" t="str">
        <f>IF(Table1[[#This Row],[age]]&lt;=25,"18-25",IF(Table1[[#This Row],[age]]&lt;=35,"26-35",IF(Table1[[#This Row],[age]]&lt;=50,"36-50","51+")))</f>
        <v>18-25</v>
      </c>
      <c r="G1144" t="s">
        <v>54</v>
      </c>
      <c r="H1144" t="s">
        <v>61</v>
      </c>
      <c r="I1144" t="s">
        <v>141</v>
      </c>
      <c r="J1144" t="s">
        <v>36</v>
      </c>
      <c r="K1144" t="s">
        <v>42</v>
      </c>
      <c r="L1144">
        <v>7</v>
      </c>
      <c r="M1144">
        <v>29131.43</v>
      </c>
      <c r="N1144">
        <v>0.3</v>
      </c>
      <c r="O1144">
        <v>181240.28</v>
      </c>
      <c r="P1144">
        <v>48821.49</v>
      </c>
      <c r="Q1144">
        <v>47.3</v>
      </c>
      <c r="R1144" t="s">
        <v>57</v>
      </c>
      <c r="S1144">
        <v>3</v>
      </c>
      <c r="T1144" t="b">
        <v>0</v>
      </c>
      <c r="U1144" t="s">
        <v>93</v>
      </c>
      <c r="V1144">
        <v>8</v>
      </c>
    </row>
    <row r="1145" spans="1:22" x14ac:dyDescent="0.25">
      <c r="A1145" t="s">
        <v>2777</v>
      </c>
      <c r="B1145" s="1">
        <v>44707</v>
      </c>
      <c r="C1145" t="s">
        <v>2778</v>
      </c>
      <c r="D1145" t="s">
        <v>643</v>
      </c>
      <c r="E1145">
        <v>31</v>
      </c>
      <c r="F1145" t="str">
        <f>IF(Table1[[#This Row],[age]]&lt;=25,"18-25",IF(Table1[[#This Row],[age]]&lt;=35,"26-35",IF(Table1[[#This Row],[age]]&lt;=50,"36-50","51+")))</f>
        <v>26-35</v>
      </c>
      <c r="G1145" t="s">
        <v>54</v>
      </c>
      <c r="H1145" t="s">
        <v>25</v>
      </c>
      <c r="I1145" t="s">
        <v>26</v>
      </c>
      <c r="J1145" t="s">
        <v>63</v>
      </c>
      <c r="K1145" t="s">
        <v>434</v>
      </c>
      <c r="L1145">
        <v>10</v>
      </c>
      <c r="M1145">
        <v>1278.8800000000001</v>
      </c>
      <c r="N1145">
        <v>0.2</v>
      </c>
      <c r="O1145">
        <v>17829.400000000001</v>
      </c>
      <c r="P1145">
        <v>6153.63</v>
      </c>
      <c r="Q1145">
        <v>43.3</v>
      </c>
      <c r="R1145" t="s">
        <v>57</v>
      </c>
      <c r="S1145">
        <v>3</v>
      </c>
      <c r="T1145" t="b">
        <v>0</v>
      </c>
      <c r="U1145" t="s">
        <v>30</v>
      </c>
      <c r="V1145">
        <v>8</v>
      </c>
    </row>
    <row r="1146" spans="1:22" x14ac:dyDescent="0.25">
      <c r="A1146" t="s">
        <v>2779</v>
      </c>
      <c r="B1146" s="1">
        <v>44445</v>
      </c>
      <c r="C1146" t="s">
        <v>2780</v>
      </c>
      <c r="D1146" t="s">
        <v>2326</v>
      </c>
      <c r="E1146">
        <v>51</v>
      </c>
      <c r="F1146" t="str">
        <f>IF(Table1[[#This Row],[age]]&lt;=25,"18-25",IF(Table1[[#This Row],[age]]&lt;=35,"26-35",IF(Table1[[#This Row],[age]]&lt;=50,"36-50","51+")))</f>
        <v>51+</v>
      </c>
      <c r="G1146" t="s">
        <v>34</v>
      </c>
      <c r="H1146" t="s">
        <v>25</v>
      </c>
      <c r="I1146" t="s">
        <v>35</v>
      </c>
      <c r="J1146" t="s">
        <v>47</v>
      </c>
      <c r="K1146" t="s">
        <v>272</v>
      </c>
      <c r="L1146">
        <v>5</v>
      </c>
      <c r="M1146">
        <v>1499.28</v>
      </c>
      <c r="N1146">
        <v>0.03</v>
      </c>
      <c r="O1146">
        <v>8327.23</v>
      </c>
      <c r="P1146">
        <v>4182.3100000000004</v>
      </c>
      <c r="Q1146">
        <v>74.08</v>
      </c>
      <c r="R1146" t="s">
        <v>92</v>
      </c>
      <c r="S1146">
        <v>3</v>
      </c>
      <c r="T1146" t="b">
        <v>0</v>
      </c>
      <c r="U1146" t="s">
        <v>30</v>
      </c>
      <c r="V1146">
        <v>1</v>
      </c>
    </row>
    <row r="1147" spans="1:22" x14ac:dyDescent="0.25">
      <c r="A1147" t="s">
        <v>2781</v>
      </c>
      <c r="B1147" s="1">
        <v>44787</v>
      </c>
      <c r="C1147" t="s">
        <v>2782</v>
      </c>
      <c r="D1147" t="s">
        <v>792</v>
      </c>
      <c r="E1147">
        <v>48</v>
      </c>
      <c r="F1147" t="str">
        <f>IF(Table1[[#This Row],[age]]&lt;=25,"18-25",IF(Table1[[#This Row],[age]]&lt;=35,"26-35",IF(Table1[[#This Row],[age]]&lt;=50,"36-50","51+")))</f>
        <v>36-50</v>
      </c>
      <c r="G1147" t="s">
        <v>34</v>
      </c>
      <c r="H1147" t="s">
        <v>25</v>
      </c>
      <c r="I1147" t="s">
        <v>35</v>
      </c>
      <c r="J1147" t="s">
        <v>106</v>
      </c>
      <c r="K1147" t="s">
        <v>718</v>
      </c>
      <c r="L1147">
        <v>2</v>
      </c>
      <c r="M1147">
        <v>179.94</v>
      </c>
      <c r="N1147">
        <v>0.39</v>
      </c>
      <c r="O1147">
        <v>272.5</v>
      </c>
      <c r="P1147">
        <v>14.86</v>
      </c>
      <c r="Q1147">
        <v>56.43</v>
      </c>
      <c r="R1147" t="s">
        <v>43</v>
      </c>
      <c r="S1147">
        <v>1</v>
      </c>
      <c r="T1147" t="b">
        <v>0</v>
      </c>
      <c r="U1147" t="s">
        <v>93</v>
      </c>
      <c r="V1147">
        <v>3</v>
      </c>
    </row>
    <row r="1148" spans="1:22" x14ac:dyDescent="0.25">
      <c r="A1148" t="s">
        <v>2783</v>
      </c>
      <c r="B1148" s="1">
        <v>44492</v>
      </c>
      <c r="C1148" t="s">
        <v>2784</v>
      </c>
      <c r="D1148" t="s">
        <v>561</v>
      </c>
      <c r="E1148">
        <v>68</v>
      </c>
      <c r="F1148" t="str">
        <f>IF(Table1[[#This Row],[age]]&lt;=25,"18-25",IF(Table1[[#This Row],[age]]&lt;=35,"26-35",IF(Table1[[#This Row],[age]]&lt;=50,"36-50","51+")))</f>
        <v>51+</v>
      </c>
      <c r="G1148" t="s">
        <v>54</v>
      </c>
      <c r="H1148" t="s">
        <v>69</v>
      </c>
      <c r="I1148" t="s">
        <v>181</v>
      </c>
      <c r="J1148" t="s">
        <v>106</v>
      </c>
      <c r="K1148" t="s">
        <v>331</v>
      </c>
      <c r="L1148">
        <v>4</v>
      </c>
      <c r="M1148">
        <v>103.01</v>
      </c>
      <c r="N1148">
        <v>0.4</v>
      </c>
      <c r="O1148">
        <v>239.3</v>
      </c>
      <c r="P1148">
        <v>22.6</v>
      </c>
      <c r="Q1148">
        <v>78.91</v>
      </c>
      <c r="R1148" t="s">
        <v>49</v>
      </c>
      <c r="S1148">
        <v>1</v>
      </c>
      <c r="T1148" t="b">
        <v>1</v>
      </c>
      <c r="U1148" t="s">
        <v>50</v>
      </c>
      <c r="V1148">
        <v>4</v>
      </c>
    </row>
    <row r="1149" spans="1:22" x14ac:dyDescent="0.25">
      <c r="A1149" t="s">
        <v>2785</v>
      </c>
      <c r="B1149" s="1">
        <v>45648</v>
      </c>
      <c r="C1149" t="s">
        <v>2786</v>
      </c>
      <c r="D1149" t="s">
        <v>317</v>
      </c>
      <c r="E1149">
        <v>53</v>
      </c>
      <c r="F1149" t="str">
        <f>IF(Table1[[#This Row],[age]]&lt;=25,"18-25",IF(Table1[[#This Row],[age]]&lt;=35,"26-35",IF(Table1[[#This Row],[age]]&lt;=50,"36-50","51+")))</f>
        <v>51+</v>
      </c>
      <c r="G1149" t="s">
        <v>24</v>
      </c>
      <c r="H1149" t="s">
        <v>25</v>
      </c>
      <c r="I1149" t="s">
        <v>26</v>
      </c>
      <c r="J1149" t="s">
        <v>27</v>
      </c>
      <c r="K1149" t="s">
        <v>480</v>
      </c>
      <c r="L1149">
        <v>3</v>
      </c>
      <c r="M1149">
        <v>855.83</v>
      </c>
      <c r="N1149">
        <v>0.14000000000000001</v>
      </c>
      <c r="O1149">
        <v>2047.13</v>
      </c>
      <c r="P1149">
        <v>587.72</v>
      </c>
      <c r="Q1149">
        <v>59.05</v>
      </c>
      <c r="R1149" t="s">
        <v>92</v>
      </c>
      <c r="S1149">
        <v>4</v>
      </c>
      <c r="T1149" t="b">
        <v>0</v>
      </c>
      <c r="U1149" t="s">
        <v>193</v>
      </c>
      <c r="V1149">
        <v>6</v>
      </c>
    </row>
    <row r="1150" spans="1:22" x14ac:dyDescent="0.25">
      <c r="A1150" t="s">
        <v>2787</v>
      </c>
      <c r="B1150" s="1">
        <v>44164</v>
      </c>
      <c r="C1150" t="s">
        <v>2788</v>
      </c>
      <c r="D1150" t="s">
        <v>74</v>
      </c>
      <c r="E1150">
        <v>25</v>
      </c>
      <c r="F1150" t="str">
        <f>IF(Table1[[#This Row],[age]]&lt;=25,"18-25",IF(Table1[[#This Row],[age]]&lt;=35,"26-35",IF(Table1[[#This Row],[age]]&lt;=50,"36-50","51+")))</f>
        <v>18-25</v>
      </c>
      <c r="G1150" t="s">
        <v>54</v>
      </c>
      <c r="H1150" t="s">
        <v>80</v>
      </c>
      <c r="I1150" t="s">
        <v>236</v>
      </c>
      <c r="J1150" t="s">
        <v>47</v>
      </c>
      <c r="K1150" t="s">
        <v>48</v>
      </c>
      <c r="L1150">
        <v>3</v>
      </c>
      <c r="M1150">
        <v>956.34</v>
      </c>
      <c r="N1150">
        <v>0.24</v>
      </c>
      <c r="O1150">
        <v>1598.88</v>
      </c>
      <c r="P1150">
        <v>746.01</v>
      </c>
      <c r="Q1150">
        <v>74.98</v>
      </c>
      <c r="R1150" t="s">
        <v>57</v>
      </c>
      <c r="S1150">
        <v>1</v>
      </c>
      <c r="T1150" t="b">
        <v>0</v>
      </c>
      <c r="U1150" t="s">
        <v>30</v>
      </c>
      <c r="V1150">
        <v>2</v>
      </c>
    </row>
    <row r="1151" spans="1:22" x14ac:dyDescent="0.25">
      <c r="A1151" t="s">
        <v>2789</v>
      </c>
      <c r="B1151" s="1">
        <v>45240</v>
      </c>
      <c r="C1151" t="s">
        <v>2790</v>
      </c>
      <c r="D1151" t="s">
        <v>1171</v>
      </c>
      <c r="E1151">
        <v>25</v>
      </c>
      <c r="F1151" t="str">
        <f>IF(Table1[[#This Row],[age]]&lt;=25,"18-25",IF(Table1[[#This Row],[age]]&lt;=35,"26-35",IF(Table1[[#This Row],[age]]&lt;=50,"36-50","51+")))</f>
        <v>18-25</v>
      </c>
      <c r="G1151" t="s">
        <v>34</v>
      </c>
      <c r="H1151" t="s">
        <v>61</v>
      </c>
      <c r="I1151" t="s">
        <v>91</v>
      </c>
      <c r="J1151" t="s">
        <v>36</v>
      </c>
      <c r="K1151" t="s">
        <v>42</v>
      </c>
      <c r="L1151">
        <v>2</v>
      </c>
      <c r="M1151">
        <v>30782.35</v>
      </c>
      <c r="N1151">
        <v>0.22</v>
      </c>
      <c r="O1151">
        <v>47340.73</v>
      </c>
      <c r="P1151">
        <v>11318.5</v>
      </c>
      <c r="Q1151">
        <v>48.72</v>
      </c>
      <c r="R1151" t="s">
        <v>65</v>
      </c>
      <c r="S1151">
        <v>4</v>
      </c>
      <c r="T1151" t="b">
        <v>0</v>
      </c>
      <c r="U1151" t="s">
        <v>30</v>
      </c>
      <c r="V1151">
        <v>10</v>
      </c>
    </row>
    <row r="1152" spans="1:22" x14ac:dyDescent="0.25">
      <c r="A1152" t="s">
        <v>2791</v>
      </c>
      <c r="B1152" s="1">
        <v>44232</v>
      </c>
      <c r="C1152" t="s">
        <v>2792</v>
      </c>
      <c r="D1152" t="s">
        <v>784</v>
      </c>
      <c r="E1152">
        <v>19</v>
      </c>
      <c r="F1152" t="str">
        <f>IF(Table1[[#This Row],[age]]&lt;=25,"18-25",IF(Table1[[#This Row],[age]]&lt;=35,"26-35",IF(Table1[[#This Row],[age]]&lt;=50,"36-50","51+")))</f>
        <v>18-25</v>
      </c>
      <c r="G1152" t="s">
        <v>54</v>
      </c>
      <c r="H1152" t="s">
        <v>25</v>
      </c>
      <c r="I1152" t="s">
        <v>298</v>
      </c>
      <c r="J1152" t="s">
        <v>27</v>
      </c>
      <c r="K1152" t="s">
        <v>128</v>
      </c>
      <c r="L1152">
        <v>4</v>
      </c>
      <c r="M1152">
        <v>1900.58</v>
      </c>
      <c r="N1152">
        <v>0.12</v>
      </c>
      <c r="O1152">
        <v>6413.16</v>
      </c>
      <c r="P1152">
        <v>3388.38</v>
      </c>
      <c r="Q1152">
        <v>47.89</v>
      </c>
      <c r="R1152" t="s">
        <v>65</v>
      </c>
      <c r="S1152">
        <v>3</v>
      </c>
      <c r="T1152" t="b">
        <v>0</v>
      </c>
      <c r="U1152" t="s">
        <v>30</v>
      </c>
      <c r="V1152">
        <v>1</v>
      </c>
    </row>
    <row r="1153" spans="1:22" x14ac:dyDescent="0.25">
      <c r="A1153" t="s">
        <v>2793</v>
      </c>
      <c r="B1153" s="1">
        <v>44259</v>
      </c>
      <c r="C1153" t="s">
        <v>2794</v>
      </c>
      <c r="D1153" t="s">
        <v>833</v>
      </c>
      <c r="E1153">
        <v>27</v>
      </c>
      <c r="F1153" t="str">
        <f>IF(Table1[[#This Row],[age]]&lt;=25,"18-25",IF(Table1[[#This Row],[age]]&lt;=35,"26-35",IF(Table1[[#This Row],[age]]&lt;=50,"36-50","51+")))</f>
        <v>26-35</v>
      </c>
      <c r="G1153" t="s">
        <v>34</v>
      </c>
      <c r="H1153" t="s">
        <v>69</v>
      </c>
      <c r="I1153" t="s">
        <v>181</v>
      </c>
      <c r="J1153" t="s">
        <v>101</v>
      </c>
      <c r="K1153" t="s">
        <v>456</v>
      </c>
      <c r="L1153">
        <v>2</v>
      </c>
      <c r="M1153">
        <v>12124.27</v>
      </c>
      <c r="N1153">
        <v>0.2</v>
      </c>
      <c r="O1153">
        <v>19621.740000000002</v>
      </c>
      <c r="P1153">
        <v>4737.6899999999996</v>
      </c>
      <c r="Q1153">
        <v>91.21</v>
      </c>
      <c r="R1153" t="s">
        <v>29</v>
      </c>
      <c r="S1153">
        <v>3</v>
      </c>
      <c r="T1153" t="b">
        <v>0</v>
      </c>
      <c r="U1153" t="s">
        <v>30</v>
      </c>
      <c r="V1153">
        <v>7</v>
      </c>
    </row>
    <row r="1154" spans="1:22" x14ac:dyDescent="0.25">
      <c r="A1154" t="s">
        <v>2795</v>
      </c>
      <c r="B1154" s="1">
        <v>44307</v>
      </c>
      <c r="C1154" t="s">
        <v>2796</v>
      </c>
      <c r="D1154" t="s">
        <v>352</v>
      </c>
      <c r="E1154">
        <v>49</v>
      </c>
      <c r="F1154" t="str">
        <f>IF(Table1[[#This Row],[age]]&lt;=25,"18-25",IF(Table1[[#This Row],[age]]&lt;=35,"26-35",IF(Table1[[#This Row],[age]]&lt;=50,"36-50","51+")))</f>
        <v>36-50</v>
      </c>
      <c r="G1154" t="s">
        <v>54</v>
      </c>
      <c r="H1154" t="s">
        <v>61</v>
      </c>
      <c r="I1154" t="s">
        <v>62</v>
      </c>
      <c r="J1154" t="s">
        <v>47</v>
      </c>
      <c r="K1154" t="s">
        <v>156</v>
      </c>
      <c r="L1154">
        <v>7</v>
      </c>
      <c r="M1154">
        <v>534.91</v>
      </c>
      <c r="N1154">
        <v>7.0000000000000007E-2</v>
      </c>
      <c r="O1154">
        <v>4674.41</v>
      </c>
      <c r="P1154">
        <v>2443.2199999999998</v>
      </c>
      <c r="Q1154">
        <v>61.73</v>
      </c>
      <c r="R1154" t="s">
        <v>43</v>
      </c>
      <c r="S1154">
        <v>1</v>
      </c>
      <c r="T1154" t="b">
        <v>0</v>
      </c>
      <c r="U1154" t="s">
        <v>71</v>
      </c>
      <c r="V1154">
        <v>7</v>
      </c>
    </row>
    <row r="1155" spans="1:22" x14ac:dyDescent="0.25">
      <c r="A1155" t="s">
        <v>2797</v>
      </c>
      <c r="B1155" s="1">
        <v>45315</v>
      </c>
      <c r="C1155" t="s">
        <v>2798</v>
      </c>
      <c r="D1155" t="s">
        <v>1914</v>
      </c>
      <c r="E1155">
        <v>46</v>
      </c>
      <c r="F1155" t="str">
        <f>IF(Table1[[#This Row],[age]]&lt;=25,"18-25",IF(Table1[[#This Row],[age]]&lt;=35,"26-35",IF(Table1[[#This Row],[age]]&lt;=50,"36-50","51+")))</f>
        <v>36-50</v>
      </c>
      <c r="G1155" t="s">
        <v>54</v>
      </c>
      <c r="H1155" t="s">
        <v>61</v>
      </c>
      <c r="I1155" t="s">
        <v>141</v>
      </c>
      <c r="J1155" t="s">
        <v>27</v>
      </c>
      <c r="K1155" t="s">
        <v>168</v>
      </c>
      <c r="L1155">
        <v>2</v>
      </c>
      <c r="M1155">
        <v>1022.14</v>
      </c>
      <c r="N1155">
        <v>0.23</v>
      </c>
      <c r="O1155">
        <v>1560.83</v>
      </c>
      <c r="P1155">
        <v>580.86</v>
      </c>
      <c r="Q1155">
        <v>51.54</v>
      </c>
      <c r="R1155" t="s">
        <v>65</v>
      </c>
      <c r="S1155">
        <v>5</v>
      </c>
      <c r="T1155" t="b">
        <v>1</v>
      </c>
      <c r="U1155" t="s">
        <v>50</v>
      </c>
      <c r="V1155">
        <v>4</v>
      </c>
    </row>
    <row r="1156" spans="1:22" x14ac:dyDescent="0.25">
      <c r="A1156" t="s">
        <v>2799</v>
      </c>
      <c r="B1156" s="1">
        <v>45603</v>
      </c>
      <c r="C1156" t="s">
        <v>2800</v>
      </c>
      <c r="D1156" t="s">
        <v>533</v>
      </c>
      <c r="E1156">
        <v>54</v>
      </c>
      <c r="F1156" t="str">
        <f>IF(Table1[[#This Row],[age]]&lt;=25,"18-25",IF(Table1[[#This Row],[age]]&lt;=35,"26-35",IF(Table1[[#This Row],[age]]&lt;=50,"36-50","51+")))</f>
        <v>51+</v>
      </c>
      <c r="G1156" t="s">
        <v>34</v>
      </c>
      <c r="H1156" t="s">
        <v>69</v>
      </c>
      <c r="I1156" t="s">
        <v>136</v>
      </c>
      <c r="J1156" t="s">
        <v>36</v>
      </c>
      <c r="K1156" t="s">
        <v>42</v>
      </c>
      <c r="L1156">
        <v>4</v>
      </c>
      <c r="M1156">
        <v>34537.46</v>
      </c>
      <c r="N1156">
        <v>0.05</v>
      </c>
      <c r="O1156">
        <v>208628.7</v>
      </c>
      <c r="P1156">
        <v>50381.67</v>
      </c>
      <c r="Q1156">
        <v>76.14</v>
      </c>
      <c r="R1156" t="s">
        <v>43</v>
      </c>
      <c r="S1156">
        <v>3</v>
      </c>
      <c r="T1156" t="b">
        <v>0</v>
      </c>
      <c r="U1156" t="s">
        <v>30</v>
      </c>
      <c r="V1156">
        <v>8</v>
      </c>
    </row>
    <row r="1157" spans="1:22" x14ac:dyDescent="0.25">
      <c r="A1157" t="s">
        <v>2801</v>
      </c>
      <c r="B1157" s="1">
        <v>43906</v>
      </c>
      <c r="C1157" t="s">
        <v>2802</v>
      </c>
      <c r="D1157" t="s">
        <v>1267</v>
      </c>
      <c r="E1157">
        <v>33</v>
      </c>
      <c r="F1157" t="str">
        <f>IF(Table1[[#This Row],[age]]&lt;=25,"18-25",IF(Table1[[#This Row],[age]]&lt;=35,"26-35",IF(Table1[[#This Row],[age]]&lt;=50,"36-50","51+")))</f>
        <v>26-35</v>
      </c>
      <c r="G1157" t="s">
        <v>54</v>
      </c>
      <c r="H1157" t="s">
        <v>69</v>
      </c>
      <c r="I1157" t="s">
        <v>181</v>
      </c>
      <c r="J1157" t="s">
        <v>47</v>
      </c>
      <c r="K1157" t="s">
        <v>600</v>
      </c>
      <c r="L1157">
        <v>8</v>
      </c>
      <c r="M1157">
        <v>1355.07</v>
      </c>
      <c r="N1157">
        <v>0.25</v>
      </c>
      <c r="O1157">
        <v>7286.92</v>
      </c>
      <c r="P1157">
        <v>3585.8</v>
      </c>
      <c r="Q1157">
        <v>86.98</v>
      </c>
      <c r="R1157" t="s">
        <v>29</v>
      </c>
      <c r="S1157">
        <v>4</v>
      </c>
      <c r="T1157" t="b">
        <v>0</v>
      </c>
      <c r="U1157" t="s">
        <v>93</v>
      </c>
      <c r="V1157">
        <v>5</v>
      </c>
    </row>
    <row r="1158" spans="1:22" x14ac:dyDescent="0.25">
      <c r="A1158" t="s">
        <v>2803</v>
      </c>
      <c r="B1158" s="1">
        <v>45083</v>
      </c>
      <c r="C1158" t="s">
        <v>2804</v>
      </c>
      <c r="D1158" t="s">
        <v>1136</v>
      </c>
      <c r="E1158">
        <v>32</v>
      </c>
      <c r="F1158" t="str">
        <f>IF(Table1[[#This Row],[age]]&lt;=25,"18-25",IF(Table1[[#This Row],[age]]&lt;=35,"26-35",IF(Table1[[#This Row],[age]]&lt;=50,"36-50","51+")))</f>
        <v>26-35</v>
      </c>
      <c r="G1158" t="s">
        <v>34</v>
      </c>
      <c r="H1158" t="s">
        <v>69</v>
      </c>
      <c r="I1158" t="s">
        <v>221</v>
      </c>
      <c r="J1158" t="s">
        <v>36</v>
      </c>
      <c r="K1158" t="s">
        <v>42</v>
      </c>
      <c r="L1158">
        <v>9</v>
      </c>
      <c r="M1158">
        <v>24542.85</v>
      </c>
      <c r="N1158">
        <v>0.3</v>
      </c>
      <c r="O1158">
        <v>291832.52</v>
      </c>
      <c r="P1158">
        <v>76203.02</v>
      </c>
      <c r="Q1158">
        <v>95.21</v>
      </c>
      <c r="R1158" t="s">
        <v>57</v>
      </c>
      <c r="S1158">
        <v>2</v>
      </c>
      <c r="T1158" t="b">
        <v>0</v>
      </c>
      <c r="U1158" t="s">
        <v>30</v>
      </c>
      <c r="V1158">
        <v>6</v>
      </c>
    </row>
    <row r="1159" spans="1:22" x14ac:dyDescent="0.25">
      <c r="A1159" t="s">
        <v>2805</v>
      </c>
      <c r="B1159" s="1">
        <v>44970</v>
      </c>
      <c r="C1159" t="s">
        <v>2806</v>
      </c>
      <c r="D1159" t="s">
        <v>343</v>
      </c>
      <c r="E1159">
        <v>34</v>
      </c>
      <c r="F1159" t="str">
        <f>IF(Table1[[#This Row],[age]]&lt;=25,"18-25",IF(Table1[[#This Row],[age]]&lt;=35,"26-35",IF(Table1[[#This Row],[age]]&lt;=50,"36-50","51+")))</f>
        <v>26-35</v>
      </c>
      <c r="G1159" t="s">
        <v>54</v>
      </c>
      <c r="H1159" t="s">
        <v>61</v>
      </c>
      <c r="I1159" t="s">
        <v>62</v>
      </c>
      <c r="J1159" t="s">
        <v>115</v>
      </c>
      <c r="K1159" t="s">
        <v>398</v>
      </c>
      <c r="L1159">
        <v>8</v>
      </c>
      <c r="M1159">
        <v>78209.240000000005</v>
      </c>
      <c r="N1159">
        <v>0.1</v>
      </c>
      <c r="O1159">
        <v>571749.49</v>
      </c>
      <c r="P1159">
        <v>85521.04</v>
      </c>
      <c r="Q1159">
        <v>51.05</v>
      </c>
      <c r="R1159" t="s">
        <v>49</v>
      </c>
      <c r="S1159">
        <v>1</v>
      </c>
      <c r="T1159" t="b">
        <v>0</v>
      </c>
      <c r="U1159" t="s">
        <v>93</v>
      </c>
      <c r="V1159">
        <v>1</v>
      </c>
    </row>
    <row r="1160" spans="1:22" x14ac:dyDescent="0.25">
      <c r="A1160" t="s">
        <v>2807</v>
      </c>
      <c r="B1160" s="1">
        <v>44572</v>
      </c>
      <c r="C1160" t="s">
        <v>899</v>
      </c>
      <c r="D1160" t="s">
        <v>663</v>
      </c>
      <c r="E1160">
        <v>36</v>
      </c>
      <c r="F1160" t="str">
        <f>IF(Table1[[#This Row],[age]]&lt;=25,"18-25",IF(Table1[[#This Row],[age]]&lt;=35,"26-35",IF(Table1[[#This Row],[age]]&lt;=50,"36-50","51+")))</f>
        <v>36-50</v>
      </c>
      <c r="G1160" t="s">
        <v>34</v>
      </c>
      <c r="H1160" t="s">
        <v>80</v>
      </c>
      <c r="I1160" t="s">
        <v>86</v>
      </c>
      <c r="J1160" t="s">
        <v>63</v>
      </c>
      <c r="K1160" t="s">
        <v>434</v>
      </c>
      <c r="L1160">
        <v>3</v>
      </c>
      <c r="M1160">
        <v>3496.76</v>
      </c>
      <c r="N1160">
        <v>0.05</v>
      </c>
      <c r="O1160">
        <v>8060.61</v>
      </c>
      <c r="P1160">
        <v>2308.11</v>
      </c>
      <c r="Q1160">
        <v>40.950000000000003</v>
      </c>
      <c r="R1160" t="s">
        <v>57</v>
      </c>
      <c r="S1160">
        <v>4</v>
      </c>
      <c r="T1160" t="b">
        <v>0</v>
      </c>
      <c r="U1160" t="s">
        <v>30</v>
      </c>
      <c r="V1160">
        <v>3</v>
      </c>
    </row>
    <row r="1161" spans="1:22" x14ac:dyDescent="0.25">
      <c r="A1161" t="s">
        <v>2808</v>
      </c>
      <c r="B1161" s="1">
        <v>43922</v>
      </c>
      <c r="C1161" t="s">
        <v>2809</v>
      </c>
      <c r="D1161" t="s">
        <v>1647</v>
      </c>
      <c r="E1161">
        <v>25</v>
      </c>
      <c r="F1161" t="str">
        <f>IF(Table1[[#This Row],[age]]&lt;=25,"18-25",IF(Table1[[#This Row],[age]]&lt;=35,"26-35",IF(Table1[[#This Row],[age]]&lt;=50,"36-50","51+")))</f>
        <v>18-25</v>
      </c>
      <c r="G1161" t="s">
        <v>34</v>
      </c>
      <c r="H1161" t="s">
        <v>55</v>
      </c>
      <c r="I1161" t="s">
        <v>56</v>
      </c>
      <c r="J1161" t="s">
        <v>115</v>
      </c>
      <c r="K1161" t="s">
        <v>145</v>
      </c>
      <c r="L1161">
        <v>5</v>
      </c>
      <c r="M1161">
        <v>74661.960000000006</v>
      </c>
      <c r="N1161">
        <v>0.1</v>
      </c>
      <c r="O1161">
        <v>413676.41</v>
      </c>
      <c r="P1161">
        <v>38409.75</v>
      </c>
      <c r="Q1161">
        <v>43.58</v>
      </c>
      <c r="R1161" t="s">
        <v>29</v>
      </c>
      <c r="S1161">
        <v>3</v>
      </c>
      <c r="T1161" t="b">
        <v>0</v>
      </c>
      <c r="U1161" t="s">
        <v>30</v>
      </c>
      <c r="V1161">
        <v>9</v>
      </c>
    </row>
    <row r="1162" spans="1:22" x14ac:dyDescent="0.25">
      <c r="A1162" t="s">
        <v>2810</v>
      </c>
      <c r="B1162" s="1">
        <v>44938</v>
      </c>
      <c r="C1162" t="s">
        <v>2811</v>
      </c>
      <c r="D1162" t="s">
        <v>1521</v>
      </c>
      <c r="E1162">
        <v>29</v>
      </c>
      <c r="F1162" t="str">
        <f>IF(Table1[[#This Row],[age]]&lt;=25,"18-25",IF(Table1[[#This Row],[age]]&lt;=35,"26-35",IF(Table1[[#This Row],[age]]&lt;=50,"36-50","51+")))</f>
        <v>26-35</v>
      </c>
      <c r="G1162" t="s">
        <v>54</v>
      </c>
      <c r="H1162" t="s">
        <v>55</v>
      </c>
      <c r="I1162" t="s">
        <v>75</v>
      </c>
      <c r="J1162" t="s">
        <v>106</v>
      </c>
      <c r="K1162" t="s">
        <v>718</v>
      </c>
      <c r="L1162">
        <v>1</v>
      </c>
      <c r="M1162">
        <v>243.91</v>
      </c>
      <c r="N1162">
        <v>0.3</v>
      </c>
      <c r="O1162">
        <v>164.22</v>
      </c>
      <c r="P1162">
        <v>16.45</v>
      </c>
      <c r="Q1162">
        <v>53.75</v>
      </c>
      <c r="R1162" t="s">
        <v>49</v>
      </c>
      <c r="S1162">
        <v>5</v>
      </c>
      <c r="T1162" t="b">
        <v>0</v>
      </c>
      <c r="U1162" t="s">
        <v>93</v>
      </c>
      <c r="V1162">
        <v>3</v>
      </c>
    </row>
    <row r="1163" spans="1:22" x14ac:dyDescent="0.25">
      <c r="A1163" t="s">
        <v>2812</v>
      </c>
      <c r="B1163" s="1">
        <v>45564</v>
      </c>
      <c r="C1163" t="s">
        <v>2813</v>
      </c>
      <c r="D1163" t="s">
        <v>1330</v>
      </c>
      <c r="E1163">
        <v>22</v>
      </c>
      <c r="F1163" t="str">
        <f>IF(Table1[[#This Row],[age]]&lt;=25,"18-25",IF(Table1[[#This Row],[age]]&lt;=35,"26-35",IF(Table1[[#This Row],[age]]&lt;=50,"36-50","51+")))</f>
        <v>18-25</v>
      </c>
      <c r="G1163" t="s">
        <v>54</v>
      </c>
      <c r="H1163" t="s">
        <v>25</v>
      </c>
      <c r="I1163" t="s">
        <v>35</v>
      </c>
      <c r="J1163" t="s">
        <v>47</v>
      </c>
      <c r="K1163" t="s">
        <v>600</v>
      </c>
      <c r="L1163">
        <v>2</v>
      </c>
      <c r="M1163">
        <v>1099.72</v>
      </c>
      <c r="N1163">
        <v>0.22</v>
      </c>
      <c r="O1163">
        <v>2033.79</v>
      </c>
      <c r="P1163">
        <v>869.03</v>
      </c>
      <c r="Q1163">
        <v>61.35</v>
      </c>
      <c r="R1163" t="s">
        <v>65</v>
      </c>
      <c r="S1163">
        <v>3</v>
      </c>
      <c r="T1163" t="b">
        <v>0</v>
      </c>
      <c r="U1163" t="s">
        <v>30</v>
      </c>
      <c r="V1163">
        <v>4</v>
      </c>
    </row>
    <row r="1164" spans="1:22" x14ac:dyDescent="0.25">
      <c r="A1164" t="s">
        <v>2814</v>
      </c>
      <c r="B1164" s="1">
        <v>45061</v>
      </c>
      <c r="C1164" t="s">
        <v>2815</v>
      </c>
      <c r="D1164" t="s">
        <v>1756</v>
      </c>
      <c r="E1164">
        <v>35</v>
      </c>
      <c r="F1164" t="str">
        <f>IF(Table1[[#This Row],[age]]&lt;=25,"18-25",IF(Table1[[#This Row],[age]]&lt;=35,"26-35",IF(Table1[[#This Row],[age]]&lt;=50,"36-50","51+")))</f>
        <v>26-35</v>
      </c>
      <c r="G1164" t="s">
        <v>24</v>
      </c>
      <c r="H1164" t="s">
        <v>80</v>
      </c>
      <c r="I1164" t="s">
        <v>81</v>
      </c>
      <c r="J1164" t="s">
        <v>101</v>
      </c>
      <c r="K1164" t="s">
        <v>164</v>
      </c>
      <c r="L1164">
        <v>2</v>
      </c>
      <c r="M1164">
        <v>5536.92</v>
      </c>
      <c r="N1164">
        <v>7.0000000000000007E-2</v>
      </c>
      <c r="O1164">
        <v>16264.24</v>
      </c>
      <c r="P1164">
        <v>5022.79</v>
      </c>
      <c r="Q1164">
        <v>86.81</v>
      </c>
      <c r="R1164" t="s">
        <v>65</v>
      </c>
      <c r="S1164">
        <v>5</v>
      </c>
      <c r="T1164" t="b">
        <v>0</v>
      </c>
      <c r="U1164" t="s">
        <v>71</v>
      </c>
      <c r="V1164">
        <v>4</v>
      </c>
    </row>
    <row r="1165" spans="1:22" x14ac:dyDescent="0.25">
      <c r="A1165" t="s">
        <v>2816</v>
      </c>
      <c r="B1165" s="1">
        <v>45186</v>
      </c>
      <c r="C1165" t="s">
        <v>2817</v>
      </c>
      <c r="D1165" t="s">
        <v>826</v>
      </c>
      <c r="E1165">
        <v>32</v>
      </c>
      <c r="F1165" t="str">
        <f>IF(Table1[[#This Row],[age]]&lt;=25,"18-25",IF(Table1[[#This Row],[age]]&lt;=35,"26-35",IF(Table1[[#This Row],[age]]&lt;=50,"36-50","51+")))</f>
        <v>26-35</v>
      </c>
      <c r="G1165" t="s">
        <v>34</v>
      </c>
      <c r="H1165" t="s">
        <v>61</v>
      </c>
      <c r="I1165" t="s">
        <v>163</v>
      </c>
      <c r="J1165" t="s">
        <v>27</v>
      </c>
      <c r="K1165" t="s">
        <v>335</v>
      </c>
      <c r="L1165">
        <v>10</v>
      </c>
      <c r="M1165">
        <v>384.92</v>
      </c>
      <c r="N1165">
        <v>0.13</v>
      </c>
      <c r="O1165">
        <v>3802.28</v>
      </c>
      <c r="P1165">
        <v>1470.62</v>
      </c>
      <c r="Q1165">
        <v>46.05</v>
      </c>
      <c r="R1165" t="s">
        <v>43</v>
      </c>
      <c r="S1165">
        <v>1</v>
      </c>
      <c r="T1165" t="b">
        <v>0</v>
      </c>
      <c r="U1165" t="s">
        <v>193</v>
      </c>
      <c r="V1165">
        <v>9</v>
      </c>
    </row>
    <row r="1166" spans="1:22" x14ac:dyDescent="0.25">
      <c r="A1166" t="s">
        <v>2818</v>
      </c>
      <c r="B1166" s="1">
        <v>43986</v>
      </c>
      <c r="C1166" t="s">
        <v>2819</v>
      </c>
      <c r="D1166" t="s">
        <v>210</v>
      </c>
      <c r="E1166">
        <v>44</v>
      </c>
      <c r="F1166" t="str">
        <f>IF(Table1[[#This Row],[age]]&lt;=25,"18-25",IF(Table1[[#This Row],[age]]&lt;=35,"26-35",IF(Table1[[#This Row],[age]]&lt;=50,"36-50","51+")))</f>
        <v>36-50</v>
      </c>
      <c r="G1166" t="s">
        <v>24</v>
      </c>
      <c r="H1166" t="s">
        <v>25</v>
      </c>
      <c r="I1166" t="s">
        <v>298</v>
      </c>
      <c r="J1166" t="s">
        <v>106</v>
      </c>
      <c r="K1166" t="s">
        <v>314</v>
      </c>
      <c r="L1166">
        <v>10</v>
      </c>
      <c r="M1166">
        <v>350.15</v>
      </c>
      <c r="N1166">
        <v>7.0000000000000007E-2</v>
      </c>
      <c r="O1166">
        <v>4245.67</v>
      </c>
      <c r="P1166">
        <v>346.67</v>
      </c>
      <c r="Q1166">
        <v>62.1</v>
      </c>
      <c r="R1166" t="s">
        <v>57</v>
      </c>
      <c r="S1166">
        <v>3</v>
      </c>
      <c r="T1166" t="b">
        <v>1</v>
      </c>
      <c r="U1166" t="s">
        <v>50</v>
      </c>
      <c r="V1166">
        <v>1</v>
      </c>
    </row>
    <row r="1167" spans="1:22" x14ac:dyDescent="0.25">
      <c r="A1167" t="s">
        <v>2820</v>
      </c>
      <c r="B1167" s="1">
        <v>43909</v>
      </c>
      <c r="C1167" t="s">
        <v>2821</v>
      </c>
      <c r="D1167" t="s">
        <v>2721</v>
      </c>
      <c r="E1167">
        <v>24</v>
      </c>
      <c r="F1167" t="str">
        <f>IF(Table1[[#This Row],[age]]&lt;=25,"18-25",IF(Table1[[#This Row],[age]]&lt;=35,"26-35",IF(Table1[[#This Row],[age]]&lt;=50,"36-50","51+")))</f>
        <v>18-25</v>
      </c>
      <c r="G1167" t="s">
        <v>24</v>
      </c>
      <c r="H1167" t="s">
        <v>55</v>
      </c>
      <c r="I1167" t="s">
        <v>75</v>
      </c>
      <c r="J1167" t="s">
        <v>115</v>
      </c>
      <c r="K1167" t="s">
        <v>145</v>
      </c>
      <c r="L1167">
        <v>6</v>
      </c>
      <c r="M1167">
        <v>15086.96</v>
      </c>
      <c r="N1167">
        <v>0.13</v>
      </c>
      <c r="O1167">
        <v>83619.759999999995</v>
      </c>
      <c r="P1167">
        <v>10183.25</v>
      </c>
      <c r="Q1167">
        <v>74.72</v>
      </c>
      <c r="R1167" t="s">
        <v>57</v>
      </c>
      <c r="S1167">
        <v>1</v>
      </c>
      <c r="T1167" t="b">
        <v>0</v>
      </c>
      <c r="U1167" t="s">
        <v>30</v>
      </c>
      <c r="V1167">
        <v>4</v>
      </c>
    </row>
    <row r="1168" spans="1:22" x14ac:dyDescent="0.25">
      <c r="A1168" t="s">
        <v>2822</v>
      </c>
      <c r="B1168" s="1">
        <v>45467</v>
      </c>
      <c r="C1168" t="s">
        <v>2823</v>
      </c>
      <c r="D1168" t="s">
        <v>748</v>
      </c>
      <c r="E1168">
        <v>18</v>
      </c>
      <c r="F1168" t="str">
        <f>IF(Table1[[#This Row],[age]]&lt;=25,"18-25",IF(Table1[[#This Row],[age]]&lt;=35,"26-35",IF(Table1[[#This Row],[age]]&lt;=50,"36-50","51+")))</f>
        <v>18-25</v>
      </c>
      <c r="G1168" t="s">
        <v>54</v>
      </c>
      <c r="H1168" t="s">
        <v>69</v>
      </c>
      <c r="I1168" t="s">
        <v>136</v>
      </c>
      <c r="J1168" t="s">
        <v>101</v>
      </c>
      <c r="K1168" t="s">
        <v>164</v>
      </c>
      <c r="L1168">
        <v>4</v>
      </c>
      <c r="M1168">
        <v>6805.31</v>
      </c>
      <c r="N1168">
        <v>0.01</v>
      </c>
      <c r="O1168">
        <v>48326.79</v>
      </c>
      <c r="P1168">
        <v>11120.45</v>
      </c>
      <c r="Q1168">
        <v>101.73</v>
      </c>
      <c r="R1168" t="s">
        <v>43</v>
      </c>
      <c r="S1168">
        <v>2</v>
      </c>
      <c r="T1168" t="b">
        <v>1</v>
      </c>
      <c r="U1168" t="s">
        <v>50</v>
      </c>
      <c r="V1168">
        <v>3</v>
      </c>
    </row>
    <row r="1169" spans="1:22" x14ac:dyDescent="0.25">
      <c r="A1169" t="s">
        <v>2824</v>
      </c>
      <c r="B1169" s="1">
        <v>44598</v>
      </c>
      <c r="C1169" t="s">
        <v>2825</v>
      </c>
      <c r="D1169" t="s">
        <v>502</v>
      </c>
      <c r="E1169">
        <v>20</v>
      </c>
      <c r="F1169" t="str">
        <f>IF(Table1[[#This Row],[age]]&lt;=25,"18-25",IF(Table1[[#This Row],[age]]&lt;=35,"26-35",IF(Table1[[#This Row],[age]]&lt;=50,"36-50","51+")))</f>
        <v>18-25</v>
      </c>
      <c r="G1169" t="s">
        <v>24</v>
      </c>
      <c r="H1169" t="s">
        <v>69</v>
      </c>
      <c r="I1169" t="s">
        <v>136</v>
      </c>
      <c r="J1169" t="s">
        <v>63</v>
      </c>
      <c r="K1169" t="s">
        <v>87</v>
      </c>
      <c r="L1169">
        <v>2</v>
      </c>
      <c r="M1169">
        <v>2075.29</v>
      </c>
      <c r="N1169">
        <v>0.21</v>
      </c>
      <c r="O1169">
        <v>2998.78</v>
      </c>
      <c r="P1169">
        <v>1031.57</v>
      </c>
      <c r="Q1169">
        <v>62.3</v>
      </c>
      <c r="R1169" t="s">
        <v>29</v>
      </c>
      <c r="S1169">
        <v>4</v>
      </c>
      <c r="T1169" t="b">
        <v>0</v>
      </c>
      <c r="U1169" t="s">
        <v>30</v>
      </c>
      <c r="V1169">
        <v>1</v>
      </c>
    </row>
    <row r="1170" spans="1:22" x14ac:dyDescent="0.25">
      <c r="A1170" t="s">
        <v>2826</v>
      </c>
      <c r="B1170" s="1">
        <v>44227</v>
      </c>
      <c r="C1170" t="s">
        <v>2827</v>
      </c>
      <c r="D1170" t="s">
        <v>1362</v>
      </c>
      <c r="E1170">
        <v>18</v>
      </c>
      <c r="F1170" t="str">
        <f>IF(Table1[[#This Row],[age]]&lt;=25,"18-25",IF(Table1[[#This Row],[age]]&lt;=35,"26-35",IF(Table1[[#This Row],[age]]&lt;=50,"36-50","51+")))</f>
        <v>18-25</v>
      </c>
      <c r="G1170" t="s">
        <v>24</v>
      </c>
      <c r="H1170" t="s">
        <v>55</v>
      </c>
      <c r="I1170" t="s">
        <v>56</v>
      </c>
      <c r="J1170" t="s">
        <v>36</v>
      </c>
      <c r="K1170" t="s">
        <v>132</v>
      </c>
      <c r="L1170">
        <v>1</v>
      </c>
      <c r="M1170">
        <v>10111.030000000001</v>
      </c>
      <c r="N1170">
        <v>0.27</v>
      </c>
      <c r="O1170">
        <v>6692.45</v>
      </c>
      <c r="P1170">
        <v>2226.89</v>
      </c>
      <c r="Q1170">
        <v>30.16</v>
      </c>
      <c r="R1170" t="s">
        <v>29</v>
      </c>
      <c r="S1170">
        <v>2</v>
      </c>
      <c r="T1170" t="b">
        <v>0</v>
      </c>
      <c r="U1170" t="s">
        <v>30</v>
      </c>
      <c r="V1170">
        <v>4</v>
      </c>
    </row>
    <row r="1171" spans="1:22" x14ac:dyDescent="0.25">
      <c r="A1171" t="s">
        <v>2828</v>
      </c>
      <c r="B1171" s="1">
        <v>45214</v>
      </c>
      <c r="C1171" t="s">
        <v>2829</v>
      </c>
      <c r="D1171" t="s">
        <v>1103</v>
      </c>
      <c r="E1171">
        <v>18</v>
      </c>
      <c r="F1171" t="str">
        <f>IF(Table1[[#This Row],[age]]&lt;=25,"18-25",IF(Table1[[#This Row],[age]]&lt;=35,"26-35",IF(Table1[[#This Row],[age]]&lt;=50,"36-50","51+")))</f>
        <v>18-25</v>
      </c>
      <c r="G1171" t="s">
        <v>24</v>
      </c>
      <c r="H1171" t="s">
        <v>69</v>
      </c>
      <c r="I1171" t="s">
        <v>181</v>
      </c>
      <c r="J1171" t="s">
        <v>27</v>
      </c>
      <c r="K1171" t="s">
        <v>192</v>
      </c>
      <c r="L1171">
        <v>2</v>
      </c>
      <c r="M1171">
        <v>2007.33</v>
      </c>
      <c r="N1171">
        <v>0.17</v>
      </c>
      <c r="O1171">
        <v>3672.85</v>
      </c>
      <c r="P1171">
        <v>1779.77</v>
      </c>
      <c r="Q1171">
        <v>78.53</v>
      </c>
      <c r="R1171" t="s">
        <v>65</v>
      </c>
      <c r="S1171">
        <v>5</v>
      </c>
      <c r="T1171" t="b">
        <v>0</v>
      </c>
      <c r="U1171" t="s">
        <v>30</v>
      </c>
      <c r="V1171">
        <v>2</v>
      </c>
    </row>
    <row r="1172" spans="1:22" x14ac:dyDescent="0.25">
      <c r="A1172" t="s">
        <v>2830</v>
      </c>
      <c r="B1172" s="1">
        <v>44250</v>
      </c>
      <c r="C1172" t="s">
        <v>2831</v>
      </c>
      <c r="D1172" t="s">
        <v>784</v>
      </c>
      <c r="E1172">
        <v>24</v>
      </c>
      <c r="F1172" t="str">
        <f>IF(Table1[[#This Row],[age]]&lt;=25,"18-25",IF(Table1[[#This Row],[age]]&lt;=35,"26-35",IF(Table1[[#This Row],[age]]&lt;=50,"36-50","51+")))</f>
        <v>18-25</v>
      </c>
      <c r="G1172" t="s">
        <v>24</v>
      </c>
      <c r="H1172" t="s">
        <v>69</v>
      </c>
      <c r="I1172" t="s">
        <v>136</v>
      </c>
      <c r="J1172" t="s">
        <v>36</v>
      </c>
      <c r="K1172" t="s">
        <v>230</v>
      </c>
      <c r="L1172">
        <v>5</v>
      </c>
      <c r="M1172">
        <v>2018.71</v>
      </c>
      <c r="N1172">
        <v>0.33</v>
      </c>
      <c r="O1172">
        <v>6353.83</v>
      </c>
      <c r="P1172">
        <v>1860.03</v>
      </c>
      <c r="Q1172">
        <v>62.35</v>
      </c>
      <c r="R1172" t="s">
        <v>43</v>
      </c>
      <c r="S1172">
        <v>5</v>
      </c>
      <c r="T1172" t="b">
        <v>0</v>
      </c>
      <c r="U1172" t="s">
        <v>30</v>
      </c>
      <c r="V1172">
        <v>1</v>
      </c>
    </row>
    <row r="1173" spans="1:22" x14ac:dyDescent="0.25">
      <c r="A1173" t="s">
        <v>2832</v>
      </c>
      <c r="B1173" s="1">
        <v>45498</v>
      </c>
      <c r="C1173" t="s">
        <v>2833</v>
      </c>
      <c r="D1173" t="s">
        <v>923</v>
      </c>
      <c r="E1173">
        <v>37</v>
      </c>
      <c r="F1173" t="str">
        <f>IF(Table1[[#This Row],[age]]&lt;=25,"18-25",IF(Table1[[#This Row],[age]]&lt;=35,"26-35",IF(Table1[[#This Row],[age]]&lt;=50,"36-50","51+")))</f>
        <v>36-50</v>
      </c>
      <c r="G1173" t="s">
        <v>24</v>
      </c>
      <c r="H1173" t="s">
        <v>69</v>
      </c>
      <c r="I1173" t="s">
        <v>136</v>
      </c>
      <c r="J1173" t="s">
        <v>63</v>
      </c>
      <c r="K1173" t="s">
        <v>152</v>
      </c>
      <c r="L1173">
        <v>6</v>
      </c>
      <c r="M1173">
        <v>3101.95</v>
      </c>
      <c r="N1173">
        <v>0.35</v>
      </c>
      <c r="O1173">
        <v>20358.13</v>
      </c>
      <c r="P1173">
        <v>7357.07</v>
      </c>
      <c r="Q1173">
        <v>89.04</v>
      </c>
      <c r="R1173" t="s">
        <v>57</v>
      </c>
      <c r="S1173">
        <v>3</v>
      </c>
      <c r="T1173" t="b">
        <v>1</v>
      </c>
      <c r="U1173" t="s">
        <v>50</v>
      </c>
      <c r="V1173">
        <v>7</v>
      </c>
    </row>
    <row r="1174" spans="1:22" x14ac:dyDescent="0.25">
      <c r="A1174" t="s">
        <v>2834</v>
      </c>
      <c r="B1174" s="1">
        <v>45198</v>
      </c>
      <c r="C1174" t="s">
        <v>2835</v>
      </c>
      <c r="D1174" t="s">
        <v>1092</v>
      </c>
      <c r="E1174">
        <v>38</v>
      </c>
      <c r="F1174" t="str">
        <f>IF(Table1[[#This Row],[age]]&lt;=25,"18-25",IF(Table1[[#This Row],[age]]&lt;=35,"26-35",IF(Table1[[#This Row],[age]]&lt;=50,"36-50","51+")))</f>
        <v>36-50</v>
      </c>
      <c r="G1174" t="s">
        <v>54</v>
      </c>
      <c r="H1174" t="s">
        <v>61</v>
      </c>
      <c r="I1174" t="s">
        <v>62</v>
      </c>
      <c r="J1174" t="s">
        <v>36</v>
      </c>
      <c r="K1174" t="s">
        <v>132</v>
      </c>
      <c r="L1174">
        <v>8</v>
      </c>
      <c r="M1174">
        <v>24623.45</v>
      </c>
      <c r="N1174">
        <v>0.03</v>
      </c>
      <c r="O1174">
        <v>242532.88</v>
      </c>
      <c r="P1174">
        <v>63126.55</v>
      </c>
      <c r="Q1174">
        <v>36.04</v>
      </c>
      <c r="R1174" t="s">
        <v>57</v>
      </c>
      <c r="S1174">
        <v>1</v>
      </c>
      <c r="T1174" t="b">
        <v>0</v>
      </c>
      <c r="U1174" t="s">
        <v>30</v>
      </c>
      <c r="V1174">
        <v>4</v>
      </c>
    </row>
    <row r="1175" spans="1:22" x14ac:dyDescent="0.25">
      <c r="A1175" t="s">
        <v>2836</v>
      </c>
      <c r="B1175" s="1">
        <v>45027</v>
      </c>
      <c r="C1175" t="s">
        <v>2837</v>
      </c>
      <c r="D1175" t="s">
        <v>196</v>
      </c>
      <c r="E1175">
        <v>36</v>
      </c>
      <c r="F1175" t="str">
        <f>IF(Table1[[#This Row],[age]]&lt;=25,"18-25",IF(Table1[[#This Row],[age]]&lt;=35,"26-35",IF(Table1[[#This Row],[age]]&lt;=50,"36-50","51+")))</f>
        <v>36-50</v>
      </c>
      <c r="G1175" t="s">
        <v>34</v>
      </c>
      <c r="H1175" t="s">
        <v>55</v>
      </c>
      <c r="I1175" t="s">
        <v>75</v>
      </c>
      <c r="J1175" t="s">
        <v>115</v>
      </c>
      <c r="K1175" t="s">
        <v>145</v>
      </c>
      <c r="L1175">
        <v>5</v>
      </c>
      <c r="M1175">
        <v>18000.28</v>
      </c>
      <c r="N1175">
        <v>0.12</v>
      </c>
      <c r="O1175">
        <v>109973.4</v>
      </c>
      <c r="P1175">
        <v>11424.94</v>
      </c>
      <c r="Q1175">
        <v>73.2</v>
      </c>
      <c r="R1175" t="s">
        <v>29</v>
      </c>
      <c r="S1175">
        <v>4</v>
      </c>
      <c r="T1175" t="b">
        <v>0</v>
      </c>
      <c r="U1175" t="s">
        <v>30</v>
      </c>
      <c r="V1175">
        <v>2</v>
      </c>
    </row>
    <row r="1176" spans="1:22" x14ac:dyDescent="0.25">
      <c r="A1176" t="s">
        <v>2838</v>
      </c>
      <c r="B1176" s="1">
        <v>44183</v>
      </c>
      <c r="C1176" t="s">
        <v>2839</v>
      </c>
      <c r="D1176" t="s">
        <v>23</v>
      </c>
      <c r="E1176">
        <v>53</v>
      </c>
      <c r="F1176" t="str">
        <f>IF(Table1[[#This Row],[age]]&lt;=25,"18-25",IF(Table1[[#This Row],[age]]&lt;=35,"26-35",IF(Table1[[#This Row],[age]]&lt;=50,"36-50","51+")))</f>
        <v>51+</v>
      </c>
      <c r="G1176" t="s">
        <v>24</v>
      </c>
      <c r="H1176" t="s">
        <v>69</v>
      </c>
      <c r="I1176" t="s">
        <v>221</v>
      </c>
      <c r="J1176" t="s">
        <v>106</v>
      </c>
      <c r="K1176" t="s">
        <v>314</v>
      </c>
      <c r="L1176">
        <v>3</v>
      </c>
      <c r="M1176">
        <v>284.05</v>
      </c>
      <c r="N1176">
        <v>0.26</v>
      </c>
      <c r="O1176">
        <v>407.29</v>
      </c>
      <c r="P1176">
        <v>27.33</v>
      </c>
      <c r="Q1176">
        <v>74.569999999999993</v>
      </c>
      <c r="R1176" t="s">
        <v>43</v>
      </c>
      <c r="S1176">
        <v>2</v>
      </c>
      <c r="T1176" t="b">
        <v>0</v>
      </c>
      <c r="U1176" t="s">
        <v>30</v>
      </c>
      <c r="V1176">
        <v>2</v>
      </c>
    </row>
    <row r="1177" spans="1:22" x14ac:dyDescent="0.25">
      <c r="A1177" t="s">
        <v>2840</v>
      </c>
      <c r="B1177" s="1">
        <v>45281</v>
      </c>
      <c r="C1177" t="s">
        <v>2841</v>
      </c>
      <c r="D1177" t="s">
        <v>826</v>
      </c>
      <c r="E1177">
        <v>29</v>
      </c>
      <c r="F1177" t="str">
        <f>IF(Table1[[#This Row],[age]]&lt;=25,"18-25",IF(Table1[[#This Row],[age]]&lt;=35,"26-35",IF(Table1[[#This Row],[age]]&lt;=50,"36-50","51+")))</f>
        <v>26-35</v>
      </c>
      <c r="G1177" t="s">
        <v>24</v>
      </c>
      <c r="H1177" t="s">
        <v>69</v>
      </c>
      <c r="I1177" t="s">
        <v>70</v>
      </c>
      <c r="J1177" t="s">
        <v>106</v>
      </c>
      <c r="K1177" t="s">
        <v>718</v>
      </c>
      <c r="L1177">
        <v>9</v>
      </c>
      <c r="M1177">
        <v>344.79</v>
      </c>
      <c r="N1177">
        <v>0.33</v>
      </c>
      <c r="O1177">
        <v>2084.9</v>
      </c>
      <c r="P1177">
        <v>132.76</v>
      </c>
      <c r="Q1177">
        <v>57.21</v>
      </c>
      <c r="R1177" t="s">
        <v>65</v>
      </c>
      <c r="S1177">
        <v>2</v>
      </c>
      <c r="T1177" t="b">
        <v>0</v>
      </c>
      <c r="U1177" t="s">
        <v>71</v>
      </c>
      <c r="V1177">
        <v>10</v>
      </c>
    </row>
    <row r="1178" spans="1:22" x14ac:dyDescent="0.25">
      <c r="A1178" t="s">
        <v>2842</v>
      </c>
      <c r="B1178" s="1">
        <v>44225</v>
      </c>
      <c r="C1178" t="s">
        <v>2843</v>
      </c>
      <c r="D1178" t="s">
        <v>213</v>
      </c>
      <c r="E1178">
        <v>51</v>
      </c>
      <c r="F1178" t="str">
        <f>IF(Table1[[#This Row],[age]]&lt;=25,"18-25",IF(Table1[[#This Row],[age]]&lt;=35,"26-35",IF(Table1[[#This Row],[age]]&lt;=50,"36-50","51+")))</f>
        <v>51+</v>
      </c>
      <c r="G1178" t="s">
        <v>54</v>
      </c>
      <c r="H1178" t="s">
        <v>25</v>
      </c>
      <c r="I1178" t="s">
        <v>26</v>
      </c>
      <c r="J1178" t="s">
        <v>27</v>
      </c>
      <c r="K1178" t="s">
        <v>335</v>
      </c>
      <c r="L1178">
        <v>4</v>
      </c>
      <c r="M1178">
        <v>1427.81</v>
      </c>
      <c r="N1178">
        <v>0.28000000000000003</v>
      </c>
      <c r="O1178">
        <v>3737.3</v>
      </c>
      <c r="P1178">
        <v>1821.21</v>
      </c>
      <c r="Q1178">
        <v>66.760000000000005</v>
      </c>
      <c r="R1178" t="s">
        <v>57</v>
      </c>
      <c r="S1178">
        <v>4</v>
      </c>
      <c r="T1178" t="b">
        <v>0</v>
      </c>
      <c r="U1178" t="s">
        <v>30</v>
      </c>
      <c r="V1178">
        <v>5</v>
      </c>
    </row>
    <row r="1179" spans="1:22" x14ac:dyDescent="0.25">
      <c r="A1179" t="s">
        <v>2844</v>
      </c>
      <c r="B1179" s="1">
        <v>45550</v>
      </c>
      <c r="C1179" t="s">
        <v>2845</v>
      </c>
      <c r="D1179" t="s">
        <v>1825</v>
      </c>
      <c r="E1179">
        <v>63</v>
      </c>
      <c r="F1179" t="str">
        <f>IF(Table1[[#This Row],[age]]&lt;=25,"18-25",IF(Table1[[#This Row],[age]]&lt;=35,"26-35",IF(Table1[[#This Row],[age]]&lt;=50,"36-50","51+")))</f>
        <v>51+</v>
      </c>
      <c r="G1179" t="s">
        <v>54</v>
      </c>
      <c r="H1179" t="s">
        <v>25</v>
      </c>
      <c r="I1179" t="s">
        <v>35</v>
      </c>
      <c r="J1179" t="s">
        <v>36</v>
      </c>
      <c r="K1179" t="s">
        <v>76</v>
      </c>
      <c r="L1179">
        <v>1</v>
      </c>
      <c r="M1179">
        <v>30262.77</v>
      </c>
      <c r="N1179">
        <v>0.22</v>
      </c>
      <c r="O1179">
        <v>35090.43</v>
      </c>
      <c r="P1179">
        <v>5627.29</v>
      </c>
      <c r="Q1179">
        <v>62.47</v>
      </c>
      <c r="R1179" t="s">
        <v>43</v>
      </c>
      <c r="S1179">
        <v>1</v>
      </c>
      <c r="T1179" t="b">
        <v>0</v>
      </c>
      <c r="U1179" t="s">
        <v>30</v>
      </c>
      <c r="V1179">
        <v>10</v>
      </c>
    </row>
    <row r="1180" spans="1:22" x14ac:dyDescent="0.25">
      <c r="A1180" t="s">
        <v>2846</v>
      </c>
      <c r="B1180" s="1">
        <v>44689</v>
      </c>
      <c r="C1180" t="s">
        <v>2847</v>
      </c>
      <c r="D1180" t="s">
        <v>2848</v>
      </c>
      <c r="E1180">
        <v>33</v>
      </c>
      <c r="F1180" t="str">
        <f>IF(Table1[[#This Row],[age]]&lt;=25,"18-25",IF(Table1[[#This Row],[age]]&lt;=35,"26-35",IF(Table1[[#This Row],[age]]&lt;=50,"36-50","51+")))</f>
        <v>26-35</v>
      </c>
      <c r="G1180" t="s">
        <v>34</v>
      </c>
      <c r="H1180" t="s">
        <v>55</v>
      </c>
      <c r="I1180" t="s">
        <v>97</v>
      </c>
      <c r="J1180" t="s">
        <v>63</v>
      </c>
      <c r="K1180" t="s">
        <v>111</v>
      </c>
      <c r="L1180">
        <v>7</v>
      </c>
      <c r="M1180">
        <v>607.95000000000005</v>
      </c>
      <c r="N1180">
        <v>0.38</v>
      </c>
      <c r="O1180">
        <v>3644.03</v>
      </c>
      <c r="P1180">
        <v>1026.0999999999999</v>
      </c>
      <c r="Q1180">
        <v>64.63</v>
      </c>
      <c r="R1180" t="s">
        <v>92</v>
      </c>
      <c r="S1180">
        <v>3</v>
      </c>
      <c r="T1180" t="b">
        <v>0</v>
      </c>
      <c r="U1180" t="s">
        <v>30</v>
      </c>
      <c r="V1180">
        <v>1</v>
      </c>
    </row>
    <row r="1181" spans="1:22" x14ac:dyDescent="0.25">
      <c r="A1181" t="s">
        <v>2849</v>
      </c>
      <c r="B1181" s="1">
        <v>45425</v>
      </c>
      <c r="C1181" t="s">
        <v>2850</v>
      </c>
      <c r="D1181" t="s">
        <v>2851</v>
      </c>
      <c r="E1181">
        <v>30</v>
      </c>
      <c r="F1181" t="str">
        <f>IF(Table1[[#This Row],[age]]&lt;=25,"18-25",IF(Table1[[#This Row],[age]]&lt;=35,"26-35",IF(Table1[[#This Row],[age]]&lt;=50,"36-50","51+")))</f>
        <v>26-35</v>
      </c>
      <c r="G1181" t="s">
        <v>24</v>
      </c>
      <c r="H1181" t="s">
        <v>69</v>
      </c>
      <c r="I1181" t="s">
        <v>181</v>
      </c>
      <c r="J1181" t="s">
        <v>63</v>
      </c>
      <c r="K1181" t="s">
        <v>64</v>
      </c>
      <c r="L1181">
        <v>2</v>
      </c>
      <c r="M1181">
        <v>358</v>
      </c>
      <c r="N1181">
        <v>0.38</v>
      </c>
      <c r="O1181">
        <v>728.66</v>
      </c>
      <c r="P1181">
        <v>256.39999999999998</v>
      </c>
      <c r="Q1181">
        <v>63.9</v>
      </c>
      <c r="R1181" t="s">
        <v>43</v>
      </c>
      <c r="S1181">
        <v>1</v>
      </c>
      <c r="T1181" t="b">
        <v>0</v>
      </c>
      <c r="U1181" t="s">
        <v>30</v>
      </c>
      <c r="V1181">
        <v>6</v>
      </c>
    </row>
    <row r="1182" spans="1:22" x14ac:dyDescent="0.25">
      <c r="A1182" t="s">
        <v>2852</v>
      </c>
      <c r="B1182" s="1">
        <v>44347</v>
      </c>
      <c r="C1182" t="s">
        <v>2853</v>
      </c>
      <c r="D1182" t="s">
        <v>250</v>
      </c>
      <c r="E1182">
        <v>31</v>
      </c>
      <c r="F1182" t="str">
        <f>IF(Table1[[#This Row],[age]]&lt;=25,"18-25",IF(Table1[[#This Row],[age]]&lt;=35,"26-35",IF(Table1[[#This Row],[age]]&lt;=50,"36-50","51+")))</f>
        <v>26-35</v>
      </c>
      <c r="G1182" t="s">
        <v>54</v>
      </c>
      <c r="H1182" t="s">
        <v>69</v>
      </c>
      <c r="I1182" t="s">
        <v>136</v>
      </c>
      <c r="J1182" t="s">
        <v>63</v>
      </c>
      <c r="K1182" t="s">
        <v>152</v>
      </c>
      <c r="L1182">
        <v>2</v>
      </c>
      <c r="M1182">
        <v>1322.23</v>
      </c>
      <c r="N1182">
        <v>0.02</v>
      </c>
      <c r="O1182">
        <v>3457.5</v>
      </c>
      <c r="P1182">
        <v>1452.45</v>
      </c>
      <c r="Q1182">
        <v>55.18</v>
      </c>
      <c r="R1182" t="s">
        <v>65</v>
      </c>
      <c r="S1182">
        <v>3</v>
      </c>
      <c r="T1182" t="b">
        <v>1</v>
      </c>
      <c r="U1182" t="s">
        <v>50</v>
      </c>
      <c r="V1182">
        <v>7</v>
      </c>
    </row>
    <row r="1183" spans="1:22" x14ac:dyDescent="0.25">
      <c r="A1183" t="s">
        <v>2854</v>
      </c>
      <c r="B1183" s="1">
        <v>45050</v>
      </c>
      <c r="C1183" t="s">
        <v>2855</v>
      </c>
      <c r="D1183" t="s">
        <v>671</v>
      </c>
      <c r="E1183">
        <v>51</v>
      </c>
      <c r="F1183" t="str">
        <f>IF(Table1[[#This Row],[age]]&lt;=25,"18-25",IF(Table1[[#This Row],[age]]&lt;=35,"26-35",IF(Table1[[#This Row],[age]]&lt;=50,"36-50","51+")))</f>
        <v>51+</v>
      </c>
      <c r="G1183" t="s">
        <v>24</v>
      </c>
      <c r="H1183" t="s">
        <v>25</v>
      </c>
      <c r="I1183" t="s">
        <v>298</v>
      </c>
      <c r="J1183" t="s">
        <v>101</v>
      </c>
      <c r="K1183" t="s">
        <v>102</v>
      </c>
      <c r="L1183">
        <v>3</v>
      </c>
      <c r="M1183">
        <v>11418.23</v>
      </c>
      <c r="N1183">
        <v>0.01</v>
      </c>
      <c r="O1183">
        <v>43058.66</v>
      </c>
      <c r="P1183">
        <v>7315.08</v>
      </c>
      <c r="Q1183">
        <v>41.92</v>
      </c>
      <c r="R1183" t="s">
        <v>57</v>
      </c>
      <c r="S1183">
        <v>2</v>
      </c>
      <c r="T1183" t="b">
        <v>0</v>
      </c>
      <c r="U1183" t="s">
        <v>30</v>
      </c>
      <c r="V1183">
        <v>3</v>
      </c>
    </row>
    <row r="1184" spans="1:22" x14ac:dyDescent="0.25">
      <c r="A1184" t="s">
        <v>2856</v>
      </c>
      <c r="B1184" s="1">
        <v>44190</v>
      </c>
      <c r="C1184" t="s">
        <v>2857</v>
      </c>
      <c r="D1184" t="s">
        <v>734</v>
      </c>
      <c r="E1184">
        <v>53</v>
      </c>
      <c r="F1184" t="str">
        <f>IF(Table1[[#This Row],[age]]&lt;=25,"18-25",IF(Table1[[#This Row],[age]]&lt;=35,"26-35",IF(Table1[[#This Row],[age]]&lt;=50,"36-50","51+")))</f>
        <v>51+</v>
      </c>
      <c r="G1184" t="s">
        <v>54</v>
      </c>
      <c r="H1184" t="s">
        <v>80</v>
      </c>
      <c r="I1184" t="s">
        <v>242</v>
      </c>
      <c r="J1184" t="s">
        <v>115</v>
      </c>
      <c r="K1184" t="s">
        <v>137</v>
      </c>
      <c r="L1184">
        <v>4</v>
      </c>
      <c r="M1184">
        <v>65983.59</v>
      </c>
      <c r="N1184">
        <v>0.12</v>
      </c>
      <c r="O1184">
        <v>161534.85</v>
      </c>
      <c r="P1184">
        <v>25135.71</v>
      </c>
      <c r="Q1184">
        <v>66.2</v>
      </c>
      <c r="R1184" t="s">
        <v>92</v>
      </c>
      <c r="S1184">
        <v>1</v>
      </c>
      <c r="T1184" t="b">
        <v>0</v>
      </c>
      <c r="U1184" t="s">
        <v>30</v>
      </c>
      <c r="V1184">
        <v>4</v>
      </c>
    </row>
    <row r="1185" spans="1:22" x14ac:dyDescent="0.25">
      <c r="A1185" t="s">
        <v>2858</v>
      </c>
      <c r="B1185" s="1">
        <v>44553</v>
      </c>
      <c r="C1185" t="s">
        <v>2859</v>
      </c>
      <c r="D1185" t="s">
        <v>956</v>
      </c>
      <c r="E1185">
        <v>45</v>
      </c>
      <c r="F1185" t="str">
        <f>IF(Table1[[#This Row],[age]]&lt;=25,"18-25",IF(Table1[[#This Row],[age]]&lt;=35,"26-35",IF(Table1[[#This Row],[age]]&lt;=50,"36-50","51+")))</f>
        <v>36-50</v>
      </c>
      <c r="G1185" t="s">
        <v>34</v>
      </c>
      <c r="H1185" t="s">
        <v>55</v>
      </c>
      <c r="I1185" t="s">
        <v>56</v>
      </c>
      <c r="J1185" t="s">
        <v>115</v>
      </c>
      <c r="K1185" t="s">
        <v>116</v>
      </c>
      <c r="L1185">
        <v>4</v>
      </c>
      <c r="M1185">
        <v>55475.839999999997</v>
      </c>
      <c r="N1185">
        <v>0.06</v>
      </c>
      <c r="O1185">
        <v>176358.34</v>
      </c>
      <c r="P1185">
        <v>22566.53</v>
      </c>
      <c r="Q1185">
        <v>40.68</v>
      </c>
      <c r="R1185" t="s">
        <v>29</v>
      </c>
      <c r="S1185">
        <v>4</v>
      </c>
      <c r="T1185" t="b">
        <v>0</v>
      </c>
      <c r="U1185" t="s">
        <v>71</v>
      </c>
      <c r="V1185">
        <v>2</v>
      </c>
    </row>
    <row r="1186" spans="1:22" x14ac:dyDescent="0.25">
      <c r="A1186" t="s">
        <v>2860</v>
      </c>
      <c r="B1186" s="1">
        <v>44426</v>
      </c>
      <c r="C1186" t="s">
        <v>2861</v>
      </c>
      <c r="D1186" t="s">
        <v>723</v>
      </c>
      <c r="E1186">
        <v>34</v>
      </c>
      <c r="F1186" t="str">
        <f>IF(Table1[[#This Row],[age]]&lt;=25,"18-25",IF(Table1[[#This Row],[age]]&lt;=35,"26-35",IF(Table1[[#This Row],[age]]&lt;=50,"36-50","51+")))</f>
        <v>26-35</v>
      </c>
      <c r="G1186" t="s">
        <v>34</v>
      </c>
      <c r="H1186" t="s">
        <v>80</v>
      </c>
      <c r="I1186" t="s">
        <v>236</v>
      </c>
      <c r="J1186" t="s">
        <v>63</v>
      </c>
      <c r="K1186" t="s">
        <v>111</v>
      </c>
      <c r="L1186">
        <v>1</v>
      </c>
      <c r="M1186">
        <v>1197.05</v>
      </c>
      <c r="N1186">
        <v>0.33</v>
      </c>
      <c r="O1186">
        <v>1082.08</v>
      </c>
      <c r="P1186">
        <v>320.52</v>
      </c>
      <c r="Q1186">
        <v>29.64</v>
      </c>
      <c r="R1186" t="s">
        <v>65</v>
      </c>
      <c r="S1186">
        <v>4</v>
      </c>
      <c r="T1186" t="b">
        <v>0</v>
      </c>
      <c r="U1186" t="s">
        <v>71</v>
      </c>
      <c r="V1186">
        <v>3</v>
      </c>
    </row>
    <row r="1187" spans="1:22" x14ac:dyDescent="0.25">
      <c r="A1187" t="s">
        <v>2862</v>
      </c>
      <c r="B1187" s="1">
        <v>44661</v>
      </c>
      <c r="C1187" t="s">
        <v>2863</v>
      </c>
      <c r="D1187" t="s">
        <v>310</v>
      </c>
      <c r="E1187">
        <v>37</v>
      </c>
      <c r="F1187" t="str">
        <f>IF(Table1[[#This Row],[age]]&lt;=25,"18-25",IF(Table1[[#This Row],[age]]&lt;=35,"26-35",IF(Table1[[#This Row],[age]]&lt;=50,"36-50","51+")))</f>
        <v>36-50</v>
      </c>
      <c r="G1187" t="s">
        <v>24</v>
      </c>
      <c r="H1187" t="s">
        <v>69</v>
      </c>
      <c r="I1187" t="s">
        <v>70</v>
      </c>
      <c r="J1187" t="s">
        <v>106</v>
      </c>
      <c r="K1187" t="s">
        <v>331</v>
      </c>
      <c r="L1187">
        <v>2</v>
      </c>
      <c r="M1187">
        <v>153.13999999999999</v>
      </c>
      <c r="N1187">
        <v>0.28999999999999998</v>
      </c>
      <c r="O1187">
        <v>289.25</v>
      </c>
      <c r="P1187">
        <v>25.46</v>
      </c>
      <c r="Q1187">
        <v>77.75</v>
      </c>
      <c r="R1187" t="s">
        <v>65</v>
      </c>
      <c r="S1187">
        <v>5</v>
      </c>
      <c r="T1187" t="b">
        <v>0</v>
      </c>
      <c r="U1187" t="s">
        <v>30</v>
      </c>
      <c r="V1187">
        <v>8</v>
      </c>
    </row>
    <row r="1188" spans="1:22" x14ac:dyDescent="0.25">
      <c r="A1188" t="s">
        <v>2864</v>
      </c>
      <c r="B1188" s="1">
        <v>44083</v>
      </c>
      <c r="C1188" t="s">
        <v>2865</v>
      </c>
      <c r="D1188" t="s">
        <v>2031</v>
      </c>
      <c r="E1188">
        <v>37</v>
      </c>
      <c r="F1188" t="str">
        <f>IF(Table1[[#This Row],[age]]&lt;=25,"18-25",IF(Table1[[#This Row],[age]]&lt;=35,"26-35",IF(Table1[[#This Row],[age]]&lt;=50,"36-50","51+")))</f>
        <v>36-50</v>
      </c>
      <c r="G1188" t="s">
        <v>54</v>
      </c>
      <c r="H1188" t="s">
        <v>25</v>
      </c>
      <c r="I1188" t="s">
        <v>35</v>
      </c>
      <c r="J1188" t="s">
        <v>101</v>
      </c>
      <c r="K1188" t="s">
        <v>124</v>
      </c>
      <c r="L1188">
        <v>1</v>
      </c>
      <c r="M1188">
        <v>3528.13</v>
      </c>
      <c r="N1188">
        <v>0.38</v>
      </c>
      <c r="O1188">
        <v>2038.22</v>
      </c>
      <c r="P1188">
        <v>420.96</v>
      </c>
      <c r="Q1188">
        <v>53.63</v>
      </c>
      <c r="R1188" t="s">
        <v>57</v>
      </c>
      <c r="S1188">
        <v>1</v>
      </c>
      <c r="T1188" t="b">
        <v>1</v>
      </c>
      <c r="U1188" t="s">
        <v>50</v>
      </c>
      <c r="V1188">
        <v>6</v>
      </c>
    </row>
    <row r="1189" spans="1:22" x14ac:dyDescent="0.25">
      <c r="A1189" t="s">
        <v>2866</v>
      </c>
      <c r="B1189" s="1">
        <v>45410</v>
      </c>
      <c r="C1189" t="s">
        <v>2867</v>
      </c>
      <c r="D1189" t="s">
        <v>1630</v>
      </c>
      <c r="E1189">
        <v>32</v>
      </c>
      <c r="F1189" t="str">
        <f>IF(Table1[[#This Row],[age]]&lt;=25,"18-25",IF(Table1[[#This Row],[age]]&lt;=35,"26-35",IF(Table1[[#This Row],[age]]&lt;=50,"36-50","51+")))</f>
        <v>26-35</v>
      </c>
      <c r="G1189" t="s">
        <v>24</v>
      </c>
      <c r="H1189" t="s">
        <v>80</v>
      </c>
      <c r="I1189" t="s">
        <v>81</v>
      </c>
      <c r="J1189" t="s">
        <v>27</v>
      </c>
      <c r="K1189" t="s">
        <v>28</v>
      </c>
      <c r="L1189">
        <v>1</v>
      </c>
      <c r="M1189">
        <v>2169.87</v>
      </c>
      <c r="N1189">
        <v>0.38</v>
      </c>
      <c r="O1189">
        <v>1926.55</v>
      </c>
      <c r="P1189">
        <v>458.88</v>
      </c>
      <c r="Q1189">
        <v>52.43</v>
      </c>
      <c r="R1189" t="s">
        <v>49</v>
      </c>
      <c r="S1189">
        <v>5</v>
      </c>
      <c r="T1189" t="b">
        <v>0</v>
      </c>
      <c r="U1189" t="s">
        <v>193</v>
      </c>
      <c r="V1189">
        <v>3</v>
      </c>
    </row>
    <row r="1190" spans="1:22" x14ac:dyDescent="0.25">
      <c r="A1190" t="s">
        <v>2868</v>
      </c>
      <c r="B1190" s="1">
        <v>43928</v>
      </c>
      <c r="C1190" t="s">
        <v>2869</v>
      </c>
      <c r="D1190" t="s">
        <v>268</v>
      </c>
      <c r="E1190">
        <v>41</v>
      </c>
      <c r="F1190" t="str">
        <f>IF(Table1[[#This Row],[age]]&lt;=25,"18-25",IF(Table1[[#This Row],[age]]&lt;=35,"26-35",IF(Table1[[#This Row],[age]]&lt;=50,"36-50","51+")))</f>
        <v>36-50</v>
      </c>
      <c r="G1190" t="s">
        <v>34</v>
      </c>
      <c r="H1190" t="s">
        <v>55</v>
      </c>
      <c r="I1190" t="s">
        <v>114</v>
      </c>
      <c r="J1190" t="s">
        <v>115</v>
      </c>
      <c r="K1190" t="s">
        <v>545</v>
      </c>
      <c r="L1190">
        <v>9</v>
      </c>
      <c r="M1190">
        <v>5129.67</v>
      </c>
      <c r="N1190">
        <v>0.32</v>
      </c>
      <c r="O1190">
        <v>38513.550000000003</v>
      </c>
      <c r="P1190">
        <v>4662.1000000000004</v>
      </c>
      <c r="Q1190">
        <v>46.85</v>
      </c>
      <c r="R1190" t="s">
        <v>49</v>
      </c>
      <c r="S1190">
        <v>5</v>
      </c>
      <c r="T1190" t="b">
        <v>0</v>
      </c>
      <c r="U1190" t="s">
        <v>30</v>
      </c>
      <c r="V1190">
        <v>2</v>
      </c>
    </row>
    <row r="1191" spans="1:22" x14ac:dyDescent="0.25">
      <c r="A1191" t="s">
        <v>2870</v>
      </c>
      <c r="B1191" s="1">
        <v>44440</v>
      </c>
      <c r="C1191" t="s">
        <v>2871</v>
      </c>
      <c r="D1191" t="s">
        <v>596</v>
      </c>
      <c r="E1191">
        <v>29</v>
      </c>
      <c r="F1191" t="str">
        <f>IF(Table1[[#This Row],[age]]&lt;=25,"18-25",IF(Table1[[#This Row],[age]]&lt;=35,"26-35",IF(Table1[[#This Row],[age]]&lt;=50,"36-50","51+")))</f>
        <v>26-35</v>
      </c>
      <c r="G1191" t="s">
        <v>24</v>
      </c>
      <c r="H1191" t="s">
        <v>55</v>
      </c>
      <c r="I1191" t="s">
        <v>97</v>
      </c>
      <c r="J1191" t="s">
        <v>63</v>
      </c>
      <c r="K1191" t="s">
        <v>152</v>
      </c>
      <c r="L1191">
        <v>2</v>
      </c>
      <c r="M1191">
        <v>3887.01</v>
      </c>
      <c r="N1191">
        <v>0.36</v>
      </c>
      <c r="O1191">
        <v>5775.71</v>
      </c>
      <c r="P1191">
        <v>2252.91</v>
      </c>
      <c r="Q1191">
        <v>53.35</v>
      </c>
      <c r="R1191" t="s">
        <v>92</v>
      </c>
      <c r="S1191">
        <v>5</v>
      </c>
      <c r="T1191" t="b">
        <v>0</v>
      </c>
      <c r="U1191" t="s">
        <v>30</v>
      </c>
      <c r="V1191">
        <v>1</v>
      </c>
    </row>
    <row r="1192" spans="1:22" x14ac:dyDescent="0.25">
      <c r="A1192" t="s">
        <v>2872</v>
      </c>
      <c r="B1192" s="1">
        <v>44666</v>
      </c>
      <c r="C1192" t="s">
        <v>2873</v>
      </c>
      <c r="D1192" t="s">
        <v>764</v>
      </c>
      <c r="E1192">
        <v>46</v>
      </c>
      <c r="F1192" t="str">
        <f>IF(Table1[[#This Row],[age]]&lt;=25,"18-25",IF(Table1[[#This Row],[age]]&lt;=35,"26-35",IF(Table1[[#This Row],[age]]&lt;=50,"36-50","51+")))</f>
        <v>36-50</v>
      </c>
      <c r="G1192" t="s">
        <v>54</v>
      </c>
      <c r="H1192" t="s">
        <v>80</v>
      </c>
      <c r="I1192" t="s">
        <v>86</v>
      </c>
      <c r="J1192" t="s">
        <v>63</v>
      </c>
      <c r="K1192" t="s">
        <v>111</v>
      </c>
      <c r="L1192">
        <v>8</v>
      </c>
      <c r="M1192">
        <v>2375.65</v>
      </c>
      <c r="N1192">
        <v>0.39</v>
      </c>
      <c r="O1192">
        <v>14431.7</v>
      </c>
      <c r="P1192">
        <v>5032.2</v>
      </c>
      <c r="Q1192">
        <v>74.260000000000005</v>
      </c>
      <c r="R1192" t="s">
        <v>65</v>
      </c>
      <c r="S1192">
        <v>3</v>
      </c>
      <c r="T1192" t="b">
        <v>0</v>
      </c>
      <c r="U1192" t="s">
        <v>30</v>
      </c>
      <c r="V1192">
        <v>5</v>
      </c>
    </row>
    <row r="1193" spans="1:22" x14ac:dyDescent="0.25">
      <c r="A1193" t="s">
        <v>2874</v>
      </c>
      <c r="B1193" s="1">
        <v>44778</v>
      </c>
      <c r="C1193" t="s">
        <v>2875</v>
      </c>
      <c r="D1193" t="s">
        <v>292</v>
      </c>
      <c r="E1193">
        <v>31</v>
      </c>
      <c r="F1193" t="str">
        <f>IF(Table1[[#This Row],[age]]&lt;=25,"18-25",IF(Table1[[#This Row],[age]]&lt;=35,"26-35",IF(Table1[[#This Row],[age]]&lt;=50,"36-50","51+")))</f>
        <v>26-35</v>
      </c>
      <c r="G1193" t="s">
        <v>34</v>
      </c>
      <c r="H1193" t="s">
        <v>55</v>
      </c>
      <c r="I1193" t="s">
        <v>75</v>
      </c>
      <c r="J1193" t="s">
        <v>27</v>
      </c>
      <c r="K1193" t="s">
        <v>128</v>
      </c>
      <c r="L1193">
        <v>4</v>
      </c>
      <c r="M1193">
        <v>1536.84</v>
      </c>
      <c r="N1193">
        <v>0</v>
      </c>
      <c r="O1193">
        <v>8572.24</v>
      </c>
      <c r="P1193">
        <v>4876.08</v>
      </c>
      <c r="Q1193">
        <v>73.06</v>
      </c>
      <c r="R1193" t="s">
        <v>29</v>
      </c>
      <c r="S1193">
        <v>5</v>
      </c>
      <c r="T1193" t="b">
        <v>0</v>
      </c>
      <c r="U1193" t="s">
        <v>30</v>
      </c>
      <c r="V1193">
        <v>6</v>
      </c>
    </row>
    <row r="1194" spans="1:22" x14ac:dyDescent="0.25">
      <c r="A1194" t="s">
        <v>2876</v>
      </c>
      <c r="B1194" s="1">
        <v>45139</v>
      </c>
      <c r="C1194" t="s">
        <v>2877</v>
      </c>
      <c r="D1194" t="s">
        <v>1898</v>
      </c>
      <c r="E1194">
        <v>33</v>
      </c>
      <c r="F1194" t="str">
        <f>IF(Table1[[#This Row],[age]]&lt;=25,"18-25",IF(Table1[[#This Row],[age]]&lt;=35,"26-35",IF(Table1[[#This Row],[age]]&lt;=50,"36-50","51+")))</f>
        <v>26-35</v>
      </c>
      <c r="G1194" t="s">
        <v>54</v>
      </c>
      <c r="H1194" t="s">
        <v>25</v>
      </c>
      <c r="I1194" t="s">
        <v>41</v>
      </c>
      <c r="J1194" t="s">
        <v>106</v>
      </c>
      <c r="K1194" t="s">
        <v>314</v>
      </c>
      <c r="L1194">
        <v>4</v>
      </c>
      <c r="M1194">
        <v>223.01</v>
      </c>
      <c r="N1194">
        <v>0.06</v>
      </c>
      <c r="O1194">
        <v>1169.6099999999999</v>
      </c>
      <c r="P1194">
        <v>100.59</v>
      </c>
      <c r="Q1194">
        <v>66.900000000000006</v>
      </c>
      <c r="R1194" t="s">
        <v>49</v>
      </c>
      <c r="S1194">
        <v>2</v>
      </c>
      <c r="T1194" t="b">
        <v>0</v>
      </c>
      <c r="U1194" t="s">
        <v>30</v>
      </c>
      <c r="V1194">
        <v>2</v>
      </c>
    </row>
    <row r="1195" spans="1:22" x14ac:dyDescent="0.25">
      <c r="A1195" t="s">
        <v>2878</v>
      </c>
      <c r="B1195" s="1">
        <v>45270</v>
      </c>
      <c r="C1195" t="s">
        <v>2879</v>
      </c>
      <c r="D1195" t="s">
        <v>1785</v>
      </c>
      <c r="E1195">
        <v>46</v>
      </c>
      <c r="F1195" t="str">
        <f>IF(Table1[[#This Row],[age]]&lt;=25,"18-25",IF(Table1[[#This Row],[age]]&lt;=35,"26-35",IF(Table1[[#This Row],[age]]&lt;=50,"36-50","51+")))</f>
        <v>36-50</v>
      </c>
      <c r="G1195" t="s">
        <v>34</v>
      </c>
      <c r="H1195" t="s">
        <v>25</v>
      </c>
      <c r="I1195" t="s">
        <v>35</v>
      </c>
      <c r="J1195" t="s">
        <v>63</v>
      </c>
      <c r="K1195" t="s">
        <v>152</v>
      </c>
      <c r="L1195">
        <v>5</v>
      </c>
      <c r="M1195">
        <v>1679.82</v>
      </c>
      <c r="N1195">
        <v>0.28999999999999998</v>
      </c>
      <c r="O1195">
        <v>5932.93</v>
      </c>
      <c r="P1195">
        <v>2439.71</v>
      </c>
      <c r="Q1195">
        <v>61.89</v>
      </c>
      <c r="R1195" t="s">
        <v>92</v>
      </c>
      <c r="S1195">
        <v>2</v>
      </c>
      <c r="T1195" t="b">
        <v>0</v>
      </c>
      <c r="U1195" t="s">
        <v>71</v>
      </c>
      <c r="V1195">
        <v>3</v>
      </c>
    </row>
    <row r="1196" spans="1:22" x14ac:dyDescent="0.25">
      <c r="A1196" t="s">
        <v>2880</v>
      </c>
      <c r="B1196" s="1">
        <v>44922</v>
      </c>
      <c r="C1196" t="s">
        <v>2881</v>
      </c>
      <c r="D1196" t="s">
        <v>140</v>
      </c>
      <c r="E1196">
        <v>49</v>
      </c>
      <c r="F1196" t="str">
        <f>IF(Table1[[#This Row],[age]]&lt;=25,"18-25",IF(Table1[[#This Row],[age]]&lt;=35,"26-35",IF(Table1[[#This Row],[age]]&lt;=50,"36-50","51+")))</f>
        <v>36-50</v>
      </c>
      <c r="G1196" t="s">
        <v>34</v>
      </c>
      <c r="H1196" t="s">
        <v>25</v>
      </c>
      <c r="I1196" t="s">
        <v>41</v>
      </c>
      <c r="J1196" t="s">
        <v>106</v>
      </c>
      <c r="K1196" t="s">
        <v>331</v>
      </c>
      <c r="L1196">
        <v>1</v>
      </c>
      <c r="M1196">
        <v>111.85</v>
      </c>
      <c r="N1196">
        <v>0.03</v>
      </c>
      <c r="O1196">
        <v>85.28</v>
      </c>
      <c r="P1196">
        <v>7.87</v>
      </c>
      <c r="Q1196">
        <v>62.85</v>
      </c>
      <c r="R1196" t="s">
        <v>43</v>
      </c>
      <c r="S1196">
        <v>1</v>
      </c>
      <c r="T1196" t="b">
        <v>0</v>
      </c>
      <c r="U1196" t="s">
        <v>30</v>
      </c>
      <c r="V1196">
        <v>3</v>
      </c>
    </row>
    <row r="1197" spans="1:22" x14ac:dyDescent="0.25">
      <c r="A1197" t="s">
        <v>2882</v>
      </c>
      <c r="B1197" s="1">
        <v>44198</v>
      </c>
      <c r="C1197" t="s">
        <v>2883</v>
      </c>
      <c r="D1197" t="s">
        <v>695</v>
      </c>
      <c r="E1197">
        <v>22</v>
      </c>
      <c r="F1197" t="str">
        <f>IF(Table1[[#This Row],[age]]&lt;=25,"18-25",IF(Table1[[#This Row],[age]]&lt;=35,"26-35",IF(Table1[[#This Row],[age]]&lt;=50,"36-50","51+")))</f>
        <v>18-25</v>
      </c>
      <c r="G1197" t="s">
        <v>24</v>
      </c>
      <c r="H1197" t="s">
        <v>55</v>
      </c>
      <c r="I1197" t="s">
        <v>114</v>
      </c>
      <c r="J1197" t="s">
        <v>63</v>
      </c>
      <c r="K1197" t="s">
        <v>64</v>
      </c>
      <c r="L1197">
        <v>6</v>
      </c>
      <c r="M1197">
        <v>2532.5500000000002</v>
      </c>
      <c r="N1197">
        <v>0.06</v>
      </c>
      <c r="O1197">
        <v>10659.76</v>
      </c>
      <c r="P1197">
        <v>4546.7299999999996</v>
      </c>
      <c r="Q1197">
        <v>64.53</v>
      </c>
      <c r="R1197" t="s">
        <v>65</v>
      </c>
      <c r="S1197">
        <v>1</v>
      </c>
      <c r="T1197" t="b">
        <v>0</v>
      </c>
      <c r="U1197" t="s">
        <v>93</v>
      </c>
      <c r="V1197">
        <v>1</v>
      </c>
    </row>
    <row r="1198" spans="1:22" x14ac:dyDescent="0.25">
      <c r="A1198" t="s">
        <v>2884</v>
      </c>
      <c r="B1198" s="1">
        <v>44214</v>
      </c>
      <c r="C1198" t="s">
        <v>2885</v>
      </c>
      <c r="D1198" t="s">
        <v>1370</v>
      </c>
      <c r="E1198">
        <v>34</v>
      </c>
      <c r="F1198" t="str">
        <f>IF(Table1[[#This Row],[age]]&lt;=25,"18-25",IF(Table1[[#This Row],[age]]&lt;=35,"26-35",IF(Table1[[#This Row],[age]]&lt;=50,"36-50","51+")))</f>
        <v>26-35</v>
      </c>
      <c r="G1198" t="s">
        <v>34</v>
      </c>
      <c r="H1198" t="s">
        <v>80</v>
      </c>
      <c r="I1198" t="s">
        <v>236</v>
      </c>
      <c r="J1198" t="s">
        <v>115</v>
      </c>
      <c r="K1198" t="s">
        <v>137</v>
      </c>
      <c r="L1198">
        <v>4</v>
      </c>
      <c r="M1198">
        <v>47874.239999999998</v>
      </c>
      <c r="N1198">
        <v>0.28999999999999998</v>
      </c>
      <c r="O1198">
        <v>95589.48</v>
      </c>
      <c r="P1198">
        <v>11952.46</v>
      </c>
      <c r="Q1198">
        <v>79.36</v>
      </c>
      <c r="R1198" t="s">
        <v>29</v>
      </c>
      <c r="S1198">
        <v>2</v>
      </c>
      <c r="T1198" t="b">
        <v>1</v>
      </c>
      <c r="U1198" t="s">
        <v>50</v>
      </c>
      <c r="V1198">
        <v>3</v>
      </c>
    </row>
    <row r="1199" spans="1:22" x14ac:dyDescent="0.25">
      <c r="A1199" t="s">
        <v>2886</v>
      </c>
      <c r="B1199" s="1">
        <v>44021</v>
      </c>
      <c r="C1199" t="s">
        <v>2887</v>
      </c>
      <c r="D1199" t="s">
        <v>596</v>
      </c>
      <c r="E1199">
        <v>47</v>
      </c>
      <c r="F1199" t="str">
        <f>IF(Table1[[#This Row],[age]]&lt;=25,"18-25",IF(Table1[[#This Row],[age]]&lt;=35,"26-35",IF(Table1[[#This Row],[age]]&lt;=50,"36-50","51+")))</f>
        <v>36-50</v>
      </c>
      <c r="G1199" t="s">
        <v>34</v>
      </c>
      <c r="H1199" t="s">
        <v>55</v>
      </c>
      <c r="I1199" t="s">
        <v>114</v>
      </c>
      <c r="J1199" t="s">
        <v>115</v>
      </c>
      <c r="K1199" t="s">
        <v>116</v>
      </c>
      <c r="L1199">
        <v>4</v>
      </c>
      <c r="M1199">
        <v>37472.699999999997</v>
      </c>
      <c r="N1199">
        <v>0.01</v>
      </c>
      <c r="O1199">
        <v>218210.41</v>
      </c>
      <c r="P1199">
        <v>22304.92</v>
      </c>
      <c r="Q1199">
        <v>43.11</v>
      </c>
      <c r="R1199" t="s">
        <v>57</v>
      </c>
      <c r="S1199">
        <v>4</v>
      </c>
      <c r="T1199" t="b">
        <v>0</v>
      </c>
      <c r="U1199" t="s">
        <v>30</v>
      </c>
      <c r="V1199">
        <v>10</v>
      </c>
    </row>
    <row r="1200" spans="1:22" x14ac:dyDescent="0.25">
      <c r="A1200" t="s">
        <v>2888</v>
      </c>
      <c r="B1200" s="1">
        <v>45328</v>
      </c>
      <c r="C1200" t="s">
        <v>2889</v>
      </c>
      <c r="D1200" t="s">
        <v>271</v>
      </c>
      <c r="E1200">
        <v>18</v>
      </c>
      <c r="F1200" t="str">
        <f>IF(Table1[[#This Row],[age]]&lt;=25,"18-25",IF(Table1[[#This Row],[age]]&lt;=35,"26-35",IF(Table1[[#This Row],[age]]&lt;=50,"36-50","51+")))</f>
        <v>18-25</v>
      </c>
      <c r="G1200" t="s">
        <v>24</v>
      </c>
      <c r="H1200" t="s">
        <v>25</v>
      </c>
      <c r="I1200" t="s">
        <v>35</v>
      </c>
      <c r="J1200" t="s">
        <v>36</v>
      </c>
      <c r="K1200" t="s">
        <v>42</v>
      </c>
      <c r="L1200">
        <v>8</v>
      </c>
      <c r="M1200">
        <v>31388.84</v>
      </c>
      <c r="N1200">
        <v>0.39</v>
      </c>
      <c r="O1200">
        <v>135556.47</v>
      </c>
      <c r="P1200">
        <v>45198.52</v>
      </c>
      <c r="Q1200">
        <v>57.54</v>
      </c>
      <c r="R1200" t="s">
        <v>65</v>
      </c>
      <c r="S1200">
        <v>4</v>
      </c>
      <c r="T1200" t="b">
        <v>0</v>
      </c>
      <c r="U1200" t="s">
        <v>30</v>
      </c>
      <c r="V1200">
        <v>4</v>
      </c>
    </row>
    <row r="1201" spans="1:22" x14ac:dyDescent="0.25">
      <c r="A1201" t="s">
        <v>2890</v>
      </c>
      <c r="B1201" s="1">
        <v>45087</v>
      </c>
      <c r="C1201" t="s">
        <v>2891</v>
      </c>
      <c r="D1201" t="s">
        <v>440</v>
      </c>
      <c r="E1201">
        <v>20</v>
      </c>
      <c r="F1201" t="str">
        <f>IF(Table1[[#This Row],[age]]&lt;=25,"18-25",IF(Table1[[#This Row],[age]]&lt;=35,"26-35",IF(Table1[[#This Row],[age]]&lt;=50,"36-50","51+")))</f>
        <v>18-25</v>
      </c>
      <c r="G1201" t="s">
        <v>24</v>
      </c>
      <c r="H1201" t="s">
        <v>55</v>
      </c>
      <c r="I1201" t="s">
        <v>75</v>
      </c>
      <c r="J1201" t="s">
        <v>101</v>
      </c>
      <c r="K1201" t="s">
        <v>102</v>
      </c>
      <c r="L1201">
        <v>7</v>
      </c>
      <c r="M1201">
        <v>754.28</v>
      </c>
      <c r="N1201">
        <v>0.05</v>
      </c>
      <c r="O1201">
        <v>7778.83</v>
      </c>
      <c r="P1201">
        <v>2271.0500000000002</v>
      </c>
      <c r="Q1201">
        <v>45.61</v>
      </c>
      <c r="R1201" t="s">
        <v>92</v>
      </c>
      <c r="S1201">
        <v>1</v>
      </c>
      <c r="T1201" t="b">
        <v>0</v>
      </c>
      <c r="U1201" t="s">
        <v>30</v>
      </c>
      <c r="V1201">
        <v>4</v>
      </c>
    </row>
    <row r="1202" spans="1:22" x14ac:dyDescent="0.25">
      <c r="A1202" t="s">
        <v>2892</v>
      </c>
      <c r="B1202" s="1">
        <v>45000</v>
      </c>
      <c r="C1202" t="s">
        <v>2893</v>
      </c>
      <c r="D1202" t="s">
        <v>519</v>
      </c>
      <c r="E1202">
        <v>18</v>
      </c>
      <c r="F1202" t="str">
        <f>IF(Table1[[#This Row],[age]]&lt;=25,"18-25",IF(Table1[[#This Row],[age]]&lt;=35,"26-35",IF(Table1[[#This Row],[age]]&lt;=50,"36-50","51+")))</f>
        <v>18-25</v>
      </c>
      <c r="G1202" t="s">
        <v>34</v>
      </c>
      <c r="H1202" t="s">
        <v>69</v>
      </c>
      <c r="I1202" t="s">
        <v>136</v>
      </c>
      <c r="J1202" t="s">
        <v>101</v>
      </c>
      <c r="K1202" t="s">
        <v>318</v>
      </c>
      <c r="L1202">
        <v>5</v>
      </c>
      <c r="M1202">
        <v>5610.04</v>
      </c>
      <c r="N1202">
        <v>0.21</v>
      </c>
      <c r="O1202">
        <v>27238.57</v>
      </c>
      <c r="P1202">
        <v>4096.24</v>
      </c>
      <c r="Q1202">
        <v>84.23</v>
      </c>
      <c r="R1202" t="s">
        <v>65</v>
      </c>
      <c r="S1202">
        <v>2</v>
      </c>
      <c r="T1202" t="b">
        <v>0</v>
      </c>
      <c r="U1202" t="s">
        <v>30</v>
      </c>
      <c r="V1202">
        <v>2</v>
      </c>
    </row>
    <row r="1203" spans="1:22" x14ac:dyDescent="0.25">
      <c r="A1203" t="s">
        <v>2894</v>
      </c>
      <c r="B1203" s="1">
        <v>45428</v>
      </c>
      <c r="C1203" t="s">
        <v>2895</v>
      </c>
      <c r="D1203" t="s">
        <v>588</v>
      </c>
      <c r="E1203">
        <v>38</v>
      </c>
      <c r="F1203" t="str">
        <f>IF(Table1[[#This Row],[age]]&lt;=25,"18-25",IF(Table1[[#This Row],[age]]&lt;=35,"26-35",IF(Table1[[#This Row],[age]]&lt;=50,"36-50","51+")))</f>
        <v>36-50</v>
      </c>
      <c r="G1203" t="s">
        <v>34</v>
      </c>
      <c r="H1203" t="s">
        <v>61</v>
      </c>
      <c r="I1203" t="s">
        <v>62</v>
      </c>
      <c r="J1203" t="s">
        <v>36</v>
      </c>
      <c r="K1203" t="s">
        <v>230</v>
      </c>
      <c r="L1203">
        <v>5</v>
      </c>
      <c r="M1203">
        <v>25978.76</v>
      </c>
      <c r="N1203">
        <v>0.11</v>
      </c>
      <c r="O1203">
        <v>222707.41</v>
      </c>
      <c r="P1203">
        <v>45655.25</v>
      </c>
      <c r="Q1203">
        <v>40.229999999999997</v>
      </c>
      <c r="R1203" t="s">
        <v>29</v>
      </c>
      <c r="S1203">
        <v>1</v>
      </c>
      <c r="T1203" t="b">
        <v>0</v>
      </c>
      <c r="U1203" t="s">
        <v>30</v>
      </c>
      <c r="V1203">
        <v>4</v>
      </c>
    </row>
    <row r="1204" spans="1:22" x14ac:dyDescent="0.25">
      <c r="A1204" t="s">
        <v>2896</v>
      </c>
      <c r="B1204" s="1">
        <v>45302</v>
      </c>
      <c r="C1204" t="s">
        <v>2897</v>
      </c>
      <c r="D1204" t="s">
        <v>313</v>
      </c>
      <c r="E1204">
        <v>23</v>
      </c>
      <c r="F1204" t="str">
        <f>IF(Table1[[#This Row],[age]]&lt;=25,"18-25",IF(Table1[[#This Row],[age]]&lt;=35,"26-35",IF(Table1[[#This Row],[age]]&lt;=50,"36-50","51+")))</f>
        <v>18-25</v>
      </c>
      <c r="G1204" t="s">
        <v>24</v>
      </c>
      <c r="H1204" t="s">
        <v>80</v>
      </c>
      <c r="I1204" t="s">
        <v>81</v>
      </c>
      <c r="J1204" t="s">
        <v>106</v>
      </c>
      <c r="K1204" t="s">
        <v>107</v>
      </c>
      <c r="L1204">
        <v>6</v>
      </c>
      <c r="M1204">
        <v>69.63</v>
      </c>
      <c r="N1204">
        <v>0.33</v>
      </c>
      <c r="O1204">
        <v>256.35000000000002</v>
      </c>
      <c r="P1204">
        <v>21.2</v>
      </c>
      <c r="Q1204">
        <v>103.66</v>
      </c>
      <c r="R1204" t="s">
        <v>43</v>
      </c>
      <c r="S1204">
        <v>1</v>
      </c>
      <c r="T1204" t="b">
        <v>1</v>
      </c>
      <c r="U1204" t="s">
        <v>50</v>
      </c>
      <c r="V1204">
        <v>1</v>
      </c>
    </row>
    <row r="1205" spans="1:22" x14ac:dyDescent="0.25">
      <c r="A1205" t="s">
        <v>2898</v>
      </c>
      <c r="B1205" s="1">
        <v>44110</v>
      </c>
      <c r="C1205" t="s">
        <v>2899</v>
      </c>
      <c r="D1205" t="s">
        <v>1281</v>
      </c>
      <c r="E1205">
        <v>36</v>
      </c>
      <c r="F1205" t="str">
        <f>IF(Table1[[#This Row],[age]]&lt;=25,"18-25",IF(Table1[[#This Row],[age]]&lt;=35,"26-35",IF(Table1[[#This Row],[age]]&lt;=50,"36-50","51+")))</f>
        <v>36-50</v>
      </c>
      <c r="G1205" t="s">
        <v>34</v>
      </c>
      <c r="H1205" t="s">
        <v>55</v>
      </c>
      <c r="I1205" t="s">
        <v>75</v>
      </c>
      <c r="J1205" t="s">
        <v>106</v>
      </c>
      <c r="K1205" t="s">
        <v>718</v>
      </c>
      <c r="L1205">
        <v>8</v>
      </c>
      <c r="M1205">
        <v>498.13</v>
      </c>
      <c r="N1205">
        <v>0.2</v>
      </c>
      <c r="O1205">
        <v>2870.12</v>
      </c>
      <c r="P1205">
        <v>226.32</v>
      </c>
      <c r="Q1205">
        <v>36.47</v>
      </c>
      <c r="R1205" t="s">
        <v>65</v>
      </c>
      <c r="S1205">
        <v>4</v>
      </c>
      <c r="T1205" t="b">
        <v>1</v>
      </c>
      <c r="U1205" t="s">
        <v>50</v>
      </c>
      <c r="V1205">
        <v>6</v>
      </c>
    </row>
    <row r="1206" spans="1:22" x14ac:dyDescent="0.25">
      <c r="A1206" t="s">
        <v>2900</v>
      </c>
      <c r="B1206" s="1">
        <v>44014</v>
      </c>
      <c r="C1206" t="s">
        <v>2901</v>
      </c>
      <c r="D1206" t="s">
        <v>477</v>
      </c>
      <c r="E1206">
        <v>19</v>
      </c>
      <c r="F1206" t="str">
        <f>IF(Table1[[#This Row],[age]]&lt;=25,"18-25",IF(Table1[[#This Row],[age]]&lt;=35,"26-35",IF(Table1[[#This Row],[age]]&lt;=50,"36-50","51+")))</f>
        <v>18-25</v>
      </c>
      <c r="G1206" t="s">
        <v>24</v>
      </c>
      <c r="H1206" t="s">
        <v>55</v>
      </c>
      <c r="I1206" t="s">
        <v>114</v>
      </c>
      <c r="J1206" t="s">
        <v>106</v>
      </c>
      <c r="K1206" t="s">
        <v>107</v>
      </c>
      <c r="L1206">
        <v>6</v>
      </c>
      <c r="M1206">
        <v>170</v>
      </c>
      <c r="N1206">
        <v>0.36</v>
      </c>
      <c r="O1206">
        <v>834.1</v>
      </c>
      <c r="P1206">
        <v>50.58</v>
      </c>
      <c r="Q1206">
        <v>64.22</v>
      </c>
      <c r="R1206" t="s">
        <v>92</v>
      </c>
      <c r="S1206">
        <v>2</v>
      </c>
      <c r="T1206" t="b">
        <v>0</v>
      </c>
      <c r="U1206" t="s">
        <v>193</v>
      </c>
      <c r="V1206">
        <v>5</v>
      </c>
    </row>
    <row r="1207" spans="1:22" x14ac:dyDescent="0.25">
      <c r="A1207" t="s">
        <v>2902</v>
      </c>
      <c r="B1207" s="1">
        <v>45316</v>
      </c>
      <c r="C1207" t="s">
        <v>2903</v>
      </c>
      <c r="D1207" t="s">
        <v>46</v>
      </c>
      <c r="E1207">
        <v>40</v>
      </c>
      <c r="F1207" t="str">
        <f>IF(Table1[[#This Row],[age]]&lt;=25,"18-25",IF(Table1[[#This Row],[age]]&lt;=35,"26-35",IF(Table1[[#This Row],[age]]&lt;=50,"36-50","51+")))</f>
        <v>36-50</v>
      </c>
      <c r="G1207" t="s">
        <v>24</v>
      </c>
      <c r="H1207" t="s">
        <v>69</v>
      </c>
      <c r="I1207" t="s">
        <v>221</v>
      </c>
      <c r="J1207" t="s">
        <v>27</v>
      </c>
      <c r="K1207" t="s">
        <v>480</v>
      </c>
      <c r="L1207">
        <v>9</v>
      </c>
      <c r="M1207">
        <v>432.41</v>
      </c>
      <c r="N1207">
        <v>0.37</v>
      </c>
      <c r="O1207">
        <v>2362.96</v>
      </c>
      <c r="P1207">
        <v>1178.26</v>
      </c>
      <c r="Q1207">
        <v>86.75</v>
      </c>
      <c r="R1207" t="s">
        <v>92</v>
      </c>
      <c r="S1207">
        <v>5</v>
      </c>
      <c r="T1207" t="b">
        <v>0</v>
      </c>
      <c r="U1207" t="s">
        <v>93</v>
      </c>
      <c r="V1207">
        <v>10</v>
      </c>
    </row>
    <row r="1208" spans="1:22" x14ac:dyDescent="0.25">
      <c r="A1208" t="s">
        <v>2904</v>
      </c>
      <c r="B1208" s="1">
        <v>43878</v>
      </c>
      <c r="C1208" t="s">
        <v>2905</v>
      </c>
      <c r="D1208" t="s">
        <v>1473</v>
      </c>
      <c r="E1208">
        <v>46</v>
      </c>
      <c r="F1208" t="str">
        <f>IF(Table1[[#This Row],[age]]&lt;=25,"18-25",IF(Table1[[#This Row],[age]]&lt;=35,"26-35",IF(Table1[[#This Row],[age]]&lt;=50,"36-50","51+")))</f>
        <v>36-50</v>
      </c>
      <c r="G1208" t="s">
        <v>34</v>
      </c>
      <c r="H1208" t="s">
        <v>69</v>
      </c>
      <c r="I1208" t="s">
        <v>221</v>
      </c>
      <c r="J1208" t="s">
        <v>106</v>
      </c>
      <c r="K1208" t="s">
        <v>188</v>
      </c>
      <c r="L1208">
        <v>5</v>
      </c>
      <c r="M1208">
        <v>308.01</v>
      </c>
      <c r="N1208">
        <v>0.04</v>
      </c>
      <c r="O1208">
        <v>1315.86</v>
      </c>
      <c r="P1208">
        <v>56.05</v>
      </c>
      <c r="Q1208">
        <v>55.47</v>
      </c>
      <c r="R1208" t="s">
        <v>49</v>
      </c>
      <c r="S1208">
        <v>2</v>
      </c>
      <c r="T1208" t="b">
        <v>0</v>
      </c>
      <c r="U1208" t="s">
        <v>30</v>
      </c>
      <c r="V1208">
        <v>2</v>
      </c>
    </row>
    <row r="1209" spans="1:22" x14ac:dyDescent="0.25">
      <c r="A1209" t="s">
        <v>2906</v>
      </c>
      <c r="B1209" s="1">
        <v>44089</v>
      </c>
      <c r="C1209" t="s">
        <v>2907</v>
      </c>
      <c r="D1209" t="s">
        <v>191</v>
      </c>
      <c r="E1209">
        <v>54</v>
      </c>
      <c r="F1209" t="str">
        <f>IF(Table1[[#This Row],[age]]&lt;=25,"18-25",IF(Table1[[#This Row],[age]]&lt;=35,"26-35",IF(Table1[[#This Row],[age]]&lt;=50,"36-50","51+")))</f>
        <v>51+</v>
      </c>
      <c r="G1209" t="s">
        <v>34</v>
      </c>
      <c r="H1209" t="s">
        <v>55</v>
      </c>
      <c r="I1209" t="s">
        <v>75</v>
      </c>
      <c r="J1209" t="s">
        <v>101</v>
      </c>
      <c r="K1209" t="s">
        <v>214</v>
      </c>
      <c r="L1209">
        <v>8</v>
      </c>
      <c r="M1209">
        <v>10241.77</v>
      </c>
      <c r="N1209">
        <v>0.28999999999999998</v>
      </c>
      <c r="O1209">
        <v>61888.65</v>
      </c>
      <c r="P1209">
        <v>13264.84</v>
      </c>
      <c r="Q1209">
        <v>67.150000000000006</v>
      </c>
      <c r="R1209" t="s">
        <v>29</v>
      </c>
      <c r="S1209">
        <v>1</v>
      </c>
      <c r="T1209" t="b">
        <v>1</v>
      </c>
      <c r="U1209" t="s">
        <v>50</v>
      </c>
      <c r="V1209">
        <v>6</v>
      </c>
    </row>
    <row r="1210" spans="1:22" x14ac:dyDescent="0.25">
      <c r="A1210" t="s">
        <v>2908</v>
      </c>
      <c r="B1210" s="1">
        <v>44483</v>
      </c>
      <c r="C1210" t="s">
        <v>2909</v>
      </c>
      <c r="D1210" t="s">
        <v>23</v>
      </c>
      <c r="E1210">
        <v>33</v>
      </c>
      <c r="F1210" t="str">
        <f>IF(Table1[[#This Row],[age]]&lt;=25,"18-25",IF(Table1[[#This Row],[age]]&lt;=35,"26-35",IF(Table1[[#This Row],[age]]&lt;=50,"36-50","51+")))</f>
        <v>26-35</v>
      </c>
      <c r="G1210" t="s">
        <v>24</v>
      </c>
      <c r="H1210" t="s">
        <v>80</v>
      </c>
      <c r="I1210" t="s">
        <v>81</v>
      </c>
      <c r="J1210" t="s">
        <v>101</v>
      </c>
      <c r="K1210" t="s">
        <v>456</v>
      </c>
      <c r="L1210">
        <v>9</v>
      </c>
      <c r="M1210">
        <v>2605.13</v>
      </c>
      <c r="N1210">
        <v>0.21</v>
      </c>
      <c r="O1210">
        <v>20094.939999999999</v>
      </c>
      <c r="P1210">
        <v>2400.52</v>
      </c>
      <c r="Q1210">
        <v>83.93</v>
      </c>
      <c r="R1210" t="s">
        <v>43</v>
      </c>
      <c r="S1210">
        <v>4</v>
      </c>
      <c r="T1210" t="b">
        <v>1</v>
      </c>
      <c r="U1210" t="s">
        <v>50</v>
      </c>
      <c r="V1210">
        <v>5</v>
      </c>
    </row>
    <row r="1211" spans="1:22" x14ac:dyDescent="0.25">
      <c r="A1211" t="s">
        <v>2910</v>
      </c>
      <c r="B1211" s="1">
        <v>45206</v>
      </c>
      <c r="C1211" t="s">
        <v>2911</v>
      </c>
      <c r="D1211" t="s">
        <v>772</v>
      </c>
      <c r="E1211">
        <v>34</v>
      </c>
      <c r="F1211" t="str">
        <f>IF(Table1[[#This Row],[age]]&lt;=25,"18-25",IF(Table1[[#This Row],[age]]&lt;=35,"26-35",IF(Table1[[#This Row],[age]]&lt;=50,"36-50","51+")))</f>
        <v>26-35</v>
      </c>
      <c r="G1211" t="s">
        <v>24</v>
      </c>
      <c r="H1211" t="s">
        <v>25</v>
      </c>
      <c r="I1211" t="s">
        <v>41</v>
      </c>
      <c r="J1211" t="s">
        <v>63</v>
      </c>
      <c r="K1211" t="s">
        <v>64</v>
      </c>
      <c r="L1211">
        <v>1</v>
      </c>
      <c r="M1211">
        <v>3669.1</v>
      </c>
      <c r="N1211">
        <v>0.23</v>
      </c>
      <c r="O1211">
        <v>2724.49</v>
      </c>
      <c r="P1211">
        <v>1136.46</v>
      </c>
      <c r="Q1211">
        <v>66</v>
      </c>
      <c r="R1211" t="s">
        <v>43</v>
      </c>
      <c r="S1211">
        <v>5</v>
      </c>
      <c r="T1211" t="b">
        <v>0</v>
      </c>
      <c r="U1211" t="s">
        <v>30</v>
      </c>
      <c r="V1211">
        <v>9</v>
      </c>
    </row>
    <row r="1212" spans="1:22" x14ac:dyDescent="0.25">
      <c r="A1212" t="s">
        <v>2912</v>
      </c>
      <c r="B1212" s="1">
        <v>44048</v>
      </c>
      <c r="C1212" t="s">
        <v>2913</v>
      </c>
      <c r="D1212" t="s">
        <v>784</v>
      </c>
      <c r="E1212">
        <v>44</v>
      </c>
      <c r="F1212" t="str">
        <f>IF(Table1[[#This Row],[age]]&lt;=25,"18-25",IF(Table1[[#This Row],[age]]&lt;=35,"26-35",IF(Table1[[#This Row],[age]]&lt;=50,"36-50","51+")))</f>
        <v>36-50</v>
      </c>
      <c r="G1212" t="s">
        <v>34</v>
      </c>
      <c r="H1212" t="s">
        <v>69</v>
      </c>
      <c r="I1212" t="s">
        <v>181</v>
      </c>
      <c r="J1212" t="s">
        <v>36</v>
      </c>
      <c r="K1212" t="s">
        <v>132</v>
      </c>
      <c r="L1212">
        <v>6</v>
      </c>
      <c r="M1212">
        <v>10121.629999999999</v>
      </c>
      <c r="N1212">
        <v>0.2</v>
      </c>
      <c r="O1212">
        <v>61938.25</v>
      </c>
      <c r="P1212">
        <v>19909.16</v>
      </c>
      <c r="Q1212">
        <v>79.23</v>
      </c>
      <c r="R1212" t="s">
        <v>65</v>
      </c>
      <c r="S1212">
        <v>1</v>
      </c>
      <c r="T1212" t="b">
        <v>0</v>
      </c>
      <c r="U1212" t="s">
        <v>93</v>
      </c>
      <c r="V1212">
        <v>2</v>
      </c>
    </row>
    <row r="1213" spans="1:22" x14ac:dyDescent="0.25">
      <c r="A1213" t="s">
        <v>2914</v>
      </c>
      <c r="B1213" s="1">
        <v>43950</v>
      </c>
      <c r="C1213" t="s">
        <v>1034</v>
      </c>
      <c r="D1213" t="s">
        <v>1100</v>
      </c>
      <c r="E1213">
        <v>44</v>
      </c>
      <c r="F1213" t="str">
        <f>IF(Table1[[#This Row],[age]]&lt;=25,"18-25",IF(Table1[[#This Row],[age]]&lt;=35,"26-35",IF(Table1[[#This Row],[age]]&lt;=50,"36-50","51+")))</f>
        <v>36-50</v>
      </c>
      <c r="G1213" t="s">
        <v>24</v>
      </c>
      <c r="H1213" t="s">
        <v>25</v>
      </c>
      <c r="I1213" t="s">
        <v>35</v>
      </c>
      <c r="J1213" t="s">
        <v>115</v>
      </c>
      <c r="K1213" t="s">
        <v>145</v>
      </c>
      <c r="L1213">
        <v>5</v>
      </c>
      <c r="M1213">
        <v>20270.62</v>
      </c>
      <c r="N1213">
        <v>0.13</v>
      </c>
      <c r="O1213">
        <v>92969.99</v>
      </c>
      <c r="P1213">
        <v>10193.11</v>
      </c>
      <c r="Q1213">
        <v>48.68</v>
      </c>
      <c r="R1213" t="s">
        <v>29</v>
      </c>
      <c r="S1213">
        <v>2</v>
      </c>
      <c r="T1213" t="b">
        <v>0</v>
      </c>
      <c r="U1213" t="s">
        <v>30</v>
      </c>
      <c r="V1213">
        <v>3</v>
      </c>
    </row>
    <row r="1214" spans="1:22" x14ac:dyDescent="0.25">
      <c r="A1214" t="s">
        <v>2915</v>
      </c>
      <c r="B1214" s="1">
        <v>44107</v>
      </c>
      <c r="C1214" t="s">
        <v>2916</v>
      </c>
      <c r="D1214" t="s">
        <v>159</v>
      </c>
      <c r="E1214">
        <v>18</v>
      </c>
      <c r="F1214" t="str">
        <f>IF(Table1[[#This Row],[age]]&lt;=25,"18-25",IF(Table1[[#This Row],[age]]&lt;=35,"26-35",IF(Table1[[#This Row],[age]]&lt;=50,"36-50","51+")))</f>
        <v>18-25</v>
      </c>
      <c r="G1214" t="s">
        <v>34</v>
      </c>
      <c r="H1214" t="s">
        <v>55</v>
      </c>
      <c r="I1214" t="s">
        <v>75</v>
      </c>
      <c r="J1214" t="s">
        <v>115</v>
      </c>
      <c r="K1214" t="s">
        <v>137</v>
      </c>
      <c r="L1214">
        <v>7</v>
      </c>
      <c r="M1214">
        <v>37436.559999999998</v>
      </c>
      <c r="N1214">
        <v>0.37</v>
      </c>
      <c r="O1214">
        <v>134393.01</v>
      </c>
      <c r="P1214">
        <v>20949.87</v>
      </c>
      <c r="Q1214">
        <v>52.14</v>
      </c>
      <c r="R1214" t="s">
        <v>65</v>
      </c>
      <c r="S1214">
        <v>2</v>
      </c>
      <c r="T1214" t="b">
        <v>0</v>
      </c>
      <c r="U1214" t="s">
        <v>30</v>
      </c>
      <c r="V1214">
        <v>10</v>
      </c>
    </row>
    <row r="1215" spans="1:22" x14ac:dyDescent="0.25">
      <c r="A1215" t="s">
        <v>2917</v>
      </c>
      <c r="B1215" s="1">
        <v>45431</v>
      </c>
      <c r="C1215" t="s">
        <v>2918</v>
      </c>
      <c r="D1215" t="s">
        <v>1100</v>
      </c>
      <c r="E1215">
        <v>26</v>
      </c>
      <c r="F1215" t="str">
        <f>IF(Table1[[#This Row],[age]]&lt;=25,"18-25",IF(Table1[[#This Row],[age]]&lt;=35,"26-35",IF(Table1[[#This Row],[age]]&lt;=50,"36-50","51+")))</f>
        <v>26-35</v>
      </c>
      <c r="G1215" t="s">
        <v>34</v>
      </c>
      <c r="H1215" t="s">
        <v>69</v>
      </c>
      <c r="I1215" t="s">
        <v>221</v>
      </c>
      <c r="J1215" t="s">
        <v>27</v>
      </c>
      <c r="K1215" t="s">
        <v>192</v>
      </c>
      <c r="L1215">
        <v>4</v>
      </c>
      <c r="M1215">
        <v>1340.35</v>
      </c>
      <c r="N1215">
        <v>0.28000000000000003</v>
      </c>
      <c r="O1215">
        <v>6161.42</v>
      </c>
      <c r="P1215">
        <v>2285.21</v>
      </c>
      <c r="Q1215">
        <v>75.459999999999994</v>
      </c>
      <c r="R1215" t="s">
        <v>92</v>
      </c>
      <c r="S1215">
        <v>2</v>
      </c>
      <c r="T1215" t="b">
        <v>0</v>
      </c>
      <c r="U1215" t="s">
        <v>30</v>
      </c>
      <c r="V1215">
        <v>7</v>
      </c>
    </row>
    <row r="1216" spans="1:22" x14ac:dyDescent="0.25">
      <c r="A1216" t="s">
        <v>2919</v>
      </c>
      <c r="B1216" s="1">
        <v>44804</v>
      </c>
      <c r="C1216" t="s">
        <v>2920</v>
      </c>
      <c r="D1216" t="s">
        <v>1114</v>
      </c>
      <c r="E1216">
        <v>32</v>
      </c>
      <c r="F1216" t="str">
        <f>IF(Table1[[#This Row],[age]]&lt;=25,"18-25",IF(Table1[[#This Row],[age]]&lt;=35,"26-35",IF(Table1[[#This Row],[age]]&lt;=50,"36-50","51+")))</f>
        <v>26-35</v>
      </c>
      <c r="G1216" t="s">
        <v>24</v>
      </c>
      <c r="H1216" t="s">
        <v>25</v>
      </c>
      <c r="I1216" t="s">
        <v>35</v>
      </c>
      <c r="J1216" t="s">
        <v>63</v>
      </c>
      <c r="K1216" t="s">
        <v>82</v>
      </c>
      <c r="L1216">
        <v>7</v>
      </c>
      <c r="M1216">
        <v>3559.36</v>
      </c>
      <c r="N1216">
        <v>0.26</v>
      </c>
      <c r="O1216">
        <v>22968.400000000001</v>
      </c>
      <c r="P1216">
        <v>9552.92</v>
      </c>
      <c r="Q1216">
        <v>50.49</v>
      </c>
      <c r="R1216" t="s">
        <v>92</v>
      </c>
      <c r="S1216">
        <v>4</v>
      </c>
      <c r="T1216" t="b">
        <v>0</v>
      </c>
      <c r="U1216" t="s">
        <v>30</v>
      </c>
      <c r="V1216">
        <v>5</v>
      </c>
    </row>
    <row r="1217" spans="1:22" x14ac:dyDescent="0.25">
      <c r="A1217" t="s">
        <v>2921</v>
      </c>
      <c r="B1217" s="1">
        <v>44266</v>
      </c>
      <c r="C1217" t="s">
        <v>2922</v>
      </c>
      <c r="D1217" t="s">
        <v>334</v>
      </c>
      <c r="E1217">
        <v>30</v>
      </c>
      <c r="F1217" t="str">
        <f>IF(Table1[[#This Row],[age]]&lt;=25,"18-25",IF(Table1[[#This Row],[age]]&lt;=35,"26-35",IF(Table1[[#This Row],[age]]&lt;=50,"36-50","51+")))</f>
        <v>26-35</v>
      </c>
      <c r="G1217" t="s">
        <v>24</v>
      </c>
      <c r="H1217" t="s">
        <v>61</v>
      </c>
      <c r="I1217" t="s">
        <v>62</v>
      </c>
      <c r="J1217" t="s">
        <v>106</v>
      </c>
      <c r="K1217" t="s">
        <v>247</v>
      </c>
      <c r="L1217">
        <v>7</v>
      </c>
      <c r="M1217">
        <v>236.4</v>
      </c>
      <c r="N1217">
        <v>0.32</v>
      </c>
      <c r="O1217">
        <v>1215.8399999999999</v>
      </c>
      <c r="P1217">
        <v>86.13</v>
      </c>
      <c r="Q1217">
        <v>33.049999999999997</v>
      </c>
      <c r="R1217" t="s">
        <v>49</v>
      </c>
      <c r="S1217">
        <v>2</v>
      </c>
      <c r="T1217" t="b">
        <v>1</v>
      </c>
      <c r="U1217" t="s">
        <v>50</v>
      </c>
      <c r="V1217">
        <v>3</v>
      </c>
    </row>
    <row r="1218" spans="1:22" x14ac:dyDescent="0.25">
      <c r="A1218" t="s">
        <v>2923</v>
      </c>
      <c r="B1218" s="1">
        <v>44767</v>
      </c>
      <c r="C1218" t="s">
        <v>2924</v>
      </c>
      <c r="D1218" t="s">
        <v>734</v>
      </c>
      <c r="E1218">
        <v>44</v>
      </c>
      <c r="F1218" t="str">
        <f>IF(Table1[[#This Row],[age]]&lt;=25,"18-25",IF(Table1[[#This Row],[age]]&lt;=35,"26-35",IF(Table1[[#This Row],[age]]&lt;=50,"36-50","51+")))</f>
        <v>36-50</v>
      </c>
      <c r="G1218" t="s">
        <v>34</v>
      </c>
      <c r="H1218" t="s">
        <v>69</v>
      </c>
      <c r="I1218" t="s">
        <v>221</v>
      </c>
      <c r="J1218" t="s">
        <v>101</v>
      </c>
      <c r="K1218" t="s">
        <v>164</v>
      </c>
      <c r="L1218">
        <v>8</v>
      </c>
      <c r="M1218">
        <v>12531.28</v>
      </c>
      <c r="N1218">
        <v>0.26</v>
      </c>
      <c r="O1218">
        <v>102179.33</v>
      </c>
      <c r="P1218">
        <v>18509.68</v>
      </c>
      <c r="Q1218">
        <v>84.53</v>
      </c>
      <c r="R1218" t="s">
        <v>49</v>
      </c>
      <c r="S1218">
        <v>1</v>
      </c>
      <c r="T1218" t="b">
        <v>0</v>
      </c>
      <c r="U1218" t="s">
        <v>93</v>
      </c>
      <c r="V1218">
        <v>6</v>
      </c>
    </row>
    <row r="1219" spans="1:22" x14ac:dyDescent="0.25">
      <c r="A1219" t="s">
        <v>2925</v>
      </c>
      <c r="B1219" s="1">
        <v>44139</v>
      </c>
      <c r="C1219" t="s">
        <v>2926</v>
      </c>
      <c r="D1219" t="s">
        <v>577</v>
      </c>
      <c r="E1219">
        <v>30</v>
      </c>
      <c r="F1219" t="str">
        <f>IF(Table1[[#This Row],[age]]&lt;=25,"18-25",IF(Table1[[#This Row],[age]]&lt;=35,"26-35",IF(Table1[[#This Row],[age]]&lt;=50,"36-50","51+")))</f>
        <v>26-35</v>
      </c>
      <c r="G1219" t="s">
        <v>24</v>
      </c>
      <c r="H1219" t="s">
        <v>69</v>
      </c>
      <c r="I1219" t="s">
        <v>136</v>
      </c>
      <c r="J1219" t="s">
        <v>101</v>
      </c>
      <c r="K1219" t="s">
        <v>164</v>
      </c>
      <c r="L1219">
        <v>1</v>
      </c>
      <c r="M1219">
        <v>13269.22</v>
      </c>
      <c r="N1219">
        <v>0.27</v>
      </c>
      <c r="O1219">
        <v>7469.13</v>
      </c>
      <c r="P1219">
        <v>1868.37</v>
      </c>
      <c r="Q1219">
        <v>57.24</v>
      </c>
      <c r="R1219" t="s">
        <v>49</v>
      </c>
      <c r="S1219">
        <v>2</v>
      </c>
      <c r="T1219" t="b">
        <v>0</v>
      </c>
      <c r="U1219" t="s">
        <v>71</v>
      </c>
      <c r="V1219">
        <v>1</v>
      </c>
    </row>
    <row r="1220" spans="1:22" x14ac:dyDescent="0.25">
      <c r="A1220" t="s">
        <v>2927</v>
      </c>
      <c r="B1220" s="1">
        <v>44976</v>
      </c>
      <c r="C1220" t="s">
        <v>2928</v>
      </c>
      <c r="D1220" t="s">
        <v>767</v>
      </c>
      <c r="E1220">
        <v>36</v>
      </c>
      <c r="F1220" t="str">
        <f>IF(Table1[[#This Row],[age]]&lt;=25,"18-25",IF(Table1[[#This Row],[age]]&lt;=35,"26-35",IF(Table1[[#This Row],[age]]&lt;=50,"36-50","51+")))</f>
        <v>36-50</v>
      </c>
      <c r="G1220" t="s">
        <v>24</v>
      </c>
      <c r="H1220" t="s">
        <v>61</v>
      </c>
      <c r="I1220" t="s">
        <v>141</v>
      </c>
      <c r="J1220" t="s">
        <v>36</v>
      </c>
      <c r="K1220" t="s">
        <v>132</v>
      </c>
      <c r="L1220">
        <v>6</v>
      </c>
      <c r="M1220">
        <v>3886.28</v>
      </c>
      <c r="N1220">
        <v>0.02</v>
      </c>
      <c r="O1220">
        <v>22799.71</v>
      </c>
      <c r="P1220">
        <v>4659.41</v>
      </c>
      <c r="Q1220">
        <v>44.59</v>
      </c>
      <c r="R1220" t="s">
        <v>49</v>
      </c>
      <c r="S1220">
        <v>1</v>
      </c>
      <c r="T1220" t="b">
        <v>0</v>
      </c>
      <c r="U1220" t="s">
        <v>30</v>
      </c>
      <c r="V1220">
        <v>6</v>
      </c>
    </row>
    <row r="1221" spans="1:22" x14ac:dyDescent="0.25">
      <c r="A1221" t="s">
        <v>2929</v>
      </c>
      <c r="B1221" s="1">
        <v>44204</v>
      </c>
      <c r="C1221" t="s">
        <v>2930</v>
      </c>
      <c r="D1221" t="s">
        <v>539</v>
      </c>
      <c r="E1221">
        <v>48</v>
      </c>
      <c r="F1221" t="str">
        <f>IF(Table1[[#This Row],[age]]&lt;=25,"18-25",IF(Table1[[#This Row],[age]]&lt;=35,"26-35",IF(Table1[[#This Row],[age]]&lt;=50,"36-50","51+")))</f>
        <v>36-50</v>
      </c>
      <c r="G1221" t="s">
        <v>54</v>
      </c>
      <c r="H1221" t="s">
        <v>69</v>
      </c>
      <c r="I1221" t="s">
        <v>181</v>
      </c>
      <c r="J1221" t="s">
        <v>63</v>
      </c>
      <c r="K1221" t="s">
        <v>82</v>
      </c>
      <c r="L1221">
        <v>3</v>
      </c>
      <c r="M1221">
        <v>1116.5999999999999</v>
      </c>
      <c r="N1221">
        <v>0.09</v>
      </c>
      <c r="O1221">
        <v>2760.68</v>
      </c>
      <c r="P1221">
        <v>860.81</v>
      </c>
      <c r="Q1221">
        <v>92.64</v>
      </c>
      <c r="R1221" t="s">
        <v>43</v>
      </c>
      <c r="S1221">
        <v>4</v>
      </c>
      <c r="T1221" t="b">
        <v>0</v>
      </c>
      <c r="U1221" t="s">
        <v>30</v>
      </c>
      <c r="V1221">
        <v>2</v>
      </c>
    </row>
    <row r="1222" spans="1:22" x14ac:dyDescent="0.25">
      <c r="A1222" t="s">
        <v>2931</v>
      </c>
      <c r="B1222" s="1">
        <v>45198</v>
      </c>
      <c r="C1222" t="s">
        <v>2932</v>
      </c>
      <c r="D1222" t="s">
        <v>895</v>
      </c>
      <c r="E1222">
        <v>31</v>
      </c>
      <c r="F1222" t="str">
        <f>IF(Table1[[#This Row],[age]]&lt;=25,"18-25",IF(Table1[[#This Row],[age]]&lt;=35,"26-35",IF(Table1[[#This Row],[age]]&lt;=50,"36-50","51+")))</f>
        <v>26-35</v>
      </c>
      <c r="G1222" t="s">
        <v>34</v>
      </c>
      <c r="H1222" t="s">
        <v>69</v>
      </c>
      <c r="I1222" t="s">
        <v>136</v>
      </c>
      <c r="J1222" t="s">
        <v>106</v>
      </c>
      <c r="K1222" t="s">
        <v>314</v>
      </c>
      <c r="L1222">
        <v>7</v>
      </c>
      <c r="M1222">
        <v>72.5</v>
      </c>
      <c r="N1222">
        <v>0.28000000000000003</v>
      </c>
      <c r="O1222">
        <v>449.07</v>
      </c>
      <c r="P1222">
        <v>36.76</v>
      </c>
      <c r="Q1222">
        <v>80.150000000000006</v>
      </c>
      <c r="R1222" t="s">
        <v>65</v>
      </c>
      <c r="S1222">
        <v>4</v>
      </c>
      <c r="T1222" t="b">
        <v>0</v>
      </c>
      <c r="U1222" t="s">
        <v>71</v>
      </c>
      <c r="V1222">
        <v>9</v>
      </c>
    </row>
    <row r="1223" spans="1:22" x14ac:dyDescent="0.25">
      <c r="A1223" t="s">
        <v>2933</v>
      </c>
      <c r="B1223" s="1">
        <v>44805</v>
      </c>
      <c r="C1223" t="s">
        <v>2934</v>
      </c>
      <c r="D1223" t="s">
        <v>68</v>
      </c>
      <c r="E1223">
        <v>37</v>
      </c>
      <c r="F1223" t="str">
        <f>IF(Table1[[#This Row],[age]]&lt;=25,"18-25",IF(Table1[[#This Row],[age]]&lt;=35,"26-35",IF(Table1[[#This Row],[age]]&lt;=50,"36-50","51+")))</f>
        <v>36-50</v>
      </c>
      <c r="G1223" t="s">
        <v>54</v>
      </c>
      <c r="H1223" t="s">
        <v>55</v>
      </c>
      <c r="I1223" t="s">
        <v>97</v>
      </c>
      <c r="J1223" t="s">
        <v>27</v>
      </c>
      <c r="K1223" t="s">
        <v>335</v>
      </c>
      <c r="L1223">
        <v>2</v>
      </c>
      <c r="M1223">
        <v>1173.03</v>
      </c>
      <c r="N1223">
        <v>0.28999999999999998</v>
      </c>
      <c r="O1223">
        <v>1370.12</v>
      </c>
      <c r="P1223">
        <v>604.94000000000005</v>
      </c>
      <c r="Q1223">
        <v>50.86</v>
      </c>
      <c r="R1223" t="s">
        <v>29</v>
      </c>
      <c r="S1223">
        <v>3</v>
      </c>
      <c r="T1223" t="b">
        <v>0</v>
      </c>
      <c r="U1223" t="s">
        <v>30</v>
      </c>
      <c r="V1223">
        <v>1</v>
      </c>
    </row>
    <row r="1224" spans="1:22" x14ac:dyDescent="0.25">
      <c r="A1224" t="s">
        <v>2935</v>
      </c>
      <c r="B1224" s="1">
        <v>44093</v>
      </c>
      <c r="C1224" t="s">
        <v>2936</v>
      </c>
      <c r="D1224" t="s">
        <v>2003</v>
      </c>
      <c r="E1224">
        <v>30</v>
      </c>
      <c r="F1224" t="str">
        <f>IF(Table1[[#This Row],[age]]&lt;=25,"18-25",IF(Table1[[#This Row],[age]]&lt;=35,"26-35",IF(Table1[[#This Row],[age]]&lt;=50,"36-50","51+")))</f>
        <v>26-35</v>
      </c>
      <c r="G1224" t="s">
        <v>54</v>
      </c>
      <c r="H1224" t="s">
        <v>55</v>
      </c>
      <c r="I1224" t="s">
        <v>114</v>
      </c>
      <c r="J1224" t="s">
        <v>115</v>
      </c>
      <c r="K1224" t="s">
        <v>197</v>
      </c>
      <c r="L1224">
        <v>10</v>
      </c>
      <c r="M1224">
        <v>5927.03</v>
      </c>
      <c r="N1224">
        <v>0.37</v>
      </c>
      <c r="O1224">
        <v>41239.82</v>
      </c>
      <c r="P1224">
        <v>4624.5200000000004</v>
      </c>
      <c r="Q1224">
        <v>77.349999999999994</v>
      </c>
      <c r="R1224" t="s">
        <v>49</v>
      </c>
      <c r="S1224">
        <v>4</v>
      </c>
      <c r="T1224" t="b">
        <v>0</v>
      </c>
      <c r="U1224" t="s">
        <v>30</v>
      </c>
      <c r="V1224">
        <v>4</v>
      </c>
    </row>
    <row r="1225" spans="1:22" x14ac:dyDescent="0.25">
      <c r="A1225" t="s">
        <v>2937</v>
      </c>
      <c r="B1225" s="1">
        <v>44935</v>
      </c>
      <c r="C1225" t="s">
        <v>2938</v>
      </c>
      <c r="D1225" t="s">
        <v>2340</v>
      </c>
      <c r="E1225">
        <v>44</v>
      </c>
      <c r="F1225" t="str">
        <f>IF(Table1[[#This Row],[age]]&lt;=25,"18-25",IF(Table1[[#This Row],[age]]&lt;=35,"26-35",IF(Table1[[#This Row],[age]]&lt;=50,"36-50","51+")))</f>
        <v>36-50</v>
      </c>
      <c r="G1225" t="s">
        <v>34</v>
      </c>
      <c r="H1225" t="s">
        <v>55</v>
      </c>
      <c r="I1225" t="s">
        <v>114</v>
      </c>
      <c r="J1225" t="s">
        <v>101</v>
      </c>
      <c r="K1225" t="s">
        <v>318</v>
      </c>
      <c r="L1225">
        <v>6</v>
      </c>
      <c r="M1225">
        <v>14871.36</v>
      </c>
      <c r="N1225">
        <v>0.23</v>
      </c>
      <c r="O1225">
        <v>56010.61</v>
      </c>
      <c r="P1225">
        <v>9090.5499999999993</v>
      </c>
      <c r="Q1225">
        <v>74.650000000000006</v>
      </c>
      <c r="R1225" t="s">
        <v>49</v>
      </c>
      <c r="S1225">
        <v>2</v>
      </c>
      <c r="T1225" t="b">
        <v>0</v>
      </c>
      <c r="U1225" t="s">
        <v>30</v>
      </c>
      <c r="V1225">
        <v>8</v>
      </c>
    </row>
    <row r="1226" spans="1:22" x14ac:dyDescent="0.25">
      <c r="A1226" t="s">
        <v>2939</v>
      </c>
      <c r="B1226" s="1">
        <v>44255</v>
      </c>
      <c r="C1226" t="s">
        <v>2940</v>
      </c>
      <c r="D1226" t="s">
        <v>910</v>
      </c>
      <c r="E1226">
        <v>32</v>
      </c>
      <c r="F1226" t="str">
        <f>IF(Table1[[#This Row],[age]]&lt;=25,"18-25",IF(Table1[[#This Row],[age]]&lt;=35,"26-35",IF(Table1[[#This Row],[age]]&lt;=50,"36-50","51+")))</f>
        <v>26-35</v>
      </c>
      <c r="G1226" t="s">
        <v>54</v>
      </c>
      <c r="H1226" t="s">
        <v>69</v>
      </c>
      <c r="I1226" t="s">
        <v>70</v>
      </c>
      <c r="J1226" t="s">
        <v>47</v>
      </c>
      <c r="K1226" t="s">
        <v>156</v>
      </c>
      <c r="L1226">
        <v>1</v>
      </c>
      <c r="M1226">
        <v>1285.8</v>
      </c>
      <c r="N1226">
        <v>0.12</v>
      </c>
      <c r="O1226">
        <v>930.59</v>
      </c>
      <c r="P1226">
        <v>331.39</v>
      </c>
      <c r="Q1226">
        <v>110.69</v>
      </c>
      <c r="R1226" t="s">
        <v>43</v>
      </c>
      <c r="S1226">
        <v>1</v>
      </c>
      <c r="T1226" t="b">
        <v>0</v>
      </c>
      <c r="U1226" t="s">
        <v>93</v>
      </c>
      <c r="V1226">
        <v>8</v>
      </c>
    </row>
    <row r="1227" spans="1:22" x14ac:dyDescent="0.25">
      <c r="A1227" t="s">
        <v>2941</v>
      </c>
      <c r="B1227" s="1">
        <v>45446</v>
      </c>
      <c r="C1227" t="s">
        <v>2942</v>
      </c>
      <c r="D1227" t="s">
        <v>2142</v>
      </c>
      <c r="E1227">
        <v>40</v>
      </c>
      <c r="F1227" t="str">
        <f>IF(Table1[[#This Row],[age]]&lt;=25,"18-25",IF(Table1[[#This Row],[age]]&lt;=35,"26-35",IF(Table1[[#This Row],[age]]&lt;=50,"36-50","51+")))</f>
        <v>36-50</v>
      </c>
      <c r="G1227" t="s">
        <v>34</v>
      </c>
      <c r="H1227" t="s">
        <v>80</v>
      </c>
      <c r="I1227" t="s">
        <v>242</v>
      </c>
      <c r="J1227" t="s">
        <v>115</v>
      </c>
      <c r="K1227" t="s">
        <v>116</v>
      </c>
      <c r="L1227">
        <v>9</v>
      </c>
      <c r="M1227">
        <v>62118.25</v>
      </c>
      <c r="N1227">
        <v>0.27</v>
      </c>
      <c r="O1227">
        <v>741493.84</v>
      </c>
      <c r="P1227">
        <v>88815.59</v>
      </c>
      <c r="Q1227">
        <v>64.34</v>
      </c>
      <c r="R1227" t="s">
        <v>43</v>
      </c>
      <c r="S1227">
        <v>1</v>
      </c>
      <c r="T1227" t="b">
        <v>0</v>
      </c>
      <c r="U1227" t="s">
        <v>93</v>
      </c>
      <c r="V1227">
        <v>6</v>
      </c>
    </row>
    <row r="1228" spans="1:22" x14ac:dyDescent="0.25">
      <c r="A1228" t="s">
        <v>2943</v>
      </c>
      <c r="B1228" s="1">
        <v>44359</v>
      </c>
      <c r="C1228" t="s">
        <v>2944</v>
      </c>
      <c r="D1228" t="s">
        <v>2500</v>
      </c>
      <c r="E1228">
        <v>42</v>
      </c>
      <c r="F1228" t="str">
        <f>IF(Table1[[#This Row],[age]]&lt;=25,"18-25",IF(Table1[[#This Row],[age]]&lt;=35,"26-35",IF(Table1[[#This Row],[age]]&lt;=50,"36-50","51+")))</f>
        <v>36-50</v>
      </c>
      <c r="G1228" t="s">
        <v>34</v>
      </c>
      <c r="H1228" t="s">
        <v>55</v>
      </c>
      <c r="I1228" t="s">
        <v>56</v>
      </c>
      <c r="J1228" t="s">
        <v>36</v>
      </c>
      <c r="K1228" t="s">
        <v>42</v>
      </c>
      <c r="L1228">
        <v>10</v>
      </c>
      <c r="M1228">
        <v>10408.77</v>
      </c>
      <c r="N1228">
        <v>0.32</v>
      </c>
      <c r="O1228">
        <v>104668.88</v>
      </c>
      <c r="P1228">
        <v>36667.24</v>
      </c>
      <c r="Q1228">
        <v>59.71</v>
      </c>
      <c r="R1228" t="s">
        <v>57</v>
      </c>
      <c r="S1228">
        <v>2</v>
      </c>
      <c r="T1228" t="b">
        <v>1</v>
      </c>
      <c r="U1228" t="s">
        <v>50</v>
      </c>
      <c r="V1228">
        <v>5</v>
      </c>
    </row>
    <row r="1229" spans="1:22" x14ac:dyDescent="0.25">
      <c r="A1229" t="s">
        <v>2945</v>
      </c>
      <c r="B1229" s="1">
        <v>44766</v>
      </c>
      <c r="C1229" t="s">
        <v>2946</v>
      </c>
      <c r="D1229" t="s">
        <v>253</v>
      </c>
      <c r="E1229">
        <v>46</v>
      </c>
      <c r="F1229" t="str">
        <f>IF(Table1[[#This Row],[age]]&lt;=25,"18-25",IF(Table1[[#This Row],[age]]&lt;=35,"26-35",IF(Table1[[#This Row],[age]]&lt;=50,"36-50","51+")))</f>
        <v>36-50</v>
      </c>
      <c r="G1229" t="s">
        <v>34</v>
      </c>
      <c r="H1229" t="s">
        <v>25</v>
      </c>
      <c r="I1229" t="s">
        <v>35</v>
      </c>
      <c r="J1229" t="s">
        <v>27</v>
      </c>
      <c r="K1229" t="s">
        <v>168</v>
      </c>
      <c r="L1229">
        <v>8</v>
      </c>
      <c r="M1229">
        <v>1555.78</v>
      </c>
      <c r="N1229">
        <v>0.04</v>
      </c>
      <c r="O1229">
        <v>16126.18</v>
      </c>
      <c r="P1229">
        <v>4937.0600000000004</v>
      </c>
      <c r="Q1229">
        <v>68.28</v>
      </c>
      <c r="R1229" t="s">
        <v>92</v>
      </c>
      <c r="S1229">
        <v>3</v>
      </c>
      <c r="T1229" t="b">
        <v>0</v>
      </c>
      <c r="U1229" t="s">
        <v>30</v>
      </c>
      <c r="V1229">
        <v>10</v>
      </c>
    </row>
    <row r="1230" spans="1:22" x14ac:dyDescent="0.25">
      <c r="A1230" t="s">
        <v>2947</v>
      </c>
      <c r="B1230" s="1">
        <v>44751</v>
      </c>
      <c r="C1230" t="s">
        <v>2948</v>
      </c>
      <c r="D1230" t="s">
        <v>2716</v>
      </c>
      <c r="E1230">
        <v>38</v>
      </c>
      <c r="F1230" t="str">
        <f>IF(Table1[[#This Row],[age]]&lt;=25,"18-25",IF(Table1[[#This Row],[age]]&lt;=35,"26-35",IF(Table1[[#This Row],[age]]&lt;=50,"36-50","51+")))</f>
        <v>36-50</v>
      </c>
      <c r="G1230" t="s">
        <v>24</v>
      </c>
      <c r="H1230" t="s">
        <v>69</v>
      </c>
      <c r="I1230" t="s">
        <v>70</v>
      </c>
      <c r="J1230" t="s">
        <v>106</v>
      </c>
      <c r="K1230" t="s">
        <v>314</v>
      </c>
      <c r="L1230">
        <v>10</v>
      </c>
      <c r="M1230">
        <v>282.32</v>
      </c>
      <c r="N1230">
        <v>0.11</v>
      </c>
      <c r="O1230">
        <v>3690.15</v>
      </c>
      <c r="P1230">
        <v>255.64</v>
      </c>
      <c r="Q1230">
        <v>68.13</v>
      </c>
      <c r="R1230" t="s">
        <v>43</v>
      </c>
      <c r="S1230">
        <v>4</v>
      </c>
      <c r="T1230" t="b">
        <v>1</v>
      </c>
      <c r="U1230" t="s">
        <v>50</v>
      </c>
      <c r="V1230">
        <v>2</v>
      </c>
    </row>
    <row r="1231" spans="1:22" x14ac:dyDescent="0.25">
      <c r="A1231" t="s">
        <v>2949</v>
      </c>
      <c r="B1231" s="1">
        <v>44842</v>
      </c>
      <c r="C1231" t="s">
        <v>2950</v>
      </c>
      <c r="D1231" t="s">
        <v>85</v>
      </c>
      <c r="E1231">
        <v>29</v>
      </c>
      <c r="F1231" t="str">
        <f>IF(Table1[[#This Row],[age]]&lt;=25,"18-25",IF(Table1[[#This Row],[age]]&lt;=35,"26-35",IF(Table1[[#This Row],[age]]&lt;=50,"36-50","51+")))</f>
        <v>26-35</v>
      </c>
      <c r="G1231" t="s">
        <v>34</v>
      </c>
      <c r="H1231" t="s">
        <v>55</v>
      </c>
      <c r="I1231" t="s">
        <v>97</v>
      </c>
      <c r="J1231" t="s">
        <v>101</v>
      </c>
      <c r="K1231" t="s">
        <v>124</v>
      </c>
      <c r="L1231">
        <v>7</v>
      </c>
      <c r="M1231">
        <v>8342.2099999999991</v>
      </c>
      <c r="N1231">
        <v>0.31</v>
      </c>
      <c r="O1231">
        <v>46118.01</v>
      </c>
      <c r="P1231">
        <v>10147.74</v>
      </c>
      <c r="Q1231">
        <v>47.94</v>
      </c>
      <c r="R1231" t="s">
        <v>57</v>
      </c>
      <c r="S1231">
        <v>5</v>
      </c>
      <c r="T1231" t="b">
        <v>0</v>
      </c>
      <c r="U1231" t="s">
        <v>30</v>
      </c>
      <c r="V1231">
        <v>1</v>
      </c>
    </row>
    <row r="1232" spans="1:22" x14ac:dyDescent="0.25">
      <c r="A1232" t="s">
        <v>2951</v>
      </c>
      <c r="B1232" s="1">
        <v>44894</v>
      </c>
      <c r="C1232" t="s">
        <v>2952</v>
      </c>
      <c r="D1232" t="s">
        <v>556</v>
      </c>
      <c r="E1232">
        <v>27</v>
      </c>
      <c r="F1232" t="str">
        <f>IF(Table1[[#This Row],[age]]&lt;=25,"18-25",IF(Table1[[#This Row],[age]]&lt;=35,"26-35",IF(Table1[[#This Row],[age]]&lt;=50,"36-50","51+")))</f>
        <v>26-35</v>
      </c>
      <c r="G1232" t="s">
        <v>34</v>
      </c>
      <c r="H1232" t="s">
        <v>69</v>
      </c>
      <c r="I1232" t="s">
        <v>221</v>
      </c>
      <c r="J1232" t="s">
        <v>101</v>
      </c>
      <c r="K1232" t="s">
        <v>102</v>
      </c>
      <c r="L1232">
        <v>1</v>
      </c>
      <c r="M1232">
        <v>2937.76</v>
      </c>
      <c r="N1232">
        <v>7.0000000000000007E-2</v>
      </c>
      <c r="O1232">
        <v>2128.61</v>
      </c>
      <c r="P1232">
        <v>360.5</v>
      </c>
      <c r="Q1232">
        <v>64.66</v>
      </c>
      <c r="R1232" t="s">
        <v>57</v>
      </c>
      <c r="S1232">
        <v>5</v>
      </c>
      <c r="T1232" t="b">
        <v>0</v>
      </c>
      <c r="U1232" t="s">
        <v>30</v>
      </c>
      <c r="V1232">
        <v>6</v>
      </c>
    </row>
    <row r="1233" spans="1:22" x14ac:dyDescent="0.25">
      <c r="A1233" t="s">
        <v>2953</v>
      </c>
      <c r="B1233" s="1">
        <v>45172</v>
      </c>
      <c r="C1233" t="s">
        <v>2954</v>
      </c>
      <c r="D1233" t="s">
        <v>430</v>
      </c>
      <c r="E1233">
        <v>22</v>
      </c>
      <c r="F1233" t="str">
        <f>IF(Table1[[#This Row],[age]]&lt;=25,"18-25",IF(Table1[[#This Row],[age]]&lt;=35,"26-35",IF(Table1[[#This Row],[age]]&lt;=50,"36-50","51+")))</f>
        <v>18-25</v>
      </c>
      <c r="G1233" t="s">
        <v>34</v>
      </c>
      <c r="H1233" t="s">
        <v>61</v>
      </c>
      <c r="I1233" t="s">
        <v>141</v>
      </c>
      <c r="J1233" t="s">
        <v>36</v>
      </c>
      <c r="K1233" t="s">
        <v>132</v>
      </c>
      <c r="L1233">
        <v>7</v>
      </c>
      <c r="M1233">
        <v>31725.3</v>
      </c>
      <c r="N1233">
        <v>0.37</v>
      </c>
      <c r="O1233">
        <v>162459.18</v>
      </c>
      <c r="P1233">
        <v>38520.589999999997</v>
      </c>
      <c r="Q1233">
        <v>64.239999999999995</v>
      </c>
      <c r="R1233" t="s">
        <v>43</v>
      </c>
      <c r="S1233">
        <v>3</v>
      </c>
      <c r="T1233" t="b">
        <v>0</v>
      </c>
      <c r="U1233" t="s">
        <v>30</v>
      </c>
      <c r="V1233">
        <v>3</v>
      </c>
    </row>
    <row r="1234" spans="1:22" x14ac:dyDescent="0.25">
      <c r="A1234" t="s">
        <v>2955</v>
      </c>
      <c r="B1234" s="1">
        <v>45067</v>
      </c>
      <c r="C1234" t="s">
        <v>2956</v>
      </c>
      <c r="D1234" t="s">
        <v>127</v>
      </c>
      <c r="E1234">
        <v>21</v>
      </c>
      <c r="F1234" t="str">
        <f>IF(Table1[[#This Row],[age]]&lt;=25,"18-25",IF(Table1[[#This Row],[age]]&lt;=35,"26-35",IF(Table1[[#This Row],[age]]&lt;=50,"36-50","51+")))</f>
        <v>18-25</v>
      </c>
      <c r="G1234" t="s">
        <v>34</v>
      </c>
      <c r="H1234" t="s">
        <v>80</v>
      </c>
      <c r="I1234" t="s">
        <v>242</v>
      </c>
      <c r="J1234" t="s">
        <v>101</v>
      </c>
      <c r="K1234" t="s">
        <v>456</v>
      </c>
      <c r="L1234">
        <v>7</v>
      </c>
      <c r="M1234">
        <v>7147.56</v>
      </c>
      <c r="N1234">
        <v>0.25</v>
      </c>
      <c r="O1234">
        <v>64932.35</v>
      </c>
      <c r="P1234">
        <v>18485.240000000002</v>
      </c>
      <c r="Q1234">
        <v>94.91</v>
      </c>
      <c r="R1234" t="s">
        <v>29</v>
      </c>
      <c r="S1234">
        <v>5</v>
      </c>
      <c r="T1234" t="b">
        <v>0</v>
      </c>
      <c r="U1234" t="s">
        <v>30</v>
      </c>
      <c r="V1234">
        <v>5</v>
      </c>
    </row>
    <row r="1235" spans="1:22" x14ac:dyDescent="0.25">
      <c r="A1235" t="s">
        <v>2957</v>
      </c>
      <c r="B1235" s="1">
        <v>44512</v>
      </c>
      <c r="C1235" t="s">
        <v>2958</v>
      </c>
      <c r="D1235" t="s">
        <v>583</v>
      </c>
      <c r="E1235">
        <v>42</v>
      </c>
      <c r="F1235" t="str">
        <f>IF(Table1[[#This Row],[age]]&lt;=25,"18-25",IF(Table1[[#This Row],[age]]&lt;=35,"26-35",IF(Table1[[#This Row],[age]]&lt;=50,"36-50","51+")))</f>
        <v>36-50</v>
      </c>
      <c r="G1235" t="s">
        <v>54</v>
      </c>
      <c r="H1235" t="s">
        <v>69</v>
      </c>
      <c r="I1235" t="s">
        <v>70</v>
      </c>
      <c r="J1235" t="s">
        <v>106</v>
      </c>
      <c r="K1235" t="s">
        <v>188</v>
      </c>
      <c r="L1235">
        <v>8</v>
      </c>
      <c r="M1235">
        <v>465.39</v>
      </c>
      <c r="N1235">
        <v>0.2</v>
      </c>
      <c r="O1235">
        <v>2501.0700000000002</v>
      </c>
      <c r="P1235">
        <v>173.37</v>
      </c>
      <c r="Q1235">
        <v>89.42</v>
      </c>
      <c r="R1235" t="s">
        <v>65</v>
      </c>
      <c r="S1235">
        <v>3</v>
      </c>
      <c r="T1235" t="b">
        <v>0</v>
      </c>
      <c r="U1235" t="s">
        <v>93</v>
      </c>
      <c r="V1235">
        <v>2</v>
      </c>
    </row>
    <row r="1236" spans="1:22" x14ac:dyDescent="0.25">
      <c r="A1236" t="s">
        <v>2959</v>
      </c>
      <c r="B1236" s="1">
        <v>44054</v>
      </c>
      <c r="C1236" t="s">
        <v>2960</v>
      </c>
      <c r="D1236" t="s">
        <v>2317</v>
      </c>
      <c r="E1236">
        <v>37</v>
      </c>
      <c r="F1236" t="str">
        <f>IF(Table1[[#This Row],[age]]&lt;=25,"18-25",IF(Table1[[#This Row],[age]]&lt;=35,"26-35",IF(Table1[[#This Row],[age]]&lt;=50,"36-50","51+")))</f>
        <v>36-50</v>
      </c>
      <c r="G1236" t="s">
        <v>34</v>
      </c>
      <c r="H1236" t="s">
        <v>25</v>
      </c>
      <c r="I1236" t="s">
        <v>41</v>
      </c>
      <c r="J1236" t="s">
        <v>63</v>
      </c>
      <c r="K1236" t="s">
        <v>82</v>
      </c>
      <c r="L1236">
        <v>10</v>
      </c>
      <c r="M1236">
        <v>2383.1999999999998</v>
      </c>
      <c r="N1236">
        <v>0.23</v>
      </c>
      <c r="O1236">
        <v>19650.37</v>
      </c>
      <c r="P1236">
        <v>10442.57</v>
      </c>
      <c r="Q1236">
        <v>79.75</v>
      </c>
      <c r="R1236" t="s">
        <v>57</v>
      </c>
      <c r="S1236">
        <v>2</v>
      </c>
      <c r="T1236" t="b">
        <v>0</v>
      </c>
      <c r="U1236" t="s">
        <v>93</v>
      </c>
      <c r="V1236">
        <v>10</v>
      </c>
    </row>
    <row r="1237" spans="1:22" x14ac:dyDescent="0.25">
      <c r="A1237" t="s">
        <v>2961</v>
      </c>
      <c r="B1237" s="1">
        <v>45514</v>
      </c>
      <c r="C1237" t="s">
        <v>2962</v>
      </c>
      <c r="D1237" t="s">
        <v>1166</v>
      </c>
      <c r="E1237">
        <v>23</v>
      </c>
      <c r="F1237" t="str">
        <f>IF(Table1[[#This Row],[age]]&lt;=25,"18-25",IF(Table1[[#This Row],[age]]&lt;=35,"26-35",IF(Table1[[#This Row],[age]]&lt;=50,"36-50","51+")))</f>
        <v>18-25</v>
      </c>
      <c r="G1237" t="s">
        <v>34</v>
      </c>
      <c r="H1237" t="s">
        <v>80</v>
      </c>
      <c r="I1237" t="s">
        <v>81</v>
      </c>
      <c r="J1237" t="s">
        <v>36</v>
      </c>
      <c r="K1237" t="s">
        <v>230</v>
      </c>
      <c r="L1237">
        <v>1</v>
      </c>
      <c r="M1237">
        <v>17279.95</v>
      </c>
      <c r="N1237">
        <v>0.36</v>
      </c>
      <c r="O1237">
        <v>15219.05</v>
      </c>
      <c r="P1237">
        <v>4268.25</v>
      </c>
      <c r="Q1237">
        <v>69.91</v>
      </c>
      <c r="R1237" t="s">
        <v>43</v>
      </c>
      <c r="S1237">
        <v>4</v>
      </c>
      <c r="T1237" t="b">
        <v>0</v>
      </c>
      <c r="U1237" t="s">
        <v>71</v>
      </c>
      <c r="V1237">
        <v>4</v>
      </c>
    </row>
    <row r="1238" spans="1:22" x14ac:dyDescent="0.25">
      <c r="A1238" t="s">
        <v>2963</v>
      </c>
      <c r="B1238" s="1">
        <v>44687</v>
      </c>
      <c r="C1238" t="s">
        <v>2964</v>
      </c>
      <c r="D1238" t="s">
        <v>649</v>
      </c>
      <c r="E1238">
        <v>40</v>
      </c>
      <c r="F1238" t="str">
        <f>IF(Table1[[#This Row],[age]]&lt;=25,"18-25",IF(Table1[[#This Row],[age]]&lt;=35,"26-35",IF(Table1[[#This Row],[age]]&lt;=50,"36-50","51+")))</f>
        <v>36-50</v>
      </c>
      <c r="G1238" t="s">
        <v>54</v>
      </c>
      <c r="H1238" t="s">
        <v>55</v>
      </c>
      <c r="I1238" t="s">
        <v>56</v>
      </c>
      <c r="J1238" t="s">
        <v>27</v>
      </c>
      <c r="K1238" t="s">
        <v>168</v>
      </c>
      <c r="L1238">
        <v>5</v>
      </c>
      <c r="M1238">
        <v>663.74</v>
      </c>
      <c r="N1238">
        <v>0.09</v>
      </c>
      <c r="O1238">
        <v>4621.5200000000004</v>
      </c>
      <c r="P1238">
        <v>2166.11</v>
      </c>
      <c r="Q1238">
        <v>60.08</v>
      </c>
      <c r="R1238" t="s">
        <v>57</v>
      </c>
      <c r="S1238">
        <v>2</v>
      </c>
      <c r="T1238" t="b">
        <v>0</v>
      </c>
      <c r="U1238" t="s">
        <v>30</v>
      </c>
      <c r="V1238">
        <v>4</v>
      </c>
    </row>
    <row r="1239" spans="1:22" x14ac:dyDescent="0.25">
      <c r="A1239" t="s">
        <v>2965</v>
      </c>
      <c r="B1239" s="1">
        <v>44745</v>
      </c>
      <c r="C1239" t="s">
        <v>2966</v>
      </c>
      <c r="D1239" t="s">
        <v>1598</v>
      </c>
      <c r="E1239">
        <v>36</v>
      </c>
      <c r="F1239" t="str">
        <f>IF(Table1[[#This Row],[age]]&lt;=25,"18-25",IF(Table1[[#This Row],[age]]&lt;=35,"26-35",IF(Table1[[#This Row],[age]]&lt;=50,"36-50","51+")))</f>
        <v>36-50</v>
      </c>
      <c r="G1239" t="s">
        <v>34</v>
      </c>
      <c r="H1239" t="s">
        <v>55</v>
      </c>
      <c r="I1239" t="s">
        <v>97</v>
      </c>
      <c r="J1239" t="s">
        <v>27</v>
      </c>
      <c r="K1239" t="s">
        <v>128</v>
      </c>
      <c r="L1239">
        <v>7</v>
      </c>
      <c r="M1239">
        <v>541.57000000000005</v>
      </c>
      <c r="N1239">
        <v>0.38</v>
      </c>
      <c r="O1239">
        <v>3426.91</v>
      </c>
      <c r="P1239">
        <v>1569.49</v>
      </c>
      <c r="Q1239">
        <v>60.06</v>
      </c>
      <c r="R1239" t="s">
        <v>43</v>
      </c>
      <c r="S1239">
        <v>2</v>
      </c>
      <c r="T1239" t="b">
        <v>0</v>
      </c>
      <c r="U1239" t="s">
        <v>30</v>
      </c>
      <c r="V1239">
        <v>3</v>
      </c>
    </row>
    <row r="1240" spans="1:22" x14ac:dyDescent="0.25">
      <c r="A1240" t="s">
        <v>2967</v>
      </c>
      <c r="B1240" s="1">
        <v>44813</v>
      </c>
      <c r="C1240" t="s">
        <v>2968</v>
      </c>
      <c r="D1240" t="s">
        <v>1069</v>
      </c>
      <c r="E1240">
        <v>54</v>
      </c>
      <c r="F1240" t="str">
        <f>IF(Table1[[#This Row],[age]]&lt;=25,"18-25",IF(Table1[[#This Row],[age]]&lt;=35,"26-35",IF(Table1[[#This Row],[age]]&lt;=50,"36-50","51+")))</f>
        <v>51+</v>
      </c>
      <c r="G1240" t="s">
        <v>54</v>
      </c>
      <c r="H1240" t="s">
        <v>69</v>
      </c>
      <c r="I1240" t="s">
        <v>221</v>
      </c>
      <c r="J1240" t="s">
        <v>36</v>
      </c>
      <c r="K1240" t="s">
        <v>76</v>
      </c>
      <c r="L1240">
        <v>5</v>
      </c>
      <c r="M1240">
        <v>26136.57</v>
      </c>
      <c r="N1240">
        <v>0</v>
      </c>
      <c r="O1240">
        <v>148485.57999999999</v>
      </c>
      <c r="P1240">
        <v>38154.910000000003</v>
      </c>
      <c r="Q1240">
        <v>66.36</v>
      </c>
      <c r="R1240" t="s">
        <v>65</v>
      </c>
      <c r="S1240">
        <v>1</v>
      </c>
      <c r="T1240" t="b">
        <v>0</v>
      </c>
      <c r="U1240" t="s">
        <v>71</v>
      </c>
      <c r="V1240">
        <v>5</v>
      </c>
    </row>
    <row r="1241" spans="1:22" x14ac:dyDescent="0.25">
      <c r="A1241" t="s">
        <v>2969</v>
      </c>
      <c r="B1241" s="1">
        <v>45593</v>
      </c>
      <c r="C1241" t="s">
        <v>2970</v>
      </c>
      <c r="D1241" t="s">
        <v>119</v>
      </c>
      <c r="E1241">
        <v>39</v>
      </c>
      <c r="F1241" t="str">
        <f>IF(Table1[[#This Row],[age]]&lt;=25,"18-25",IF(Table1[[#This Row],[age]]&lt;=35,"26-35",IF(Table1[[#This Row],[age]]&lt;=50,"36-50","51+")))</f>
        <v>36-50</v>
      </c>
      <c r="G1241" t="s">
        <v>34</v>
      </c>
      <c r="H1241" t="s">
        <v>69</v>
      </c>
      <c r="I1241" t="s">
        <v>181</v>
      </c>
      <c r="J1241" t="s">
        <v>47</v>
      </c>
      <c r="K1241" t="s">
        <v>48</v>
      </c>
      <c r="L1241">
        <v>7</v>
      </c>
      <c r="M1241">
        <v>1034.1400000000001</v>
      </c>
      <c r="N1241">
        <v>0.16</v>
      </c>
      <c r="O1241">
        <v>6020</v>
      </c>
      <c r="P1241">
        <v>2601.0500000000002</v>
      </c>
      <c r="Q1241">
        <v>80.959999999999994</v>
      </c>
      <c r="R1241" t="s">
        <v>49</v>
      </c>
      <c r="S1241">
        <v>5</v>
      </c>
      <c r="T1241" t="b">
        <v>0</v>
      </c>
      <c r="U1241" t="s">
        <v>30</v>
      </c>
      <c r="V1241">
        <v>9</v>
      </c>
    </row>
    <row r="1242" spans="1:22" x14ac:dyDescent="0.25">
      <c r="A1242" t="s">
        <v>2971</v>
      </c>
      <c r="B1242" s="1">
        <v>45513</v>
      </c>
      <c r="C1242" t="s">
        <v>2972</v>
      </c>
      <c r="D1242" t="s">
        <v>708</v>
      </c>
      <c r="E1242">
        <v>52</v>
      </c>
      <c r="F1242" t="str">
        <f>IF(Table1[[#This Row],[age]]&lt;=25,"18-25",IF(Table1[[#This Row],[age]]&lt;=35,"26-35",IF(Table1[[#This Row],[age]]&lt;=50,"36-50","51+")))</f>
        <v>51+</v>
      </c>
      <c r="G1242" t="s">
        <v>54</v>
      </c>
      <c r="H1242" t="s">
        <v>80</v>
      </c>
      <c r="I1242" t="s">
        <v>236</v>
      </c>
      <c r="J1242" t="s">
        <v>27</v>
      </c>
      <c r="K1242" t="s">
        <v>168</v>
      </c>
      <c r="L1242">
        <v>10</v>
      </c>
      <c r="M1242">
        <v>1414.73</v>
      </c>
      <c r="N1242">
        <v>0.32</v>
      </c>
      <c r="O1242">
        <v>12821.19</v>
      </c>
      <c r="P1242">
        <v>7374.35</v>
      </c>
      <c r="Q1242">
        <v>58.56</v>
      </c>
      <c r="R1242" t="s">
        <v>65</v>
      </c>
      <c r="S1242">
        <v>2</v>
      </c>
      <c r="T1242" t="b">
        <v>0</v>
      </c>
      <c r="U1242" t="s">
        <v>30</v>
      </c>
      <c r="V1242">
        <v>5</v>
      </c>
    </row>
    <row r="1243" spans="1:22" x14ac:dyDescent="0.25">
      <c r="A1243" t="s">
        <v>2973</v>
      </c>
      <c r="B1243" s="1">
        <v>45242</v>
      </c>
      <c r="C1243" t="s">
        <v>2974</v>
      </c>
      <c r="D1243" t="s">
        <v>46</v>
      </c>
      <c r="E1243">
        <v>49</v>
      </c>
      <c r="F1243" t="str">
        <f>IF(Table1[[#This Row],[age]]&lt;=25,"18-25",IF(Table1[[#This Row],[age]]&lt;=35,"26-35",IF(Table1[[#This Row],[age]]&lt;=50,"36-50","51+")))</f>
        <v>36-50</v>
      </c>
      <c r="G1243" t="s">
        <v>24</v>
      </c>
      <c r="H1243" t="s">
        <v>55</v>
      </c>
      <c r="I1243" t="s">
        <v>97</v>
      </c>
      <c r="J1243" t="s">
        <v>106</v>
      </c>
      <c r="K1243" t="s">
        <v>247</v>
      </c>
      <c r="L1243">
        <v>2</v>
      </c>
      <c r="M1243">
        <v>53.72</v>
      </c>
      <c r="N1243">
        <v>0.33</v>
      </c>
      <c r="O1243">
        <v>63.44</v>
      </c>
      <c r="P1243">
        <v>5.23</v>
      </c>
      <c r="Q1243">
        <v>62.93</v>
      </c>
      <c r="R1243" t="s">
        <v>57</v>
      </c>
      <c r="S1243">
        <v>2</v>
      </c>
      <c r="T1243" t="b">
        <v>1</v>
      </c>
      <c r="U1243" t="s">
        <v>50</v>
      </c>
      <c r="V1243">
        <v>9</v>
      </c>
    </row>
    <row r="1244" spans="1:22" x14ac:dyDescent="0.25">
      <c r="A1244" t="s">
        <v>2975</v>
      </c>
      <c r="B1244" s="1">
        <v>44544</v>
      </c>
      <c r="C1244" t="s">
        <v>832</v>
      </c>
      <c r="D1244" t="s">
        <v>1436</v>
      </c>
      <c r="E1244">
        <v>26</v>
      </c>
      <c r="F1244" t="str">
        <f>IF(Table1[[#This Row],[age]]&lt;=25,"18-25",IF(Table1[[#This Row],[age]]&lt;=35,"26-35",IF(Table1[[#This Row],[age]]&lt;=50,"36-50","51+")))</f>
        <v>26-35</v>
      </c>
      <c r="G1244" t="s">
        <v>34</v>
      </c>
      <c r="H1244" t="s">
        <v>55</v>
      </c>
      <c r="I1244" t="s">
        <v>114</v>
      </c>
      <c r="J1244" t="s">
        <v>106</v>
      </c>
      <c r="K1244" t="s">
        <v>188</v>
      </c>
      <c r="L1244">
        <v>10</v>
      </c>
      <c r="M1244">
        <v>293.89</v>
      </c>
      <c r="N1244">
        <v>0.38</v>
      </c>
      <c r="O1244">
        <v>1212.94</v>
      </c>
      <c r="P1244">
        <v>128.26</v>
      </c>
      <c r="Q1244">
        <v>43.01</v>
      </c>
      <c r="R1244" t="s">
        <v>92</v>
      </c>
      <c r="S1244">
        <v>1</v>
      </c>
      <c r="T1244" t="b">
        <v>0</v>
      </c>
      <c r="U1244" t="s">
        <v>193</v>
      </c>
      <c r="V1244">
        <v>6</v>
      </c>
    </row>
    <row r="1245" spans="1:22" x14ac:dyDescent="0.25">
      <c r="A1245" t="s">
        <v>2976</v>
      </c>
      <c r="B1245" s="1">
        <v>44286</v>
      </c>
      <c r="C1245" t="s">
        <v>2977</v>
      </c>
      <c r="D1245" t="s">
        <v>217</v>
      </c>
      <c r="E1245">
        <v>30</v>
      </c>
      <c r="F1245" t="str">
        <f>IF(Table1[[#This Row],[age]]&lt;=25,"18-25",IF(Table1[[#This Row],[age]]&lt;=35,"26-35",IF(Table1[[#This Row],[age]]&lt;=50,"36-50","51+")))</f>
        <v>26-35</v>
      </c>
      <c r="G1245" t="s">
        <v>54</v>
      </c>
      <c r="H1245" t="s">
        <v>55</v>
      </c>
      <c r="I1245" t="s">
        <v>114</v>
      </c>
      <c r="J1245" t="s">
        <v>47</v>
      </c>
      <c r="K1245" t="s">
        <v>204</v>
      </c>
      <c r="L1245">
        <v>3</v>
      </c>
      <c r="M1245">
        <v>672.84</v>
      </c>
      <c r="N1245">
        <v>0.35</v>
      </c>
      <c r="O1245">
        <v>1371.74</v>
      </c>
      <c r="P1245">
        <v>547.98</v>
      </c>
      <c r="Q1245">
        <v>61.75</v>
      </c>
      <c r="R1245" t="s">
        <v>92</v>
      </c>
      <c r="S1245">
        <v>1</v>
      </c>
      <c r="T1245" t="b">
        <v>1</v>
      </c>
      <c r="U1245" t="s">
        <v>50</v>
      </c>
      <c r="V1245">
        <v>8</v>
      </c>
    </row>
    <row r="1246" spans="1:22" x14ac:dyDescent="0.25">
      <c r="A1246" t="s">
        <v>2978</v>
      </c>
      <c r="B1246" s="1">
        <v>44215</v>
      </c>
      <c r="C1246" t="s">
        <v>2979</v>
      </c>
      <c r="D1246" t="s">
        <v>967</v>
      </c>
      <c r="E1246">
        <v>40</v>
      </c>
      <c r="F1246" t="str">
        <f>IF(Table1[[#This Row],[age]]&lt;=25,"18-25",IF(Table1[[#This Row],[age]]&lt;=35,"26-35",IF(Table1[[#This Row],[age]]&lt;=50,"36-50","51+")))</f>
        <v>36-50</v>
      </c>
      <c r="G1246" t="s">
        <v>54</v>
      </c>
      <c r="H1246" t="s">
        <v>55</v>
      </c>
      <c r="I1246" t="s">
        <v>56</v>
      </c>
      <c r="J1246" t="s">
        <v>106</v>
      </c>
      <c r="K1246" t="s">
        <v>331</v>
      </c>
      <c r="L1246">
        <v>8</v>
      </c>
      <c r="M1246">
        <v>250.4</v>
      </c>
      <c r="N1246">
        <v>0.34</v>
      </c>
      <c r="O1246">
        <v>989.57</v>
      </c>
      <c r="P1246">
        <v>63.61</v>
      </c>
      <c r="Q1246">
        <v>62.31</v>
      </c>
      <c r="R1246" t="s">
        <v>57</v>
      </c>
      <c r="S1246">
        <v>4</v>
      </c>
      <c r="T1246" t="b">
        <v>0</v>
      </c>
      <c r="U1246" t="s">
        <v>30</v>
      </c>
      <c r="V1246">
        <v>9</v>
      </c>
    </row>
    <row r="1247" spans="1:22" x14ac:dyDescent="0.25">
      <c r="A1247" t="s">
        <v>2980</v>
      </c>
      <c r="B1247" s="1">
        <v>44957</v>
      </c>
      <c r="C1247" t="s">
        <v>2981</v>
      </c>
      <c r="D1247" t="s">
        <v>1291</v>
      </c>
      <c r="E1247">
        <v>28</v>
      </c>
      <c r="F1247" t="str">
        <f>IF(Table1[[#This Row],[age]]&lt;=25,"18-25",IF(Table1[[#This Row],[age]]&lt;=35,"26-35",IF(Table1[[#This Row],[age]]&lt;=50,"36-50","51+")))</f>
        <v>26-35</v>
      </c>
      <c r="G1247" t="s">
        <v>54</v>
      </c>
      <c r="H1247" t="s">
        <v>25</v>
      </c>
      <c r="I1247" t="s">
        <v>35</v>
      </c>
      <c r="J1247" t="s">
        <v>115</v>
      </c>
      <c r="K1247" t="s">
        <v>145</v>
      </c>
      <c r="L1247">
        <v>7</v>
      </c>
      <c r="M1247">
        <v>67056.12</v>
      </c>
      <c r="N1247">
        <v>0.16</v>
      </c>
      <c r="O1247">
        <v>386566.32</v>
      </c>
      <c r="P1247">
        <v>40666.720000000001</v>
      </c>
      <c r="Q1247">
        <v>42.69</v>
      </c>
      <c r="R1247" t="s">
        <v>65</v>
      </c>
      <c r="S1247">
        <v>2</v>
      </c>
      <c r="T1247" t="b">
        <v>0</v>
      </c>
      <c r="U1247" t="s">
        <v>193</v>
      </c>
      <c r="V1247">
        <v>7</v>
      </c>
    </row>
    <row r="1248" spans="1:22" x14ac:dyDescent="0.25">
      <c r="A1248" t="s">
        <v>2982</v>
      </c>
      <c r="B1248" s="1">
        <v>44745</v>
      </c>
      <c r="C1248" t="s">
        <v>2983</v>
      </c>
      <c r="D1248" t="s">
        <v>2423</v>
      </c>
      <c r="E1248">
        <v>25</v>
      </c>
      <c r="F1248" t="str">
        <f>IF(Table1[[#This Row],[age]]&lt;=25,"18-25",IF(Table1[[#This Row],[age]]&lt;=35,"26-35",IF(Table1[[#This Row],[age]]&lt;=50,"36-50","51+")))</f>
        <v>18-25</v>
      </c>
      <c r="G1248" t="s">
        <v>34</v>
      </c>
      <c r="H1248" t="s">
        <v>25</v>
      </c>
      <c r="I1248" t="s">
        <v>26</v>
      </c>
      <c r="J1248" t="s">
        <v>27</v>
      </c>
      <c r="K1248" t="s">
        <v>192</v>
      </c>
      <c r="L1248">
        <v>10</v>
      </c>
      <c r="M1248">
        <v>718.67</v>
      </c>
      <c r="N1248">
        <v>0.32</v>
      </c>
      <c r="O1248">
        <v>6934.59</v>
      </c>
      <c r="P1248">
        <v>2686.48</v>
      </c>
      <c r="Q1248">
        <v>47.47</v>
      </c>
      <c r="R1248" t="s">
        <v>49</v>
      </c>
      <c r="S1248">
        <v>4</v>
      </c>
      <c r="T1248" t="b">
        <v>0</v>
      </c>
      <c r="U1248" t="s">
        <v>30</v>
      </c>
      <c r="V1248">
        <v>6</v>
      </c>
    </row>
    <row r="1249" spans="1:22" x14ac:dyDescent="0.25">
      <c r="A1249" t="s">
        <v>2984</v>
      </c>
      <c r="B1249" s="1">
        <v>44679</v>
      </c>
      <c r="C1249" t="s">
        <v>2985</v>
      </c>
      <c r="D1249" t="s">
        <v>217</v>
      </c>
      <c r="E1249">
        <v>37</v>
      </c>
      <c r="F1249" t="str">
        <f>IF(Table1[[#This Row],[age]]&lt;=25,"18-25",IF(Table1[[#This Row],[age]]&lt;=35,"26-35",IF(Table1[[#This Row],[age]]&lt;=50,"36-50","51+")))</f>
        <v>36-50</v>
      </c>
      <c r="G1249" t="s">
        <v>54</v>
      </c>
      <c r="H1249" t="s">
        <v>69</v>
      </c>
      <c r="I1249" t="s">
        <v>221</v>
      </c>
      <c r="J1249" t="s">
        <v>106</v>
      </c>
      <c r="K1249" t="s">
        <v>331</v>
      </c>
      <c r="L1249">
        <v>2</v>
      </c>
      <c r="M1249">
        <v>104.13</v>
      </c>
      <c r="N1249">
        <v>0.39</v>
      </c>
      <c r="O1249">
        <v>155.91</v>
      </c>
      <c r="P1249">
        <v>16.21</v>
      </c>
      <c r="Q1249">
        <v>58.21</v>
      </c>
      <c r="R1249" t="s">
        <v>43</v>
      </c>
      <c r="S1249">
        <v>3</v>
      </c>
      <c r="T1249" t="b">
        <v>1</v>
      </c>
      <c r="U1249" t="s">
        <v>50</v>
      </c>
      <c r="V1249">
        <v>10</v>
      </c>
    </row>
    <row r="1250" spans="1:22" x14ac:dyDescent="0.25">
      <c r="A1250" t="s">
        <v>2986</v>
      </c>
      <c r="B1250" s="1">
        <v>45438</v>
      </c>
      <c r="C1250" t="s">
        <v>2987</v>
      </c>
      <c r="D1250" t="s">
        <v>235</v>
      </c>
      <c r="E1250">
        <v>44</v>
      </c>
      <c r="F1250" t="str">
        <f>IF(Table1[[#This Row],[age]]&lt;=25,"18-25",IF(Table1[[#This Row],[age]]&lt;=35,"26-35",IF(Table1[[#This Row],[age]]&lt;=50,"36-50","51+")))</f>
        <v>36-50</v>
      </c>
      <c r="G1250" t="s">
        <v>34</v>
      </c>
      <c r="H1250" t="s">
        <v>61</v>
      </c>
      <c r="I1250" t="s">
        <v>62</v>
      </c>
      <c r="J1250" t="s">
        <v>27</v>
      </c>
      <c r="K1250" t="s">
        <v>168</v>
      </c>
      <c r="L1250">
        <v>5</v>
      </c>
      <c r="M1250">
        <v>678.22</v>
      </c>
      <c r="N1250">
        <v>0.34</v>
      </c>
      <c r="O1250">
        <v>3655.87</v>
      </c>
      <c r="P1250">
        <v>1361.71</v>
      </c>
      <c r="Q1250">
        <v>56.46</v>
      </c>
      <c r="R1250" t="s">
        <v>43</v>
      </c>
      <c r="S1250">
        <v>2</v>
      </c>
      <c r="T1250" t="b">
        <v>0</v>
      </c>
      <c r="U1250" t="s">
        <v>93</v>
      </c>
      <c r="V1250">
        <v>3</v>
      </c>
    </row>
    <row r="1251" spans="1:22" x14ac:dyDescent="0.25">
      <c r="A1251" t="s">
        <v>2988</v>
      </c>
      <c r="B1251" s="1">
        <v>43871</v>
      </c>
      <c r="C1251" t="s">
        <v>2989</v>
      </c>
      <c r="D1251" t="s">
        <v>530</v>
      </c>
      <c r="E1251">
        <v>26</v>
      </c>
      <c r="F1251" t="str">
        <f>IF(Table1[[#This Row],[age]]&lt;=25,"18-25",IF(Table1[[#This Row],[age]]&lt;=35,"26-35",IF(Table1[[#This Row],[age]]&lt;=50,"36-50","51+")))</f>
        <v>26-35</v>
      </c>
      <c r="G1251" t="s">
        <v>24</v>
      </c>
      <c r="H1251" t="s">
        <v>80</v>
      </c>
      <c r="I1251" t="s">
        <v>236</v>
      </c>
      <c r="J1251" t="s">
        <v>36</v>
      </c>
      <c r="K1251" t="s">
        <v>76</v>
      </c>
      <c r="L1251">
        <v>10</v>
      </c>
      <c r="M1251">
        <v>26170.61</v>
      </c>
      <c r="N1251">
        <v>0.14000000000000001</v>
      </c>
      <c r="O1251">
        <v>206121.15</v>
      </c>
      <c r="P1251">
        <v>64822.6</v>
      </c>
      <c r="Q1251">
        <v>51.37</v>
      </c>
      <c r="R1251" t="s">
        <v>49</v>
      </c>
      <c r="S1251">
        <v>5</v>
      </c>
      <c r="T1251" t="b">
        <v>0</v>
      </c>
      <c r="U1251" t="s">
        <v>71</v>
      </c>
      <c r="V1251">
        <v>10</v>
      </c>
    </row>
    <row r="1252" spans="1:22" x14ac:dyDescent="0.25">
      <c r="A1252" t="s">
        <v>2990</v>
      </c>
      <c r="B1252" s="1">
        <v>44889</v>
      </c>
      <c r="C1252" t="s">
        <v>2991</v>
      </c>
      <c r="D1252" t="s">
        <v>2420</v>
      </c>
      <c r="E1252">
        <v>30</v>
      </c>
      <c r="F1252" t="str">
        <f>IF(Table1[[#This Row],[age]]&lt;=25,"18-25",IF(Table1[[#This Row],[age]]&lt;=35,"26-35",IF(Table1[[#This Row],[age]]&lt;=50,"36-50","51+")))</f>
        <v>26-35</v>
      </c>
      <c r="G1252" t="s">
        <v>24</v>
      </c>
      <c r="H1252" t="s">
        <v>25</v>
      </c>
      <c r="I1252" t="s">
        <v>26</v>
      </c>
      <c r="J1252" t="s">
        <v>115</v>
      </c>
      <c r="K1252" t="s">
        <v>116</v>
      </c>
      <c r="L1252">
        <v>10</v>
      </c>
      <c r="M1252">
        <v>42734.97</v>
      </c>
      <c r="N1252">
        <v>0.19</v>
      </c>
      <c r="O1252">
        <v>285560.12</v>
      </c>
      <c r="P1252">
        <v>41480.81</v>
      </c>
      <c r="Q1252">
        <v>68.69</v>
      </c>
      <c r="R1252" t="s">
        <v>92</v>
      </c>
      <c r="S1252">
        <v>4</v>
      </c>
      <c r="T1252" t="b">
        <v>0</v>
      </c>
      <c r="U1252" t="s">
        <v>30</v>
      </c>
      <c r="V1252">
        <v>6</v>
      </c>
    </row>
    <row r="1253" spans="1:22" x14ac:dyDescent="0.25">
      <c r="A1253" t="s">
        <v>2992</v>
      </c>
      <c r="B1253" s="1">
        <v>45286</v>
      </c>
      <c r="C1253" t="s">
        <v>2993</v>
      </c>
      <c r="D1253" t="s">
        <v>110</v>
      </c>
      <c r="E1253">
        <v>40</v>
      </c>
      <c r="F1253" t="str">
        <f>IF(Table1[[#This Row],[age]]&lt;=25,"18-25",IF(Table1[[#This Row],[age]]&lt;=35,"26-35",IF(Table1[[#This Row],[age]]&lt;=50,"36-50","51+")))</f>
        <v>36-50</v>
      </c>
      <c r="G1253" t="s">
        <v>54</v>
      </c>
      <c r="H1253" t="s">
        <v>80</v>
      </c>
      <c r="I1253" t="s">
        <v>242</v>
      </c>
      <c r="J1253" t="s">
        <v>36</v>
      </c>
      <c r="K1253" t="s">
        <v>230</v>
      </c>
      <c r="L1253">
        <v>1</v>
      </c>
      <c r="M1253">
        <v>8061.02</v>
      </c>
      <c r="N1253">
        <v>0.24</v>
      </c>
      <c r="O1253">
        <v>5002.7</v>
      </c>
      <c r="P1253">
        <v>1155.06</v>
      </c>
      <c r="Q1253">
        <v>108.12</v>
      </c>
      <c r="R1253" t="s">
        <v>57</v>
      </c>
      <c r="S1253">
        <v>4</v>
      </c>
      <c r="T1253" t="b">
        <v>0</v>
      </c>
      <c r="U1253" t="s">
        <v>71</v>
      </c>
      <c r="V1253">
        <v>6</v>
      </c>
    </row>
    <row r="1254" spans="1:22" x14ac:dyDescent="0.25">
      <c r="A1254" t="s">
        <v>2994</v>
      </c>
      <c r="B1254" s="1">
        <v>44580</v>
      </c>
      <c r="C1254" t="s">
        <v>2995</v>
      </c>
      <c r="D1254" t="s">
        <v>643</v>
      </c>
      <c r="E1254">
        <v>25</v>
      </c>
      <c r="F1254" t="str">
        <f>IF(Table1[[#This Row],[age]]&lt;=25,"18-25",IF(Table1[[#This Row],[age]]&lt;=35,"26-35",IF(Table1[[#This Row],[age]]&lt;=50,"36-50","51+")))</f>
        <v>18-25</v>
      </c>
      <c r="G1254" t="s">
        <v>24</v>
      </c>
      <c r="H1254" t="s">
        <v>25</v>
      </c>
      <c r="I1254" t="s">
        <v>41</v>
      </c>
      <c r="J1254" t="s">
        <v>101</v>
      </c>
      <c r="K1254" t="s">
        <v>456</v>
      </c>
      <c r="L1254">
        <v>10</v>
      </c>
      <c r="M1254">
        <v>14755.73</v>
      </c>
      <c r="N1254">
        <v>0.33</v>
      </c>
      <c r="O1254">
        <v>79877.72</v>
      </c>
      <c r="P1254">
        <v>17279.41</v>
      </c>
      <c r="Q1254">
        <v>54.29</v>
      </c>
      <c r="R1254" t="s">
        <v>29</v>
      </c>
      <c r="S1254">
        <v>5</v>
      </c>
      <c r="T1254" t="b">
        <v>0</v>
      </c>
      <c r="U1254" t="s">
        <v>30</v>
      </c>
      <c r="V1254">
        <v>6</v>
      </c>
    </row>
    <row r="1255" spans="1:22" x14ac:dyDescent="0.25">
      <c r="A1255" t="s">
        <v>2996</v>
      </c>
      <c r="B1255" s="1">
        <v>44352</v>
      </c>
      <c r="C1255" t="s">
        <v>2997</v>
      </c>
      <c r="D1255" t="s">
        <v>1521</v>
      </c>
      <c r="E1255">
        <v>36</v>
      </c>
      <c r="F1255" t="str">
        <f>IF(Table1[[#This Row],[age]]&lt;=25,"18-25",IF(Table1[[#This Row],[age]]&lt;=35,"26-35",IF(Table1[[#This Row],[age]]&lt;=50,"36-50","51+")))</f>
        <v>36-50</v>
      </c>
      <c r="G1255" t="s">
        <v>24</v>
      </c>
      <c r="H1255" t="s">
        <v>25</v>
      </c>
      <c r="I1255" t="s">
        <v>26</v>
      </c>
      <c r="J1255" t="s">
        <v>63</v>
      </c>
      <c r="K1255" t="s">
        <v>111</v>
      </c>
      <c r="L1255">
        <v>3</v>
      </c>
      <c r="M1255">
        <v>3190.15</v>
      </c>
      <c r="N1255">
        <v>0.14000000000000001</v>
      </c>
      <c r="O1255">
        <v>12589.64</v>
      </c>
      <c r="P1255">
        <v>3253.84</v>
      </c>
      <c r="Q1255">
        <v>41</v>
      </c>
      <c r="R1255" t="s">
        <v>65</v>
      </c>
      <c r="S1255">
        <v>1</v>
      </c>
      <c r="T1255" t="b">
        <v>0</v>
      </c>
      <c r="U1255" t="s">
        <v>30</v>
      </c>
      <c r="V1255">
        <v>6</v>
      </c>
    </row>
    <row r="1256" spans="1:22" x14ac:dyDescent="0.25">
      <c r="A1256" t="s">
        <v>2998</v>
      </c>
      <c r="B1256" s="1">
        <v>44880</v>
      </c>
      <c r="C1256" t="s">
        <v>2999</v>
      </c>
      <c r="D1256" t="s">
        <v>2851</v>
      </c>
      <c r="E1256">
        <v>32</v>
      </c>
      <c r="F1256" t="str">
        <f>IF(Table1[[#This Row],[age]]&lt;=25,"18-25",IF(Table1[[#This Row],[age]]&lt;=35,"26-35",IF(Table1[[#This Row],[age]]&lt;=50,"36-50","51+")))</f>
        <v>26-35</v>
      </c>
      <c r="G1256" t="s">
        <v>54</v>
      </c>
      <c r="H1256" t="s">
        <v>80</v>
      </c>
      <c r="I1256" t="s">
        <v>81</v>
      </c>
      <c r="J1256" t="s">
        <v>106</v>
      </c>
      <c r="K1256" t="s">
        <v>188</v>
      </c>
      <c r="L1256">
        <v>5</v>
      </c>
      <c r="M1256">
        <v>450.47</v>
      </c>
      <c r="N1256">
        <v>0.3</v>
      </c>
      <c r="O1256">
        <v>1325.61</v>
      </c>
      <c r="P1256">
        <v>106.62</v>
      </c>
      <c r="Q1256">
        <v>50.58</v>
      </c>
      <c r="R1256" t="s">
        <v>49</v>
      </c>
      <c r="S1256">
        <v>5</v>
      </c>
      <c r="T1256" t="b">
        <v>0</v>
      </c>
      <c r="U1256" t="s">
        <v>71</v>
      </c>
      <c r="V1256">
        <v>7</v>
      </c>
    </row>
    <row r="1257" spans="1:22" x14ac:dyDescent="0.25">
      <c r="A1257" t="s">
        <v>3000</v>
      </c>
      <c r="B1257" s="1">
        <v>45197</v>
      </c>
      <c r="C1257" t="s">
        <v>3001</v>
      </c>
      <c r="D1257" t="s">
        <v>982</v>
      </c>
      <c r="E1257">
        <v>29</v>
      </c>
      <c r="F1257" t="str">
        <f>IF(Table1[[#This Row],[age]]&lt;=25,"18-25",IF(Table1[[#This Row],[age]]&lt;=35,"26-35",IF(Table1[[#This Row],[age]]&lt;=50,"36-50","51+")))</f>
        <v>26-35</v>
      </c>
      <c r="G1257" t="s">
        <v>34</v>
      </c>
      <c r="H1257" t="s">
        <v>25</v>
      </c>
      <c r="I1257" t="s">
        <v>35</v>
      </c>
      <c r="J1257" t="s">
        <v>47</v>
      </c>
      <c r="K1257" t="s">
        <v>204</v>
      </c>
      <c r="L1257">
        <v>7</v>
      </c>
      <c r="M1257">
        <v>606.80999999999995</v>
      </c>
      <c r="N1257">
        <v>0.04</v>
      </c>
      <c r="O1257">
        <v>4234.6400000000003</v>
      </c>
      <c r="P1257">
        <v>1593.45</v>
      </c>
      <c r="Q1257">
        <v>88.92</v>
      </c>
      <c r="R1257" t="s">
        <v>43</v>
      </c>
      <c r="S1257">
        <v>4</v>
      </c>
      <c r="T1257" t="b">
        <v>0</v>
      </c>
      <c r="U1257" t="s">
        <v>93</v>
      </c>
      <c r="V1257">
        <v>3</v>
      </c>
    </row>
    <row r="1258" spans="1:22" x14ac:dyDescent="0.25">
      <c r="A1258" t="s">
        <v>3002</v>
      </c>
      <c r="B1258" s="1">
        <v>44658</v>
      </c>
      <c r="C1258" t="s">
        <v>3003</v>
      </c>
      <c r="D1258" t="s">
        <v>599</v>
      </c>
      <c r="E1258">
        <v>56</v>
      </c>
      <c r="F1258" t="str">
        <f>IF(Table1[[#This Row],[age]]&lt;=25,"18-25",IF(Table1[[#This Row],[age]]&lt;=35,"26-35",IF(Table1[[#This Row],[age]]&lt;=50,"36-50","51+")))</f>
        <v>51+</v>
      </c>
      <c r="G1258" t="s">
        <v>24</v>
      </c>
      <c r="H1258" t="s">
        <v>69</v>
      </c>
      <c r="I1258" t="s">
        <v>181</v>
      </c>
      <c r="J1258" t="s">
        <v>47</v>
      </c>
      <c r="K1258" t="s">
        <v>272</v>
      </c>
      <c r="L1258">
        <v>10</v>
      </c>
      <c r="M1258">
        <v>781.54</v>
      </c>
      <c r="N1258">
        <v>0.38</v>
      </c>
      <c r="O1258">
        <v>5556.24</v>
      </c>
      <c r="P1258">
        <v>2168.6999999999998</v>
      </c>
      <c r="Q1258">
        <v>78.77</v>
      </c>
      <c r="R1258" t="s">
        <v>92</v>
      </c>
      <c r="S1258">
        <v>5</v>
      </c>
      <c r="T1258" t="b">
        <v>0</v>
      </c>
      <c r="U1258" t="s">
        <v>30</v>
      </c>
      <c r="V1258">
        <v>4</v>
      </c>
    </row>
    <row r="1259" spans="1:22" x14ac:dyDescent="0.25">
      <c r="A1259" t="s">
        <v>3004</v>
      </c>
      <c r="B1259" s="1">
        <v>45162</v>
      </c>
      <c r="C1259" t="s">
        <v>3005</v>
      </c>
      <c r="D1259" t="s">
        <v>275</v>
      </c>
      <c r="E1259">
        <v>33</v>
      </c>
      <c r="F1259" t="str">
        <f>IF(Table1[[#This Row],[age]]&lt;=25,"18-25",IF(Table1[[#This Row],[age]]&lt;=35,"26-35",IF(Table1[[#This Row],[age]]&lt;=50,"36-50","51+")))</f>
        <v>26-35</v>
      </c>
      <c r="G1259" t="s">
        <v>24</v>
      </c>
      <c r="H1259" t="s">
        <v>80</v>
      </c>
      <c r="I1259" t="s">
        <v>81</v>
      </c>
      <c r="J1259" t="s">
        <v>63</v>
      </c>
      <c r="K1259" t="s">
        <v>82</v>
      </c>
      <c r="L1259">
        <v>10</v>
      </c>
      <c r="M1259">
        <v>3548.29</v>
      </c>
      <c r="N1259">
        <v>0.33</v>
      </c>
      <c r="O1259">
        <v>32142.13</v>
      </c>
      <c r="P1259">
        <v>13918.96</v>
      </c>
      <c r="Q1259">
        <v>75.2</v>
      </c>
      <c r="R1259" t="s">
        <v>92</v>
      </c>
      <c r="S1259">
        <v>3</v>
      </c>
      <c r="T1259" t="b">
        <v>0</v>
      </c>
      <c r="U1259" t="s">
        <v>193</v>
      </c>
      <c r="V1259">
        <v>8</v>
      </c>
    </row>
    <row r="1260" spans="1:22" x14ac:dyDescent="0.25">
      <c r="A1260" t="s">
        <v>3006</v>
      </c>
      <c r="B1260" s="1">
        <v>44844</v>
      </c>
      <c r="C1260" t="s">
        <v>3007</v>
      </c>
      <c r="D1260" t="s">
        <v>2639</v>
      </c>
      <c r="E1260">
        <v>52</v>
      </c>
      <c r="F1260" t="str">
        <f>IF(Table1[[#This Row],[age]]&lt;=25,"18-25",IF(Table1[[#This Row],[age]]&lt;=35,"26-35",IF(Table1[[#This Row],[age]]&lt;=50,"36-50","51+")))</f>
        <v>51+</v>
      </c>
      <c r="G1260" t="s">
        <v>54</v>
      </c>
      <c r="H1260" t="s">
        <v>25</v>
      </c>
      <c r="I1260" t="s">
        <v>41</v>
      </c>
      <c r="J1260" t="s">
        <v>106</v>
      </c>
      <c r="K1260" t="s">
        <v>314</v>
      </c>
      <c r="L1260">
        <v>8</v>
      </c>
      <c r="M1260">
        <v>473.63</v>
      </c>
      <c r="N1260">
        <v>0.35</v>
      </c>
      <c r="O1260">
        <v>3088.56</v>
      </c>
      <c r="P1260">
        <v>221.64</v>
      </c>
      <c r="Q1260">
        <v>49.07</v>
      </c>
      <c r="R1260" t="s">
        <v>92</v>
      </c>
      <c r="S1260">
        <v>5</v>
      </c>
      <c r="T1260" t="b">
        <v>0</v>
      </c>
      <c r="U1260" t="s">
        <v>93</v>
      </c>
      <c r="V1260">
        <v>9</v>
      </c>
    </row>
    <row r="1261" spans="1:22" x14ac:dyDescent="0.25">
      <c r="A1261" t="s">
        <v>3008</v>
      </c>
      <c r="B1261" s="1">
        <v>45530</v>
      </c>
      <c r="C1261" t="s">
        <v>3009</v>
      </c>
      <c r="D1261" t="s">
        <v>349</v>
      </c>
      <c r="E1261">
        <v>51</v>
      </c>
      <c r="F1261" t="str">
        <f>IF(Table1[[#This Row],[age]]&lt;=25,"18-25",IF(Table1[[#This Row],[age]]&lt;=35,"26-35",IF(Table1[[#This Row],[age]]&lt;=50,"36-50","51+")))</f>
        <v>51+</v>
      </c>
      <c r="G1261" t="s">
        <v>34</v>
      </c>
      <c r="H1261" t="s">
        <v>80</v>
      </c>
      <c r="I1261" t="s">
        <v>86</v>
      </c>
      <c r="J1261" t="s">
        <v>36</v>
      </c>
      <c r="K1261" t="s">
        <v>230</v>
      </c>
      <c r="L1261">
        <v>2</v>
      </c>
      <c r="M1261">
        <v>17035.150000000001</v>
      </c>
      <c r="N1261">
        <v>0.2</v>
      </c>
      <c r="O1261">
        <v>43451.64</v>
      </c>
      <c r="P1261">
        <v>9088.2999999999993</v>
      </c>
      <c r="Q1261">
        <v>103.64</v>
      </c>
      <c r="R1261" t="s">
        <v>29</v>
      </c>
      <c r="S1261">
        <v>1</v>
      </c>
      <c r="T1261" t="b">
        <v>0</v>
      </c>
      <c r="U1261" t="s">
        <v>30</v>
      </c>
      <c r="V1261">
        <v>3</v>
      </c>
    </row>
    <row r="1262" spans="1:22" x14ac:dyDescent="0.25">
      <c r="A1262" t="s">
        <v>3010</v>
      </c>
      <c r="B1262" s="1">
        <v>45000</v>
      </c>
      <c r="C1262" t="s">
        <v>3011</v>
      </c>
      <c r="D1262" t="s">
        <v>944</v>
      </c>
      <c r="E1262">
        <v>45</v>
      </c>
      <c r="F1262" t="str">
        <f>IF(Table1[[#This Row],[age]]&lt;=25,"18-25",IF(Table1[[#This Row],[age]]&lt;=35,"26-35",IF(Table1[[#This Row],[age]]&lt;=50,"36-50","51+")))</f>
        <v>36-50</v>
      </c>
      <c r="G1262" t="s">
        <v>34</v>
      </c>
      <c r="H1262" t="s">
        <v>61</v>
      </c>
      <c r="I1262" t="s">
        <v>62</v>
      </c>
      <c r="J1262" t="s">
        <v>101</v>
      </c>
      <c r="K1262" t="s">
        <v>164</v>
      </c>
      <c r="L1262">
        <v>2</v>
      </c>
      <c r="M1262">
        <v>7389.74</v>
      </c>
      <c r="N1262">
        <v>0.4</v>
      </c>
      <c r="O1262">
        <v>13163.06</v>
      </c>
      <c r="P1262">
        <v>2642.15</v>
      </c>
      <c r="Q1262">
        <v>49.76</v>
      </c>
      <c r="R1262" t="s">
        <v>29</v>
      </c>
      <c r="S1262">
        <v>4</v>
      </c>
      <c r="T1262" t="b">
        <v>1</v>
      </c>
      <c r="U1262" t="s">
        <v>50</v>
      </c>
      <c r="V1262">
        <v>6</v>
      </c>
    </row>
    <row r="1263" spans="1:22" x14ac:dyDescent="0.25">
      <c r="A1263" t="s">
        <v>3012</v>
      </c>
      <c r="B1263" s="1">
        <v>45279</v>
      </c>
      <c r="C1263" t="s">
        <v>3013</v>
      </c>
      <c r="D1263" t="s">
        <v>2420</v>
      </c>
      <c r="E1263">
        <v>55</v>
      </c>
      <c r="F1263" t="str">
        <f>IF(Table1[[#This Row],[age]]&lt;=25,"18-25",IF(Table1[[#This Row],[age]]&lt;=35,"26-35",IF(Table1[[#This Row],[age]]&lt;=50,"36-50","51+")))</f>
        <v>51+</v>
      </c>
      <c r="G1263" t="s">
        <v>34</v>
      </c>
      <c r="H1263" t="s">
        <v>55</v>
      </c>
      <c r="I1263" t="s">
        <v>97</v>
      </c>
      <c r="J1263" t="s">
        <v>106</v>
      </c>
      <c r="K1263" t="s">
        <v>718</v>
      </c>
      <c r="L1263">
        <v>10</v>
      </c>
      <c r="M1263">
        <v>135.28</v>
      </c>
      <c r="N1263">
        <v>0.11</v>
      </c>
      <c r="O1263">
        <v>1099.56</v>
      </c>
      <c r="P1263">
        <v>117.16</v>
      </c>
      <c r="Q1263">
        <v>52.31</v>
      </c>
      <c r="R1263" t="s">
        <v>49</v>
      </c>
      <c r="S1263">
        <v>4</v>
      </c>
      <c r="T1263" t="b">
        <v>0</v>
      </c>
      <c r="U1263" t="s">
        <v>71</v>
      </c>
      <c r="V1263">
        <v>8</v>
      </c>
    </row>
    <row r="1264" spans="1:22" x14ac:dyDescent="0.25">
      <c r="A1264" t="s">
        <v>3014</v>
      </c>
      <c r="B1264" s="1">
        <v>44315</v>
      </c>
      <c r="C1264" t="s">
        <v>3015</v>
      </c>
      <c r="D1264" t="s">
        <v>792</v>
      </c>
      <c r="E1264">
        <v>37</v>
      </c>
      <c r="F1264" t="str">
        <f>IF(Table1[[#This Row],[age]]&lt;=25,"18-25",IF(Table1[[#This Row],[age]]&lt;=35,"26-35",IF(Table1[[#This Row],[age]]&lt;=50,"36-50","51+")))</f>
        <v>36-50</v>
      </c>
      <c r="G1264" t="s">
        <v>34</v>
      </c>
      <c r="H1264" t="s">
        <v>69</v>
      </c>
      <c r="I1264" t="s">
        <v>181</v>
      </c>
      <c r="J1264" t="s">
        <v>101</v>
      </c>
      <c r="K1264" t="s">
        <v>124</v>
      </c>
      <c r="L1264">
        <v>1</v>
      </c>
      <c r="M1264">
        <v>14885.78</v>
      </c>
      <c r="N1264">
        <v>0.36</v>
      </c>
      <c r="O1264">
        <v>12389.87</v>
      </c>
      <c r="P1264">
        <v>1669.38</v>
      </c>
      <c r="Q1264">
        <v>87.48</v>
      </c>
      <c r="R1264" t="s">
        <v>49</v>
      </c>
      <c r="S1264">
        <v>3</v>
      </c>
      <c r="T1264" t="b">
        <v>0</v>
      </c>
      <c r="U1264" t="s">
        <v>71</v>
      </c>
      <c r="V1264">
        <v>5</v>
      </c>
    </row>
    <row r="1265" spans="1:22" x14ac:dyDescent="0.25">
      <c r="A1265" t="s">
        <v>3016</v>
      </c>
      <c r="B1265" s="1">
        <v>45339</v>
      </c>
      <c r="C1265" t="s">
        <v>3017</v>
      </c>
      <c r="D1265" t="s">
        <v>764</v>
      </c>
      <c r="E1265">
        <v>43</v>
      </c>
      <c r="F1265" t="str">
        <f>IF(Table1[[#This Row],[age]]&lt;=25,"18-25",IF(Table1[[#This Row],[age]]&lt;=35,"26-35",IF(Table1[[#This Row],[age]]&lt;=50,"36-50","51+")))</f>
        <v>36-50</v>
      </c>
      <c r="G1265" t="s">
        <v>24</v>
      </c>
      <c r="H1265" t="s">
        <v>61</v>
      </c>
      <c r="I1265" t="s">
        <v>163</v>
      </c>
      <c r="J1265" t="s">
        <v>47</v>
      </c>
      <c r="K1265" t="s">
        <v>272</v>
      </c>
      <c r="L1265">
        <v>1</v>
      </c>
      <c r="M1265">
        <v>649.08000000000004</v>
      </c>
      <c r="N1265">
        <v>7.0000000000000007E-2</v>
      </c>
      <c r="O1265">
        <v>649.52</v>
      </c>
      <c r="P1265">
        <v>331.12</v>
      </c>
      <c r="Q1265">
        <v>65.5</v>
      </c>
      <c r="R1265" t="s">
        <v>65</v>
      </c>
      <c r="S1265">
        <v>4</v>
      </c>
      <c r="T1265" t="b">
        <v>0</v>
      </c>
      <c r="U1265" t="s">
        <v>193</v>
      </c>
      <c r="V1265">
        <v>1</v>
      </c>
    </row>
    <row r="1266" spans="1:22" x14ac:dyDescent="0.25">
      <c r="A1266" t="s">
        <v>3018</v>
      </c>
      <c r="B1266" s="1">
        <v>44756</v>
      </c>
      <c r="C1266" t="s">
        <v>3019</v>
      </c>
      <c r="D1266" t="s">
        <v>361</v>
      </c>
      <c r="E1266">
        <v>48</v>
      </c>
      <c r="F1266" t="str">
        <f>IF(Table1[[#This Row],[age]]&lt;=25,"18-25",IF(Table1[[#This Row],[age]]&lt;=35,"26-35",IF(Table1[[#This Row],[age]]&lt;=50,"36-50","51+")))</f>
        <v>36-50</v>
      </c>
      <c r="G1266" t="s">
        <v>24</v>
      </c>
      <c r="H1266" t="s">
        <v>80</v>
      </c>
      <c r="I1266" t="s">
        <v>81</v>
      </c>
      <c r="J1266" t="s">
        <v>101</v>
      </c>
      <c r="K1266" t="s">
        <v>456</v>
      </c>
      <c r="L1266">
        <v>9</v>
      </c>
      <c r="M1266">
        <v>3817.71</v>
      </c>
      <c r="N1266">
        <v>0.25</v>
      </c>
      <c r="O1266">
        <v>41379.360000000001</v>
      </c>
      <c r="P1266">
        <v>8384.06</v>
      </c>
      <c r="Q1266">
        <v>104.35</v>
      </c>
      <c r="R1266" t="s">
        <v>65</v>
      </c>
      <c r="S1266">
        <v>5</v>
      </c>
      <c r="T1266" t="b">
        <v>0</v>
      </c>
      <c r="U1266" t="s">
        <v>30</v>
      </c>
      <c r="V1266">
        <v>9</v>
      </c>
    </row>
    <row r="1267" spans="1:22" x14ac:dyDescent="0.25">
      <c r="A1267" t="s">
        <v>3020</v>
      </c>
      <c r="B1267" s="1">
        <v>44327</v>
      </c>
      <c r="C1267" t="s">
        <v>3021</v>
      </c>
      <c r="D1267" t="s">
        <v>764</v>
      </c>
      <c r="E1267">
        <v>41</v>
      </c>
      <c r="F1267" t="str">
        <f>IF(Table1[[#This Row],[age]]&lt;=25,"18-25",IF(Table1[[#This Row],[age]]&lt;=35,"26-35",IF(Table1[[#This Row],[age]]&lt;=50,"36-50","51+")))</f>
        <v>36-50</v>
      </c>
      <c r="G1267" t="s">
        <v>54</v>
      </c>
      <c r="H1267" t="s">
        <v>80</v>
      </c>
      <c r="I1267" t="s">
        <v>242</v>
      </c>
      <c r="J1267" t="s">
        <v>63</v>
      </c>
      <c r="K1267" t="s">
        <v>434</v>
      </c>
      <c r="L1267">
        <v>6</v>
      </c>
      <c r="M1267">
        <v>1254.6400000000001</v>
      </c>
      <c r="N1267">
        <v>0.03</v>
      </c>
      <c r="O1267">
        <v>10261.459999999999</v>
      </c>
      <c r="P1267">
        <v>3117.09</v>
      </c>
      <c r="Q1267">
        <v>62.14</v>
      </c>
      <c r="R1267" t="s">
        <v>65</v>
      </c>
      <c r="S1267">
        <v>5</v>
      </c>
      <c r="T1267" t="b">
        <v>0</v>
      </c>
      <c r="U1267" t="s">
        <v>93</v>
      </c>
      <c r="V1267">
        <v>1</v>
      </c>
    </row>
    <row r="1268" spans="1:22" x14ac:dyDescent="0.25">
      <c r="A1268" t="s">
        <v>3022</v>
      </c>
      <c r="B1268" s="1">
        <v>44864</v>
      </c>
      <c r="C1268" t="s">
        <v>3023</v>
      </c>
      <c r="D1268" t="s">
        <v>2359</v>
      </c>
      <c r="E1268">
        <v>26</v>
      </c>
      <c r="F1268" t="str">
        <f>IF(Table1[[#This Row],[age]]&lt;=25,"18-25",IF(Table1[[#This Row],[age]]&lt;=35,"26-35",IF(Table1[[#This Row],[age]]&lt;=50,"36-50","51+")))</f>
        <v>26-35</v>
      </c>
      <c r="G1268" t="s">
        <v>54</v>
      </c>
      <c r="H1268" t="s">
        <v>80</v>
      </c>
      <c r="I1268" t="s">
        <v>86</v>
      </c>
      <c r="J1268" t="s">
        <v>101</v>
      </c>
      <c r="K1268" t="s">
        <v>456</v>
      </c>
      <c r="L1268">
        <v>8</v>
      </c>
      <c r="M1268">
        <v>10568.63</v>
      </c>
      <c r="N1268">
        <v>0.21</v>
      </c>
      <c r="O1268">
        <v>55630.33</v>
      </c>
      <c r="P1268">
        <v>14348.89</v>
      </c>
      <c r="Q1268">
        <v>77.59</v>
      </c>
      <c r="R1268" t="s">
        <v>29</v>
      </c>
      <c r="S1268">
        <v>4</v>
      </c>
      <c r="T1268" t="b">
        <v>0</v>
      </c>
      <c r="U1268" t="s">
        <v>30</v>
      </c>
      <c r="V1268">
        <v>1</v>
      </c>
    </row>
    <row r="1269" spans="1:22" x14ac:dyDescent="0.25">
      <c r="A1269" t="s">
        <v>3024</v>
      </c>
      <c r="B1269" s="1">
        <v>43848</v>
      </c>
      <c r="C1269" t="s">
        <v>3025</v>
      </c>
      <c r="D1269" t="s">
        <v>1898</v>
      </c>
      <c r="E1269">
        <v>29</v>
      </c>
      <c r="F1269" t="str">
        <f>IF(Table1[[#This Row],[age]]&lt;=25,"18-25",IF(Table1[[#This Row],[age]]&lt;=35,"26-35",IF(Table1[[#This Row],[age]]&lt;=50,"36-50","51+")))</f>
        <v>26-35</v>
      </c>
      <c r="G1269" t="s">
        <v>54</v>
      </c>
      <c r="H1269" t="s">
        <v>25</v>
      </c>
      <c r="I1269" t="s">
        <v>298</v>
      </c>
      <c r="J1269" t="s">
        <v>63</v>
      </c>
      <c r="K1269" t="s">
        <v>82</v>
      </c>
      <c r="L1269">
        <v>1</v>
      </c>
      <c r="M1269">
        <v>2597.86</v>
      </c>
      <c r="N1269">
        <v>0.22</v>
      </c>
      <c r="O1269">
        <v>1513.98</v>
      </c>
      <c r="P1269">
        <v>537.04999999999995</v>
      </c>
      <c r="Q1269">
        <v>56.63</v>
      </c>
      <c r="R1269" t="s">
        <v>49</v>
      </c>
      <c r="S1269">
        <v>4</v>
      </c>
      <c r="T1269" t="b">
        <v>0</v>
      </c>
      <c r="U1269" t="s">
        <v>71</v>
      </c>
      <c r="V1269">
        <v>8</v>
      </c>
    </row>
    <row r="1270" spans="1:22" x14ac:dyDescent="0.25">
      <c r="A1270" t="s">
        <v>3026</v>
      </c>
      <c r="B1270" s="1">
        <v>45323</v>
      </c>
      <c r="C1270" t="s">
        <v>3027</v>
      </c>
      <c r="D1270" t="s">
        <v>496</v>
      </c>
      <c r="E1270">
        <v>51</v>
      </c>
      <c r="F1270" t="str">
        <f>IF(Table1[[#This Row],[age]]&lt;=25,"18-25",IF(Table1[[#This Row],[age]]&lt;=35,"26-35",IF(Table1[[#This Row],[age]]&lt;=50,"36-50","51+")))</f>
        <v>51+</v>
      </c>
      <c r="G1270" t="s">
        <v>54</v>
      </c>
      <c r="H1270" t="s">
        <v>80</v>
      </c>
      <c r="I1270" t="s">
        <v>81</v>
      </c>
      <c r="J1270" t="s">
        <v>101</v>
      </c>
      <c r="K1270" t="s">
        <v>214</v>
      </c>
      <c r="L1270">
        <v>6</v>
      </c>
      <c r="M1270">
        <v>5856.01</v>
      </c>
      <c r="N1270">
        <v>0.18</v>
      </c>
      <c r="O1270">
        <v>26851.31</v>
      </c>
      <c r="P1270">
        <v>8697.76</v>
      </c>
      <c r="Q1270">
        <v>63.02</v>
      </c>
      <c r="R1270" t="s">
        <v>29</v>
      </c>
      <c r="S1270">
        <v>3</v>
      </c>
      <c r="T1270" t="b">
        <v>0</v>
      </c>
      <c r="U1270" t="s">
        <v>30</v>
      </c>
      <c r="V1270">
        <v>2</v>
      </c>
    </row>
    <row r="1271" spans="1:22" x14ac:dyDescent="0.25">
      <c r="A1271" t="s">
        <v>3028</v>
      </c>
      <c r="B1271" s="1">
        <v>45273</v>
      </c>
      <c r="C1271" t="s">
        <v>3029</v>
      </c>
      <c r="D1271" t="s">
        <v>1417</v>
      </c>
      <c r="E1271">
        <v>38</v>
      </c>
      <c r="F1271" t="str">
        <f>IF(Table1[[#This Row],[age]]&lt;=25,"18-25",IF(Table1[[#This Row],[age]]&lt;=35,"26-35",IF(Table1[[#This Row],[age]]&lt;=50,"36-50","51+")))</f>
        <v>36-50</v>
      </c>
      <c r="G1271" t="s">
        <v>34</v>
      </c>
      <c r="H1271" t="s">
        <v>80</v>
      </c>
      <c r="I1271" t="s">
        <v>236</v>
      </c>
      <c r="J1271" t="s">
        <v>106</v>
      </c>
      <c r="K1271" t="s">
        <v>718</v>
      </c>
      <c r="L1271">
        <v>8</v>
      </c>
      <c r="M1271">
        <v>117.19</v>
      </c>
      <c r="N1271">
        <v>0.18</v>
      </c>
      <c r="O1271">
        <v>525.6</v>
      </c>
      <c r="P1271">
        <v>50.27</v>
      </c>
      <c r="Q1271">
        <v>74.25</v>
      </c>
      <c r="R1271" t="s">
        <v>43</v>
      </c>
      <c r="S1271">
        <v>5</v>
      </c>
      <c r="T1271" t="b">
        <v>0</v>
      </c>
      <c r="U1271" t="s">
        <v>30</v>
      </c>
      <c r="V1271">
        <v>8</v>
      </c>
    </row>
    <row r="1272" spans="1:22" x14ac:dyDescent="0.25">
      <c r="A1272" t="s">
        <v>3030</v>
      </c>
      <c r="B1272" s="1">
        <v>44707</v>
      </c>
      <c r="C1272" t="s">
        <v>3031</v>
      </c>
      <c r="D1272" t="s">
        <v>519</v>
      </c>
      <c r="E1272">
        <v>22</v>
      </c>
      <c r="F1272" t="str">
        <f>IF(Table1[[#This Row],[age]]&lt;=25,"18-25",IF(Table1[[#This Row],[age]]&lt;=35,"26-35",IF(Table1[[#This Row],[age]]&lt;=50,"36-50","51+")))</f>
        <v>18-25</v>
      </c>
      <c r="G1272" t="s">
        <v>24</v>
      </c>
      <c r="H1272" t="s">
        <v>55</v>
      </c>
      <c r="I1272" t="s">
        <v>56</v>
      </c>
      <c r="J1272" t="s">
        <v>101</v>
      </c>
      <c r="K1272" t="s">
        <v>318</v>
      </c>
      <c r="L1272">
        <v>4</v>
      </c>
      <c r="M1272">
        <v>871.51</v>
      </c>
      <c r="N1272">
        <v>0.38</v>
      </c>
      <c r="O1272">
        <v>3475.68</v>
      </c>
      <c r="P1272">
        <v>572.32000000000005</v>
      </c>
      <c r="Q1272">
        <v>44.83</v>
      </c>
      <c r="R1272" t="s">
        <v>65</v>
      </c>
      <c r="S1272">
        <v>3</v>
      </c>
      <c r="T1272" t="b">
        <v>0</v>
      </c>
      <c r="U1272" t="s">
        <v>30</v>
      </c>
      <c r="V1272">
        <v>3</v>
      </c>
    </row>
    <row r="1273" spans="1:22" x14ac:dyDescent="0.25">
      <c r="A1273" t="s">
        <v>3032</v>
      </c>
      <c r="B1273" s="1">
        <v>45417</v>
      </c>
      <c r="C1273" t="s">
        <v>3033</v>
      </c>
      <c r="D1273" t="s">
        <v>317</v>
      </c>
      <c r="E1273">
        <v>40</v>
      </c>
      <c r="F1273" t="str">
        <f>IF(Table1[[#This Row],[age]]&lt;=25,"18-25",IF(Table1[[#This Row],[age]]&lt;=35,"26-35",IF(Table1[[#This Row],[age]]&lt;=50,"36-50","51+")))</f>
        <v>36-50</v>
      </c>
      <c r="G1273" t="s">
        <v>54</v>
      </c>
      <c r="H1273" t="s">
        <v>55</v>
      </c>
      <c r="I1273" t="s">
        <v>97</v>
      </c>
      <c r="J1273" t="s">
        <v>27</v>
      </c>
      <c r="K1273" t="s">
        <v>28</v>
      </c>
      <c r="L1273">
        <v>8</v>
      </c>
      <c r="M1273">
        <v>1207.93</v>
      </c>
      <c r="N1273">
        <v>0.26</v>
      </c>
      <c r="O1273">
        <v>11716.75</v>
      </c>
      <c r="P1273">
        <v>4482.22</v>
      </c>
      <c r="Q1273">
        <v>60.34</v>
      </c>
      <c r="R1273" t="s">
        <v>43</v>
      </c>
      <c r="S1273">
        <v>5</v>
      </c>
      <c r="T1273" t="b">
        <v>0</v>
      </c>
      <c r="U1273" t="s">
        <v>30</v>
      </c>
      <c r="V1273">
        <v>4</v>
      </c>
    </row>
    <row r="1274" spans="1:22" x14ac:dyDescent="0.25">
      <c r="A1274" t="s">
        <v>3034</v>
      </c>
      <c r="B1274" s="1">
        <v>44221</v>
      </c>
      <c r="C1274" t="s">
        <v>3035</v>
      </c>
      <c r="D1274" t="s">
        <v>1436</v>
      </c>
      <c r="E1274">
        <v>33</v>
      </c>
      <c r="F1274" t="str">
        <f>IF(Table1[[#This Row],[age]]&lt;=25,"18-25",IF(Table1[[#This Row],[age]]&lt;=35,"26-35",IF(Table1[[#This Row],[age]]&lt;=50,"36-50","51+")))</f>
        <v>26-35</v>
      </c>
      <c r="G1274" t="s">
        <v>34</v>
      </c>
      <c r="H1274" t="s">
        <v>69</v>
      </c>
      <c r="I1274" t="s">
        <v>136</v>
      </c>
      <c r="J1274" t="s">
        <v>27</v>
      </c>
      <c r="K1274" t="s">
        <v>168</v>
      </c>
      <c r="L1274">
        <v>9</v>
      </c>
      <c r="M1274">
        <v>1589.89</v>
      </c>
      <c r="N1274">
        <v>0.08</v>
      </c>
      <c r="O1274">
        <v>10590.69</v>
      </c>
      <c r="P1274">
        <v>5434.65</v>
      </c>
      <c r="Q1274">
        <v>87.21</v>
      </c>
      <c r="R1274" t="s">
        <v>49</v>
      </c>
      <c r="S1274">
        <v>4</v>
      </c>
      <c r="T1274" t="b">
        <v>0</v>
      </c>
      <c r="U1274" t="s">
        <v>30</v>
      </c>
      <c r="V1274">
        <v>4</v>
      </c>
    </row>
    <row r="1275" spans="1:22" x14ac:dyDescent="0.25">
      <c r="A1275" t="s">
        <v>3036</v>
      </c>
      <c r="B1275" s="1">
        <v>44728</v>
      </c>
      <c r="C1275" t="s">
        <v>3037</v>
      </c>
      <c r="D1275" t="s">
        <v>217</v>
      </c>
      <c r="E1275">
        <v>21</v>
      </c>
      <c r="F1275" t="str">
        <f>IF(Table1[[#This Row],[age]]&lt;=25,"18-25",IF(Table1[[#This Row],[age]]&lt;=35,"26-35",IF(Table1[[#This Row],[age]]&lt;=50,"36-50","51+")))</f>
        <v>18-25</v>
      </c>
      <c r="G1275" t="s">
        <v>54</v>
      </c>
      <c r="H1275" t="s">
        <v>80</v>
      </c>
      <c r="I1275" t="s">
        <v>242</v>
      </c>
      <c r="J1275" t="s">
        <v>106</v>
      </c>
      <c r="K1275" t="s">
        <v>107</v>
      </c>
      <c r="L1275">
        <v>9</v>
      </c>
      <c r="M1275">
        <v>468.64</v>
      </c>
      <c r="N1275">
        <v>0.21</v>
      </c>
      <c r="O1275">
        <v>5155.01</v>
      </c>
      <c r="P1275">
        <v>228.82</v>
      </c>
      <c r="Q1275">
        <v>46.36</v>
      </c>
      <c r="R1275" t="s">
        <v>57</v>
      </c>
      <c r="S1275">
        <v>4</v>
      </c>
      <c r="T1275" t="b">
        <v>0</v>
      </c>
      <c r="U1275" t="s">
        <v>30</v>
      </c>
      <c r="V1275">
        <v>5</v>
      </c>
    </row>
    <row r="1276" spans="1:22" x14ac:dyDescent="0.25">
      <c r="A1276" t="s">
        <v>3038</v>
      </c>
      <c r="B1276" s="1">
        <v>44771</v>
      </c>
      <c r="C1276" t="s">
        <v>3039</v>
      </c>
      <c r="D1276" t="s">
        <v>397</v>
      </c>
      <c r="E1276">
        <v>42</v>
      </c>
      <c r="F1276" t="str">
        <f>IF(Table1[[#This Row],[age]]&lt;=25,"18-25",IF(Table1[[#This Row],[age]]&lt;=35,"26-35",IF(Table1[[#This Row],[age]]&lt;=50,"36-50","51+")))</f>
        <v>36-50</v>
      </c>
      <c r="G1276" t="s">
        <v>54</v>
      </c>
      <c r="H1276" t="s">
        <v>61</v>
      </c>
      <c r="I1276" t="s">
        <v>141</v>
      </c>
      <c r="J1276" t="s">
        <v>101</v>
      </c>
      <c r="K1276" t="s">
        <v>456</v>
      </c>
      <c r="L1276">
        <v>3</v>
      </c>
      <c r="M1276">
        <v>7955.73</v>
      </c>
      <c r="N1276">
        <v>0.22</v>
      </c>
      <c r="O1276">
        <v>26168.55</v>
      </c>
      <c r="P1276">
        <v>5570.15</v>
      </c>
      <c r="Q1276">
        <v>48.56</v>
      </c>
      <c r="R1276" t="s">
        <v>29</v>
      </c>
      <c r="S1276">
        <v>1</v>
      </c>
      <c r="T1276" t="b">
        <v>0</v>
      </c>
      <c r="U1276" t="s">
        <v>30</v>
      </c>
      <c r="V1276">
        <v>2</v>
      </c>
    </row>
    <row r="1277" spans="1:22" x14ac:dyDescent="0.25">
      <c r="A1277" t="s">
        <v>3040</v>
      </c>
      <c r="B1277" s="1">
        <v>43842</v>
      </c>
      <c r="C1277" t="s">
        <v>3041</v>
      </c>
      <c r="D1277" t="s">
        <v>1215</v>
      </c>
      <c r="E1277">
        <v>18</v>
      </c>
      <c r="F1277" t="str">
        <f>IF(Table1[[#This Row],[age]]&lt;=25,"18-25",IF(Table1[[#This Row],[age]]&lt;=35,"26-35",IF(Table1[[#This Row],[age]]&lt;=50,"36-50","51+")))</f>
        <v>18-25</v>
      </c>
      <c r="G1277" t="s">
        <v>24</v>
      </c>
      <c r="H1277" t="s">
        <v>80</v>
      </c>
      <c r="I1277" t="s">
        <v>236</v>
      </c>
      <c r="J1277" t="s">
        <v>47</v>
      </c>
      <c r="K1277" t="s">
        <v>272</v>
      </c>
      <c r="L1277">
        <v>2</v>
      </c>
      <c r="M1277">
        <v>626.54</v>
      </c>
      <c r="N1277">
        <v>0.21</v>
      </c>
      <c r="O1277">
        <v>805.43</v>
      </c>
      <c r="P1277">
        <v>364.25</v>
      </c>
      <c r="Q1277">
        <v>56.69</v>
      </c>
      <c r="R1277" t="s">
        <v>65</v>
      </c>
      <c r="S1277">
        <v>3</v>
      </c>
      <c r="T1277" t="b">
        <v>0</v>
      </c>
      <c r="U1277" t="s">
        <v>30</v>
      </c>
      <c r="V1277">
        <v>8</v>
      </c>
    </row>
    <row r="1278" spans="1:22" x14ac:dyDescent="0.25">
      <c r="A1278" t="s">
        <v>3042</v>
      </c>
      <c r="B1278" s="1">
        <v>43837</v>
      </c>
      <c r="C1278" t="s">
        <v>3043</v>
      </c>
      <c r="D1278" t="s">
        <v>407</v>
      </c>
      <c r="E1278">
        <v>26</v>
      </c>
      <c r="F1278" t="str">
        <f>IF(Table1[[#This Row],[age]]&lt;=25,"18-25",IF(Table1[[#This Row],[age]]&lt;=35,"26-35",IF(Table1[[#This Row],[age]]&lt;=50,"36-50","51+")))</f>
        <v>26-35</v>
      </c>
      <c r="G1278" t="s">
        <v>24</v>
      </c>
      <c r="H1278" t="s">
        <v>55</v>
      </c>
      <c r="I1278" t="s">
        <v>97</v>
      </c>
      <c r="J1278" t="s">
        <v>106</v>
      </c>
      <c r="K1278" t="s">
        <v>188</v>
      </c>
      <c r="L1278">
        <v>6</v>
      </c>
      <c r="M1278">
        <v>435.26</v>
      </c>
      <c r="N1278">
        <v>0.24</v>
      </c>
      <c r="O1278">
        <v>1450.57</v>
      </c>
      <c r="P1278">
        <v>128.4</v>
      </c>
      <c r="Q1278">
        <v>57.95</v>
      </c>
      <c r="R1278" t="s">
        <v>92</v>
      </c>
      <c r="S1278">
        <v>5</v>
      </c>
      <c r="T1278" t="b">
        <v>0</v>
      </c>
      <c r="U1278" t="s">
        <v>193</v>
      </c>
      <c r="V1278">
        <v>3</v>
      </c>
    </row>
    <row r="1279" spans="1:22" x14ac:dyDescent="0.25">
      <c r="A1279" t="s">
        <v>3044</v>
      </c>
      <c r="B1279" s="1">
        <v>43941</v>
      </c>
      <c r="C1279" t="s">
        <v>2445</v>
      </c>
      <c r="D1279" t="s">
        <v>2598</v>
      </c>
      <c r="E1279">
        <v>39</v>
      </c>
      <c r="F1279" t="str">
        <f>IF(Table1[[#This Row],[age]]&lt;=25,"18-25",IF(Table1[[#This Row],[age]]&lt;=35,"26-35",IF(Table1[[#This Row],[age]]&lt;=50,"36-50","51+")))</f>
        <v>36-50</v>
      </c>
      <c r="G1279" t="s">
        <v>24</v>
      </c>
      <c r="H1279" t="s">
        <v>25</v>
      </c>
      <c r="I1279" t="s">
        <v>298</v>
      </c>
      <c r="J1279" t="s">
        <v>36</v>
      </c>
      <c r="K1279" t="s">
        <v>42</v>
      </c>
      <c r="L1279">
        <v>9</v>
      </c>
      <c r="M1279">
        <v>20578.89</v>
      </c>
      <c r="N1279">
        <v>0.1</v>
      </c>
      <c r="O1279">
        <v>193354.91</v>
      </c>
      <c r="P1279">
        <v>46837.64</v>
      </c>
      <c r="Q1279">
        <v>76.42</v>
      </c>
      <c r="R1279" t="s">
        <v>43</v>
      </c>
      <c r="S1279">
        <v>2</v>
      </c>
      <c r="T1279" t="b">
        <v>0</v>
      </c>
      <c r="U1279" t="s">
        <v>30</v>
      </c>
      <c r="V1279">
        <v>1</v>
      </c>
    </row>
    <row r="1280" spans="1:22" x14ac:dyDescent="0.25">
      <c r="A1280" t="s">
        <v>3045</v>
      </c>
      <c r="B1280" s="1">
        <v>44911</v>
      </c>
      <c r="C1280" t="s">
        <v>3046</v>
      </c>
      <c r="D1280" t="s">
        <v>784</v>
      </c>
      <c r="E1280">
        <v>46</v>
      </c>
      <c r="F1280" t="str">
        <f>IF(Table1[[#This Row],[age]]&lt;=25,"18-25",IF(Table1[[#This Row],[age]]&lt;=35,"26-35",IF(Table1[[#This Row],[age]]&lt;=50,"36-50","51+")))</f>
        <v>36-50</v>
      </c>
      <c r="G1280" t="s">
        <v>34</v>
      </c>
      <c r="H1280" t="s">
        <v>55</v>
      </c>
      <c r="I1280" t="s">
        <v>56</v>
      </c>
      <c r="J1280" t="s">
        <v>101</v>
      </c>
      <c r="K1280" t="s">
        <v>102</v>
      </c>
      <c r="L1280">
        <v>8</v>
      </c>
      <c r="M1280">
        <v>2230.31</v>
      </c>
      <c r="N1280">
        <v>0.23</v>
      </c>
      <c r="O1280">
        <v>11449.66</v>
      </c>
      <c r="P1280">
        <v>2516.27</v>
      </c>
      <c r="Q1280">
        <v>57.84</v>
      </c>
      <c r="R1280" t="s">
        <v>65</v>
      </c>
      <c r="S1280">
        <v>2</v>
      </c>
      <c r="T1280" t="b">
        <v>0</v>
      </c>
      <c r="U1280" t="s">
        <v>193</v>
      </c>
      <c r="V1280">
        <v>5</v>
      </c>
    </row>
    <row r="1281" spans="1:22" x14ac:dyDescent="0.25">
      <c r="A1281" t="s">
        <v>3047</v>
      </c>
      <c r="B1281" s="1">
        <v>44396</v>
      </c>
      <c r="C1281" t="s">
        <v>3048</v>
      </c>
      <c r="D1281" t="s">
        <v>3049</v>
      </c>
      <c r="E1281">
        <v>31</v>
      </c>
      <c r="F1281" t="str">
        <f>IF(Table1[[#This Row],[age]]&lt;=25,"18-25",IF(Table1[[#This Row],[age]]&lt;=35,"26-35",IF(Table1[[#This Row],[age]]&lt;=50,"36-50","51+")))</f>
        <v>26-35</v>
      </c>
      <c r="G1281" t="s">
        <v>24</v>
      </c>
      <c r="H1281" t="s">
        <v>80</v>
      </c>
      <c r="I1281" t="s">
        <v>86</v>
      </c>
      <c r="J1281" t="s">
        <v>106</v>
      </c>
      <c r="K1281" t="s">
        <v>718</v>
      </c>
      <c r="L1281">
        <v>5</v>
      </c>
      <c r="M1281">
        <v>443.63</v>
      </c>
      <c r="N1281">
        <v>0.36</v>
      </c>
      <c r="O1281">
        <v>1854.03</v>
      </c>
      <c r="P1281">
        <v>166.1</v>
      </c>
      <c r="Q1281">
        <v>43.69</v>
      </c>
      <c r="R1281" t="s">
        <v>49</v>
      </c>
      <c r="S1281">
        <v>2</v>
      </c>
      <c r="T1281" t="b">
        <v>1</v>
      </c>
      <c r="U1281" t="s">
        <v>50</v>
      </c>
      <c r="V1281">
        <v>2</v>
      </c>
    </row>
    <row r="1282" spans="1:22" x14ac:dyDescent="0.25">
      <c r="A1282" t="s">
        <v>3050</v>
      </c>
      <c r="B1282" s="1">
        <v>43918</v>
      </c>
      <c r="C1282" t="s">
        <v>3051</v>
      </c>
      <c r="D1282" t="s">
        <v>343</v>
      </c>
      <c r="E1282">
        <v>45</v>
      </c>
      <c r="F1282" t="str">
        <f>IF(Table1[[#This Row],[age]]&lt;=25,"18-25",IF(Table1[[#This Row],[age]]&lt;=35,"26-35",IF(Table1[[#This Row],[age]]&lt;=50,"36-50","51+")))</f>
        <v>36-50</v>
      </c>
      <c r="G1282" t="s">
        <v>34</v>
      </c>
      <c r="H1282" t="s">
        <v>25</v>
      </c>
      <c r="I1282" t="s">
        <v>41</v>
      </c>
      <c r="J1282" t="s">
        <v>63</v>
      </c>
      <c r="K1282" t="s">
        <v>434</v>
      </c>
      <c r="L1282">
        <v>1</v>
      </c>
      <c r="M1282">
        <v>1971.81</v>
      </c>
      <c r="N1282">
        <v>0.05</v>
      </c>
      <c r="O1282">
        <v>1592.69</v>
      </c>
      <c r="P1282">
        <v>732.33</v>
      </c>
      <c r="Q1282">
        <v>57.58</v>
      </c>
      <c r="R1282" t="s">
        <v>43</v>
      </c>
      <c r="S1282">
        <v>1</v>
      </c>
      <c r="T1282" t="b">
        <v>0</v>
      </c>
      <c r="U1282" t="s">
        <v>30</v>
      </c>
      <c r="V1282">
        <v>6</v>
      </c>
    </row>
    <row r="1283" spans="1:22" x14ac:dyDescent="0.25">
      <c r="A1283" t="s">
        <v>3052</v>
      </c>
      <c r="B1283" s="1">
        <v>45000</v>
      </c>
      <c r="C1283" t="s">
        <v>3053</v>
      </c>
      <c r="D1283" t="s">
        <v>174</v>
      </c>
      <c r="E1283">
        <v>40</v>
      </c>
      <c r="F1283" t="str">
        <f>IF(Table1[[#This Row],[age]]&lt;=25,"18-25",IF(Table1[[#This Row],[age]]&lt;=35,"26-35",IF(Table1[[#This Row],[age]]&lt;=50,"36-50","51+")))</f>
        <v>36-50</v>
      </c>
      <c r="G1283" t="s">
        <v>24</v>
      </c>
      <c r="H1283" t="s">
        <v>61</v>
      </c>
      <c r="I1283" t="s">
        <v>163</v>
      </c>
      <c r="J1283" t="s">
        <v>47</v>
      </c>
      <c r="K1283" t="s">
        <v>600</v>
      </c>
      <c r="L1283">
        <v>10</v>
      </c>
      <c r="M1283">
        <v>1452.95</v>
      </c>
      <c r="N1283">
        <v>0.01</v>
      </c>
      <c r="O1283">
        <v>18658.740000000002</v>
      </c>
      <c r="P1283">
        <v>5761.15</v>
      </c>
      <c r="Q1283">
        <v>57.81</v>
      </c>
      <c r="R1283" t="s">
        <v>92</v>
      </c>
      <c r="S1283">
        <v>3</v>
      </c>
      <c r="T1283" t="b">
        <v>0</v>
      </c>
      <c r="U1283" t="s">
        <v>30</v>
      </c>
      <c r="V1283">
        <v>2</v>
      </c>
    </row>
    <row r="1284" spans="1:22" x14ac:dyDescent="0.25">
      <c r="A1284" t="s">
        <v>3054</v>
      </c>
      <c r="B1284" s="1">
        <v>44435</v>
      </c>
      <c r="C1284" t="s">
        <v>3055</v>
      </c>
      <c r="D1284" t="s">
        <v>352</v>
      </c>
      <c r="E1284">
        <v>53</v>
      </c>
      <c r="F1284" t="str">
        <f>IF(Table1[[#This Row],[age]]&lt;=25,"18-25",IF(Table1[[#This Row],[age]]&lt;=35,"26-35",IF(Table1[[#This Row],[age]]&lt;=50,"36-50","51+")))</f>
        <v>51+</v>
      </c>
      <c r="G1284" t="s">
        <v>24</v>
      </c>
      <c r="H1284" t="s">
        <v>61</v>
      </c>
      <c r="I1284" t="s">
        <v>163</v>
      </c>
      <c r="J1284" t="s">
        <v>36</v>
      </c>
      <c r="K1284" t="s">
        <v>230</v>
      </c>
      <c r="L1284">
        <v>10</v>
      </c>
      <c r="M1284">
        <v>20350.98</v>
      </c>
      <c r="N1284">
        <v>0.22</v>
      </c>
      <c r="O1284">
        <v>218880.02</v>
      </c>
      <c r="P1284">
        <v>43493.86</v>
      </c>
      <c r="Q1284">
        <v>69.86</v>
      </c>
      <c r="R1284" t="s">
        <v>43</v>
      </c>
      <c r="S1284">
        <v>1</v>
      </c>
      <c r="T1284" t="b">
        <v>0</v>
      </c>
      <c r="U1284" t="s">
        <v>30</v>
      </c>
      <c r="V1284">
        <v>5</v>
      </c>
    </row>
    <row r="1285" spans="1:22" x14ac:dyDescent="0.25">
      <c r="A1285" t="s">
        <v>3056</v>
      </c>
      <c r="B1285" s="1">
        <v>43872</v>
      </c>
      <c r="C1285" t="s">
        <v>3057</v>
      </c>
      <c r="D1285" t="s">
        <v>874</v>
      </c>
      <c r="E1285">
        <v>30</v>
      </c>
      <c r="F1285" t="str">
        <f>IF(Table1[[#This Row],[age]]&lt;=25,"18-25",IF(Table1[[#This Row],[age]]&lt;=35,"26-35",IF(Table1[[#This Row],[age]]&lt;=50,"36-50","51+")))</f>
        <v>26-35</v>
      </c>
      <c r="G1285" t="s">
        <v>24</v>
      </c>
      <c r="H1285" t="s">
        <v>61</v>
      </c>
      <c r="I1285" t="s">
        <v>91</v>
      </c>
      <c r="J1285" t="s">
        <v>47</v>
      </c>
      <c r="K1285" t="s">
        <v>272</v>
      </c>
      <c r="L1285">
        <v>9</v>
      </c>
      <c r="M1285">
        <v>334.26</v>
      </c>
      <c r="N1285">
        <v>0.33</v>
      </c>
      <c r="O1285">
        <v>1656.41</v>
      </c>
      <c r="P1285">
        <v>547.21</v>
      </c>
      <c r="Q1285">
        <v>64.37</v>
      </c>
      <c r="R1285" t="s">
        <v>57</v>
      </c>
      <c r="S1285">
        <v>3</v>
      </c>
      <c r="T1285" t="b">
        <v>1</v>
      </c>
      <c r="U1285" t="s">
        <v>50</v>
      </c>
      <c r="V1285">
        <v>9</v>
      </c>
    </row>
    <row r="1286" spans="1:22" x14ac:dyDescent="0.25">
      <c r="A1286" t="s">
        <v>3058</v>
      </c>
      <c r="B1286" s="1">
        <v>44608</v>
      </c>
      <c r="C1286" t="s">
        <v>3059</v>
      </c>
      <c r="D1286" t="s">
        <v>1267</v>
      </c>
      <c r="E1286">
        <v>36</v>
      </c>
      <c r="F1286" t="str">
        <f>IF(Table1[[#This Row],[age]]&lt;=25,"18-25",IF(Table1[[#This Row],[age]]&lt;=35,"26-35",IF(Table1[[#This Row],[age]]&lt;=50,"36-50","51+")))</f>
        <v>36-50</v>
      </c>
      <c r="G1286" t="s">
        <v>54</v>
      </c>
      <c r="H1286" t="s">
        <v>69</v>
      </c>
      <c r="I1286" t="s">
        <v>136</v>
      </c>
      <c r="J1286" t="s">
        <v>106</v>
      </c>
      <c r="K1286" t="s">
        <v>331</v>
      </c>
      <c r="L1286">
        <v>10</v>
      </c>
      <c r="M1286">
        <v>340.07</v>
      </c>
      <c r="N1286">
        <v>0</v>
      </c>
      <c r="O1286">
        <v>3411.77</v>
      </c>
      <c r="P1286">
        <v>221.45</v>
      </c>
      <c r="Q1286">
        <v>94.4</v>
      </c>
      <c r="R1286" t="s">
        <v>65</v>
      </c>
      <c r="S1286">
        <v>1</v>
      </c>
      <c r="T1286" t="b">
        <v>0</v>
      </c>
      <c r="U1286" t="s">
        <v>30</v>
      </c>
      <c r="V1286">
        <v>10</v>
      </c>
    </row>
    <row r="1287" spans="1:22" x14ac:dyDescent="0.25">
      <c r="A1287" t="s">
        <v>3060</v>
      </c>
      <c r="B1287" s="1">
        <v>45436</v>
      </c>
      <c r="C1287" t="s">
        <v>3061</v>
      </c>
      <c r="D1287" t="s">
        <v>349</v>
      </c>
      <c r="E1287">
        <v>43</v>
      </c>
      <c r="F1287" t="str">
        <f>IF(Table1[[#This Row],[age]]&lt;=25,"18-25",IF(Table1[[#This Row],[age]]&lt;=35,"26-35",IF(Table1[[#This Row],[age]]&lt;=50,"36-50","51+")))</f>
        <v>36-50</v>
      </c>
      <c r="G1287" t="s">
        <v>34</v>
      </c>
      <c r="H1287" t="s">
        <v>55</v>
      </c>
      <c r="I1287" t="s">
        <v>97</v>
      </c>
      <c r="J1287" t="s">
        <v>47</v>
      </c>
      <c r="K1287" t="s">
        <v>272</v>
      </c>
      <c r="L1287">
        <v>8</v>
      </c>
      <c r="M1287">
        <v>734.35</v>
      </c>
      <c r="N1287">
        <v>0.3</v>
      </c>
      <c r="O1287">
        <v>6592.36</v>
      </c>
      <c r="P1287">
        <v>2327.04</v>
      </c>
      <c r="Q1287">
        <v>53.13</v>
      </c>
      <c r="R1287" t="s">
        <v>65</v>
      </c>
      <c r="S1287">
        <v>3</v>
      </c>
      <c r="T1287" t="b">
        <v>0</v>
      </c>
      <c r="U1287" t="s">
        <v>30</v>
      </c>
      <c r="V1287">
        <v>1</v>
      </c>
    </row>
    <row r="1288" spans="1:22" x14ac:dyDescent="0.25">
      <c r="A1288" t="s">
        <v>3062</v>
      </c>
      <c r="B1288" s="1">
        <v>44737</v>
      </c>
      <c r="C1288" t="s">
        <v>3063</v>
      </c>
      <c r="D1288" t="s">
        <v>1126</v>
      </c>
      <c r="E1288">
        <v>31</v>
      </c>
      <c r="F1288" t="str">
        <f>IF(Table1[[#This Row],[age]]&lt;=25,"18-25",IF(Table1[[#This Row],[age]]&lt;=35,"26-35",IF(Table1[[#This Row],[age]]&lt;=50,"36-50","51+")))</f>
        <v>26-35</v>
      </c>
      <c r="G1288" t="s">
        <v>34</v>
      </c>
      <c r="H1288" t="s">
        <v>25</v>
      </c>
      <c r="I1288" t="s">
        <v>35</v>
      </c>
      <c r="J1288" t="s">
        <v>101</v>
      </c>
      <c r="K1288" t="s">
        <v>456</v>
      </c>
      <c r="L1288">
        <v>1</v>
      </c>
      <c r="M1288">
        <v>12201.41</v>
      </c>
      <c r="N1288">
        <v>0.38</v>
      </c>
      <c r="O1288">
        <v>11448.72</v>
      </c>
      <c r="P1288">
        <v>2473.09</v>
      </c>
      <c r="Q1288">
        <v>54.83</v>
      </c>
      <c r="R1288" t="s">
        <v>43</v>
      </c>
      <c r="S1288">
        <v>1</v>
      </c>
      <c r="T1288" t="b">
        <v>0</v>
      </c>
      <c r="U1288" t="s">
        <v>30</v>
      </c>
      <c r="V1288">
        <v>5</v>
      </c>
    </row>
    <row r="1289" spans="1:22" x14ac:dyDescent="0.25">
      <c r="A1289" t="s">
        <v>3064</v>
      </c>
      <c r="B1289" s="1">
        <v>45513</v>
      </c>
      <c r="C1289" t="s">
        <v>3065</v>
      </c>
      <c r="D1289" t="s">
        <v>982</v>
      </c>
      <c r="E1289">
        <v>18</v>
      </c>
      <c r="F1289" t="str">
        <f>IF(Table1[[#This Row],[age]]&lt;=25,"18-25",IF(Table1[[#This Row],[age]]&lt;=35,"26-35",IF(Table1[[#This Row],[age]]&lt;=50,"36-50","51+")))</f>
        <v>18-25</v>
      </c>
      <c r="G1289" t="s">
        <v>24</v>
      </c>
      <c r="H1289" t="s">
        <v>80</v>
      </c>
      <c r="I1289" t="s">
        <v>242</v>
      </c>
      <c r="J1289" t="s">
        <v>63</v>
      </c>
      <c r="K1289" t="s">
        <v>152</v>
      </c>
      <c r="L1289">
        <v>9</v>
      </c>
      <c r="M1289">
        <v>892.19</v>
      </c>
      <c r="N1289">
        <v>0.28999999999999998</v>
      </c>
      <c r="O1289">
        <v>6933.33</v>
      </c>
      <c r="P1289">
        <v>3107.54</v>
      </c>
      <c r="Q1289">
        <v>67.17</v>
      </c>
      <c r="R1289" t="s">
        <v>43</v>
      </c>
      <c r="S1289">
        <v>2</v>
      </c>
      <c r="T1289" t="b">
        <v>0</v>
      </c>
      <c r="U1289" t="s">
        <v>30</v>
      </c>
      <c r="V1289">
        <v>10</v>
      </c>
    </row>
    <row r="1290" spans="1:22" x14ac:dyDescent="0.25">
      <c r="A1290" t="s">
        <v>3066</v>
      </c>
      <c r="B1290" s="1">
        <v>45359</v>
      </c>
      <c r="C1290" t="s">
        <v>3067</v>
      </c>
      <c r="D1290" t="s">
        <v>502</v>
      </c>
      <c r="E1290">
        <v>32</v>
      </c>
      <c r="F1290" t="str">
        <f>IF(Table1[[#This Row],[age]]&lt;=25,"18-25",IF(Table1[[#This Row],[age]]&lt;=35,"26-35",IF(Table1[[#This Row],[age]]&lt;=50,"36-50","51+")))</f>
        <v>26-35</v>
      </c>
      <c r="G1290" t="s">
        <v>54</v>
      </c>
      <c r="H1290" t="s">
        <v>25</v>
      </c>
      <c r="I1290" t="s">
        <v>298</v>
      </c>
      <c r="J1290" t="s">
        <v>106</v>
      </c>
      <c r="K1290" t="s">
        <v>314</v>
      </c>
      <c r="L1290">
        <v>3</v>
      </c>
      <c r="M1290">
        <v>248.9</v>
      </c>
      <c r="N1290">
        <v>0</v>
      </c>
      <c r="O1290">
        <v>937.24</v>
      </c>
      <c r="P1290">
        <v>91.65</v>
      </c>
      <c r="Q1290">
        <v>73.94</v>
      </c>
      <c r="R1290" t="s">
        <v>57</v>
      </c>
      <c r="S1290">
        <v>4</v>
      </c>
      <c r="T1290" t="b">
        <v>0</v>
      </c>
      <c r="U1290" t="s">
        <v>30</v>
      </c>
      <c r="V1290">
        <v>6</v>
      </c>
    </row>
    <row r="1291" spans="1:22" x14ac:dyDescent="0.25">
      <c r="A1291" t="s">
        <v>3068</v>
      </c>
      <c r="B1291" s="1">
        <v>45215</v>
      </c>
      <c r="C1291" t="s">
        <v>3069</v>
      </c>
      <c r="D1291" t="s">
        <v>213</v>
      </c>
      <c r="E1291">
        <v>19</v>
      </c>
      <c r="F1291" t="str">
        <f>IF(Table1[[#This Row],[age]]&lt;=25,"18-25",IF(Table1[[#This Row],[age]]&lt;=35,"26-35",IF(Table1[[#This Row],[age]]&lt;=50,"36-50","51+")))</f>
        <v>18-25</v>
      </c>
      <c r="G1291" t="s">
        <v>24</v>
      </c>
      <c r="H1291" t="s">
        <v>61</v>
      </c>
      <c r="I1291" t="s">
        <v>141</v>
      </c>
      <c r="J1291" t="s">
        <v>63</v>
      </c>
      <c r="K1291" t="s">
        <v>434</v>
      </c>
      <c r="L1291">
        <v>7</v>
      </c>
      <c r="M1291">
        <v>1104.26</v>
      </c>
      <c r="N1291">
        <v>0.13</v>
      </c>
      <c r="O1291">
        <v>6551.79</v>
      </c>
      <c r="P1291">
        <v>2415.7399999999998</v>
      </c>
      <c r="Q1291">
        <v>58.32</v>
      </c>
      <c r="R1291" t="s">
        <v>29</v>
      </c>
      <c r="S1291">
        <v>3</v>
      </c>
      <c r="T1291" t="b">
        <v>0</v>
      </c>
      <c r="U1291" t="s">
        <v>30</v>
      </c>
      <c r="V1291">
        <v>1</v>
      </c>
    </row>
    <row r="1292" spans="1:22" x14ac:dyDescent="0.25">
      <c r="A1292" t="s">
        <v>3070</v>
      </c>
      <c r="B1292" s="1">
        <v>45414</v>
      </c>
      <c r="C1292" t="s">
        <v>3071</v>
      </c>
      <c r="D1292" t="s">
        <v>171</v>
      </c>
      <c r="E1292">
        <v>25</v>
      </c>
      <c r="F1292" t="str">
        <f>IF(Table1[[#This Row],[age]]&lt;=25,"18-25",IF(Table1[[#This Row],[age]]&lt;=35,"26-35",IF(Table1[[#This Row],[age]]&lt;=50,"36-50","51+")))</f>
        <v>18-25</v>
      </c>
      <c r="G1292" t="s">
        <v>54</v>
      </c>
      <c r="H1292" t="s">
        <v>61</v>
      </c>
      <c r="I1292" t="s">
        <v>141</v>
      </c>
      <c r="J1292" t="s">
        <v>27</v>
      </c>
      <c r="K1292" t="s">
        <v>168</v>
      </c>
      <c r="L1292">
        <v>4</v>
      </c>
      <c r="M1292">
        <v>867.46</v>
      </c>
      <c r="N1292">
        <v>0.22</v>
      </c>
      <c r="O1292">
        <v>4462.82</v>
      </c>
      <c r="P1292">
        <v>2376.0500000000002</v>
      </c>
      <c r="Q1292">
        <v>52.4</v>
      </c>
      <c r="R1292" t="s">
        <v>29</v>
      </c>
      <c r="S1292">
        <v>2</v>
      </c>
      <c r="T1292" t="b">
        <v>0</v>
      </c>
      <c r="U1292" t="s">
        <v>30</v>
      </c>
      <c r="V1292">
        <v>7</v>
      </c>
    </row>
    <row r="1293" spans="1:22" x14ac:dyDescent="0.25">
      <c r="A1293" t="s">
        <v>3072</v>
      </c>
      <c r="B1293" s="1">
        <v>43832</v>
      </c>
      <c r="C1293" t="s">
        <v>3073</v>
      </c>
      <c r="D1293" t="s">
        <v>740</v>
      </c>
      <c r="E1293">
        <v>45</v>
      </c>
      <c r="F1293" t="str">
        <f>IF(Table1[[#This Row],[age]]&lt;=25,"18-25",IF(Table1[[#This Row],[age]]&lt;=35,"26-35",IF(Table1[[#This Row],[age]]&lt;=50,"36-50","51+")))</f>
        <v>36-50</v>
      </c>
      <c r="G1293" t="s">
        <v>34</v>
      </c>
      <c r="H1293" t="s">
        <v>69</v>
      </c>
      <c r="I1293" t="s">
        <v>221</v>
      </c>
      <c r="J1293" t="s">
        <v>47</v>
      </c>
      <c r="K1293" t="s">
        <v>272</v>
      </c>
      <c r="L1293">
        <v>6</v>
      </c>
      <c r="M1293">
        <v>682.59</v>
      </c>
      <c r="N1293">
        <v>0.22</v>
      </c>
      <c r="O1293">
        <v>2460.25</v>
      </c>
      <c r="P1293">
        <v>680.71</v>
      </c>
      <c r="Q1293">
        <v>76.22</v>
      </c>
      <c r="R1293" t="s">
        <v>29</v>
      </c>
      <c r="S1293">
        <v>1</v>
      </c>
      <c r="T1293" t="b">
        <v>1</v>
      </c>
      <c r="U1293" t="s">
        <v>50</v>
      </c>
      <c r="V1293">
        <v>3</v>
      </c>
    </row>
    <row r="1294" spans="1:22" x14ac:dyDescent="0.25">
      <c r="A1294" t="s">
        <v>3074</v>
      </c>
      <c r="B1294" s="1">
        <v>44013</v>
      </c>
      <c r="C1294" t="s">
        <v>3075</v>
      </c>
      <c r="D1294" t="s">
        <v>663</v>
      </c>
      <c r="E1294">
        <v>30</v>
      </c>
      <c r="F1294" t="str">
        <f>IF(Table1[[#This Row],[age]]&lt;=25,"18-25",IF(Table1[[#This Row],[age]]&lt;=35,"26-35",IF(Table1[[#This Row],[age]]&lt;=50,"36-50","51+")))</f>
        <v>26-35</v>
      </c>
      <c r="G1294" t="s">
        <v>24</v>
      </c>
      <c r="H1294" t="s">
        <v>69</v>
      </c>
      <c r="I1294" t="s">
        <v>136</v>
      </c>
      <c r="J1294" t="s">
        <v>27</v>
      </c>
      <c r="K1294" t="s">
        <v>28</v>
      </c>
      <c r="L1294">
        <v>9</v>
      </c>
      <c r="M1294">
        <v>2148.56</v>
      </c>
      <c r="N1294">
        <v>0.13</v>
      </c>
      <c r="O1294">
        <v>20282.55</v>
      </c>
      <c r="P1294">
        <v>9481.52</v>
      </c>
      <c r="Q1294">
        <v>85.42</v>
      </c>
      <c r="R1294" t="s">
        <v>92</v>
      </c>
      <c r="S1294">
        <v>5</v>
      </c>
      <c r="T1294" t="b">
        <v>0</v>
      </c>
      <c r="U1294" t="s">
        <v>30</v>
      </c>
      <c r="V1294">
        <v>6</v>
      </c>
    </row>
    <row r="1295" spans="1:22" x14ac:dyDescent="0.25">
      <c r="A1295" t="s">
        <v>3076</v>
      </c>
      <c r="B1295" s="1">
        <v>44803</v>
      </c>
      <c r="C1295" t="s">
        <v>3077</v>
      </c>
      <c r="D1295" t="s">
        <v>910</v>
      </c>
      <c r="E1295">
        <v>26</v>
      </c>
      <c r="F1295" t="str">
        <f>IF(Table1[[#This Row],[age]]&lt;=25,"18-25",IF(Table1[[#This Row],[age]]&lt;=35,"26-35",IF(Table1[[#This Row],[age]]&lt;=50,"36-50","51+")))</f>
        <v>26-35</v>
      </c>
      <c r="G1295" t="s">
        <v>54</v>
      </c>
      <c r="H1295" t="s">
        <v>69</v>
      </c>
      <c r="I1295" t="s">
        <v>136</v>
      </c>
      <c r="J1295" t="s">
        <v>115</v>
      </c>
      <c r="K1295" t="s">
        <v>145</v>
      </c>
      <c r="L1295">
        <v>7</v>
      </c>
      <c r="M1295">
        <v>49602.62</v>
      </c>
      <c r="N1295">
        <v>0.08</v>
      </c>
      <c r="O1295">
        <v>439375.74</v>
      </c>
      <c r="P1295">
        <v>57634.77</v>
      </c>
      <c r="Q1295">
        <v>76.260000000000005</v>
      </c>
      <c r="R1295" t="s">
        <v>43</v>
      </c>
      <c r="S1295">
        <v>4</v>
      </c>
      <c r="T1295" t="b">
        <v>1</v>
      </c>
      <c r="U1295" t="s">
        <v>50</v>
      </c>
      <c r="V1295">
        <v>7</v>
      </c>
    </row>
    <row r="1296" spans="1:22" x14ac:dyDescent="0.25">
      <c r="A1296" t="s">
        <v>3078</v>
      </c>
      <c r="B1296" s="1">
        <v>44476</v>
      </c>
      <c r="C1296" t="s">
        <v>3079</v>
      </c>
      <c r="D1296" t="s">
        <v>1354</v>
      </c>
      <c r="E1296">
        <v>42</v>
      </c>
      <c r="F1296" t="str">
        <f>IF(Table1[[#This Row],[age]]&lt;=25,"18-25",IF(Table1[[#This Row],[age]]&lt;=35,"26-35",IF(Table1[[#This Row],[age]]&lt;=50,"36-50","51+")))</f>
        <v>36-50</v>
      </c>
      <c r="G1296" t="s">
        <v>54</v>
      </c>
      <c r="H1296" t="s">
        <v>25</v>
      </c>
      <c r="I1296" t="s">
        <v>41</v>
      </c>
      <c r="J1296" t="s">
        <v>115</v>
      </c>
      <c r="K1296" t="s">
        <v>398</v>
      </c>
      <c r="L1296">
        <v>8</v>
      </c>
      <c r="M1296">
        <v>32618.21</v>
      </c>
      <c r="N1296">
        <v>0.24</v>
      </c>
      <c r="O1296">
        <v>175909.3</v>
      </c>
      <c r="P1296">
        <v>22171.54</v>
      </c>
      <c r="Q1296">
        <v>80.63</v>
      </c>
      <c r="R1296" t="s">
        <v>57</v>
      </c>
      <c r="S1296">
        <v>5</v>
      </c>
      <c r="T1296" t="b">
        <v>0</v>
      </c>
      <c r="U1296" t="s">
        <v>30</v>
      </c>
      <c r="V1296">
        <v>2</v>
      </c>
    </row>
    <row r="1297" spans="1:22" x14ac:dyDescent="0.25">
      <c r="A1297" t="s">
        <v>3080</v>
      </c>
      <c r="B1297" s="1">
        <v>45170</v>
      </c>
      <c r="C1297" t="s">
        <v>3081</v>
      </c>
      <c r="D1297" t="s">
        <v>301</v>
      </c>
      <c r="E1297">
        <v>38</v>
      </c>
      <c r="F1297" t="str">
        <f>IF(Table1[[#This Row],[age]]&lt;=25,"18-25",IF(Table1[[#This Row],[age]]&lt;=35,"26-35",IF(Table1[[#This Row],[age]]&lt;=50,"36-50","51+")))</f>
        <v>36-50</v>
      </c>
      <c r="G1297" t="s">
        <v>34</v>
      </c>
      <c r="H1297" t="s">
        <v>25</v>
      </c>
      <c r="I1297" t="s">
        <v>35</v>
      </c>
      <c r="J1297" t="s">
        <v>106</v>
      </c>
      <c r="K1297" t="s">
        <v>718</v>
      </c>
      <c r="L1297">
        <v>1</v>
      </c>
      <c r="M1297">
        <v>166.38</v>
      </c>
      <c r="N1297">
        <v>0.11</v>
      </c>
      <c r="O1297">
        <v>187.22</v>
      </c>
      <c r="P1297">
        <v>18.5</v>
      </c>
      <c r="Q1297">
        <v>57.01</v>
      </c>
      <c r="R1297" t="s">
        <v>29</v>
      </c>
      <c r="S1297">
        <v>5</v>
      </c>
      <c r="T1297" t="b">
        <v>0</v>
      </c>
      <c r="U1297" t="s">
        <v>30</v>
      </c>
      <c r="V1297">
        <v>7</v>
      </c>
    </row>
    <row r="1298" spans="1:22" x14ac:dyDescent="0.25">
      <c r="A1298" t="s">
        <v>3082</v>
      </c>
      <c r="B1298" s="1">
        <v>43840</v>
      </c>
      <c r="C1298" t="s">
        <v>1250</v>
      </c>
      <c r="D1298" t="s">
        <v>1704</v>
      </c>
      <c r="E1298">
        <v>23</v>
      </c>
      <c r="F1298" t="str">
        <f>IF(Table1[[#This Row],[age]]&lt;=25,"18-25",IF(Table1[[#This Row],[age]]&lt;=35,"26-35",IF(Table1[[#This Row],[age]]&lt;=50,"36-50","51+")))</f>
        <v>18-25</v>
      </c>
      <c r="G1298" t="s">
        <v>24</v>
      </c>
      <c r="H1298" t="s">
        <v>80</v>
      </c>
      <c r="I1298" t="s">
        <v>81</v>
      </c>
      <c r="J1298" t="s">
        <v>101</v>
      </c>
      <c r="K1298" t="s">
        <v>456</v>
      </c>
      <c r="L1298">
        <v>9</v>
      </c>
      <c r="M1298">
        <v>14375.13</v>
      </c>
      <c r="N1298">
        <v>0.19</v>
      </c>
      <c r="O1298">
        <v>85772.89</v>
      </c>
      <c r="P1298">
        <v>14206.15</v>
      </c>
      <c r="Q1298">
        <v>58.57</v>
      </c>
      <c r="R1298" t="s">
        <v>92</v>
      </c>
      <c r="S1298">
        <v>5</v>
      </c>
      <c r="T1298" t="b">
        <v>0</v>
      </c>
      <c r="U1298" t="s">
        <v>30</v>
      </c>
      <c r="V1298">
        <v>2</v>
      </c>
    </row>
    <row r="1299" spans="1:22" x14ac:dyDescent="0.25">
      <c r="A1299" t="s">
        <v>3083</v>
      </c>
      <c r="B1299" s="1">
        <v>45146</v>
      </c>
      <c r="C1299" t="s">
        <v>3084</v>
      </c>
      <c r="D1299" t="s">
        <v>2037</v>
      </c>
      <c r="E1299">
        <v>24</v>
      </c>
      <c r="F1299" t="str">
        <f>IF(Table1[[#This Row],[age]]&lt;=25,"18-25",IF(Table1[[#This Row],[age]]&lt;=35,"26-35",IF(Table1[[#This Row],[age]]&lt;=50,"36-50","51+")))</f>
        <v>18-25</v>
      </c>
      <c r="G1299" t="s">
        <v>24</v>
      </c>
      <c r="H1299" t="s">
        <v>55</v>
      </c>
      <c r="I1299" t="s">
        <v>75</v>
      </c>
      <c r="J1299" t="s">
        <v>36</v>
      </c>
      <c r="K1299" t="s">
        <v>243</v>
      </c>
      <c r="L1299">
        <v>4</v>
      </c>
      <c r="M1299">
        <v>33469.07</v>
      </c>
      <c r="N1299">
        <v>0.02</v>
      </c>
      <c r="O1299">
        <v>211554.01</v>
      </c>
      <c r="P1299">
        <v>60337.15</v>
      </c>
      <c r="Q1299">
        <v>33.54</v>
      </c>
      <c r="R1299" t="s">
        <v>43</v>
      </c>
      <c r="S1299">
        <v>3</v>
      </c>
      <c r="T1299" t="b">
        <v>1</v>
      </c>
      <c r="U1299" t="s">
        <v>50</v>
      </c>
      <c r="V1299">
        <v>8</v>
      </c>
    </row>
    <row r="1300" spans="1:22" x14ac:dyDescent="0.25">
      <c r="A1300" t="s">
        <v>3085</v>
      </c>
      <c r="B1300" s="1">
        <v>44877</v>
      </c>
      <c r="C1300" t="s">
        <v>3086</v>
      </c>
      <c r="D1300" t="s">
        <v>1370</v>
      </c>
      <c r="E1300">
        <v>26</v>
      </c>
      <c r="F1300" t="str">
        <f>IF(Table1[[#This Row],[age]]&lt;=25,"18-25",IF(Table1[[#This Row],[age]]&lt;=35,"26-35",IF(Table1[[#This Row],[age]]&lt;=50,"36-50","51+")))</f>
        <v>26-35</v>
      </c>
      <c r="G1300" t="s">
        <v>24</v>
      </c>
      <c r="H1300" t="s">
        <v>61</v>
      </c>
      <c r="I1300" t="s">
        <v>62</v>
      </c>
      <c r="J1300" t="s">
        <v>63</v>
      </c>
      <c r="K1300" t="s">
        <v>82</v>
      </c>
      <c r="L1300">
        <v>6</v>
      </c>
      <c r="M1300">
        <v>2781.83</v>
      </c>
      <c r="N1300">
        <v>0.34</v>
      </c>
      <c r="O1300">
        <v>10384.52</v>
      </c>
      <c r="P1300">
        <v>3543.82</v>
      </c>
      <c r="Q1300">
        <v>47.91</v>
      </c>
      <c r="R1300" t="s">
        <v>57</v>
      </c>
      <c r="S1300">
        <v>2</v>
      </c>
      <c r="T1300" t="b">
        <v>0</v>
      </c>
      <c r="U1300" t="s">
        <v>30</v>
      </c>
      <c r="V1300">
        <v>3</v>
      </c>
    </row>
    <row r="1301" spans="1:22" x14ac:dyDescent="0.25">
      <c r="A1301" t="s">
        <v>3087</v>
      </c>
      <c r="B1301" s="1">
        <v>44967</v>
      </c>
      <c r="C1301" t="s">
        <v>3088</v>
      </c>
      <c r="D1301" t="s">
        <v>1178</v>
      </c>
      <c r="E1301">
        <v>38</v>
      </c>
      <c r="F1301" t="str">
        <f>IF(Table1[[#This Row],[age]]&lt;=25,"18-25",IF(Table1[[#This Row],[age]]&lt;=35,"26-35",IF(Table1[[#This Row],[age]]&lt;=50,"36-50","51+")))</f>
        <v>36-50</v>
      </c>
      <c r="G1301" t="s">
        <v>54</v>
      </c>
      <c r="H1301" t="s">
        <v>61</v>
      </c>
      <c r="I1301" t="s">
        <v>141</v>
      </c>
      <c r="J1301" t="s">
        <v>63</v>
      </c>
      <c r="K1301" t="s">
        <v>152</v>
      </c>
      <c r="L1301">
        <v>9</v>
      </c>
      <c r="M1301">
        <v>924.21</v>
      </c>
      <c r="N1301">
        <v>0.25</v>
      </c>
      <c r="O1301">
        <v>6848.48</v>
      </c>
      <c r="P1301">
        <v>2169.66</v>
      </c>
      <c r="Q1301">
        <v>33.880000000000003</v>
      </c>
      <c r="R1301" t="s">
        <v>29</v>
      </c>
      <c r="S1301">
        <v>4</v>
      </c>
      <c r="T1301" t="b">
        <v>0</v>
      </c>
      <c r="U1301" t="s">
        <v>30</v>
      </c>
      <c r="V1301">
        <v>6</v>
      </c>
    </row>
    <row r="1302" spans="1:22" x14ac:dyDescent="0.25">
      <c r="A1302" t="s">
        <v>3089</v>
      </c>
      <c r="B1302" s="1">
        <v>45628</v>
      </c>
      <c r="C1302" t="s">
        <v>3090</v>
      </c>
      <c r="D1302" t="s">
        <v>1281</v>
      </c>
      <c r="E1302">
        <v>42</v>
      </c>
      <c r="F1302" t="str">
        <f>IF(Table1[[#This Row],[age]]&lt;=25,"18-25",IF(Table1[[#This Row],[age]]&lt;=35,"26-35",IF(Table1[[#This Row],[age]]&lt;=50,"36-50","51+")))</f>
        <v>36-50</v>
      </c>
      <c r="G1302" t="s">
        <v>54</v>
      </c>
      <c r="H1302" t="s">
        <v>55</v>
      </c>
      <c r="I1302" t="s">
        <v>75</v>
      </c>
      <c r="J1302" t="s">
        <v>101</v>
      </c>
      <c r="K1302" t="s">
        <v>164</v>
      </c>
      <c r="L1302">
        <v>5</v>
      </c>
      <c r="M1302">
        <v>6804.29</v>
      </c>
      <c r="N1302">
        <v>0.19</v>
      </c>
      <c r="O1302">
        <v>29844.9</v>
      </c>
      <c r="P1302">
        <v>8007.3</v>
      </c>
      <c r="Q1302">
        <v>38.07</v>
      </c>
      <c r="R1302" t="s">
        <v>43</v>
      </c>
      <c r="S1302">
        <v>5</v>
      </c>
      <c r="T1302" t="b">
        <v>0</v>
      </c>
      <c r="U1302" t="s">
        <v>30</v>
      </c>
      <c r="V1302">
        <v>6</v>
      </c>
    </row>
    <row r="1303" spans="1:22" x14ac:dyDescent="0.25">
      <c r="A1303" t="s">
        <v>3091</v>
      </c>
      <c r="B1303" s="1">
        <v>43841</v>
      </c>
      <c r="C1303" t="s">
        <v>3092</v>
      </c>
      <c r="D1303" t="s">
        <v>2232</v>
      </c>
      <c r="E1303">
        <v>20</v>
      </c>
      <c r="F1303" t="str">
        <f>IF(Table1[[#This Row],[age]]&lt;=25,"18-25",IF(Table1[[#This Row],[age]]&lt;=35,"26-35",IF(Table1[[#This Row],[age]]&lt;=50,"36-50","51+")))</f>
        <v>18-25</v>
      </c>
      <c r="G1303" t="s">
        <v>54</v>
      </c>
      <c r="H1303" t="s">
        <v>25</v>
      </c>
      <c r="I1303" t="s">
        <v>298</v>
      </c>
      <c r="J1303" t="s">
        <v>101</v>
      </c>
      <c r="K1303" t="s">
        <v>102</v>
      </c>
      <c r="L1303">
        <v>5</v>
      </c>
      <c r="M1303">
        <v>2324.58</v>
      </c>
      <c r="N1303">
        <v>0.2</v>
      </c>
      <c r="O1303">
        <v>8032.2</v>
      </c>
      <c r="P1303">
        <v>1662.26</v>
      </c>
      <c r="Q1303">
        <v>52.62</v>
      </c>
      <c r="R1303" t="s">
        <v>43</v>
      </c>
      <c r="S1303">
        <v>3</v>
      </c>
      <c r="T1303" t="b">
        <v>0</v>
      </c>
      <c r="U1303" t="s">
        <v>71</v>
      </c>
      <c r="V1303">
        <v>4</v>
      </c>
    </row>
    <row r="1304" spans="1:22" x14ac:dyDescent="0.25">
      <c r="A1304" t="s">
        <v>3093</v>
      </c>
      <c r="B1304" s="1">
        <v>44017</v>
      </c>
      <c r="C1304" t="s">
        <v>3094</v>
      </c>
      <c r="D1304" t="s">
        <v>1156</v>
      </c>
      <c r="E1304">
        <v>40</v>
      </c>
      <c r="F1304" t="str">
        <f>IF(Table1[[#This Row],[age]]&lt;=25,"18-25",IF(Table1[[#This Row],[age]]&lt;=35,"26-35",IF(Table1[[#This Row],[age]]&lt;=50,"36-50","51+")))</f>
        <v>36-50</v>
      </c>
      <c r="G1304" t="s">
        <v>34</v>
      </c>
      <c r="H1304" t="s">
        <v>55</v>
      </c>
      <c r="I1304" t="s">
        <v>75</v>
      </c>
      <c r="J1304" t="s">
        <v>27</v>
      </c>
      <c r="K1304" t="s">
        <v>168</v>
      </c>
      <c r="L1304">
        <v>6</v>
      </c>
      <c r="M1304">
        <v>682.35</v>
      </c>
      <c r="N1304">
        <v>0.15</v>
      </c>
      <c r="O1304">
        <v>4243.13</v>
      </c>
      <c r="P1304">
        <v>2395.37</v>
      </c>
      <c r="Q1304">
        <v>66.53</v>
      </c>
      <c r="R1304" t="s">
        <v>49</v>
      </c>
      <c r="S1304">
        <v>3</v>
      </c>
      <c r="T1304" t="b">
        <v>0</v>
      </c>
      <c r="U1304" t="s">
        <v>30</v>
      </c>
      <c r="V1304">
        <v>5</v>
      </c>
    </row>
    <row r="1305" spans="1:22" x14ac:dyDescent="0.25">
      <c r="A1305" t="s">
        <v>3095</v>
      </c>
      <c r="B1305" s="1">
        <v>44100</v>
      </c>
      <c r="C1305" t="s">
        <v>3096</v>
      </c>
      <c r="D1305" t="s">
        <v>210</v>
      </c>
      <c r="E1305">
        <v>44</v>
      </c>
      <c r="F1305" t="str">
        <f>IF(Table1[[#This Row],[age]]&lt;=25,"18-25",IF(Table1[[#This Row],[age]]&lt;=35,"26-35",IF(Table1[[#This Row],[age]]&lt;=50,"36-50","51+")))</f>
        <v>36-50</v>
      </c>
      <c r="G1305" t="s">
        <v>24</v>
      </c>
      <c r="H1305" t="s">
        <v>55</v>
      </c>
      <c r="I1305" t="s">
        <v>75</v>
      </c>
      <c r="J1305" t="s">
        <v>27</v>
      </c>
      <c r="K1305" t="s">
        <v>168</v>
      </c>
      <c r="L1305">
        <v>9</v>
      </c>
      <c r="M1305">
        <v>2256.35</v>
      </c>
      <c r="N1305">
        <v>0.31</v>
      </c>
      <c r="O1305">
        <v>13508.5</v>
      </c>
      <c r="P1305">
        <v>7604.3</v>
      </c>
      <c r="Q1305">
        <v>80.48</v>
      </c>
      <c r="R1305" t="s">
        <v>49</v>
      </c>
      <c r="S1305">
        <v>5</v>
      </c>
      <c r="T1305" t="b">
        <v>1</v>
      </c>
      <c r="U1305" t="s">
        <v>50</v>
      </c>
      <c r="V1305">
        <v>2</v>
      </c>
    </row>
    <row r="1306" spans="1:22" x14ac:dyDescent="0.25">
      <c r="A1306" t="s">
        <v>3097</v>
      </c>
      <c r="B1306" s="1">
        <v>45155</v>
      </c>
      <c r="C1306" t="s">
        <v>3098</v>
      </c>
      <c r="D1306" t="s">
        <v>910</v>
      </c>
      <c r="E1306">
        <v>48</v>
      </c>
      <c r="F1306" t="str">
        <f>IF(Table1[[#This Row],[age]]&lt;=25,"18-25",IF(Table1[[#This Row],[age]]&lt;=35,"26-35",IF(Table1[[#This Row],[age]]&lt;=50,"36-50","51+")))</f>
        <v>36-50</v>
      </c>
      <c r="G1306" t="s">
        <v>34</v>
      </c>
      <c r="H1306" t="s">
        <v>80</v>
      </c>
      <c r="I1306" t="s">
        <v>242</v>
      </c>
      <c r="J1306" t="s">
        <v>63</v>
      </c>
      <c r="K1306" t="s">
        <v>87</v>
      </c>
      <c r="L1306">
        <v>4</v>
      </c>
      <c r="M1306">
        <v>2277.17</v>
      </c>
      <c r="N1306">
        <v>0.19</v>
      </c>
      <c r="O1306">
        <v>10944.9</v>
      </c>
      <c r="P1306">
        <v>4259.5600000000004</v>
      </c>
      <c r="Q1306">
        <v>68.14</v>
      </c>
      <c r="R1306" t="s">
        <v>49</v>
      </c>
      <c r="S1306">
        <v>2</v>
      </c>
      <c r="T1306" t="b">
        <v>1</v>
      </c>
      <c r="U1306" t="s">
        <v>50</v>
      </c>
      <c r="V1306">
        <v>3</v>
      </c>
    </row>
    <row r="1307" spans="1:22" x14ac:dyDescent="0.25">
      <c r="A1307" t="s">
        <v>3099</v>
      </c>
      <c r="B1307" s="1">
        <v>44211</v>
      </c>
      <c r="C1307" t="s">
        <v>3100</v>
      </c>
      <c r="D1307" t="s">
        <v>105</v>
      </c>
      <c r="E1307">
        <v>47</v>
      </c>
      <c r="F1307" t="str">
        <f>IF(Table1[[#This Row],[age]]&lt;=25,"18-25",IF(Table1[[#This Row],[age]]&lt;=35,"26-35",IF(Table1[[#This Row],[age]]&lt;=50,"36-50","51+")))</f>
        <v>36-50</v>
      </c>
      <c r="G1307" t="s">
        <v>54</v>
      </c>
      <c r="H1307" t="s">
        <v>25</v>
      </c>
      <c r="I1307" t="s">
        <v>35</v>
      </c>
      <c r="J1307" t="s">
        <v>101</v>
      </c>
      <c r="K1307" t="s">
        <v>214</v>
      </c>
      <c r="L1307">
        <v>5</v>
      </c>
      <c r="M1307">
        <v>10407.540000000001</v>
      </c>
      <c r="N1307">
        <v>0.02</v>
      </c>
      <c r="O1307">
        <v>43179.3</v>
      </c>
      <c r="P1307">
        <v>9803.14</v>
      </c>
      <c r="Q1307">
        <v>66.569999999999993</v>
      </c>
      <c r="R1307" t="s">
        <v>43</v>
      </c>
      <c r="S1307">
        <v>1</v>
      </c>
      <c r="T1307" t="b">
        <v>1</v>
      </c>
      <c r="U1307" t="s">
        <v>50</v>
      </c>
      <c r="V1307">
        <v>6</v>
      </c>
    </row>
    <row r="1308" spans="1:22" x14ac:dyDescent="0.25">
      <c r="A1308" t="s">
        <v>3101</v>
      </c>
      <c r="B1308" s="1">
        <v>44059</v>
      </c>
      <c r="C1308" t="s">
        <v>3102</v>
      </c>
      <c r="D1308" t="s">
        <v>1291</v>
      </c>
      <c r="E1308">
        <v>35</v>
      </c>
      <c r="F1308" t="str">
        <f>IF(Table1[[#This Row],[age]]&lt;=25,"18-25",IF(Table1[[#This Row],[age]]&lt;=35,"26-35",IF(Table1[[#This Row],[age]]&lt;=50,"36-50","51+")))</f>
        <v>26-35</v>
      </c>
      <c r="G1308" t="s">
        <v>24</v>
      </c>
      <c r="H1308" t="s">
        <v>80</v>
      </c>
      <c r="I1308" t="s">
        <v>236</v>
      </c>
      <c r="J1308" t="s">
        <v>106</v>
      </c>
      <c r="K1308" t="s">
        <v>107</v>
      </c>
      <c r="L1308">
        <v>10</v>
      </c>
      <c r="M1308">
        <v>322.14999999999998</v>
      </c>
      <c r="N1308">
        <v>0.26</v>
      </c>
      <c r="O1308">
        <v>2631.92</v>
      </c>
      <c r="P1308">
        <v>219.32</v>
      </c>
      <c r="Q1308">
        <v>72.89</v>
      </c>
      <c r="R1308" t="s">
        <v>43</v>
      </c>
      <c r="S1308">
        <v>4</v>
      </c>
      <c r="T1308" t="b">
        <v>0</v>
      </c>
      <c r="U1308" t="s">
        <v>30</v>
      </c>
      <c r="V1308">
        <v>5</v>
      </c>
    </row>
    <row r="1309" spans="1:22" x14ac:dyDescent="0.25">
      <c r="A1309" t="s">
        <v>3103</v>
      </c>
      <c r="B1309" s="1">
        <v>45427</v>
      </c>
      <c r="C1309" t="s">
        <v>3104</v>
      </c>
      <c r="D1309" t="s">
        <v>397</v>
      </c>
      <c r="E1309">
        <v>27</v>
      </c>
      <c r="F1309" t="str">
        <f>IF(Table1[[#This Row],[age]]&lt;=25,"18-25",IF(Table1[[#This Row],[age]]&lt;=35,"26-35",IF(Table1[[#This Row],[age]]&lt;=50,"36-50","51+")))</f>
        <v>26-35</v>
      </c>
      <c r="G1309" t="s">
        <v>34</v>
      </c>
      <c r="H1309" t="s">
        <v>61</v>
      </c>
      <c r="I1309" t="s">
        <v>62</v>
      </c>
      <c r="J1309" t="s">
        <v>63</v>
      </c>
      <c r="K1309" t="s">
        <v>64</v>
      </c>
      <c r="L1309">
        <v>1</v>
      </c>
      <c r="M1309">
        <v>2208.92</v>
      </c>
      <c r="N1309">
        <v>0.2</v>
      </c>
      <c r="O1309">
        <v>2768.11</v>
      </c>
      <c r="P1309">
        <v>796.01</v>
      </c>
      <c r="Q1309">
        <v>73.64</v>
      </c>
      <c r="R1309" t="s">
        <v>92</v>
      </c>
      <c r="S1309">
        <v>5</v>
      </c>
      <c r="T1309" t="b">
        <v>0</v>
      </c>
      <c r="U1309" t="s">
        <v>30</v>
      </c>
      <c r="V1309">
        <v>1</v>
      </c>
    </row>
    <row r="1310" spans="1:22" x14ac:dyDescent="0.25">
      <c r="A1310" t="s">
        <v>3105</v>
      </c>
      <c r="B1310" s="1">
        <v>45589</v>
      </c>
      <c r="C1310" t="s">
        <v>3106</v>
      </c>
      <c r="D1310" t="s">
        <v>23</v>
      </c>
      <c r="E1310">
        <v>58</v>
      </c>
      <c r="F1310" t="str">
        <f>IF(Table1[[#This Row],[age]]&lt;=25,"18-25",IF(Table1[[#This Row],[age]]&lt;=35,"26-35",IF(Table1[[#This Row],[age]]&lt;=50,"36-50","51+")))</f>
        <v>51+</v>
      </c>
      <c r="G1310" t="s">
        <v>34</v>
      </c>
      <c r="H1310" t="s">
        <v>69</v>
      </c>
      <c r="I1310" t="s">
        <v>70</v>
      </c>
      <c r="J1310" t="s">
        <v>47</v>
      </c>
      <c r="K1310" t="s">
        <v>600</v>
      </c>
      <c r="L1310">
        <v>5</v>
      </c>
      <c r="M1310">
        <v>1349.81</v>
      </c>
      <c r="N1310">
        <v>0.08</v>
      </c>
      <c r="O1310">
        <v>6739.7</v>
      </c>
      <c r="P1310">
        <v>3176.85</v>
      </c>
      <c r="Q1310">
        <v>79.58</v>
      </c>
      <c r="R1310" t="s">
        <v>92</v>
      </c>
      <c r="S1310">
        <v>2</v>
      </c>
      <c r="T1310" t="b">
        <v>0</v>
      </c>
      <c r="U1310" t="s">
        <v>71</v>
      </c>
      <c r="V1310">
        <v>10</v>
      </c>
    </row>
    <row r="1311" spans="1:22" x14ac:dyDescent="0.25">
      <c r="A1311" t="s">
        <v>3107</v>
      </c>
      <c r="B1311" s="1">
        <v>45344</v>
      </c>
      <c r="C1311" t="s">
        <v>3108</v>
      </c>
      <c r="D1311" t="s">
        <v>588</v>
      </c>
      <c r="E1311">
        <v>44</v>
      </c>
      <c r="F1311" t="str">
        <f>IF(Table1[[#This Row],[age]]&lt;=25,"18-25",IF(Table1[[#This Row],[age]]&lt;=35,"26-35",IF(Table1[[#This Row],[age]]&lt;=50,"36-50","51+")))</f>
        <v>36-50</v>
      </c>
      <c r="G1311" t="s">
        <v>54</v>
      </c>
      <c r="H1311" t="s">
        <v>55</v>
      </c>
      <c r="I1311" t="s">
        <v>75</v>
      </c>
      <c r="J1311" t="s">
        <v>106</v>
      </c>
      <c r="K1311" t="s">
        <v>718</v>
      </c>
      <c r="L1311">
        <v>3</v>
      </c>
      <c r="M1311">
        <v>74.2</v>
      </c>
      <c r="N1311">
        <v>0.24</v>
      </c>
      <c r="O1311">
        <v>203.22</v>
      </c>
      <c r="P1311">
        <v>12.54</v>
      </c>
      <c r="Q1311">
        <v>53.05</v>
      </c>
      <c r="R1311" t="s">
        <v>43</v>
      </c>
      <c r="S1311">
        <v>2</v>
      </c>
      <c r="T1311" t="b">
        <v>0</v>
      </c>
      <c r="U1311" t="s">
        <v>30</v>
      </c>
      <c r="V1311">
        <v>10</v>
      </c>
    </row>
    <row r="1312" spans="1:22" x14ac:dyDescent="0.25">
      <c r="A1312" t="s">
        <v>3109</v>
      </c>
      <c r="B1312" s="1">
        <v>44340</v>
      </c>
      <c r="C1312" t="s">
        <v>3110</v>
      </c>
      <c r="D1312" t="s">
        <v>1644</v>
      </c>
      <c r="E1312">
        <v>21</v>
      </c>
      <c r="F1312" t="str">
        <f>IF(Table1[[#This Row],[age]]&lt;=25,"18-25",IF(Table1[[#This Row],[age]]&lt;=35,"26-35",IF(Table1[[#This Row],[age]]&lt;=50,"36-50","51+")))</f>
        <v>18-25</v>
      </c>
      <c r="G1312" t="s">
        <v>34</v>
      </c>
      <c r="H1312" t="s">
        <v>25</v>
      </c>
      <c r="I1312" t="s">
        <v>41</v>
      </c>
      <c r="J1312" t="s">
        <v>47</v>
      </c>
      <c r="K1312" t="s">
        <v>204</v>
      </c>
      <c r="L1312">
        <v>2</v>
      </c>
      <c r="M1312">
        <v>810.88</v>
      </c>
      <c r="N1312">
        <v>0.39</v>
      </c>
      <c r="O1312">
        <v>1381.05</v>
      </c>
      <c r="P1312">
        <v>500.04</v>
      </c>
      <c r="Q1312">
        <v>42.7</v>
      </c>
      <c r="R1312" t="s">
        <v>29</v>
      </c>
      <c r="S1312">
        <v>5</v>
      </c>
      <c r="T1312" t="b">
        <v>0</v>
      </c>
      <c r="U1312" t="s">
        <v>71</v>
      </c>
      <c r="V1312">
        <v>2</v>
      </c>
    </row>
    <row r="1313" spans="1:22" x14ac:dyDescent="0.25">
      <c r="A1313" t="s">
        <v>3111</v>
      </c>
      <c r="B1313" s="1">
        <v>44991</v>
      </c>
      <c r="C1313" t="s">
        <v>3112</v>
      </c>
      <c r="D1313" t="s">
        <v>772</v>
      </c>
      <c r="E1313">
        <v>43</v>
      </c>
      <c r="F1313" t="str">
        <f>IF(Table1[[#This Row],[age]]&lt;=25,"18-25",IF(Table1[[#This Row],[age]]&lt;=35,"26-35",IF(Table1[[#This Row],[age]]&lt;=50,"36-50","51+")))</f>
        <v>36-50</v>
      </c>
      <c r="G1313" t="s">
        <v>24</v>
      </c>
      <c r="H1313" t="s">
        <v>61</v>
      </c>
      <c r="I1313" t="s">
        <v>163</v>
      </c>
      <c r="J1313" t="s">
        <v>27</v>
      </c>
      <c r="K1313" t="s">
        <v>480</v>
      </c>
      <c r="L1313">
        <v>7</v>
      </c>
      <c r="M1313">
        <v>142.6</v>
      </c>
      <c r="N1313">
        <v>0.04</v>
      </c>
      <c r="O1313">
        <v>1268.77</v>
      </c>
      <c r="P1313">
        <v>481.8</v>
      </c>
      <c r="Q1313">
        <v>55.31</v>
      </c>
      <c r="R1313" t="s">
        <v>57</v>
      </c>
      <c r="S1313">
        <v>2</v>
      </c>
      <c r="T1313" t="b">
        <v>0</v>
      </c>
      <c r="U1313" t="s">
        <v>193</v>
      </c>
      <c r="V1313">
        <v>5</v>
      </c>
    </row>
    <row r="1314" spans="1:22" x14ac:dyDescent="0.25">
      <c r="A1314" t="s">
        <v>3113</v>
      </c>
      <c r="B1314" s="1">
        <v>44231</v>
      </c>
      <c r="C1314" t="s">
        <v>3114</v>
      </c>
      <c r="D1314" t="s">
        <v>1478</v>
      </c>
      <c r="E1314">
        <v>34</v>
      </c>
      <c r="F1314" t="str">
        <f>IF(Table1[[#This Row],[age]]&lt;=25,"18-25",IF(Table1[[#This Row],[age]]&lt;=35,"26-35",IF(Table1[[#This Row],[age]]&lt;=50,"36-50","51+")))</f>
        <v>26-35</v>
      </c>
      <c r="G1314" t="s">
        <v>24</v>
      </c>
      <c r="H1314" t="s">
        <v>25</v>
      </c>
      <c r="I1314" t="s">
        <v>41</v>
      </c>
      <c r="J1314" t="s">
        <v>63</v>
      </c>
      <c r="K1314" t="s">
        <v>64</v>
      </c>
      <c r="L1314">
        <v>9</v>
      </c>
      <c r="M1314">
        <v>3473.33</v>
      </c>
      <c r="N1314">
        <v>0.26</v>
      </c>
      <c r="O1314">
        <v>20518.25</v>
      </c>
      <c r="P1314">
        <v>6894.62</v>
      </c>
      <c r="Q1314">
        <v>54.27</v>
      </c>
      <c r="R1314" t="s">
        <v>65</v>
      </c>
      <c r="S1314">
        <v>2</v>
      </c>
      <c r="T1314" t="b">
        <v>0</v>
      </c>
      <c r="U1314" t="s">
        <v>30</v>
      </c>
      <c r="V1314">
        <v>1</v>
      </c>
    </row>
    <row r="1315" spans="1:22" x14ac:dyDescent="0.25">
      <c r="A1315" t="s">
        <v>3115</v>
      </c>
      <c r="B1315" s="1">
        <v>45246</v>
      </c>
      <c r="C1315" t="s">
        <v>3116</v>
      </c>
      <c r="D1315" t="s">
        <v>96</v>
      </c>
      <c r="E1315">
        <v>35</v>
      </c>
      <c r="F1315" t="str">
        <f>IF(Table1[[#This Row],[age]]&lt;=25,"18-25",IF(Table1[[#This Row],[age]]&lt;=35,"26-35",IF(Table1[[#This Row],[age]]&lt;=50,"36-50","51+")))</f>
        <v>26-35</v>
      </c>
      <c r="G1315" t="s">
        <v>34</v>
      </c>
      <c r="H1315" t="s">
        <v>80</v>
      </c>
      <c r="I1315" t="s">
        <v>86</v>
      </c>
      <c r="J1315" t="s">
        <v>63</v>
      </c>
      <c r="K1315" t="s">
        <v>111</v>
      </c>
      <c r="L1315">
        <v>5</v>
      </c>
      <c r="M1315">
        <v>2427.77</v>
      </c>
      <c r="N1315">
        <v>0.37</v>
      </c>
      <c r="O1315">
        <v>6775.69</v>
      </c>
      <c r="P1315">
        <v>2397.7199999999998</v>
      </c>
      <c r="Q1315">
        <v>59.3</v>
      </c>
      <c r="R1315" t="s">
        <v>43</v>
      </c>
      <c r="S1315">
        <v>3</v>
      </c>
      <c r="T1315" t="b">
        <v>0</v>
      </c>
      <c r="U1315" t="s">
        <v>30</v>
      </c>
      <c r="V1315">
        <v>2</v>
      </c>
    </row>
    <row r="1316" spans="1:22" x14ac:dyDescent="0.25">
      <c r="A1316" t="s">
        <v>3117</v>
      </c>
      <c r="B1316" s="1">
        <v>44534</v>
      </c>
      <c r="C1316" t="s">
        <v>3118</v>
      </c>
      <c r="D1316" t="s">
        <v>682</v>
      </c>
      <c r="E1316">
        <v>46</v>
      </c>
      <c r="F1316" t="str">
        <f>IF(Table1[[#This Row],[age]]&lt;=25,"18-25",IF(Table1[[#This Row],[age]]&lt;=35,"26-35",IF(Table1[[#This Row],[age]]&lt;=50,"36-50","51+")))</f>
        <v>36-50</v>
      </c>
      <c r="G1316" t="s">
        <v>34</v>
      </c>
      <c r="H1316" t="s">
        <v>55</v>
      </c>
      <c r="I1316" t="s">
        <v>97</v>
      </c>
      <c r="J1316" t="s">
        <v>27</v>
      </c>
      <c r="K1316" t="s">
        <v>28</v>
      </c>
      <c r="L1316">
        <v>8</v>
      </c>
      <c r="M1316">
        <v>2183.25</v>
      </c>
      <c r="N1316">
        <v>0.33</v>
      </c>
      <c r="O1316">
        <v>9813.33</v>
      </c>
      <c r="P1316">
        <v>3029.21</v>
      </c>
      <c r="Q1316">
        <v>47.17</v>
      </c>
      <c r="R1316" t="s">
        <v>65</v>
      </c>
      <c r="S1316">
        <v>2</v>
      </c>
      <c r="T1316" t="b">
        <v>0</v>
      </c>
      <c r="U1316" t="s">
        <v>30</v>
      </c>
      <c r="V1316">
        <v>5</v>
      </c>
    </row>
    <row r="1317" spans="1:22" x14ac:dyDescent="0.25">
      <c r="A1317" t="s">
        <v>3119</v>
      </c>
      <c r="B1317" s="1">
        <v>44091</v>
      </c>
      <c r="C1317" t="s">
        <v>3120</v>
      </c>
      <c r="D1317" t="s">
        <v>2037</v>
      </c>
      <c r="E1317">
        <v>31</v>
      </c>
      <c r="F1317" t="str">
        <f>IF(Table1[[#This Row],[age]]&lt;=25,"18-25",IF(Table1[[#This Row],[age]]&lt;=35,"26-35",IF(Table1[[#This Row],[age]]&lt;=50,"36-50","51+")))</f>
        <v>26-35</v>
      </c>
      <c r="G1317" t="s">
        <v>54</v>
      </c>
      <c r="H1317" t="s">
        <v>25</v>
      </c>
      <c r="I1317" t="s">
        <v>41</v>
      </c>
      <c r="J1317" t="s">
        <v>47</v>
      </c>
      <c r="K1317" t="s">
        <v>156</v>
      </c>
      <c r="L1317">
        <v>7</v>
      </c>
      <c r="M1317">
        <v>477.86</v>
      </c>
      <c r="N1317">
        <v>0.36</v>
      </c>
      <c r="O1317">
        <v>2149.2600000000002</v>
      </c>
      <c r="P1317">
        <v>674.69</v>
      </c>
      <c r="Q1317">
        <v>44.92</v>
      </c>
      <c r="R1317" t="s">
        <v>92</v>
      </c>
      <c r="S1317">
        <v>3</v>
      </c>
      <c r="T1317" t="b">
        <v>0</v>
      </c>
      <c r="U1317" t="s">
        <v>30</v>
      </c>
      <c r="V1317">
        <v>3</v>
      </c>
    </row>
    <row r="1318" spans="1:22" x14ac:dyDescent="0.25">
      <c r="A1318" t="s">
        <v>3121</v>
      </c>
      <c r="B1318" s="1">
        <v>45290</v>
      </c>
      <c r="C1318" t="s">
        <v>3122</v>
      </c>
      <c r="D1318" t="s">
        <v>259</v>
      </c>
      <c r="E1318">
        <v>35</v>
      </c>
      <c r="F1318" t="str">
        <f>IF(Table1[[#This Row],[age]]&lt;=25,"18-25",IF(Table1[[#This Row],[age]]&lt;=35,"26-35",IF(Table1[[#This Row],[age]]&lt;=50,"36-50","51+")))</f>
        <v>26-35</v>
      </c>
      <c r="G1318" t="s">
        <v>24</v>
      </c>
      <c r="H1318" t="s">
        <v>55</v>
      </c>
      <c r="I1318" t="s">
        <v>75</v>
      </c>
      <c r="J1318" t="s">
        <v>63</v>
      </c>
      <c r="K1318" t="s">
        <v>152</v>
      </c>
      <c r="L1318">
        <v>6</v>
      </c>
      <c r="M1318">
        <v>2039.2</v>
      </c>
      <c r="N1318">
        <v>0.25</v>
      </c>
      <c r="O1318">
        <v>9153.0499999999993</v>
      </c>
      <c r="P1318">
        <v>5063.5200000000004</v>
      </c>
      <c r="Q1318">
        <v>61.17</v>
      </c>
      <c r="R1318" t="s">
        <v>43</v>
      </c>
      <c r="S1318">
        <v>4</v>
      </c>
      <c r="T1318" t="b">
        <v>0</v>
      </c>
      <c r="U1318" t="s">
        <v>30</v>
      </c>
      <c r="V1318">
        <v>6</v>
      </c>
    </row>
    <row r="1319" spans="1:22" x14ac:dyDescent="0.25">
      <c r="A1319" t="s">
        <v>3123</v>
      </c>
      <c r="B1319" s="1">
        <v>45392</v>
      </c>
      <c r="C1319" t="s">
        <v>3124</v>
      </c>
      <c r="D1319" t="s">
        <v>527</v>
      </c>
      <c r="E1319">
        <v>34</v>
      </c>
      <c r="F1319" t="str">
        <f>IF(Table1[[#This Row],[age]]&lt;=25,"18-25",IF(Table1[[#This Row],[age]]&lt;=35,"26-35",IF(Table1[[#This Row],[age]]&lt;=50,"36-50","51+")))</f>
        <v>26-35</v>
      </c>
      <c r="G1319" t="s">
        <v>54</v>
      </c>
      <c r="H1319" t="s">
        <v>25</v>
      </c>
      <c r="I1319" t="s">
        <v>26</v>
      </c>
      <c r="J1319" t="s">
        <v>27</v>
      </c>
      <c r="K1319" t="s">
        <v>28</v>
      </c>
      <c r="L1319">
        <v>10</v>
      </c>
      <c r="M1319">
        <v>1620.62</v>
      </c>
      <c r="N1319">
        <v>0.23</v>
      </c>
      <c r="O1319">
        <v>21174.44</v>
      </c>
      <c r="P1319">
        <v>5674.7</v>
      </c>
      <c r="Q1319">
        <v>44.36</v>
      </c>
      <c r="R1319" t="s">
        <v>29</v>
      </c>
      <c r="S1319">
        <v>1</v>
      </c>
      <c r="T1319" t="b">
        <v>1</v>
      </c>
      <c r="U1319" t="s">
        <v>50</v>
      </c>
      <c r="V1319">
        <v>8</v>
      </c>
    </row>
    <row r="1320" spans="1:22" x14ac:dyDescent="0.25">
      <c r="A1320" t="s">
        <v>3125</v>
      </c>
      <c r="B1320" s="1">
        <v>44845</v>
      </c>
      <c r="C1320" t="s">
        <v>3126</v>
      </c>
      <c r="D1320" t="s">
        <v>967</v>
      </c>
      <c r="E1320">
        <v>33</v>
      </c>
      <c r="F1320" t="str">
        <f>IF(Table1[[#This Row],[age]]&lt;=25,"18-25",IF(Table1[[#This Row],[age]]&lt;=35,"26-35",IF(Table1[[#This Row],[age]]&lt;=50,"36-50","51+")))</f>
        <v>26-35</v>
      </c>
      <c r="G1320" t="s">
        <v>54</v>
      </c>
      <c r="H1320" t="s">
        <v>69</v>
      </c>
      <c r="I1320" t="s">
        <v>136</v>
      </c>
      <c r="J1320" t="s">
        <v>47</v>
      </c>
      <c r="K1320" t="s">
        <v>48</v>
      </c>
      <c r="L1320">
        <v>4</v>
      </c>
      <c r="M1320">
        <v>417.82</v>
      </c>
      <c r="N1320">
        <v>0.02</v>
      </c>
      <c r="O1320">
        <v>1766.12</v>
      </c>
      <c r="P1320">
        <v>656.08</v>
      </c>
      <c r="Q1320">
        <v>75.989999999999995</v>
      </c>
      <c r="R1320" t="s">
        <v>49</v>
      </c>
      <c r="S1320">
        <v>2</v>
      </c>
      <c r="T1320" t="b">
        <v>0</v>
      </c>
      <c r="U1320" t="s">
        <v>30</v>
      </c>
      <c r="V1320">
        <v>3</v>
      </c>
    </row>
    <row r="1321" spans="1:22" x14ac:dyDescent="0.25">
      <c r="A1321" t="s">
        <v>3127</v>
      </c>
      <c r="B1321" s="1">
        <v>44717</v>
      </c>
      <c r="C1321" t="s">
        <v>3128</v>
      </c>
      <c r="D1321" t="s">
        <v>1420</v>
      </c>
      <c r="E1321">
        <v>28</v>
      </c>
      <c r="F1321" t="str">
        <f>IF(Table1[[#This Row],[age]]&lt;=25,"18-25",IF(Table1[[#This Row],[age]]&lt;=35,"26-35",IF(Table1[[#This Row],[age]]&lt;=50,"36-50","51+")))</f>
        <v>26-35</v>
      </c>
      <c r="G1321" t="s">
        <v>34</v>
      </c>
      <c r="H1321" t="s">
        <v>69</v>
      </c>
      <c r="I1321" t="s">
        <v>221</v>
      </c>
      <c r="J1321" t="s">
        <v>36</v>
      </c>
      <c r="K1321" t="s">
        <v>230</v>
      </c>
      <c r="L1321">
        <v>5</v>
      </c>
      <c r="M1321">
        <v>34373.42</v>
      </c>
      <c r="N1321">
        <v>0.27</v>
      </c>
      <c r="O1321">
        <v>169000.08</v>
      </c>
      <c r="P1321">
        <v>50613.06</v>
      </c>
      <c r="Q1321">
        <v>89.82</v>
      </c>
      <c r="R1321" t="s">
        <v>29</v>
      </c>
      <c r="S1321">
        <v>1</v>
      </c>
      <c r="T1321" t="b">
        <v>1</v>
      </c>
      <c r="U1321" t="s">
        <v>50</v>
      </c>
      <c r="V1321">
        <v>5</v>
      </c>
    </row>
    <row r="1322" spans="1:22" x14ac:dyDescent="0.25">
      <c r="A1322" t="s">
        <v>3129</v>
      </c>
      <c r="B1322" s="1">
        <v>45509</v>
      </c>
      <c r="C1322" t="s">
        <v>3130</v>
      </c>
      <c r="D1322" t="s">
        <v>556</v>
      </c>
      <c r="E1322">
        <v>41</v>
      </c>
      <c r="F1322" t="str">
        <f>IF(Table1[[#This Row],[age]]&lt;=25,"18-25",IF(Table1[[#This Row],[age]]&lt;=35,"26-35",IF(Table1[[#This Row],[age]]&lt;=50,"36-50","51+")))</f>
        <v>36-50</v>
      </c>
      <c r="G1322" t="s">
        <v>34</v>
      </c>
      <c r="H1322" t="s">
        <v>69</v>
      </c>
      <c r="I1322" t="s">
        <v>181</v>
      </c>
      <c r="J1322" t="s">
        <v>115</v>
      </c>
      <c r="K1322" t="s">
        <v>545</v>
      </c>
      <c r="L1322">
        <v>5</v>
      </c>
      <c r="M1322">
        <v>64468.92</v>
      </c>
      <c r="N1322">
        <v>0.2</v>
      </c>
      <c r="O1322">
        <v>374699.96</v>
      </c>
      <c r="P1322">
        <v>48329.91</v>
      </c>
      <c r="Q1322">
        <v>79.41</v>
      </c>
      <c r="R1322" t="s">
        <v>92</v>
      </c>
      <c r="S1322">
        <v>1</v>
      </c>
      <c r="T1322" t="b">
        <v>0</v>
      </c>
      <c r="U1322" t="s">
        <v>93</v>
      </c>
      <c r="V1322">
        <v>10</v>
      </c>
    </row>
    <row r="1323" spans="1:22" x14ac:dyDescent="0.25">
      <c r="A1323" t="s">
        <v>3131</v>
      </c>
      <c r="B1323" s="1">
        <v>44949</v>
      </c>
      <c r="C1323" t="s">
        <v>3132</v>
      </c>
      <c r="D1323" t="s">
        <v>287</v>
      </c>
      <c r="E1323">
        <v>21</v>
      </c>
      <c r="F1323" t="str">
        <f>IF(Table1[[#This Row],[age]]&lt;=25,"18-25",IF(Table1[[#This Row],[age]]&lt;=35,"26-35",IF(Table1[[#This Row],[age]]&lt;=50,"36-50","51+")))</f>
        <v>18-25</v>
      </c>
      <c r="G1323" t="s">
        <v>24</v>
      </c>
      <c r="H1323" t="s">
        <v>80</v>
      </c>
      <c r="I1323" t="s">
        <v>86</v>
      </c>
      <c r="J1323" t="s">
        <v>47</v>
      </c>
      <c r="K1323" t="s">
        <v>204</v>
      </c>
      <c r="L1323">
        <v>5</v>
      </c>
      <c r="M1323">
        <v>238.01</v>
      </c>
      <c r="N1323">
        <v>0.34</v>
      </c>
      <c r="O1323">
        <v>658.25</v>
      </c>
      <c r="P1323">
        <v>358.98</v>
      </c>
      <c r="Q1323">
        <v>83.77</v>
      </c>
      <c r="R1323" t="s">
        <v>65</v>
      </c>
      <c r="S1323">
        <v>3</v>
      </c>
      <c r="T1323" t="b">
        <v>0</v>
      </c>
      <c r="U1323" t="s">
        <v>30</v>
      </c>
      <c r="V1323">
        <v>9</v>
      </c>
    </row>
    <row r="1324" spans="1:22" x14ac:dyDescent="0.25">
      <c r="A1324" t="s">
        <v>3133</v>
      </c>
      <c r="B1324" s="1">
        <v>44031</v>
      </c>
      <c r="C1324" t="s">
        <v>3134</v>
      </c>
      <c r="D1324" t="s">
        <v>519</v>
      </c>
      <c r="E1324">
        <v>37</v>
      </c>
      <c r="F1324" t="str">
        <f>IF(Table1[[#This Row],[age]]&lt;=25,"18-25",IF(Table1[[#This Row],[age]]&lt;=35,"26-35",IF(Table1[[#This Row],[age]]&lt;=50,"36-50","51+")))</f>
        <v>36-50</v>
      </c>
      <c r="G1324" t="s">
        <v>54</v>
      </c>
      <c r="H1324" t="s">
        <v>80</v>
      </c>
      <c r="I1324" t="s">
        <v>86</v>
      </c>
      <c r="J1324" t="s">
        <v>115</v>
      </c>
      <c r="K1324" t="s">
        <v>398</v>
      </c>
      <c r="L1324">
        <v>10</v>
      </c>
      <c r="M1324">
        <v>61673.760000000002</v>
      </c>
      <c r="N1324">
        <v>0.15</v>
      </c>
      <c r="O1324">
        <v>681333.41</v>
      </c>
      <c r="P1324">
        <v>90844.4</v>
      </c>
      <c r="Q1324">
        <v>76.69</v>
      </c>
      <c r="R1324" t="s">
        <v>49</v>
      </c>
      <c r="S1324">
        <v>3</v>
      </c>
      <c r="T1324" t="b">
        <v>0</v>
      </c>
      <c r="U1324" t="s">
        <v>30</v>
      </c>
      <c r="V1324">
        <v>7</v>
      </c>
    </row>
    <row r="1325" spans="1:22" x14ac:dyDescent="0.25">
      <c r="A1325" t="s">
        <v>3135</v>
      </c>
      <c r="B1325" s="1">
        <v>45259</v>
      </c>
      <c r="C1325" t="s">
        <v>3136</v>
      </c>
      <c r="D1325" t="s">
        <v>634</v>
      </c>
      <c r="E1325">
        <v>31</v>
      </c>
      <c r="F1325" t="str">
        <f>IF(Table1[[#This Row],[age]]&lt;=25,"18-25",IF(Table1[[#This Row],[age]]&lt;=35,"26-35",IF(Table1[[#This Row],[age]]&lt;=50,"36-50","51+")))</f>
        <v>26-35</v>
      </c>
      <c r="G1325" t="s">
        <v>54</v>
      </c>
      <c r="H1325" t="s">
        <v>25</v>
      </c>
      <c r="I1325" t="s">
        <v>26</v>
      </c>
      <c r="J1325" t="s">
        <v>115</v>
      </c>
      <c r="K1325" t="s">
        <v>398</v>
      </c>
      <c r="L1325">
        <v>5</v>
      </c>
      <c r="M1325">
        <v>5934.23</v>
      </c>
      <c r="N1325">
        <v>0.35</v>
      </c>
      <c r="O1325">
        <v>18050.43</v>
      </c>
      <c r="P1325">
        <v>1851.85</v>
      </c>
      <c r="Q1325">
        <v>76.64</v>
      </c>
      <c r="R1325" t="s">
        <v>65</v>
      </c>
      <c r="S1325">
        <v>3</v>
      </c>
      <c r="T1325" t="b">
        <v>0</v>
      </c>
      <c r="U1325" t="s">
        <v>93</v>
      </c>
      <c r="V1325">
        <v>2</v>
      </c>
    </row>
    <row r="1326" spans="1:22" x14ac:dyDescent="0.25">
      <c r="A1326" t="s">
        <v>3137</v>
      </c>
      <c r="B1326" s="1">
        <v>43953</v>
      </c>
      <c r="C1326" t="s">
        <v>3138</v>
      </c>
      <c r="D1326" t="s">
        <v>1456</v>
      </c>
      <c r="E1326">
        <v>34</v>
      </c>
      <c r="F1326" t="str">
        <f>IF(Table1[[#This Row],[age]]&lt;=25,"18-25",IF(Table1[[#This Row],[age]]&lt;=35,"26-35",IF(Table1[[#This Row],[age]]&lt;=50,"36-50","51+")))</f>
        <v>26-35</v>
      </c>
      <c r="G1326" t="s">
        <v>34</v>
      </c>
      <c r="H1326" t="s">
        <v>55</v>
      </c>
      <c r="I1326" t="s">
        <v>97</v>
      </c>
      <c r="J1326" t="s">
        <v>47</v>
      </c>
      <c r="K1326" t="s">
        <v>272</v>
      </c>
      <c r="L1326">
        <v>7</v>
      </c>
      <c r="M1326">
        <v>1479.71</v>
      </c>
      <c r="N1326">
        <v>0.18</v>
      </c>
      <c r="O1326">
        <v>9080.8799999999992</v>
      </c>
      <c r="P1326">
        <v>3968.87</v>
      </c>
      <c r="Q1326">
        <v>53.15</v>
      </c>
      <c r="R1326" t="s">
        <v>92</v>
      </c>
      <c r="S1326">
        <v>4</v>
      </c>
      <c r="T1326" t="b">
        <v>0</v>
      </c>
      <c r="U1326" t="s">
        <v>30</v>
      </c>
      <c r="V1326">
        <v>2</v>
      </c>
    </row>
    <row r="1327" spans="1:22" x14ac:dyDescent="0.25">
      <c r="A1327" t="s">
        <v>3139</v>
      </c>
      <c r="B1327" s="1">
        <v>43862</v>
      </c>
      <c r="C1327" t="s">
        <v>3140</v>
      </c>
      <c r="D1327" t="s">
        <v>2639</v>
      </c>
      <c r="E1327">
        <v>38</v>
      </c>
      <c r="F1327" t="str">
        <f>IF(Table1[[#This Row],[age]]&lt;=25,"18-25",IF(Table1[[#This Row],[age]]&lt;=35,"26-35",IF(Table1[[#This Row],[age]]&lt;=50,"36-50","51+")))</f>
        <v>36-50</v>
      </c>
      <c r="G1327" t="s">
        <v>54</v>
      </c>
      <c r="H1327" t="s">
        <v>69</v>
      </c>
      <c r="I1327" t="s">
        <v>136</v>
      </c>
      <c r="J1327" t="s">
        <v>63</v>
      </c>
      <c r="K1327" t="s">
        <v>152</v>
      </c>
      <c r="L1327">
        <v>2</v>
      </c>
      <c r="M1327">
        <v>2078.4499999999998</v>
      </c>
      <c r="N1327">
        <v>0.17</v>
      </c>
      <c r="O1327">
        <v>2642.47</v>
      </c>
      <c r="P1327">
        <v>1089.57</v>
      </c>
      <c r="Q1327">
        <v>80.23</v>
      </c>
      <c r="R1327" t="s">
        <v>29</v>
      </c>
      <c r="S1327">
        <v>5</v>
      </c>
      <c r="T1327" t="b">
        <v>0</v>
      </c>
      <c r="U1327" t="s">
        <v>30</v>
      </c>
      <c r="V1327">
        <v>4</v>
      </c>
    </row>
    <row r="1328" spans="1:22" x14ac:dyDescent="0.25">
      <c r="A1328" t="s">
        <v>3141</v>
      </c>
      <c r="B1328" s="1">
        <v>44579</v>
      </c>
      <c r="C1328" t="s">
        <v>3142</v>
      </c>
      <c r="D1328" t="s">
        <v>2021</v>
      </c>
      <c r="E1328">
        <v>22</v>
      </c>
      <c r="F1328" t="str">
        <f>IF(Table1[[#This Row],[age]]&lt;=25,"18-25",IF(Table1[[#This Row],[age]]&lt;=35,"26-35",IF(Table1[[#This Row],[age]]&lt;=50,"36-50","51+")))</f>
        <v>18-25</v>
      </c>
      <c r="G1328" t="s">
        <v>24</v>
      </c>
      <c r="H1328" t="s">
        <v>69</v>
      </c>
      <c r="I1328" t="s">
        <v>70</v>
      </c>
      <c r="J1328" t="s">
        <v>63</v>
      </c>
      <c r="K1328" t="s">
        <v>82</v>
      </c>
      <c r="L1328">
        <v>2</v>
      </c>
      <c r="M1328">
        <v>2911.58</v>
      </c>
      <c r="N1328">
        <v>0.4</v>
      </c>
      <c r="O1328">
        <v>2708.74</v>
      </c>
      <c r="P1328">
        <v>1155.6199999999999</v>
      </c>
      <c r="Q1328">
        <v>78.02</v>
      </c>
      <c r="R1328" t="s">
        <v>49</v>
      </c>
      <c r="S1328">
        <v>1</v>
      </c>
      <c r="T1328" t="b">
        <v>0</v>
      </c>
      <c r="U1328" t="s">
        <v>30</v>
      </c>
      <c r="V1328">
        <v>6</v>
      </c>
    </row>
    <row r="1329" spans="1:22" x14ac:dyDescent="0.25">
      <c r="A1329" t="s">
        <v>3143</v>
      </c>
      <c r="B1329" s="1">
        <v>44978</v>
      </c>
      <c r="C1329" t="s">
        <v>3144</v>
      </c>
      <c r="D1329" t="s">
        <v>265</v>
      </c>
      <c r="E1329">
        <v>38</v>
      </c>
      <c r="F1329" t="str">
        <f>IF(Table1[[#This Row],[age]]&lt;=25,"18-25",IF(Table1[[#This Row],[age]]&lt;=35,"26-35",IF(Table1[[#This Row],[age]]&lt;=50,"36-50","51+")))</f>
        <v>36-50</v>
      </c>
      <c r="G1329" t="s">
        <v>54</v>
      </c>
      <c r="H1329" t="s">
        <v>55</v>
      </c>
      <c r="I1329" t="s">
        <v>56</v>
      </c>
      <c r="J1329" t="s">
        <v>36</v>
      </c>
      <c r="K1329" t="s">
        <v>230</v>
      </c>
      <c r="L1329">
        <v>9</v>
      </c>
      <c r="M1329">
        <v>14262.49</v>
      </c>
      <c r="N1329">
        <v>0.23</v>
      </c>
      <c r="O1329">
        <v>118898.21</v>
      </c>
      <c r="P1329">
        <v>41278.730000000003</v>
      </c>
      <c r="Q1329">
        <v>79.5</v>
      </c>
      <c r="R1329" t="s">
        <v>49</v>
      </c>
      <c r="S1329">
        <v>1</v>
      </c>
      <c r="T1329" t="b">
        <v>1</v>
      </c>
      <c r="U1329" t="s">
        <v>50</v>
      </c>
      <c r="V1329">
        <v>10</v>
      </c>
    </row>
    <row r="1330" spans="1:22" x14ac:dyDescent="0.25">
      <c r="A1330" t="s">
        <v>3145</v>
      </c>
      <c r="B1330" s="1">
        <v>44225</v>
      </c>
      <c r="C1330" t="s">
        <v>3146</v>
      </c>
      <c r="D1330" t="s">
        <v>455</v>
      </c>
      <c r="E1330">
        <v>43</v>
      </c>
      <c r="F1330" t="str">
        <f>IF(Table1[[#This Row],[age]]&lt;=25,"18-25",IF(Table1[[#This Row],[age]]&lt;=35,"26-35",IF(Table1[[#This Row],[age]]&lt;=50,"36-50","51+")))</f>
        <v>36-50</v>
      </c>
      <c r="G1330" t="s">
        <v>34</v>
      </c>
      <c r="H1330" t="s">
        <v>25</v>
      </c>
      <c r="I1330" t="s">
        <v>35</v>
      </c>
      <c r="J1330" t="s">
        <v>27</v>
      </c>
      <c r="K1330" t="s">
        <v>480</v>
      </c>
      <c r="L1330">
        <v>1</v>
      </c>
      <c r="M1330">
        <v>1381.02</v>
      </c>
      <c r="N1330">
        <v>0.28000000000000003</v>
      </c>
      <c r="O1330">
        <v>820.75</v>
      </c>
      <c r="P1330">
        <v>385.94</v>
      </c>
      <c r="Q1330">
        <v>79.14</v>
      </c>
      <c r="R1330" t="s">
        <v>49</v>
      </c>
      <c r="S1330">
        <v>1</v>
      </c>
      <c r="T1330" t="b">
        <v>0</v>
      </c>
      <c r="U1330" t="s">
        <v>30</v>
      </c>
      <c r="V1330">
        <v>2</v>
      </c>
    </row>
    <row r="1331" spans="1:22" x14ac:dyDescent="0.25">
      <c r="A1331" t="s">
        <v>3147</v>
      </c>
      <c r="B1331" s="1">
        <v>44112</v>
      </c>
      <c r="C1331" t="s">
        <v>3148</v>
      </c>
      <c r="D1331" t="s">
        <v>685</v>
      </c>
      <c r="E1331">
        <v>32</v>
      </c>
      <c r="F1331" t="str">
        <f>IF(Table1[[#This Row],[age]]&lt;=25,"18-25",IF(Table1[[#This Row],[age]]&lt;=35,"26-35",IF(Table1[[#This Row],[age]]&lt;=50,"36-50","51+")))</f>
        <v>26-35</v>
      </c>
      <c r="G1331" t="s">
        <v>34</v>
      </c>
      <c r="H1331" t="s">
        <v>25</v>
      </c>
      <c r="I1331" t="s">
        <v>298</v>
      </c>
      <c r="J1331" t="s">
        <v>101</v>
      </c>
      <c r="K1331" t="s">
        <v>102</v>
      </c>
      <c r="L1331">
        <v>6</v>
      </c>
      <c r="M1331">
        <v>10767.52</v>
      </c>
      <c r="N1331">
        <v>0.2</v>
      </c>
      <c r="O1331">
        <v>51595.93</v>
      </c>
      <c r="P1331">
        <v>13803.27</v>
      </c>
      <c r="Q1331">
        <v>52.86</v>
      </c>
      <c r="R1331" t="s">
        <v>65</v>
      </c>
      <c r="S1331">
        <v>3</v>
      </c>
      <c r="T1331" t="b">
        <v>0</v>
      </c>
      <c r="U1331" t="s">
        <v>93</v>
      </c>
      <c r="V1331">
        <v>9</v>
      </c>
    </row>
    <row r="1332" spans="1:22" x14ac:dyDescent="0.25">
      <c r="A1332" t="s">
        <v>3149</v>
      </c>
      <c r="B1332" s="1">
        <v>45502</v>
      </c>
      <c r="C1332" t="s">
        <v>3150</v>
      </c>
      <c r="D1332" t="s">
        <v>155</v>
      </c>
      <c r="E1332">
        <v>21</v>
      </c>
      <c r="F1332" t="str">
        <f>IF(Table1[[#This Row],[age]]&lt;=25,"18-25",IF(Table1[[#This Row],[age]]&lt;=35,"26-35",IF(Table1[[#This Row],[age]]&lt;=50,"36-50","51+")))</f>
        <v>18-25</v>
      </c>
      <c r="G1332" t="s">
        <v>34</v>
      </c>
      <c r="H1332" t="s">
        <v>61</v>
      </c>
      <c r="I1332" t="s">
        <v>91</v>
      </c>
      <c r="J1332" t="s">
        <v>36</v>
      </c>
      <c r="K1332" t="s">
        <v>76</v>
      </c>
      <c r="L1332">
        <v>6</v>
      </c>
      <c r="M1332">
        <v>16429.02</v>
      </c>
      <c r="N1332">
        <v>0.27</v>
      </c>
      <c r="O1332">
        <v>133325.04999999999</v>
      </c>
      <c r="P1332">
        <v>40765.64</v>
      </c>
      <c r="Q1332">
        <v>32.5</v>
      </c>
      <c r="R1332" t="s">
        <v>43</v>
      </c>
      <c r="S1332">
        <v>4</v>
      </c>
      <c r="T1332" t="b">
        <v>0</v>
      </c>
      <c r="U1332" t="s">
        <v>30</v>
      </c>
      <c r="V1332">
        <v>5</v>
      </c>
    </row>
    <row r="1333" spans="1:22" x14ac:dyDescent="0.25">
      <c r="A1333" t="s">
        <v>3151</v>
      </c>
      <c r="B1333" s="1">
        <v>45290</v>
      </c>
      <c r="C1333" t="s">
        <v>3152</v>
      </c>
      <c r="D1333" t="s">
        <v>1083</v>
      </c>
      <c r="E1333">
        <v>44</v>
      </c>
      <c r="F1333" t="str">
        <f>IF(Table1[[#This Row],[age]]&lt;=25,"18-25",IF(Table1[[#This Row],[age]]&lt;=35,"26-35",IF(Table1[[#This Row],[age]]&lt;=50,"36-50","51+")))</f>
        <v>36-50</v>
      </c>
      <c r="G1333" t="s">
        <v>54</v>
      </c>
      <c r="H1333" t="s">
        <v>55</v>
      </c>
      <c r="I1333" t="s">
        <v>56</v>
      </c>
      <c r="J1333" t="s">
        <v>47</v>
      </c>
      <c r="K1333" t="s">
        <v>48</v>
      </c>
      <c r="L1333">
        <v>4</v>
      </c>
      <c r="M1333">
        <v>746.29</v>
      </c>
      <c r="N1333">
        <v>0.3</v>
      </c>
      <c r="O1333">
        <v>1990.92</v>
      </c>
      <c r="P1333">
        <v>758.46</v>
      </c>
      <c r="Q1333">
        <v>47.79</v>
      </c>
      <c r="R1333" t="s">
        <v>57</v>
      </c>
      <c r="S1333">
        <v>1</v>
      </c>
      <c r="T1333" t="b">
        <v>0</v>
      </c>
      <c r="U1333" t="s">
        <v>30</v>
      </c>
      <c r="V1333">
        <v>7</v>
      </c>
    </row>
    <row r="1334" spans="1:22" x14ac:dyDescent="0.25">
      <c r="A1334" t="s">
        <v>3153</v>
      </c>
      <c r="B1334" s="1">
        <v>44786</v>
      </c>
      <c r="C1334" t="s">
        <v>3154</v>
      </c>
      <c r="D1334" t="s">
        <v>2423</v>
      </c>
      <c r="E1334">
        <v>52</v>
      </c>
      <c r="F1334" t="str">
        <f>IF(Table1[[#This Row],[age]]&lt;=25,"18-25",IF(Table1[[#This Row],[age]]&lt;=35,"26-35",IF(Table1[[#This Row],[age]]&lt;=50,"36-50","51+")))</f>
        <v>51+</v>
      </c>
      <c r="G1334" t="s">
        <v>54</v>
      </c>
      <c r="H1334" t="s">
        <v>69</v>
      </c>
      <c r="I1334" t="s">
        <v>181</v>
      </c>
      <c r="J1334" t="s">
        <v>106</v>
      </c>
      <c r="K1334" t="s">
        <v>188</v>
      </c>
      <c r="L1334">
        <v>2</v>
      </c>
      <c r="M1334">
        <v>245.29</v>
      </c>
      <c r="N1334">
        <v>0.28000000000000003</v>
      </c>
      <c r="O1334">
        <v>480.57</v>
      </c>
      <c r="P1334">
        <v>45.1</v>
      </c>
      <c r="Q1334">
        <v>88.28</v>
      </c>
      <c r="R1334" t="s">
        <v>92</v>
      </c>
      <c r="S1334">
        <v>5</v>
      </c>
      <c r="T1334" t="b">
        <v>0</v>
      </c>
      <c r="U1334" t="s">
        <v>30</v>
      </c>
      <c r="V1334">
        <v>5</v>
      </c>
    </row>
    <row r="1335" spans="1:22" x14ac:dyDescent="0.25">
      <c r="A1335" t="s">
        <v>3155</v>
      </c>
      <c r="B1335" s="1">
        <v>44628</v>
      </c>
      <c r="C1335" t="s">
        <v>3156</v>
      </c>
      <c r="D1335" t="s">
        <v>1126</v>
      </c>
      <c r="E1335">
        <v>30</v>
      </c>
      <c r="F1335" t="str">
        <f>IF(Table1[[#This Row],[age]]&lt;=25,"18-25",IF(Table1[[#This Row],[age]]&lt;=35,"26-35",IF(Table1[[#This Row],[age]]&lt;=50,"36-50","51+")))</f>
        <v>26-35</v>
      </c>
      <c r="G1335" t="s">
        <v>24</v>
      </c>
      <c r="H1335" t="s">
        <v>80</v>
      </c>
      <c r="I1335" t="s">
        <v>242</v>
      </c>
      <c r="J1335" t="s">
        <v>115</v>
      </c>
      <c r="K1335" t="s">
        <v>545</v>
      </c>
      <c r="L1335">
        <v>6</v>
      </c>
      <c r="M1335">
        <v>16805.34</v>
      </c>
      <c r="N1335">
        <v>0.37</v>
      </c>
      <c r="O1335">
        <v>72535.92</v>
      </c>
      <c r="P1335">
        <v>4060.33</v>
      </c>
      <c r="Q1335">
        <v>71.78</v>
      </c>
      <c r="R1335" t="s">
        <v>29</v>
      </c>
      <c r="S1335">
        <v>4</v>
      </c>
      <c r="T1335" t="b">
        <v>0</v>
      </c>
      <c r="U1335" t="s">
        <v>30</v>
      </c>
      <c r="V1335">
        <v>3</v>
      </c>
    </row>
    <row r="1336" spans="1:22" x14ac:dyDescent="0.25">
      <c r="A1336" t="s">
        <v>3157</v>
      </c>
      <c r="B1336" s="1">
        <v>44367</v>
      </c>
      <c r="C1336" t="s">
        <v>3158</v>
      </c>
      <c r="D1336" t="s">
        <v>2359</v>
      </c>
      <c r="E1336">
        <v>49</v>
      </c>
      <c r="F1336" t="str">
        <f>IF(Table1[[#This Row],[age]]&lt;=25,"18-25",IF(Table1[[#This Row],[age]]&lt;=35,"26-35",IF(Table1[[#This Row],[age]]&lt;=50,"36-50","51+")))</f>
        <v>36-50</v>
      </c>
      <c r="G1336" t="s">
        <v>34</v>
      </c>
      <c r="H1336" t="s">
        <v>55</v>
      </c>
      <c r="I1336" t="s">
        <v>75</v>
      </c>
      <c r="J1336" t="s">
        <v>47</v>
      </c>
      <c r="K1336" t="s">
        <v>272</v>
      </c>
      <c r="L1336">
        <v>8</v>
      </c>
      <c r="M1336">
        <v>1136.8699999999999</v>
      </c>
      <c r="N1336">
        <v>0.18</v>
      </c>
      <c r="O1336">
        <v>9688.33</v>
      </c>
      <c r="P1336">
        <v>3919.14</v>
      </c>
      <c r="Q1336">
        <v>24.54</v>
      </c>
      <c r="R1336" t="s">
        <v>49</v>
      </c>
      <c r="S1336">
        <v>5</v>
      </c>
      <c r="T1336" t="b">
        <v>0</v>
      </c>
      <c r="U1336" t="s">
        <v>30</v>
      </c>
      <c r="V1336">
        <v>6</v>
      </c>
    </row>
    <row r="1337" spans="1:22" x14ac:dyDescent="0.25">
      <c r="A1337" t="s">
        <v>3159</v>
      </c>
      <c r="B1337" s="1">
        <v>44447</v>
      </c>
      <c r="C1337" t="s">
        <v>3160</v>
      </c>
      <c r="D1337" t="s">
        <v>510</v>
      </c>
      <c r="E1337">
        <v>30</v>
      </c>
      <c r="F1337" t="str">
        <f>IF(Table1[[#This Row],[age]]&lt;=25,"18-25",IF(Table1[[#This Row],[age]]&lt;=35,"26-35",IF(Table1[[#This Row],[age]]&lt;=50,"36-50","51+")))</f>
        <v>26-35</v>
      </c>
      <c r="G1337" t="s">
        <v>54</v>
      </c>
      <c r="H1337" t="s">
        <v>55</v>
      </c>
      <c r="I1337" t="s">
        <v>56</v>
      </c>
      <c r="J1337" t="s">
        <v>47</v>
      </c>
      <c r="K1337" t="s">
        <v>204</v>
      </c>
      <c r="L1337">
        <v>8</v>
      </c>
      <c r="M1337">
        <v>1443.03</v>
      </c>
      <c r="N1337">
        <v>0.31</v>
      </c>
      <c r="O1337">
        <v>8604.24</v>
      </c>
      <c r="P1337">
        <v>3984.16</v>
      </c>
      <c r="Q1337">
        <v>47.13</v>
      </c>
      <c r="R1337" t="s">
        <v>65</v>
      </c>
      <c r="S1337">
        <v>4</v>
      </c>
      <c r="T1337" t="b">
        <v>1</v>
      </c>
      <c r="U1337" t="s">
        <v>50</v>
      </c>
      <c r="V1337">
        <v>10</v>
      </c>
    </row>
    <row r="1338" spans="1:22" x14ac:dyDescent="0.25">
      <c r="A1338" t="s">
        <v>3161</v>
      </c>
      <c r="B1338" s="1">
        <v>43972</v>
      </c>
      <c r="C1338" t="s">
        <v>3162</v>
      </c>
      <c r="D1338" t="s">
        <v>711</v>
      </c>
      <c r="E1338">
        <v>42</v>
      </c>
      <c r="F1338" t="str">
        <f>IF(Table1[[#This Row],[age]]&lt;=25,"18-25",IF(Table1[[#This Row],[age]]&lt;=35,"26-35",IF(Table1[[#This Row],[age]]&lt;=50,"36-50","51+")))</f>
        <v>36-50</v>
      </c>
      <c r="G1338" t="s">
        <v>24</v>
      </c>
      <c r="H1338" t="s">
        <v>55</v>
      </c>
      <c r="I1338" t="s">
        <v>114</v>
      </c>
      <c r="J1338" t="s">
        <v>115</v>
      </c>
      <c r="K1338" t="s">
        <v>137</v>
      </c>
      <c r="L1338">
        <v>2</v>
      </c>
      <c r="M1338">
        <v>43853.55</v>
      </c>
      <c r="N1338">
        <v>0.03</v>
      </c>
      <c r="O1338">
        <v>99867.38</v>
      </c>
      <c r="P1338">
        <v>12392.88</v>
      </c>
      <c r="Q1338">
        <v>71.03</v>
      </c>
      <c r="R1338" t="s">
        <v>92</v>
      </c>
      <c r="S1338">
        <v>4</v>
      </c>
      <c r="T1338" t="b">
        <v>0</v>
      </c>
      <c r="U1338" t="s">
        <v>30</v>
      </c>
      <c r="V1338">
        <v>5</v>
      </c>
    </row>
    <row r="1339" spans="1:22" x14ac:dyDescent="0.25">
      <c r="A1339" t="s">
        <v>3163</v>
      </c>
      <c r="B1339" s="1">
        <v>45544</v>
      </c>
      <c r="C1339" t="s">
        <v>3164</v>
      </c>
      <c r="D1339" t="s">
        <v>1023</v>
      </c>
      <c r="E1339">
        <v>59</v>
      </c>
      <c r="F1339" t="str">
        <f>IF(Table1[[#This Row],[age]]&lt;=25,"18-25",IF(Table1[[#This Row],[age]]&lt;=35,"26-35",IF(Table1[[#This Row],[age]]&lt;=50,"36-50","51+")))</f>
        <v>51+</v>
      </c>
      <c r="G1339" t="s">
        <v>24</v>
      </c>
      <c r="H1339" t="s">
        <v>25</v>
      </c>
      <c r="I1339" t="s">
        <v>35</v>
      </c>
      <c r="J1339" t="s">
        <v>47</v>
      </c>
      <c r="K1339" t="s">
        <v>600</v>
      </c>
      <c r="L1339">
        <v>3</v>
      </c>
      <c r="M1339">
        <v>759.61</v>
      </c>
      <c r="N1339">
        <v>0.09</v>
      </c>
      <c r="O1339">
        <v>2679.11</v>
      </c>
      <c r="P1339">
        <v>696.15</v>
      </c>
      <c r="Q1339">
        <v>32.82</v>
      </c>
      <c r="R1339" t="s">
        <v>29</v>
      </c>
      <c r="S1339">
        <v>5</v>
      </c>
      <c r="T1339" t="b">
        <v>0</v>
      </c>
      <c r="U1339" t="s">
        <v>30</v>
      </c>
      <c r="V1339">
        <v>6</v>
      </c>
    </row>
    <row r="1340" spans="1:22" x14ac:dyDescent="0.25">
      <c r="A1340" t="s">
        <v>3165</v>
      </c>
      <c r="B1340" s="1">
        <v>43944</v>
      </c>
      <c r="C1340" t="s">
        <v>3166</v>
      </c>
      <c r="D1340" t="s">
        <v>1274</v>
      </c>
      <c r="E1340">
        <v>37</v>
      </c>
      <c r="F1340" t="str">
        <f>IF(Table1[[#This Row],[age]]&lt;=25,"18-25",IF(Table1[[#This Row],[age]]&lt;=35,"26-35",IF(Table1[[#This Row],[age]]&lt;=50,"36-50","51+")))</f>
        <v>36-50</v>
      </c>
      <c r="G1340" t="s">
        <v>54</v>
      </c>
      <c r="H1340" t="s">
        <v>69</v>
      </c>
      <c r="I1340" t="s">
        <v>181</v>
      </c>
      <c r="J1340" t="s">
        <v>115</v>
      </c>
      <c r="K1340" t="s">
        <v>545</v>
      </c>
      <c r="L1340">
        <v>3</v>
      </c>
      <c r="M1340">
        <v>76008.490000000005</v>
      </c>
      <c r="N1340">
        <v>7.0000000000000007E-2</v>
      </c>
      <c r="O1340">
        <v>287543.2</v>
      </c>
      <c r="P1340">
        <v>19589.55</v>
      </c>
      <c r="Q1340">
        <v>67.430000000000007</v>
      </c>
      <c r="R1340" t="s">
        <v>57</v>
      </c>
      <c r="S1340">
        <v>5</v>
      </c>
      <c r="T1340" t="b">
        <v>0</v>
      </c>
      <c r="U1340" t="s">
        <v>93</v>
      </c>
      <c r="V1340">
        <v>4</v>
      </c>
    </row>
    <row r="1341" spans="1:22" x14ac:dyDescent="0.25">
      <c r="A1341" t="s">
        <v>3167</v>
      </c>
      <c r="B1341" s="1">
        <v>44415</v>
      </c>
      <c r="C1341" t="s">
        <v>3168</v>
      </c>
      <c r="D1341" t="s">
        <v>2159</v>
      </c>
      <c r="E1341">
        <v>28</v>
      </c>
      <c r="F1341" t="str">
        <f>IF(Table1[[#This Row],[age]]&lt;=25,"18-25",IF(Table1[[#This Row],[age]]&lt;=35,"26-35",IF(Table1[[#This Row],[age]]&lt;=50,"36-50","51+")))</f>
        <v>26-35</v>
      </c>
      <c r="G1341" t="s">
        <v>24</v>
      </c>
      <c r="H1341" t="s">
        <v>69</v>
      </c>
      <c r="I1341" t="s">
        <v>70</v>
      </c>
      <c r="J1341" t="s">
        <v>106</v>
      </c>
      <c r="K1341" t="s">
        <v>718</v>
      </c>
      <c r="L1341">
        <v>1</v>
      </c>
      <c r="M1341">
        <v>69.87</v>
      </c>
      <c r="N1341">
        <v>0.27</v>
      </c>
      <c r="O1341">
        <v>75.650000000000006</v>
      </c>
      <c r="P1341">
        <v>6</v>
      </c>
      <c r="Q1341">
        <v>69.5</v>
      </c>
      <c r="R1341" t="s">
        <v>57</v>
      </c>
      <c r="S1341">
        <v>2</v>
      </c>
      <c r="T1341" t="b">
        <v>0</v>
      </c>
      <c r="U1341" t="s">
        <v>71</v>
      </c>
      <c r="V1341">
        <v>9</v>
      </c>
    </row>
    <row r="1342" spans="1:22" x14ac:dyDescent="0.25">
      <c r="A1342" t="s">
        <v>3169</v>
      </c>
      <c r="B1342" s="1">
        <v>45582</v>
      </c>
      <c r="C1342" t="s">
        <v>3170</v>
      </c>
      <c r="D1342" t="s">
        <v>1020</v>
      </c>
      <c r="E1342">
        <v>34</v>
      </c>
      <c r="F1342" t="str">
        <f>IF(Table1[[#This Row],[age]]&lt;=25,"18-25",IF(Table1[[#This Row],[age]]&lt;=35,"26-35",IF(Table1[[#This Row],[age]]&lt;=50,"36-50","51+")))</f>
        <v>26-35</v>
      </c>
      <c r="G1342" t="s">
        <v>54</v>
      </c>
      <c r="H1342" t="s">
        <v>61</v>
      </c>
      <c r="I1342" t="s">
        <v>163</v>
      </c>
      <c r="J1342" t="s">
        <v>106</v>
      </c>
      <c r="K1342" t="s">
        <v>718</v>
      </c>
      <c r="L1342">
        <v>1</v>
      </c>
      <c r="M1342">
        <v>141.61000000000001</v>
      </c>
      <c r="N1342">
        <v>0.11</v>
      </c>
      <c r="O1342">
        <v>141.61000000000001</v>
      </c>
      <c r="P1342">
        <v>11.5</v>
      </c>
      <c r="Q1342">
        <v>52.28</v>
      </c>
      <c r="R1342" t="s">
        <v>65</v>
      </c>
      <c r="S1342">
        <v>4</v>
      </c>
      <c r="T1342" t="b">
        <v>0</v>
      </c>
      <c r="U1342" t="s">
        <v>30</v>
      </c>
      <c r="V1342">
        <v>9</v>
      </c>
    </row>
    <row r="1343" spans="1:22" x14ac:dyDescent="0.25">
      <c r="A1343" t="s">
        <v>3171</v>
      </c>
      <c r="B1343" s="1">
        <v>45164</v>
      </c>
      <c r="C1343" t="s">
        <v>3172</v>
      </c>
      <c r="D1343" t="s">
        <v>862</v>
      </c>
      <c r="E1343">
        <v>39</v>
      </c>
      <c r="F1343" t="str">
        <f>IF(Table1[[#This Row],[age]]&lt;=25,"18-25",IF(Table1[[#This Row],[age]]&lt;=35,"26-35",IF(Table1[[#This Row],[age]]&lt;=50,"36-50","51+")))</f>
        <v>36-50</v>
      </c>
      <c r="G1343" t="s">
        <v>54</v>
      </c>
      <c r="H1343" t="s">
        <v>25</v>
      </c>
      <c r="I1343" t="s">
        <v>35</v>
      </c>
      <c r="J1343" t="s">
        <v>36</v>
      </c>
      <c r="K1343" t="s">
        <v>230</v>
      </c>
      <c r="L1343">
        <v>5</v>
      </c>
      <c r="M1343">
        <v>21847.95</v>
      </c>
      <c r="N1343">
        <v>0.28999999999999998</v>
      </c>
      <c r="O1343">
        <v>103693.59</v>
      </c>
      <c r="P1343">
        <v>26491.84</v>
      </c>
      <c r="Q1343">
        <v>67.66</v>
      </c>
      <c r="R1343" t="s">
        <v>65</v>
      </c>
      <c r="S1343">
        <v>2</v>
      </c>
      <c r="T1343" t="b">
        <v>0</v>
      </c>
      <c r="U1343" t="s">
        <v>30</v>
      </c>
      <c r="V1343">
        <v>9</v>
      </c>
    </row>
    <row r="1344" spans="1:22" x14ac:dyDescent="0.25">
      <c r="A1344" t="s">
        <v>3173</v>
      </c>
      <c r="B1344" s="1">
        <v>44351</v>
      </c>
      <c r="C1344" t="s">
        <v>3174</v>
      </c>
      <c r="D1344" t="s">
        <v>490</v>
      </c>
      <c r="E1344">
        <v>33</v>
      </c>
      <c r="F1344" t="str">
        <f>IF(Table1[[#This Row],[age]]&lt;=25,"18-25",IF(Table1[[#This Row],[age]]&lt;=35,"26-35",IF(Table1[[#This Row],[age]]&lt;=50,"36-50","51+")))</f>
        <v>26-35</v>
      </c>
      <c r="G1344" t="s">
        <v>24</v>
      </c>
      <c r="H1344" t="s">
        <v>69</v>
      </c>
      <c r="I1344" t="s">
        <v>221</v>
      </c>
      <c r="J1344" t="s">
        <v>36</v>
      </c>
      <c r="K1344" t="s">
        <v>243</v>
      </c>
      <c r="L1344">
        <v>4</v>
      </c>
      <c r="M1344">
        <v>16298.68</v>
      </c>
      <c r="N1344">
        <v>0.03</v>
      </c>
      <c r="O1344">
        <v>94253.6</v>
      </c>
      <c r="P1344">
        <v>28600.3</v>
      </c>
      <c r="Q1344">
        <v>95.11</v>
      </c>
      <c r="R1344" t="s">
        <v>43</v>
      </c>
      <c r="S1344">
        <v>1</v>
      </c>
      <c r="T1344" t="b">
        <v>0</v>
      </c>
      <c r="U1344" t="s">
        <v>30</v>
      </c>
      <c r="V1344">
        <v>5</v>
      </c>
    </row>
    <row r="1345" spans="1:22" x14ac:dyDescent="0.25">
      <c r="A1345" t="s">
        <v>3175</v>
      </c>
      <c r="B1345" s="1">
        <v>44605</v>
      </c>
      <c r="C1345" t="s">
        <v>3176</v>
      </c>
      <c r="D1345" t="s">
        <v>1445</v>
      </c>
      <c r="E1345">
        <v>44</v>
      </c>
      <c r="F1345" t="str">
        <f>IF(Table1[[#This Row],[age]]&lt;=25,"18-25",IF(Table1[[#This Row],[age]]&lt;=35,"26-35",IF(Table1[[#This Row],[age]]&lt;=50,"36-50","51+")))</f>
        <v>36-50</v>
      </c>
      <c r="G1345" t="s">
        <v>54</v>
      </c>
      <c r="H1345" t="s">
        <v>55</v>
      </c>
      <c r="I1345" t="s">
        <v>97</v>
      </c>
      <c r="J1345" t="s">
        <v>106</v>
      </c>
      <c r="K1345" t="s">
        <v>247</v>
      </c>
      <c r="L1345">
        <v>9</v>
      </c>
      <c r="M1345">
        <v>479.9</v>
      </c>
      <c r="N1345">
        <v>0.32</v>
      </c>
      <c r="O1345">
        <v>3253.67</v>
      </c>
      <c r="P1345">
        <v>232.06</v>
      </c>
      <c r="Q1345">
        <v>40.19</v>
      </c>
      <c r="R1345" t="s">
        <v>57</v>
      </c>
      <c r="S1345">
        <v>4</v>
      </c>
      <c r="T1345" t="b">
        <v>0</v>
      </c>
      <c r="U1345" t="s">
        <v>93</v>
      </c>
      <c r="V1345">
        <v>3</v>
      </c>
    </row>
    <row r="1346" spans="1:22" x14ac:dyDescent="0.25">
      <c r="A1346" t="s">
        <v>3177</v>
      </c>
      <c r="B1346" s="1">
        <v>44684</v>
      </c>
      <c r="C1346" t="s">
        <v>3178</v>
      </c>
      <c r="D1346" t="s">
        <v>381</v>
      </c>
      <c r="E1346">
        <v>45</v>
      </c>
      <c r="F1346" t="str">
        <f>IF(Table1[[#This Row],[age]]&lt;=25,"18-25",IF(Table1[[#This Row],[age]]&lt;=35,"26-35",IF(Table1[[#This Row],[age]]&lt;=50,"36-50","51+")))</f>
        <v>36-50</v>
      </c>
      <c r="G1346" t="s">
        <v>24</v>
      </c>
      <c r="H1346" t="s">
        <v>55</v>
      </c>
      <c r="I1346" t="s">
        <v>75</v>
      </c>
      <c r="J1346" t="s">
        <v>27</v>
      </c>
      <c r="K1346" t="s">
        <v>128</v>
      </c>
      <c r="L1346">
        <v>5</v>
      </c>
      <c r="M1346">
        <v>434.1</v>
      </c>
      <c r="N1346">
        <v>0.36</v>
      </c>
      <c r="O1346">
        <v>2157.36</v>
      </c>
      <c r="P1346">
        <v>864.87</v>
      </c>
      <c r="Q1346">
        <v>41.13</v>
      </c>
      <c r="R1346" t="s">
        <v>65</v>
      </c>
      <c r="S1346">
        <v>4</v>
      </c>
      <c r="T1346" t="b">
        <v>0</v>
      </c>
      <c r="U1346" t="s">
        <v>30</v>
      </c>
      <c r="V1346">
        <v>7</v>
      </c>
    </row>
    <row r="1347" spans="1:22" x14ac:dyDescent="0.25">
      <c r="A1347" t="s">
        <v>3179</v>
      </c>
      <c r="B1347" s="1">
        <v>45282</v>
      </c>
      <c r="C1347" t="s">
        <v>3180</v>
      </c>
      <c r="D1347" t="s">
        <v>982</v>
      </c>
      <c r="E1347">
        <v>35</v>
      </c>
      <c r="F1347" t="str">
        <f>IF(Table1[[#This Row],[age]]&lt;=25,"18-25",IF(Table1[[#This Row],[age]]&lt;=35,"26-35",IF(Table1[[#This Row],[age]]&lt;=50,"36-50","51+")))</f>
        <v>26-35</v>
      </c>
      <c r="G1347" t="s">
        <v>24</v>
      </c>
      <c r="H1347" t="s">
        <v>25</v>
      </c>
      <c r="I1347" t="s">
        <v>41</v>
      </c>
      <c r="J1347" t="s">
        <v>115</v>
      </c>
      <c r="K1347" t="s">
        <v>197</v>
      </c>
      <c r="L1347">
        <v>5</v>
      </c>
      <c r="M1347">
        <v>28716</v>
      </c>
      <c r="N1347">
        <v>0.06</v>
      </c>
      <c r="O1347">
        <v>118670.05</v>
      </c>
      <c r="P1347">
        <v>13016.92</v>
      </c>
      <c r="Q1347">
        <v>60.44</v>
      </c>
      <c r="R1347" t="s">
        <v>92</v>
      </c>
      <c r="S1347">
        <v>5</v>
      </c>
      <c r="T1347" t="b">
        <v>0</v>
      </c>
      <c r="U1347" t="s">
        <v>30</v>
      </c>
      <c r="V1347">
        <v>10</v>
      </c>
    </row>
    <row r="1348" spans="1:22" x14ac:dyDescent="0.25">
      <c r="A1348" t="s">
        <v>3181</v>
      </c>
      <c r="B1348" s="1">
        <v>44072</v>
      </c>
      <c r="C1348" t="s">
        <v>3182</v>
      </c>
      <c r="D1348" t="s">
        <v>1521</v>
      </c>
      <c r="E1348">
        <v>35</v>
      </c>
      <c r="F1348" t="str">
        <f>IF(Table1[[#This Row],[age]]&lt;=25,"18-25",IF(Table1[[#This Row],[age]]&lt;=35,"26-35",IF(Table1[[#This Row],[age]]&lt;=50,"36-50","51+")))</f>
        <v>26-35</v>
      </c>
      <c r="G1348" t="s">
        <v>54</v>
      </c>
      <c r="H1348" t="s">
        <v>25</v>
      </c>
      <c r="I1348" t="s">
        <v>298</v>
      </c>
      <c r="J1348" t="s">
        <v>47</v>
      </c>
      <c r="K1348" t="s">
        <v>48</v>
      </c>
      <c r="L1348">
        <v>8</v>
      </c>
      <c r="M1348">
        <v>318.51</v>
      </c>
      <c r="N1348">
        <v>0.31</v>
      </c>
      <c r="O1348">
        <v>1966.41</v>
      </c>
      <c r="P1348">
        <v>790.49</v>
      </c>
      <c r="Q1348">
        <v>72.37</v>
      </c>
      <c r="R1348" t="s">
        <v>29</v>
      </c>
      <c r="S1348">
        <v>5</v>
      </c>
      <c r="T1348" t="b">
        <v>0</v>
      </c>
      <c r="U1348" t="s">
        <v>93</v>
      </c>
      <c r="V1348">
        <v>9</v>
      </c>
    </row>
    <row r="1349" spans="1:22" x14ac:dyDescent="0.25">
      <c r="A1349" t="s">
        <v>3183</v>
      </c>
      <c r="B1349" s="1">
        <v>44765</v>
      </c>
      <c r="C1349" t="s">
        <v>3184</v>
      </c>
      <c r="D1349" t="s">
        <v>530</v>
      </c>
      <c r="E1349">
        <v>27</v>
      </c>
      <c r="F1349" t="str">
        <f>IF(Table1[[#This Row],[age]]&lt;=25,"18-25",IF(Table1[[#This Row],[age]]&lt;=35,"26-35",IF(Table1[[#This Row],[age]]&lt;=50,"36-50","51+")))</f>
        <v>26-35</v>
      </c>
      <c r="G1349" t="s">
        <v>34</v>
      </c>
      <c r="H1349" t="s">
        <v>80</v>
      </c>
      <c r="I1349" t="s">
        <v>81</v>
      </c>
      <c r="J1349" t="s">
        <v>63</v>
      </c>
      <c r="K1349" t="s">
        <v>434</v>
      </c>
      <c r="L1349">
        <v>7</v>
      </c>
      <c r="M1349">
        <v>1384.84</v>
      </c>
      <c r="N1349">
        <v>0.25</v>
      </c>
      <c r="O1349">
        <v>11886.58</v>
      </c>
      <c r="P1349">
        <v>2574.91</v>
      </c>
      <c r="Q1349">
        <v>74.62</v>
      </c>
      <c r="R1349" t="s">
        <v>92</v>
      </c>
      <c r="S1349">
        <v>2</v>
      </c>
      <c r="T1349" t="b">
        <v>1</v>
      </c>
      <c r="U1349" t="s">
        <v>50</v>
      </c>
      <c r="V1349">
        <v>5</v>
      </c>
    </row>
    <row r="1350" spans="1:22" x14ac:dyDescent="0.25">
      <c r="A1350" t="s">
        <v>3185</v>
      </c>
      <c r="B1350" s="1">
        <v>45603</v>
      </c>
      <c r="C1350" t="s">
        <v>3186</v>
      </c>
      <c r="D1350" t="s">
        <v>375</v>
      </c>
      <c r="E1350">
        <v>43</v>
      </c>
      <c r="F1350" t="str">
        <f>IF(Table1[[#This Row],[age]]&lt;=25,"18-25",IF(Table1[[#This Row],[age]]&lt;=35,"26-35",IF(Table1[[#This Row],[age]]&lt;=50,"36-50","51+")))</f>
        <v>36-50</v>
      </c>
      <c r="G1350" t="s">
        <v>54</v>
      </c>
      <c r="H1350" t="s">
        <v>25</v>
      </c>
      <c r="I1350" t="s">
        <v>26</v>
      </c>
      <c r="J1350" t="s">
        <v>36</v>
      </c>
      <c r="K1350" t="s">
        <v>42</v>
      </c>
      <c r="L1350">
        <v>2</v>
      </c>
      <c r="M1350">
        <v>20043.88</v>
      </c>
      <c r="N1350">
        <v>0.36</v>
      </c>
      <c r="O1350">
        <v>23212.41</v>
      </c>
      <c r="P1350">
        <v>5160.18</v>
      </c>
      <c r="Q1350">
        <v>25.71</v>
      </c>
      <c r="R1350" t="s">
        <v>57</v>
      </c>
      <c r="S1350">
        <v>3</v>
      </c>
      <c r="T1350" t="b">
        <v>0</v>
      </c>
      <c r="U1350" t="s">
        <v>30</v>
      </c>
      <c r="V1350">
        <v>10</v>
      </c>
    </row>
    <row r="1351" spans="1:22" x14ac:dyDescent="0.25">
      <c r="A1351" t="s">
        <v>3187</v>
      </c>
      <c r="B1351" s="1">
        <v>44625</v>
      </c>
      <c r="C1351" t="s">
        <v>3188</v>
      </c>
      <c r="D1351" t="s">
        <v>551</v>
      </c>
      <c r="E1351">
        <v>40</v>
      </c>
      <c r="F1351" t="str">
        <f>IF(Table1[[#This Row],[age]]&lt;=25,"18-25",IF(Table1[[#This Row],[age]]&lt;=35,"26-35",IF(Table1[[#This Row],[age]]&lt;=50,"36-50","51+")))</f>
        <v>36-50</v>
      </c>
      <c r="G1351" t="s">
        <v>24</v>
      </c>
      <c r="H1351" t="s">
        <v>25</v>
      </c>
      <c r="I1351" t="s">
        <v>298</v>
      </c>
      <c r="J1351" t="s">
        <v>101</v>
      </c>
      <c r="K1351" t="s">
        <v>102</v>
      </c>
      <c r="L1351">
        <v>1</v>
      </c>
      <c r="M1351">
        <v>1321.99</v>
      </c>
      <c r="N1351">
        <v>0.39</v>
      </c>
      <c r="O1351">
        <v>995.97</v>
      </c>
      <c r="P1351">
        <v>202.59</v>
      </c>
      <c r="Q1351">
        <v>63.12</v>
      </c>
      <c r="R1351" t="s">
        <v>29</v>
      </c>
      <c r="S1351">
        <v>4</v>
      </c>
      <c r="T1351" t="b">
        <v>0</v>
      </c>
      <c r="U1351" t="s">
        <v>30</v>
      </c>
      <c r="V1351">
        <v>7</v>
      </c>
    </row>
    <row r="1352" spans="1:22" x14ac:dyDescent="0.25">
      <c r="A1352" t="s">
        <v>3189</v>
      </c>
      <c r="B1352" s="1">
        <v>44040</v>
      </c>
      <c r="C1352" t="s">
        <v>3190</v>
      </c>
      <c r="D1352" t="s">
        <v>2460</v>
      </c>
      <c r="E1352">
        <v>34</v>
      </c>
      <c r="F1352" t="str">
        <f>IF(Table1[[#This Row],[age]]&lt;=25,"18-25",IF(Table1[[#This Row],[age]]&lt;=35,"26-35",IF(Table1[[#This Row],[age]]&lt;=50,"36-50","51+")))</f>
        <v>26-35</v>
      </c>
      <c r="G1352" t="s">
        <v>24</v>
      </c>
      <c r="H1352" t="s">
        <v>25</v>
      </c>
      <c r="I1352" t="s">
        <v>26</v>
      </c>
      <c r="J1352" t="s">
        <v>36</v>
      </c>
      <c r="K1352" t="s">
        <v>243</v>
      </c>
      <c r="L1352">
        <v>1</v>
      </c>
      <c r="M1352">
        <v>16334.58</v>
      </c>
      <c r="N1352">
        <v>0.09</v>
      </c>
      <c r="O1352">
        <v>20183.900000000001</v>
      </c>
      <c r="P1352">
        <v>5249.68</v>
      </c>
      <c r="Q1352">
        <v>61.69</v>
      </c>
      <c r="R1352" t="s">
        <v>49</v>
      </c>
      <c r="S1352">
        <v>5</v>
      </c>
      <c r="T1352" t="b">
        <v>0</v>
      </c>
      <c r="U1352" t="s">
        <v>71</v>
      </c>
      <c r="V1352">
        <v>10</v>
      </c>
    </row>
    <row r="1353" spans="1:22" x14ac:dyDescent="0.25">
      <c r="A1353" t="s">
        <v>3191</v>
      </c>
      <c r="B1353" s="1">
        <v>44568</v>
      </c>
      <c r="C1353" t="s">
        <v>3192</v>
      </c>
      <c r="D1353" t="s">
        <v>1341</v>
      </c>
      <c r="E1353">
        <v>33</v>
      </c>
      <c r="F1353" t="str">
        <f>IF(Table1[[#This Row],[age]]&lt;=25,"18-25",IF(Table1[[#This Row],[age]]&lt;=35,"26-35",IF(Table1[[#This Row],[age]]&lt;=50,"36-50","51+")))</f>
        <v>26-35</v>
      </c>
      <c r="G1353" t="s">
        <v>34</v>
      </c>
      <c r="H1353" t="s">
        <v>61</v>
      </c>
      <c r="I1353" t="s">
        <v>163</v>
      </c>
      <c r="J1353" t="s">
        <v>115</v>
      </c>
      <c r="K1353" t="s">
        <v>197</v>
      </c>
      <c r="L1353">
        <v>5</v>
      </c>
      <c r="M1353">
        <v>27023.75</v>
      </c>
      <c r="N1353">
        <v>0.03</v>
      </c>
      <c r="O1353">
        <v>98800.7</v>
      </c>
      <c r="P1353">
        <v>15632.48</v>
      </c>
      <c r="Q1353">
        <v>68.45</v>
      </c>
      <c r="R1353" t="s">
        <v>57</v>
      </c>
      <c r="S1353">
        <v>4</v>
      </c>
      <c r="T1353" t="b">
        <v>0</v>
      </c>
      <c r="U1353" t="s">
        <v>30</v>
      </c>
      <c r="V1353">
        <v>7</v>
      </c>
    </row>
    <row r="1354" spans="1:22" x14ac:dyDescent="0.25">
      <c r="A1354" t="s">
        <v>3193</v>
      </c>
      <c r="B1354" s="1">
        <v>43966</v>
      </c>
      <c r="C1354" t="s">
        <v>3194</v>
      </c>
      <c r="D1354" t="s">
        <v>3195</v>
      </c>
      <c r="E1354">
        <v>39</v>
      </c>
      <c r="F1354" t="str">
        <f>IF(Table1[[#This Row],[age]]&lt;=25,"18-25",IF(Table1[[#This Row],[age]]&lt;=35,"26-35",IF(Table1[[#This Row],[age]]&lt;=50,"36-50","51+")))</f>
        <v>36-50</v>
      </c>
      <c r="G1354" t="s">
        <v>54</v>
      </c>
      <c r="H1354" t="s">
        <v>25</v>
      </c>
      <c r="I1354" t="s">
        <v>41</v>
      </c>
      <c r="J1354" t="s">
        <v>115</v>
      </c>
      <c r="K1354" t="s">
        <v>545</v>
      </c>
      <c r="L1354">
        <v>5</v>
      </c>
      <c r="M1354">
        <v>30601.06</v>
      </c>
      <c r="N1354">
        <v>0.34</v>
      </c>
      <c r="O1354">
        <v>118310.73</v>
      </c>
      <c r="P1354">
        <v>14746.62</v>
      </c>
      <c r="Q1354">
        <v>71.09</v>
      </c>
      <c r="R1354" t="s">
        <v>49</v>
      </c>
      <c r="S1354">
        <v>4</v>
      </c>
      <c r="T1354" t="b">
        <v>0</v>
      </c>
      <c r="U1354" t="s">
        <v>93</v>
      </c>
      <c r="V1354">
        <v>2</v>
      </c>
    </row>
    <row r="1355" spans="1:22" x14ac:dyDescent="0.25">
      <c r="A1355" t="s">
        <v>3196</v>
      </c>
      <c r="B1355" s="1">
        <v>44217</v>
      </c>
      <c r="C1355" t="s">
        <v>3197</v>
      </c>
      <c r="D1355" t="s">
        <v>519</v>
      </c>
      <c r="E1355">
        <v>29</v>
      </c>
      <c r="F1355" t="str">
        <f>IF(Table1[[#This Row],[age]]&lt;=25,"18-25",IF(Table1[[#This Row],[age]]&lt;=35,"26-35",IF(Table1[[#This Row],[age]]&lt;=50,"36-50","51+")))</f>
        <v>26-35</v>
      </c>
      <c r="G1355" t="s">
        <v>24</v>
      </c>
      <c r="H1355" t="s">
        <v>55</v>
      </c>
      <c r="I1355" t="s">
        <v>97</v>
      </c>
      <c r="J1355" t="s">
        <v>36</v>
      </c>
      <c r="K1355" t="s">
        <v>243</v>
      </c>
      <c r="L1355">
        <v>7</v>
      </c>
      <c r="M1355">
        <v>27103.439999999999</v>
      </c>
      <c r="N1355">
        <v>7.0000000000000007E-2</v>
      </c>
      <c r="O1355">
        <v>140013.26999999999</v>
      </c>
      <c r="P1355">
        <v>47871.51</v>
      </c>
      <c r="Q1355">
        <v>45.89</v>
      </c>
      <c r="R1355" t="s">
        <v>43</v>
      </c>
      <c r="S1355">
        <v>2</v>
      </c>
      <c r="T1355" t="b">
        <v>1</v>
      </c>
      <c r="U1355" t="s">
        <v>50</v>
      </c>
      <c r="V1355">
        <v>7</v>
      </c>
    </row>
    <row r="1356" spans="1:22" x14ac:dyDescent="0.25">
      <c r="A1356" t="s">
        <v>3198</v>
      </c>
      <c r="B1356" s="1">
        <v>44526</v>
      </c>
      <c r="C1356" t="s">
        <v>3199</v>
      </c>
      <c r="D1356" t="s">
        <v>184</v>
      </c>
      <c r="E1356">
        <v>19</v>
      </c>
      <c r="F1356" t="str">
        <f>IF(Table1[[#This Row],[age]]&lt;=25,"18-25",IF(Table1[[#This Row],[age]]&lt;=35,"26-35",IF(Table1[[#This Row],[age]]&lt;=50,"36-50","51+")))</f>
        <v>18-25</v>
      </c>
      <c r="G1356" t="s">
        <v>24</v>
      </c>
      <c r="H1356" t="s">
        <v>80</v>
      </c>
      <c r="I1356" t="s">
        <v>236</v>
      </c>
      <c r="J1356" t="s">
        <v>27</v>
      </c>
      <c r="K1356" t="s">
        <v>480</v>
      </c>
      <c r="L1356">
        <v>10</v>
      </c>
      <c r="M1356">
        <v>2199.23</v>
      </c>
      <c r="N1356">
        <v>0.03</v>
      </c>
      <c r="O1356">
        <v>17600.22</v>
      </c>
      <c r="P1356">
        <v>7462.56</v>
      </c>
      <c r="Q1356">
        <v>84.56</v>
      </c>
      <c r="R1356" t="s">
        <v>43</v>
      </c>
      <c r="S1356">
        <v>4</v>
      </c>
      <c r="T1356" t="b">
        <v>0</v>
      </c>
      <c r="U1356" t="s">
        <v>93</v>
      </c>
      <c r="V1356">
        <v>10</v>
      </c>
    </row>
    <row r="1357" spans="1:22" x14ac:dyDescent="0.25">
      <c r="A1357" t="s">
        <v>3200</v>
      </c>
      <c r="B1357" s="1">
        <v>44837</v>
      </c>
      <c r="C1357" t="s">
        <v>3201</v>
      </c>
      <c r="D1357" t="s">
        <v>879</v>
      </c>
      <c r="E1357">
        <v>36</v>
      </c>
      <c r="F1357" t="str">
        <f>IF(Table1[[#This Row],[age]]&lt;=25,"18-25",IF(Table1[[#This Row],[age]]&lt;=35,"26-35",IF(Table1[[#This Row],[age]]&lt;=50,"36-50","51+")))</f>
        <v>36-50</v>
      </c>
      <c r="G1357" t="s">
        <v>34</v>
      </c>
      <c r="H1357" t="s">
        <v>69</v>
      </c>
      <c r="I1357" t="s">
        <v>221</v>
      </c>
      <c r="J1357" t="s">
        <v>106</v>
      </c>
      <c r="K1357" t="s">
        <v>107</v>
      </c>
      <c r="L1357">
        <v>7</v>
      </c>
      <c r="M1357">
        <v>490.56</v>
      </c>
      <c r="N1357">
        <v>0.36</v>
      </c>
      <c r="O1357">
        <v>2209.98</v>
      </c>
      <c r="P1357">
        <v>120.11</v>
      </c>
      <c r="Q1357">
        <v>92.2</v>
      </c>
      <c r="R1357" t="s">
        <v>92</v>
      </c>
      <c r="S1357">
        <v>3</v>
      </c>
      <c r="T1357" t="b">
        <v>0</v>
      </c>
      <c r="U1357" t="s">
        <v>93</v>
      </c>
      <c r="V1357">
        <v>2</v>
      </c>
    </row>
    <row r="1358" spans="1:22" x14ac:dyDescent="0.25">
      <c r="A1358" t="s">
        <v>3202</v>
      </c>
      <c r="B1358" s="1">
        <v>43964</v>
      </c>
      <c r="C1358" t="s">
        <v>3203</v>
      </c>
      <c r="D1358" t="s">
        <v>375</v>
      </c>
      <c r="E1358">
        <v>27</v>
      </c>
      <c r="F1358" t="str">
        <f>IF(Table1[[#This Row],[age]]&lt;=25,"18-25",IF(Table1[[#This Row],[age]]&lt;=35,"26-35",IF(Table1[[#This Row],[age]]&lt;=50,"36-50","51+")))</f>
        <v>26-35</v>
      </c>
      <c r="G1358" t="s">
        <v>54</v>
      </c>
      <c r="H1358" t="s">
        <v>61</v>
      </c>
      <c r="I1358" t="s">
        <v>163</v>
      </c>
      <c r="J1358" t="s">
        <v>27</v>
      </c>
      <c r="K1358" t="s">
        <v>480</v>
      </c>
      <c r="L1358">
        <v>4</v>
      </c>
      <c r="M1358">
        <v>1944.29</v>
      </c>
      <c r="N1358">
        <v>0.17</v>
      </c>
      <c r="O1358">
        <v>8759.65</v>
      </c>
      <c r="P1358">
        <v>5237.3500000000004</v>
      </c>
      <c r="Q1358">
        <v>87.31</v>
      </c>
      <c r="R1358" t="s">
        <v>65</v>
      </c>
      <c r="S1358">
        <v>3</v>
      </c>
      <c r="T1358" t="b">
        <v>0</v>
      </c>
      <c r="U1358" t="s">
        <v>30</v>
      </c>
      <c r="V1358">
        <v>4</v>
      </c>
    </row>
    <row r="1359" spans="1:22" x14ac:dyDescent="0.25">
      <c r="A1359" t="s">
        <v>3204</v>
      </c>
      <c r="B1359" s="1">
        <v>44231</v>
      </c>
      <c r="C1359" t="s">
        <v>3205</v>
      </c>
      <c r="D1359" t="s">
        <v>2851</v>
      </c>
      <c r="E1359">
        <v>49</v>
      </c>
      <c r="F1359" t="str">
        <f>IF(Table1[[#This Row],[age]]&lt;=25,"18-25",IF(Table1[[#This Row],[age]]&lt;=35,"26-35",IF(Table1[[#This Row],[age]]&lt;=50,"36-50","51+")))</f>
        <v>36-50</v>
      </c>
      <c r="G1359" t="s">
        <v>34</v>
      </c>
      <c r="H1359" t="s">
        <v>69</v>
      </c>
      <c r="I1359" t="s">
        <v>70</v>
      </c>
      <c r="J1359" t="s">
        <v>101</v>
      </c>
      <c r="K1359" t="s">
        <v>456</v>
      </c>
      <c r="L1359">
        <v>10</v>
      </c>
      <c r="M1359">
        <v>12708.22</v>
      </c>
      <c r="N1359">
        <v>0.28000000000000003</v>
      </c>
      <c r="O1359">
        <v>91510.11</v>
      </c>
      <c r="P1359">
        <v>20206.87</v>
      </c>
      <c r="Q1359">
        <v>100.24</v>
      </c>
      <c r="R1359" t="s">
        <v>43</v>
      </c>
      <c r="S1359">
        <v>2</v>
      </c>
      <c r="T1359" t="b">
        <v>0</v>
      </c>
      <c r="U1359" t="s">
        <v>30</v>
      </c>
      <c r="V1359">
        <v>3</v>
      </c>
    </row>
    <row r="1360" spans="1:22" x14ac:dyDescent="0.25">
      <c r="A1360" t="s">
        <v>3206</v>
      </c>
      <c r="B1360" s="1">
        <v>44002</v>
      </c>
      <c r="C1360" t="s">
        <v>3207</v>
      </c>
      <c r="D1360" t="s">
        <v>626</v>
      </c>
      <c r="E1360">
        <v>20</v>
      </c>
      <c r="F1360" t="str">
        <f>IF(Table1[[#This Row],[age]]&lt;=25,"18-25",IF(Table1[[#This Row],[age]]&lt;=35,"26-35",IF(Table1[[#This Row],[age]]&lt;=50,"36-50","51+")))</f>
        <v>18-25</v>
      </c>
      <c r="G1360" t="s">
        <v>34</v>
      </c>
      <c r="H1360" t="s">
        <v>69</v>
      </c>
      <c r="I1360" t="s">
        <v>136</v>
      </c>
      <c r="J1360" t="s">
        <v>27</v>
      </c>
      <c r="K1360" t="s">
        <v>168</v>
      </c>
      <c r="L1360">
        <v>8</v>
      </c>
      <c r="M1360">
        <v>950.66</v>
      </c>
      <c r="N1360">
        <v>0.32</v>
      </c>
      <c r="O1360">
        <v>7094.52</v>
      </c>
      <c r="P1360">
        <v>3770.8</v>
      </c>
      <c r="Q1360">
        <v>84.8</v>
      </c>
      <c r="R1360" t="s">
        <v>29</v>
      </c>
      <c r="S1360">
        <v>5</v>
      </c>
      <c r="T1360" t="b">
        <v>0</v>
      </c>
      <c r="U1360" t="s">
        <v>30</v>
      </c>
      <c r="V1360">
        <v>7</v>
      </c>
    </row>
    <row r="1361" spans="1:22" x14ac:dyDescent="0.25">
      <c r="A1361" t="s">
        <v>3208</v>
      </c>
      <c r="B1361" s="1">
        <v>44265</v>
      </c>
      <c r="C1361" t="s">
        <v>3209</v>
      </c>
      <c r="D1361" t="s">
        <v>1521</v>
      </c>
      <c r="E1361">
        <v>30</v>
      </c>
      <c r="F1361" t="str">
        <f>IF(Table1[[#This Row],[age]]&lt;=25,"18-25",IF(Table1[[#This Row],[age]]&lt;=35,"26-35",IF(Table1[[#This Row],[age]]&lt;=50,"36-50","51+")))</f>
        <v>26-35</v>
      </c>
      <c r="G1361" t="s">
        <v>24</v>
      </c>
      <c r="H1361" t="s">
        <v>69</v>
      </c>
      <c r="I1361" t="s">
        <v>221</v>
      </c>
      <c r="J1361" t="s">
        <v>101</v>
      </c>
      <c r="K1361" t="s">
        <v>318</v>
      </c>
      <c r="L1361">
        <v>3</v>
      </c>
      <c r="M1361">
        <v>14253.13</v>
      </c>
      <c r="N1361">
        <v>0.13</v>
      </c>
      <c r="O1361">
        <v>45619.3</v>
      </c>
      <c r="P1361">
        <v>11131.02</v>
      </c>
      <c r="Q1361">
        <v>67.22</v>
      </c>
      <c r="R1361" t="s">
        <v>43</v>
      </c>
      <c r="S1361">
        <v>1</v>
      </c>
      <c r="T1361" t="b">
        <v>0</v>
      </c>
      <c r="U1361" t="s">
        <v>71</v>
      </c>
      <c r="V1361">
        <v>3</v>
      </c>
    </row>
    <row r="1362" spans="1:22" x14ac:dyDescent="0.25">
      <c r="A1362" t="s">
        <v>3210</v>
      </c>
      <c r="B1362" s="1">
        <v>44604</v>
      </c>
      <c r="C1362" t="s">
        <v>3211</v>
      </c>
      <c r="D1362" t="s">
        <v>105</v>
      </c>
      <c r="E1362">
        <v>56</v>
      </c>
      <c r="F1362" t="str">
        <f>IF(Table1[[#This Row],[age]]&lt;=25,"18-25",IF(Table1[[#This Row],[age]]&lt;=35,"26-35",IF(Table1[[#This Row],[age]]&lt;=50,"36-50","51+")))</f>
        <v>51+</v>
      </c>
      <c r="G1362" t="s">
        <v>24</v>
      </c>
      <c r="H1362" t="s">
        <v>80</v>
      </c>
      <c r="I1362" t="s">
        <v>236</v>
      </c>
      <c r="J1362" t="s">
        <v>63</v>
      </c>
      <c r="K1362" t="s">
        <v>152</v>
      </c>
      <c r="L1362">
        <v>2</v>
      </c>
      <c r="M1362">
        <v>2432.6</v>
      </c>
      <c r="N1362">
        <v>0.26</v>
      </c>
      <c r="O1362">
        <v>3968.93</v>
      </c>
      <c r="P1362">
        <v>1931.36</v>
      </c>
      <c r="Q1362">
        <v>84.81</v>
      </c>
      <c r="R1362" t="s">
        <v>92</v>
      </c>
      <c r="S1362">
        <v>5</v>
      </c>
      <c r="T1362" t="b">
        <v>0</v>
      </c>
      <c r="U1362" t="s">
        <v>30</v>
      </c>
      <c r="V1362">
        <v>8</v>
      </c>
    </row>
    <row r="1363" spans="1:22" x14ac:dyDescent="0.25">
      <c r="A1363" t="s">
        <v>3212</v>
      </c>
      <c r="B1363" s="1">
        <v>43905</v>
      </c>
      <c r="C1363" t="s">
        <v>3213</v>
      </c>
      <c r="D1363" t="s">
        <v>3214</v>
      </c>
      <c r="E1363">
        <v>43</v>
      </c>
      <c r="F1363" t="str">
        <f>IF(Table1[[#This Row],[age]]&lt;=25,"18-25",IF(Table1[[#This Row],[age]]&lt;=35,"26-35",IF(Table1[[#This Row],[age]]&lt;=50,"36-50","51+")))</f>
        <v>36-50</v>
      </c>
      <c r="G1363" t="s">
        <v>24</v>
      </c>
      <c r="H1363" t="s">
        <v>55</v>
      </c>
      <c r="I1363" t="s">
        <v>75</v>
      </c>
      <c r="J1363" t="s">
        <v>63</v>
      </c>
      <c r="K1363" t="s">
        <v>111</v>
      </c>
      <c r="L1363">
        <v>2</v>
      </c>
      <c r="M1363">
        <v>3471.87</v>
      </c>
      <c r="N1363">
        <v>0.15</v>
      </c>
      <c r="O1363">
        <v>5928.17</v>
      </c>
      <c r="P1363">
        <v>1972.09</v>
      </c>
      <c r="Q1363">
        <v>48.98</v>
      </c>
      <c r="R1363" t="s">
        <v>57</v>
      </c>
      <c r="S1363">
        <v>1</v>
      </c>
      <c r="T1363" t="b">
        <v>0</v>
      </c>
      <c r="U1363" t="s">
        <v>93</v>
      </c>
      <c r="V1363">
        <v>4</v>
      </c>
    </row>
    <row r="1364" spans="1:22" x14ac:dyDescent="0.25">
      <c r="A1364" t="s">
        <v>3215</v>
      </c>
      <c r="B1364" s="1">
        <v>44111</v>
      </c>
      <c r="C1364" t="s">
        <v>3216</v>
      </c>
      <c r="D1364" t="s">
        <v>1719</v>
      </c>
      <c r="E1364">
        <v>38</v>
      </c>
      <c r="F1364" t="str">
        <f>IF(Table1[[#This Row],[age]]&lt;=25,"18-25",IF(Table1[[#This Row],[age]]&lt;=35,"26-35",IF(Table1[[#This Row],[age]]&lt;=50,"36-50","51+")))</f>
        <v>36-50</v>
      </c>
      <c r="G1364" t="s">
        <v>54</v>
      </c>
      <c r="H1364" t="s">
        <v>61</v>
      </c>
      <c r="I1364" t="s">
        <v>141</v>
      </c>
      <c r="J1364" t="s">
        <v>106</v>
      </c>
      <c r="K1364" t="s">
        <v>247</v>
      </c>
      <c r="L1364">
        <v>4</v>
      </c>
      <c r="M1364">
        <v>372.01</v>
      </c>
      <c r="N1364">
        <v>0.37</v>
      </c>
      <c r="O1364">
        <v>823.95</v>
      </c>
      <c r="P1364">
        <v>59.95</v>
      </c>
      <c r="Q1364">
        <v>38.479999999999997</v>
      </c>
      <c r="R1364" t="s">
        <v>43</v>
      </c>
      <c r="S1364">
        <v>4</v>
      </c>
      <c r="T1364" t="b">
        <v>0</v>
      </c>
      <c r="U1364" t="s">
        <v>193</v>
      </c>
      <c r="V1364">
        <v>8</v>
      </c>
    </row>
    <row r="1365" spans="1:22" x14ac:dyDescent="0.25">
      <c r="A1365" t="s">
        <v>3217</v>
      </c>
      <c r="B1365" s="1">
        <v>44747</v>
      </c>
      <c r="C1365" t="s">
        <v>3218</v>
      </c>
      <c r="D1365" t="s">
        <v>1100</v>
      </c>
      <c r="E1365">
        <v>29</v>
      </c>
      <c r="F1365" t="str">
        <f>IF(Table1[[#This Row],[age]]&lt;=25,"18-25",IF(Table1[[#This Row],[age]]&lt;=35,"26-35",IF(Table1[[#This Row],[age]]&lt;=50,"36-50","51+")))</f>
        <v>26-35</v>
      </c>
      <c r="G1365" t="s">
        <v>34</v>
      </c>
      <c r="H1365" t="s">
        <v>25</v>
      </c>
      <c r="I1365" t="s">
        <v>35</v>
      </c>
      <c r="J1365" t="s">
        <v>63</v>
      </c>
      <c r="K1365" t="s">
        <v>111</v>
      </c>
      <c r="L1365">
        <v>1</v>
      </c>
      <c r="M1365">
        <v>332.88</v>
      </c>
      <c r="N1365">
        <v>0.4</v>
      </c>
      <c r="O1365">
        <v>306.13</v>
      </c>
      <c r="P1365">
        <v>129.76</v>
      </c>
      <c r="Q1365">
        <v>83.16</v>
      </c>
      <c r="R1365" t="s">
        <v>29</v>
      </c>
      <c r="S1365">
        <v>2</v>
      </c>
      <c r="T1365" t="b">
        <v>0</v>
      </c>
      <c r="U1365" t="s">
        <v>30</v>
      </c>
      <c r="V1365">
        <v>6</v>
      </c>
    </row>
    <row r="1366" spans="1:22" x14ac:dyDescent="0.25">
      <c r="A1366" t="s">
        <v>3219</v>
      </c>
      <c r="B1366" s="1">
        <v>45125</v>
      </c>
      <c r="C1366" t="s">
        <v>3220</v>
      </c>
      <c r="D1366" t="s">
        <v>695</v>
      </c>
      <c r="E1366">
        <v>39</v>
      </c>
      <c r="F1366" t="str">
        <f>IF(Table1[[#This Row],[age]]&lt;=25,"18-25",IF(Table1[[#This Row],[age]]&lt;=35,"26-35",IF(Table1[[#This Row],[age]]&lt;=50,"36-50","51+")))</f>
        <v>36-50</v>
      </c>
      <c r="G1366" t="s">
        <v>54</v>
      </c>
      <c r="H1366" t="s">
        <v>25</v>
      </c>
      <c r="I1366" t="s">
        <v>35</v>
      </c>
      <c r="J1366" t="s">
        <v>106</v>
      </c>
      <c r="K1366" t="s">
        <v>188</v>
      </c>
      <c r="L1366">
        <v>8</v>
      </c>
      <c r="M1366">
        <v>455.06</v>
      </c>
      <c r="N1366">
        <v>0.01</v>
      </c>
      <c r="O1366">
        <v>5619.54</v>
      </c>
      <c r="P1366">
        <v>561.84</v>
      </c>
      <c r="Q1366">
        <v>83.7</v>
      </c>
      <c r="R1366" t="s">
        <v>92</v>
      </c>
      <c r="S1366">
        <v>3</v>
      </c>
      <c r="T1366" t="b">
        <v>0</v>
      </c>
      <c r="U1366" t="s">
        <v>30</v>
      </c>
      <c r="V1366">
        <v>10</v>
      </c>
    </row>
    <row r="1367" spans="1:22" x14ac:dyDescent="0.25">
      <c r="A1367" t="s">
        <v>3221</v>
      </c>
      <c r="B1367" s="1">
        <v>45374</v>
      </c>
      <c r="C1367" t="s">
        <v>3222</v>
      </c>
      <c r="D1367" t="s">
        <v>1439</v>
      </c>
      <c r="E1367">
        <v>51</v>
      </c>
      <c r="F1367" t="str">
        <f>IF(Table1[[#This Row],[age]]&lt;=25,"18-25",IF(Table1[[#This Row],[age]]&lt;=35,"26-35",IF(Table1[[#This Row],[age]]&lt;=50,"36-50","51+")))</f>
        <v>51+</v>
      </c>
      <c r="G1367" t="s">
        <v>54</v>
      </c>
      <c r="H1367" t="s">
        <v>80</v>
      </c>
      <c r="I1367" t="s">
        <v>86</v>
      </c>
      <c r="J1367" t="s">
        <v>101</v>
      </c>
      <c r="K1367" t="s">
        <v>318</v>
      </c>
      <c r="L1367">
        <v>9</v>
      </c>
      <c r="M1367">
        <v>560.77</v>
      </c>
      <c r="N1367">
        <v>0.19</v>
      </c>
      <c r="O1367">
        <v>4861.13</v>
      </c>
      <c r="P1367">
        <v>1118.77</v>
      </c>
      <c r="Q1367">
        <v>78.58</v>
      </c>
      <c r="R1367" t="s">
        <v>57</v>
      </c>
      <c r="S1367">
        <v>2</v>
      </c>
      <c r="T1367" t="b">
        <v>0</v>
      </c>
      <c r="U1367" t="s">
        <v>30</v>
      </c>
      <c r="V1367">
        <v>1</v>
      </c>
    </row>
    <row r="1368" spans="1:22" x14ac:dyDescent="0.25">
      <c r="A1368" t="s">
        <v>3223</v>
      </c>
      <c r="B1368" s="1">
        <v>45419</v>
      </c>
      <c r="C1368" t="s">
        <v>3224</v>
      </c>
      <c r="D1368" t="s">
        <v>1785</v>
      </c>
      <c r="E1368">
        <v>42</v>
      </c>
      <c r="F1368" t="str">
        <f>IF(Table1[[#This Row],[age]]&lt;=25,"18-25",IF(Table1[[#This Row],[age]]&lt;=35,"26-35",IF(Table1[[#This Row],[age]]&lt;=50,"36-50","51+")))</f>
        <v>36-50</v>
      </c>
      <c r="G1368" t="s">
        <v>24</v>
      </c>
      <c r="H1368" t="s">
        <v>25</v>
      </c>
      <c r="I1368" t="s">
        <v>41</v>
      </c>
      <c r="J1368" t="s">
        <v>36</v>
      </c>
      <c r="K1368" t="s">
        <v>37</v>
      </c>
      <c r="L1368">
        <v>10</v>
      </c>
      <c r="M1368">
        <v>15954.1</v>
      </c>
      <c r="N1368">
        <v>0.05</v>
      </c>
      <c r="O1368">
        <v>267926.31</v>
      </c>
      <c r="P1368">
        <v>76735.56</v>
      </c>
      <c r="Q1368">
        <v>54.78</v>
      </c>
      <c r="R1368" t="s">
        <v>29</v>
      </c>
      <c r="S1368">
        <v>1</v>
      </c>
      <c r="T1368" t="b">
        <v>0</v>
      </c>
      <c r="U1368" t="s">
        <v>30</v>
      </c>
      <c r="V1368">
        <v>1</v>
      </c>
    </row>
    <row r="1369" spans="1:22" x14ac:dyDescent="0.25">
      <c r="A1369" t="s">
        <v>3225</v>
      </c>
      <c r="B1369" s="1">
        <v>43867</v>
      </c>
      <c r="C1369" t="s">
        <v>3226</v>
      </c>
      <c r="D1369" t="s">
        <v>499</v>
      </c>
      <c r="E1369">
        <v>56</v>
      </c>
      <c r="F1369" t="str">
        <f>IF(Table1[[#This Row],[age]]&lt;=25,"18-25",IF(Table1[[#This Row],[age]]&lt;=35,"26-35",IF(Table1[[#This Row],[age]]&lt;=50,"36-50","51+")))</f>
        <v>51+</v>
      </c>
      <c r="G1369" t="s">
        <v>54</v>
      </c>
      <c r="H1369" t="s">
        <v>25</v>
      </c>
      <c r="I1369" t="s">
        <v>41</v>
      </c>
      <c r="J1369" t="s">
        <v>63</v>
      </c>
      <c r="K1369" t="s">
        <v>434</v>
      </c>
      <c r="L1369">
        <v>5</v>
      </c>
      <c r="M1369">
        <v>1920.61</v>
      </c>
      <c r="N1369">
        <v>0.27</v>
      </c>
      <c r="O1369">
        <v>5697.27</v>
      </c>
      <c r="P1369">
        <v>2295.66</v>
      </c>
      <c r="Q1369">
        <v>69.180000000000007</v>
      </c>
      <c r="R1369" t="s">
        <v>57</v>
      </c>
      <c r="S1369">
        <v>5</v>
      </c>
      <c r="T1369" t="b">
        <v>0</v>
      </c>
      <c r="U1369" t="s">
        <v>30</v>
      </c>
      <c r="V1369">
        <v>10</v>
      </c>
    </row>
    <row r="1370" spans="1:22" x14ac:dyDescent="0.25">
      <c r="A1370" t="s">
        <v>3227</v>
      </c>
      <c r="B1370" s="1">
        <v>45308</v>
      </c>
      <c r="C1370" t="s">
        <v>3228</v>
      </c>
      <c r="D1370" t="s">
        <v>2232</v>
      </c>
      <c r="E1370">
        <v>41</v>
      </c>
      <c r="F1370" t="str">
        <f>IF(Table1[[#This Row],[age]]&lt;=25,"18-25",IF(Table1[[#This Row],[age]]&lt;=35,"26-35",IF(Table1[[#This Row],[age]]&lt;=50,"36-50","51+")))</f>
        <v>36-50</v>
      </c>
      <c r="G1370" t="s">
        <v>24</v>
      </c>
      <c r="H1370" t="s">
        <v>69</v>
      </c>
      <c r="I1370" t="s">
        <v>221</v>
      </c>
      <c r="J1370" t="s">
        <v>63</v>
      </c>
      <c r="K1370" t="s">
        <v>152</v>
      </c>
      <c r="L1370">
        <v>2</v>
      </c>
      <c r="M1370">
        <v>3049.88</v>
      </c>
      <c r="N1370">
        <v>0.02</v>
      </c>
      <c r="O1370">
        <v>5433.3</v>
      </c>
      <c r="P1370">
        <v>1313.05</v>
      </c>
      <c r="Q1370">
        <v>83.88</v>
      </c>
      <c r="R1370" t="s">
        <v>43</v>
      </c>
      <c r="S1370">
        <v>4</v>
      </c>
      <c r="T1370" t="b">
        <v>0</v>
      </c>
      <c r="U1370" t="s">
        <v>193</v>
      </c>
      <c r="V1370">
        <v>6</v>
      </c>
    </row>
    <row r="1371" spans="1:22" x14ac:dyDescent="0.25">
      <c r="A1371" t="s">
        <v>3229</v>
      </c>
      <c r="B1371" s="1">
        <v>44496</v>
      </c>
      <c r="C1371" t="s">
        <v>3230</v>
      </c>
      <c r="D1371" t="s">
        <v>1338</v>
      </c>
      <c r="E1371">
        <v>25</v>
      </c>
      <c r="F1371" t="str">
        <f>IF(Table1[[#This Row],[age]]&lt;=25,"18-25",IF(Table1[[#This Row],[age]]&lt;=35,"26-35",IF(Table1[[#This Row],[age]]&lt;=50,"36-50","51+")))</f>
        <v>18-25</v>
      </c>
      <c r="G1371" t="s">
        <v>54</v>
      </c>
      <c r="H1371" t="s">
        <v>80</v>
      </c>
      <c r="I1371" t="s">
        <v>81</v>
      </c>
      <c r="J1371" t="s">
        <v>27</v>
      </c>
      <c r="K1371" t="s">
        <v>192</v>
      </c>
      <c r="L1371">
        <v>5</v>
      </c>
      <c r="M1371">
        <v>2139.2800000000002</v>
      </c>
      <c r="N1371">
        <v>0.28999999999999998</v>
      </c>
      <c r="O1371">
        <v>6723.8</v>
      </c>
      <c r="P1371">
        <v>3518.82</v>
      </c>
      <c r="Q1371">
        <v>60.66</v>
      </c>
      <c r="R1371" t="s">
        <v>29</v>
      </c>
      <c r="S1371">
        <v>5</v>
      </c>
      <c r="T1371" t="b">
        <v>0</v>
      </c>
      <c r="U1371" t="s">
        <v>30</v>
      </c>
      <c r="V1371">
        <v>7</v>
      </c>
    </row>
    <row r="1372" spans="1:22" x14ac:dyDescent="0.25">
      <c r="A1372" t="s">
        <v>3231</v>
      </c>
      <c r="B1372" s="1">
        <v>44736</v>
      </c>
      <c r="C1372" t="s">
        <v>3232</v>
      </c>
      <c r="D1372" t="s">
        <v>812</v>
      </c>
      <c r="E1372">
        <v>33</v>
      </c>
      <c r="F1372" t="str">
        <f>IF(Table1[[#This Row],[age]]&lt;=25,"18-25",IF(Table1[[#This Row],[age]]&lt;=35,"26-35",IF(Table1[[#This Row],[age]]&lt;=50,"36-50","51+")))</f>
        <v>26-35</v>
      </c>
      <c r="G1372" t="s">
        <v>34</v>
      </c>
      <c r="H1372" t="s">
        <v>80</v>
      </c>
      <c r="I1372" t="s">
        <v>242</v>
      </c>
      <c r="J1372" t="s">
        <v>115</v>
      </c>
      <c r="K1372" t="s">
        <v>398</v>
      </c>
      <c r="L1372">
        <v>7</v>
      </c>
      <c r="M1372">
        <v>54204.800000000003</v>
      </c>
      <c r="N1372">
        <v>0.01</v>
      </c>
      <c r="O1372">
        <v>574778.48</v>
      </c>
      <c r="P1372">
        <v>66152.73</v>
      </c>
      <c r="Q1372">
        <v>87.36</v>
      </c>
      <c r="R1372" t="s">
        <v>43</v>
      </c>
      <c r="S1372">
        <v>1</v>
      </c>
      <c r="T1372" t="b">
        <v>0</v>
      </c>
      <c r="U1372" t="s">
        <v>30</v>
      </c>
      <c r="V1372">
        <v>8</v>
      </c>
    </row>
    <row r="1373" spans="1:22" x14ac:dyDescent="0.25">
      <c r="A1373" t="s">
        <v>3233</v>
      </c>
      <c r="B1373" s="1">
        <v>45374</v>
      </c>
      <c r="C1373" t="s">
        <v>3234</v>
      </c>
      <c r="D1373" t="s">
        <v>874</v>
      </c>
      <c r="E1373">
        <v>22</v>
      </c>
      <c r="F1373" t="str">
        <f>IF(Table1[[#This Row],[age]]&lt;=25,"18-25",IF(Table1[[#This Row],[age]]&lt;=35,"26-35",IF(Table1[[#This Row],[age]]&lt;=50,"36-50","51+")))</f>
        <v>18-25</v>
      </c>
      <c r="G1373" t="s">
        <v>34</v>
      </c>
      <c r="H1373" t="s">
        <v>25</v>
      </c>
      <c r="I1373" t="s">
        <v>41</v>
      </c>
      <c r="J1373" t="s">
        <v>115</v>
      </c>
      <c r="K1373" t="s">
        <v>116</v>
      </c>
      <c r="L1373">
        <v>10</v>
      </c>
      <c r="M1373">
        <v>58117.48</v>
      </c>
      <c r="N1373">
        <v>0.32</v>
      </c>
      <c r="O1373">
        <v>569729.38</v>
      </c>
      <c r="P1373">
        <v>56329.27</v>
      </c>
      <c r="Q1373">
        <v>66.819999999999993</v>
      </c>
      <c r="R1373" t="s">
        <v>29</v>
      </c>
      <c r="S1373">
        <v>1</v>
      </c>
      <c r="T1373" t="b">
        <v>0</v>
      </c>
      <c r="U1373" t="s">
        <v>30</v>
      </c>
      <c r="V1373">
        <v>3</v>
      </c>
    </row>
    <row r="1374" spans="1:22" x14ac:dyDescent="0.25">
      <c r="A1374" t="s">
        <v>3235</v>
      </c>
      <c r="B1374" s="1">
        <v>45453</v>
      </c>
      <c r="C1374" t="s">
        <v>3236</v>
      </c>
      <c r="D1374" t="s">
        <v>932</v>
      </c>
      <c r="E1374">
        <v>58</v>
      </c>
      <c r="F1374" t="str">
        <f>IF(Table1[[#This Row],[age]]&lt;=25,"18-25",IF(Table1[[#This Row],[age]]&lt;=35,"26-35",IF(Table1[[#This Row],[age]]&lt;=50,"36-50","51+")))</f>
        <v>51+</v>
      </c>
      <c r="G1374" t="s">
        <v>34</v>
      </c>
      <c r="H1374" t="s">
        <v>69</v>
      </c>
      <c r="I1374" t="s">
        <v>70</v>
      </c>
      <c r="J1374" t="s">
        <v>63</v>
      </c>
      <c r="K1374" t="s">
        <v>434</v>
      </c>
      <c r="L1374">
        <v>5</v>
      </c>
      <c r="M1374">
        <v>1827.87</v>
      </c>
      <c r="N1374">
        <v>0.17</v>
      </c>
      <c r="O1374">
        <v>14497.49</v>
      </c>
      <c r="P1374">
        <v>4727.66</v>
      </c>
      <c r="Q1374">
        <v>91.8</v>
      </c>
      <c r="R1374" t="s">
        <v>57</v>
      </c>
      <c r="S1374">
        <v>5</v>
      </c>
      <c r="T1374" t="b">
        <v>0</v>
      </c>
      <c r="U1374" t="s">
        <v>30</v>
      </c>
      <c r="V1374">
        <v>5</v>
      </c>
    </row>
    <row r="1375" spans="1:22" x14ac:dyDescent="0.25">
      <c r="A1375" t="s">
        <v>3237</v>
      </c>
      <c r="B1375" s="1">
        <v>44806</v>
      </c>
      <c r="C1375" t="s">
        <v>3238</v>
      </c>
      <c r="D1375" t="s">
        <v>657</v>
      </c>
      <c r="E1375">
        <v>55</v>
      </c>
      <c r="F1375" t="str">
        <f>IF(Table1[[#This Row],[age]]&lt;=25,"18-25",IF(Table1[[#This Row],[age]]&lt;=35,"26-35",IF(Table1[[#This Row],[age]]&lt;=50,"36-50","51+")))</f>
        <v>51+</v>
      </c>
      <c r="G1375" t="s">
        <v>54</v>
      </c>
      <c r="H1375" t="s">
        <v>80</v>
      </c>
      <c r="I1375" t="s">
        <v>86</v>
      </c>
      <c r="J1375" t="s">
        <v>115</v>
      </c>
      <c r="K1375" t="s">
        <v>398</v>
      </c>
      <c r="L1375">
        <v>4</v>
      </c>
      <c r="M1375">
        <v>32640.78</v>
      </c>
      <c r="N1375">
        <v>0.24</v>
      </c>
      <c r="O1375">
        <v>122369.56</v>
      </c>
      <c r="P1375">
        <v>13905.31</v>
      </c>
      <c r="Q1375">
        <v>46.2</v>
      </c>
      <c r="R1375" t="s">
        <v>65</v>
      </c>
      <c r="S1375">
        <v>3</v>
      </c>
      <c r="T1375" t="b">
        <v>1</v>
      </c>
      <c r="U1375" t="s">
        <v>50</v>
      </c>
      <c r="V1375">
        <v>9</v>
      </c>
    </row>
    <row r="1376" spans="1:22" x14ac:dyDescent="0.25">
      <c r="A1376" t="s">
        <v>3239</v>
      </c>
      <c r="B1376" s="1">
        <v>43917</v>
      </c>
      <c r="C1376" t="s">
        <v>3240</v>
      </c>
      <c r="D1376" t="s">
        <v>1212</v>
      </c>
      <c r="E1376">
        <v>21</v>
      </c>
      <c r="F1376" t="str">
        <f>IF(Table1[[#This Row],[age]]&lt;=25,"18-25",IF(Table1[[#This Row],[age]]&lt;=35,"26-35",IF(Table1[[#This Row],[age]]&lt;=50,"36-50","51+")))</f>
        <v>18-25</v>
      </c>
      <c r="G1376" t="s">
        <v>34</v>
      </c>
      <c r="H1376" t="s">
        <v>25</v>
      </c>
      <c r="I1376" t="s">
        <v>298</v>
      </c>
      <c r="J1376" t="s">
        <v>36</v>
      </c>
      <c r="K1376" t="s">
        <v>76</v>
      </c>
      <c r="L1376">
        <v>6</v>
      </c>
      <c r="M1376">
        <v>2910.04</v>
      </c>
      <c r="N1376">
        <v>0.13</v>
      </c>
      <c r="O1376">
        <v>15810.15</v>
      </c>
      <c r="P1376">
        <v>5082.4799999999996</v>
      </c>
      <c r="Q1376">
        <v>63.67</v>
      </c>
      <c r="R1376" t="s">
        <v>57</v>
      </c>
      <c r="S1376">
        <v>5</v>
      </c>
      <c r="T1376" t="b">
        <v>0</v>
      </c>
      <c r="U1376" t="s">
        <v>93</v>
      </c>
      <c r="V1376">
        <v>4</v>
      </c>
    </row>
    <row r="1377" spans="1:22" x14ac:dyDescent="0.25">
      <c r="A1377" t="s">
        <v>3241</v>
      </c>
      <c r="B1377" s="1">
        <v>44161</v>
      </c>
      <c r="C1377" t="s">
        <v>3242</v>
      </c>
      <c r="D1377" t="s">
        <v>1281</v>
      </c>
      <c r="E1377">
        <v>23</v>
      </c>
      <c r="F1377" t="str">
        <f>IF(Table1[[#This Row],[age]]&lt;=25,"18-25",IF(Table1[[#This Row],[age]]&lt;=35,"26-35",IF(Table1[[#This Row],[age]]&lt;=50,"36-50","51+")))</f>
        <v>18-25</v>
      </c>
      <c r="G1377" t="s">
        <v>54</v>
      </c>
      <c r="H1377" t="s">
        <v>25</v>
      </c>
      <c r="I1377" t="s">
        <v>26</v>
      </c>
      <c r="J1377" t="s">
        <v>115</v>
      </c>
      <c r="K1377" t="s">
        <v>398</v>
      </c>
      <c r="L1377">
        <v>8</v>
      </c>
      <c r="M1377">
        <v>19009.3</v>
      </c>
      <c r="N1377">
        <v>0</v>
      </c>
      <c r="O1377">
        <v>113780.49</v>
      </c>
      <c r="P1377">
        <v>11022.35</v>
      </c>
      <c r="Q1377">
        <v>57.37</v>
      </c>
      <c r="R1377" t="s">
        <v>65</v>
      </c>
      <c r="S1377">
        <v>5</v>
      </c>
      <c r="T1377" t="b">
        <v>0</v>
      </c>
      <c r="U1377" t="s">
        <v>30</v>
      </c>
      <c r="V1377">
        <v>2</v>
      </c>
    </row>
    <row r="1378" spans="1:22" x14ac:dyDescent="0.25">
      <c r="A1378" t="s">
        <v>3243</v>
      </c>
      <c r="B1378" s="1">
        <v>45229</v>
      </c>
      <c r="C1378" t="s">
        <v>3244</v>
      </c>
      <c r="D1378" t="s">
        <v>702</v>
      </c>
      <c r="E1378">
        <v>40</v>
      </c>
      <c r="F1378" t="str">
        <f>IF(Table1[[#This Row],[age]]&lt;=25,"18-25",IF(Table1[[#This Row],[age]]&lt;=35,"26-35",IF(Table1[[#This Row],[age]]&lt;=50,"36-50","51+")))</f>
        <v>36-50</v>
      </c>
      <c r="G1378" t="s">
        <v>24</v>
      </c>
      <c r="H1378" t="s">
        <v>61</v>
      </c>
      <c r="I1378" t="s">
        <v>141</v>
      </c>
      <c r="J1378" t="s">
        <v>106</v>
      </c>
      <c r="K1378" t="s">
        <v>247</v>
      </c>
      <c r="L1378">
        <v>7</v>
      </c>
      <c r="M1378">
        <v>230.21</v>
      </c>
      <c r="N1378">
        <v>0.35</v>
      </c>
      <c r="O1378">
        <v>1210</v>
      </c>
      <c r="P1378">
        <v>147.47</v>
      </c>
      <c r="Q1378">
        <v>21.34</v>
      </c>
      <c r="R1378" t="s">
        <v>65</v>
      </c>
      <c r="S1378">
        <v>2</v>
      </c>
      <c r="T1378" t="b">
        <v>0</v>
      </c>
      <c r="U1378" t="s">
        <v>193</v>
      </c>
      <c r="V1378">
        <v>4</v>
      </c>
    </row>
    <row r="1379" spans="1:22" x14ac:dyDescent="0.25">
      <c r="A1379" t="s">
        <v>3245</v>
      </c>
      <c r="B1379" s="1">
        <v>43986</v>
      </c>
      <c r="C1379" t="s">
        <v>3246</v>
      </c>
      <c r="D1379" t="s">
        <v>2255</v>
      </c>
      <c r="E1379">
        <v>49</v>
      </c>
      <c r="F1379" t="str">
        <f>IF(Table1[[#This Row],[age]]&lt;=25,"18-25",IF(Table1[[#This Row],[age]]&lt;=35,"26-35",IF(Table1[[#This Row],[age]]&lt;=50,"36-50","51+")))</f>
        <v>36-50</v>
      </c>
      <c r="G1379" t="s">
        <v>54</v>
      </c>
      <c r="H1379" t="s">
        <v>69</v>
      </c>
      <c r="I1379" t="s">
        <v>181</v>
      </c>
      <c r="J1379" t="s">
        <v>27</v>
      </c>
      <c r="K1379" t="s">
        <v>480</v>
      </c>
      <c r="L1379">
        <v>7</v>
      </c>
      <c r="M1379">
        <v>1638.61</v>
      </c>
      <c r="N1379">
        <v>0.04</v>
      </c>
      <c r="O1379">
        <v>15243.16</v>
      </c>
      <c r="P1379">
        <v>6526.33</v>
      </c>
      <c r="Q1379">
        <v>72.09</v>
      </c>
      <c r="R1379" t="s">
        <v>49</v>
      </c>
      <c r="S1379">
        <v>2</v>
      </c>
      <c r="T1379" t="b">
        <v>0</v>
      </c>
      <c r="U1379" t="s">
        <v>93</v>
      </c>
      <c r="V1379">
        <v>8</v>
      </c>
    </row>
    <row r="1380" spans="1:22" x14ac:dyDescent="0.25">
      <c r="A1380" t="s">
        <v>3247</v>
      </c>
      <c r="B1380" s="1">
        <v>45216</v>
      </c>
      <c r="C1380" t="s">
        <v>3248</v>
      </c>
      <c r="D1380" t="s">
        <v>313</v>
      </c>
      <c r="E1380">
        <v>47</v>
      </c>
      <c r="F1380" t="str">
        <f>IF(Table1[[#This Row],[age]]&lt;=25,"18-25",IF(Table1[[#This Row],[age]]&lt;=35,"26-35",IF(Table1[[#This Row],[age]]&lt;=50,"36-50","51+")))</f>
        <v>36-50</v>
      </c>
      <c r="G1380" t="s">
        <v>34</v>
      </c>
      <c r="H1380" t="s">
        <v>61</v>
      </c>
      <c r="I1380" t="s">
        <v>62</v>
      </c>
      <c r="J1380" t="s">
        <v>36</v>
      </c>
      <c r="K1380" t="s">
        <v>132</v>
      </c>
      <c r="L1380">
        <v>5</v>
      </c>
      <c r="M1380">
        <v>30014.400000000001</v>
      </c>
      <c r="N1380">
        <v>0.11</v>
      </c>
      <c r="O1380">
        <v>131495.04999999999</v>
      </c>
      <c r="P1380">
        <v>42093.32</v>
      </c>
      <c r="Q1380">
        <v>-3.11</v>
      </c>
      <c r="R1380" t="s">
        <v>57</v>
      </c>
      <c r="S1380">
        <v>3</v>
      </c>
      <c r="T1380" t="b">
        <v>0</v>
      </c>
      <c r="U1380" t="s">
        <v>30</v>
      </c>
      <c r="V1380">
        <v>2</v>
      </c>
    </row>
    <row r="1381" spans="1:22" x14ac:dyDescent="0.25">
      <c r="A1381" t="s">
        <v>3249</v>
      </c>
      <c r="B1381" s="1">
        <v>44026</v>
      </c>
      <c r="C1381" t="s">
        <v>3250</v>
      </c>
      <c r="D1381" t="s">
        <v>321</v>
      </c>
      <c r="E1381">
        <v>49</v>
      </c>
      <c r="F1381" t="str">
        <f>IF(Table1[[#This Row],[age]]&lt;=25,"18-25",IF(Table1[[#This Row],[age]]&lt;=35,"26-35",IF(Table1[[#This Row],[age]]&lt;=50,"36-50","51+")))</f>
        <v>36-50</v>
      </c>
      <c r="G1381" t="s">
        <v>54</v>
      </c>
      <c r="H1381" t="s">
        <v>69</v>
      </c>
      <c r="I1381" t="s">
        <v>136</v>
      </c>
      <c r="J1381" t="s">
        <v>63</v>
      </c>
      <c r="K1381" t="s">
        <v>87</v>
      </c>
      <c r="L1381">
        <v>6</v>
      </c>
      <c r="M1381">
        <v>831.4</v>
      </c>
      <c r="N1381">
        <v>0.21</v>
      </c>
      <c r="O1381">
        <v>4736.01</v>
      </c>
      <c r="P1381">
        <v>1752.33</v>
      </c>
      <c r="Q1381">
        <v>85.94</v>
      </c>
      <c r="R1381" t="s">
        <v>65</v>
      </c>
      <c r="S1381">
        <v>3</v>
      </c>
      <c r="T1381" t="b">
        <v>0</v>
      </c>
      <c r="U1381" t="s">
        <v>30</v>
      </c>
      <c r="V1381">
        <v>1</v>
      </c>
    </row>
    <row r="1382" spans="1:22" x14ac:dyDescent="0.25">
      <c r="A1382" t="s">
        <v>3251</v>
      </c>
      <c r="B1382" s="1">
        <v>44667</v>
      </c>
      <c r="C1382" t="s">
        <v>3252</v>
      </c>
      <c r="D1382" t="s">
        <v>2107</v>
      </c>
      <c r="E1382">
        <v>51</v>
      </c>
      <c r="F1382" t="str">
        <f>IF(Table1[[#This Row],[age]]&lt;=25,"18-25",IF(Table1[[#This Row],[age]]&lt;=35,"26-35",IF(Table1[[#This Row],[age]]&lt;=50,"36-50","51+")))</f>
        <v>51+</v>
      </c>
      <c r="G1382" t="s">
        <v>34</v>
      </c>
      <c r="H1382" t="s">
        <v>25</v>
      </c>
      <c r="I1382" t="s">
        <v>35</v>
      </c>
      <c r="J1382" t="s">
        <v>27</v>
      </c>
      <c r="K1382" t="s">
        <v>480</v>
      </c>
      <c r="L1382">
        <v>7</v>
      </c>
      <c r="M1382">
        <v>1556.32</v>
      </c>
      <c r="N1382">
        <v>0.13</v>
      </c>
      <c r="O1382">
        <v>12767.61</v>
      </c>
      <c r="P1382">
        <v>6509.98</v>
      </c>
      <c r="Q1382">
        <v>58.7</v>
      </c>
      <c r="R1382" t="s">
        <v>65</v>
      </c>
      <c r="S1382">
        <v>5</v>
      </c>
      <c r="T1382" t="b">
        <v>0</v>
      </c>
      <c r="U1382" t="s">
        <v>30</v>
      </c>
      <c r="V1382">
        <v>9</v>
      </c>
    </row>
    <row r="1383" spans="1:22" x14ac:dyDescent="0.25">
      <c r="A1383" t="s">
        <v>3253</v>
      </c>
      <c r="B1383" s="1">
        <v>44443</v>
      </c>
      <c r="C1383" t="s">
        <v>3254</v>
      </c>
      <c r="D1383" t="s">
        <v>250</v>
      </c>
      <c r="E1383">
        <v>49</v>
      </c>
      <c r="F1383" t="str">
        <f>IF(Table1[[#This Row],[age]]&lt;=25,"18-25",IF(Table1[[#This Row],[age]]&lt;=35,"26-35",IF(Table1[[#This Row],[age]]&lt;=50,"36-50","51+")))</f>
        <v>36-50</v>
      </c>
      <c r="G1383" t="s">
        <v>24</v>
      </c>
      <c r="H1383" t="s">
        <v>69</v>
      </c>
      <c r="I1383" t="s">
        <v>221</v>
      </c>
      <c r="J1383" t="s">
        <v>101</v>
      </c>
      <c r="K1383" t="s">
        <v>102</v>
      </c>
      <c r="L1383">
        <v>2</v>
      </c>
      <c r="M1383">
        <v>3995.9</v>
      </c>
      <c r="N1383">
        <v>0.28000000000000003</v>
      </c>
      <c r="O1383">
        <v>6264.27</v>
      </c>
      <c r="P1383">
        <v>1979.87</v>
      </c>
      <c r="Q1383">
        <v>89.09</v>
      </c>
      <c r="R1383" t="s">
        <v>29</v>
      </c>
      <c r="S1383">
        <v>5</v>
      </c>
      <c r="T1383" t="b">
        <v>0</v>
      </c>
      <c r="U1383" t="s">
        <v>30</v>
      </c>
      <c r="V1383">
        <v>7</v>
      </c>
    </row>
    <row r="1384" spans="1:22" x14ac:dyDescent="0.25">
      <c r="A1384" t="s">
        <v>3255</v>
      </c>
      <c r="B1384" s="1">
        <v>44538</v>
      </c>
      <c r="C1384" t="s">
        <v>3256</v>
      </c>
      <c r="D1384" t="s">
        <v>862</v>
      </c>
      <c r="E1384">
        <v>37</v>
      </c>
      <c r="F1384" t="str">
        <f>IF(Table1[[#This Row],[age]]&lt;=25,"18-25",IF(Table1[[#This Row],[age]]&lt;=35,"26-35",IF(Table1[[#This Row],[age]]&lt;=50,"36-50","51+")))</f>
        <v>36-50</v>
      </c>
      <c r="G1384" t="s">
        <v>54</v>
      </c>
      <c r="H1384" t="s">
        <v>25</v>
      </c>
      <c r="I1384" t="s">
        <v>26</v>
      </c>
      <c r="J1384" t="s">
        <v>47</v>
      </c>
      <c r="K1384" t="s">
        <v>600</v>
      </c>
      <c r="L1384">
        <v>7</v>
      </c>
      <c r="M1384">
        <v>762.53</v>
      </c>
      <c r="N1384">
        <v>0.39</v>
      </c>
      <c r="O1384">
        <v>2355.0100000000002</v>
      </c>
      <c r="P1384">
        <v>1196.24</v>
      </c>
      <c r="Q1384">
        <v>65.27</v>
      </c>
      <c r="R1384" t="s">
        <v>43</v>
      </c>
      <c r="S1384">
        <v>4</v>
      </c>
      <c r="T1384" t="b">
        <v>0</v>
      </c>
      <c r="U1384" t="s">
        <v>71</v>
      </c>
      <c r="V1384">
        <v>5</v>
      </c>
    </row>
    <row r="1385" spans="1:22" x14ac:dyDescent="0.25">
      <c r="A1385" t="s">
        <v>3257</v>
      </c>
      <c r="B1385" s="1">
        <v>43893</v>
      </c>
      <c r="C1385" t="s">
        <v>3258</v>
      </c>
      <c r="D1385" t="s">
        <v>3259</v>
      </c>
      <c r="E1385">
        <v>33</v>
      </c>
      <c r="F1385" t="str">
        <f>IF(Table1[[#This Row],[age]]&lt;=25,"18-25",IF(Table1[[#This Row],[age]]&lt;=35,"26-35",IF(Table1[[#This Row],[age]]&lt;=50,"36-50","51+")))</f>
        <v>26-35</v>
      </c>
      <c r="G1385" t="s">
        <v>24</v>
      </c>
      <c r="H1385" t="s">
        <v>55</v>
      </c>
      <c r="I1385" t="s">
        <v>97</v>
      </c>
      <c r="J1385" t="s">
        <v>101</v>
      </c>
      <c r="K1385" t="s">
        <v>456</v>
      </c>
      <c r="L1385">
        <v>3</v>
      </c>
      <c r="M1385">
        <v>13678.04</v>
      </c>
      <c r="N1385">
        <v>0.12</v>
      </c>
      <c r="O1385">
        <v>35996.57</v>
      </c>
      <c r="P1385">
        <v>7972.68</v>
      </c>
      <c r="Q1385">
        <v>67.88</v>
      </c>
      <c r="R1385" t="s">
        <v>57</v>
      </c>
      <c r="S1385">
        <v>4</v>
      </c>
      <c r="T1385" t="b">
        <v>0</v>
      </c>
      <c r="U1385" t="s">
        <v>30</v>
      </c>
      <c r="V1385">
        <v>8</v>
      </c>
    </row>
    <row r="1386" spans="1:22" x14ac:dyDescent="0.25">
      <c r="A1386" t="s">
        <v>3260</v>
      </c>
      <c r="B1386" s="1">
        <v>45146</v>
      </c>
      <c r="C1386" t="s">
        <v>3261</v>
      </c>
      <c r="D1386" t="s">
        <v>879</v>
      </c>
      <c r="E1386">
        <v>39</v>
      </c>
      <c r="F1386" t="str">
        <f>IF(Table1[[#This Row],[age]]&lt;=25,"18-25",IF(Table1[[#This Row],[age]]&lt;=35,"26-35",IF(Table1[[#This Row],[age]]&lt;=50,"36-50","51+")))</f>
        <v>36-50</v>
      </c>
      <c r="G1386" t="s">
        <v>54</v>
      </c>
      <c r="H1386" t="s">
        <v>69</v>
      </c>
      <c r="I1386" t="s">
        <v>70</v>
      </c>
      <c r="J1386" t="s">
        <v>27</v>
      </c>
      <c r="K1386" t="s">
        <v>28</v>
      </c>
      <c r="L1386">
        <v>5</v>
      </c>
      <c r="M1386">
        <v>781.43</v>
      </c>
      <c r="N1386">
        <v>0.3</v>
      </c>
      <c r="O1386">
        <v>3859.69</v>
      </c>
      <c r="P1386">
        <v>2172.08</v>
      </c>
      <c r="Q1386">
        <v>63.85</v>
      </c>
      <c r="R1386" t="s">
        <v>43</v>
      </c>
      <c r="S1386">
        <v>3</v>
      </c>
      <c r="T1386" t="b">
        <v>0</v>
      </c>
      <c r="U1386" t="s">
        <v>30</v>
      </c>
      <c r="V1386">
        <v>8</v>
      </c>
    </row>
    <row r="1387" spans="1:22" x14ac:dyDescent="0.25">
      <c r="A1387" t="s">
        <v>3262</v>
      </c>
      <c r="B1387" s="1">
        <v>44593</v>
      </c>
      <c r="C1387" t="s">
        <v>3263</v>
      </c>
      <c r="D1387" t="s">
        <v>542</v>
      </c>
      <c r="E1387">
        <v>38</v>
      </c>
      <c r="F1387" t="str">
        <f>IF(Table1[[#This Row],[age]]&lt;=25,"18-25",IF(Table1[[#This Row],[age]]&lt;=35,"26-35",IF(Table1[[#This Row],[age]]&lt;=50,"36-50","51+")))</f>
        <v>36-50</v>
      </c>
      <c r="G1387" t="s">
        <v>24</v>
      </c>
      <c r="H1387" t="s">
        <v>61</v>
      </c>
      <c r="I1387" t="s">
        <v>141</v>
      </c>
      <c r="J1387" t="s">
        <v>36</v>
      </c>
      <c r="K1387" t="s">
        <v>230</v>
      </c>
      <c r="L1387">
        <v>6</v>
      </c>
      <c r="M1387">
        <v>33340.199999999997</v>
      </c>
      <c r="N1387">
        <v>0.09</v>
      </c>
      <c r="O1387">
        <v>161632.18</v>
      </c>
      <c r="P1387">
        <v>59885</v>
      </c>
      <c r="Q1387">
        <v>37.520000000000003</v>
      </c>
      <c r="R1387" t="s">
        <v>57</v>
      </c>
      <c r="S1387">
        <v>3</v>
      </c>
      <c r="T1387" t="b">
        <v>0</v>
      </c>
      <c r="U1387" t="s">
        <v>71</v>
      </c>
      <c r="V1387">
        <v>7</v>
      </c>
    </row>
    <row r="1388" spans="1:22" x14ac:dyDescent="0.25">
      <c r="A1388" t="s">
        <v>3264</v>
      </c>
      <c r="B1388" s="1">
        <v>45627</v>
      </c>
      <c r="C1388" t="s">
        <v>3265</v>
      </c>
      <c r="D1388" t="s">
        <v>502</v>
      </c>
      <c r="E1388">
        <v>39</v>
      </c>
      <c r="F1388" t="str">
        <f>IF(Table1[[#This Row],[age]]&lt;=25,"18-25",IF(Table1[[#This Row],[age]]&lt;=35,"26-35",IF(Table1[[#This Row],[age]]&lt;=50,"36-50","51+")))</f>
        <v>36-50</v>
      </c>
      <c r="G1388" t="s">
        <v>24</v>
      </c>
      <c r="H1388" t="s">
        <v>55</v>
      </c>
      <c r="I1388" t="s">
        <v>114</v>
      </c>
      <c r="J1388" t="s">
        <v>27</v>
      </c>
      <c r="K1388" t="s">
        <v>28</v>
      </c>
      <c r="L1388">
        <v>8</v>
      </c>
      <c r="M1388">
        <v>1289.19</v>
      </c>
      <c r="N1388">
        <v>0.15</v>
      </c>
      <c r="O1388">
        <v>9301.9500000000007</v>
      </c>
      <c r="P1388">
        <v>4080.67</v>
      </c>
      <c r="Q1388">
        <v>43.57</v>
      </c>
      <c r="R1388" t="s">
        <v>43</v>
      </c>
      <c r="S1388">
        <v>1</v>
      </c>
      <c r="T1388" t="b">
        <v>0</v>
      </c>
      <c r="U1388" t="s">
        <v>71</v>
      </c>
      <c r="V1388">
        <v>2</v>
      </c>
    </row>
    <row r="1389" spans="1:22" x14ac:dyDescent="0.25">
      <c r="A1389" t="s">
        <v>3266</v>
      </c>
      <c r="B1389" s="1">
        <v>44824</v>
      </c>
      <c r="C1389" t="s">
        <v>3267</v>
      </c>
      <c r="D1389" t="s">
        <v>343</v>
      </c>
      <c r="E1389">
        <v>33</v>
      </c>
      <c r="F1389" t="str">
        <f>IF(Table1[[#This Row],[age]]&lt;=25,"18-25",IF(Table1[[#This Row],[age]]&lt;=35,"26-35",IF(Table1[[#This Row],[age]]&lt;=50,"36-50","51+")))</f>
        <v>26-35</v>
      </c>
      <c r="G1389" t="s">
        <v>24</v>
      </c>
      <c r="H1389" t="s">
        <v>80</v>
      </c>
      <c r="I1389" t="s">
        <v>81</v>
      </c>
      <c r="J1389" t="s">
        <v>36</v>
      </c>
      <c r="K1389" t="s">
        <v>76</v>
      </c>
      <c r="L1389">
        <v>10</v>
      </c>
      <c r="M1389">
        <v>29389.24</v>
      </c>
      <c r="N1389">
        <v>0.04</v>
      </c>
      <c r="O1389">
        <v>314322.83</v>
      </c>
      <c r="P1389">
        <v>104400.15</v>
      </c>
      <c r="Q1389">
        <v>66.52</v>
      </c>
      <c r="R1389" t="s">
        <v>49</v>
      </c>
      <c r="S1389">
        <v>1</v>
      </c>
      <c r="T1389" t="b">
        <v>0</v>
      </c>
      <c r="U1389" t="s">
        <v>30</v>
      </c>
      <c r="V1389">
        <v>6</v>
      </c>
    </row>
    <row r="1390" spans="1:22" x14ac:dyDescent="0.25">
      <c r="A1390" t="s">
        <v>3268</v>
      </c>
      <c r="B1390" s="1">
        <v>45163</v>
      </c>
      <c r="C1390" t="s">
        <v>3269</v>
      </c>
      <c r="D1390" t="s">
        <v>1825</v>
      </c>
      <c r="E1390">
        <v>51</v>
      </c>
      <c r="F1390" t="str">
        <f>IF(Table1[[#This Row],[age]]&lt;=25,"18-25",IF(Table1[[#This Row],[age]]&lt;=35,"26-35",IF(Table1[[#This Row],[age]]&lt;=50,"36-50","51+")))</f>
        <v>51+</v>
      </c>
      <c r="G1390" t="s">
        <v>24</v>
      </c>
      <c r="H1390" t="s">
        <v>25</v>
      </c>
      <c r="I1390" t="s">
        <v>26</v>
      </c>
      <c r="J1390" t="s">
        <v>27</v>
      </c>
      <c r="K1390" t="s">
        <v>168</v>
      </c>
      <c r="L1390">
        <v>4</v>
      </c>
      <c r="M1390">
        <v>173.98</v>
      </c>
      <c r="N1390">
        <v>0.25</v>
      </c>
      <c r="O1390">
        <v>855.12</v>
      </c>
      <c r="P1390">
        <v>447.82</v>
      </c>
      <c r="Q1390">
        <v>73.28</v>
      </c>
      <c r="R1390" t="s">
        <v>49</v>
      </c>
      <c r="S1390">
        <v>1</v>
      </c>
      <c r="T1390" t="b">
        <v>0</v>
      </c>
      <c r="U1390" t="s">
        <v>30</v>
      </c>
      <c r="V1390">
        <v>7</v>
      </c>
    </row>
    <row r="1391" spans="1:22" x14ac:dyDescent="0.25">
      <c r="A1391" t="s">
        <v>3270</v>
      </c>
      <c r="B1391" s="1">
        <v>44529</v>
      </c>
      <c r="C1391" t="s">
        <v>3271</v>
      </c>
      <c r="D1391" t="s">
        <v>1483</v>
      </c>
      <c r="E1391">
        <v>46</v>
      </c>
      <c r="F1391" t="str">
        <f>IF(Table1[[#This Row],[age]]&lt;=25,"18-25",IF(Table1[[#This Row],[age]]&lt;=35,"26-35",IF(Table1[[#This Row],[age]]&lt;=50,"36-50","51+")))</f>
        <v>36-50</v>
      </c>
      <c r="G1391" t="s">
        <v>34</v>
      </c>
      <c r="H1391" t="s">
        <v>25</v>
      </c>
      <c r="I1391" t="s">
        <v>41</v>
      </c>
      <c r="J1391" t="s">
        <v>47</v>
      </c>
      <c r="K1391" t="s">
        <v>156</v>
      </c>
      <c r="L1391">
        <v>2</v>
      </c>
      <c r="M1391">
        <v>756.72</v>
      </c>
      <c r="N1391">
        <v>0.33</v>
      </c>
      <c r="O1391">
        <v>749.27</v>
      </c>
      <c r="P1391">
        <v>238.75</v>
      </c>
      <c r="Q1391">
        <v>80.16</v>
      </c>
      <c r="R1391" t="s">
        <v>65</v>
      </c>
      <c r="S1391">
        <v>2</v>
      </c>
      <c r="T1391" t="b">
        <v>0</v>
      </c>
      <c r="U1391" t="s">
        <v>30</v>
      </c>
      <c r="V1391">
        <v>2</v>
      </c>
    </row>
    <row r="1392" spans="1:22" x14ac:dyDescent="0.25">
      <c r="A1392" t="s">
        <v>3272</v>
      </c>
      <c r="B1392" s="1">
        <v>45492</v>
      </c>
      <c r="C1392" t="s">
        <v>3273</v>
      </c>
      <c r="D1392" t="s">
        <v>826</v>
      </c>
      <c r="E1392">
        <v>42</v>
      </c>
      <c r="F1392" t="str">
        <f>IF(Table1[[#This Row],[age]]&lt;=25,"18-25",IF(Table1[[#This Row],[age]]&lt;=35,"26-35",IF(Table1[[#This Row],[age]]&lt;=50,"36-50","51+")))</f>
        <v>36-50</v>
      </c>
      <c r="G1392" t="s">
        <v>24</v>
      </c>
      <c r="H1392" t="s">
        <v>55</v>
      </c>
      <c r="I1392" t="s">
        <v>75</v>
      </c>
      <c r="J1392" t="s">
        <v>47</v>
      </c>
      <c r="K1392" t="s">
        <v>48</v>
      </c>
      <c r="L1392">
        <v>1</v>
      </c>
      <c r="M1392">
        <v>329.58</v>
      </c>
      <c r="N1392">
        <v>0.11</v>
      </c>
      <c r="O1392">
        <v>558.63</v>
      </c>
      <c r="P1392">
        <v>235.62</v>
      </c>
      <c r="Q1392">
        <v>62.65</v>
      </c>
      <c r="R1392" t="s">
        <v>92</v>
      </c>
      <c r="S1392">
        <v>1</v>
      </c>
      <c r="T1392" t="b">
        <v>0</v>
      </c>
      <c r="U1392" t="s">
        <v>30</v>
      </c>
      <c r="V1392">
        <v>10</v>
      </c>
    </row>
    <row r="1393" spans="1:22" x14ac:dyDescent="0.25">
      <c r="A1393" t="s">
        <v>3274</v>
      </c>
      <c r="B1393" s="1">
        <v>43985</v>
      </c>
      <c r="C1393" t="s">
        <v>3275</v>
      </c>
      <c r="D1393" t="s">
        <v>423</v>
      </c>
      <c r="E1393">
        <v>23</v>
      </c>
      <c r="F1393" t="str">
        <f>IF(Table1[[#This Row],[age]]&lt;=25,"18-25",IF(Table1[[#This Row],[age]]&lt;=35,"26-35",IF(Table1[[#This Row],[age]]&lt;=50,"36-50","51+")))</f>
        <v>18-25</v>
      </c>
      <c r="G1393" t="s">
        <v>54</v>
      </c>
      <c r="H1393" t="s">
        <v>69</v>
      </c>
      <c r="I1393" t="s">
        <v>221</v>
      </c>
      <c r="J1393" t="s">
        <v>106</v>
      </c>
      <c r="K1393" t="s">
        <v>718</v>
      </c>
      <c r="L1393">
        <v>1</v>
      </c>
      <c r="M1393">
        <v>362.29</v>
      </c>
      <c r="N1393">
        <v>0.22</v>
      </c>
      <c r="O1393">
        <v>379.74</v>
      </c>
      <c r="P1393">
        <v>23.08</v>
      </c>
      <c r="Q1393">
        <v>80.099999999999994</v>
      </c>
      <c r="R1393" t="s">
        <v>65</v>
      </c>
      <c r="S1393">
        <v>3</v>
      </c>
      <c r="T1393" t="b">
        <v>0</v>
      </c>
      <c r="U1393" t="s">
        <v>30</v>
      </c>
      <c r="V1393">
        <v>8</v>
      </c>
    </row>
    <row r="1394" spans="1:22" x14ac:dyDescent="0.25">
      <c r="A1394" t="s">
        <v>3276</v>
      </c>
      <c r="B1394" s="1">
        <v>45076</v>
      </c>
      <c r="C1394" t="s">
        <v>3277</v>
      </c>
      <c r="D1394" t="s">
        <v>705</v>
      </c>
      <c r="E1394">
        <v>42</v>
      </c>
      <c r="F1394" t="str">
        <f>IF(Table1[[#This Row],[age]]&lt;=25,"18-25",IF(Table1[[#This Row],[age]]&lt;=35,"26-35",IF(Table1[[#This Row],[age]]&lt;=50,"36-50","51+")))</f>
        <v>36-50</v>
      </c>
      <c r="G1394" t="s">
        <v>54</v>
      </c>
      <c r="H1394" t="s">
        <v>61</v>
      </c>
      <c r="I1394" t="s">
        <v>141</v>
      </c>
      <c r="J1394" t="s">
        <v>27</v>
      </c>
      <c r="K1394" t="s">
        <v>168</v>
      </c>
      <c r="L1394">
        <v>5</v>
      </c>
      <c r="M1394">
        <v>2006.42</v>
      </c>
      <c r="N1394">
        <v>0.04</v>
      </c>
      <c r="O1394">
        <v>17279.23</v>
      </c>
      <c r="P1394">
        <v>8223.67</v>
      </c>
      <c r="Q1394">
        <v>34.08</v>
      </c>
      <c r="R1394" t="s">
        <v>49</v>
      </c>
      <c r="S1394">
        <v>3</v>
      </c>
      <c r="T1394" t="b">
        <v>0</v>
      </c>
      <c r="U1394" t="s">
        <v>30</v>
      </c>
      <c r="V1394">
        <v>3</v>
      </c>
    </row>
    <row r="1395" spans="1:22" x14ac:dyDescent="0.25">
      <c r="A1395" t="s">
        <v>3278</v>
      </c>
      <c r="B1395" s="1">
        <v>44853</v>
      </c>
      <c r="C1395" t="s">
        <v>3279</v>
      </c>
      <c r="D1395" t="s">
        <v>871</v>
      </c>
      <c r="E1395">
        <v>39</v>
      </c>
      <c r="F1395" t="str">
        <f>IF(Table1[[#This Row],[age]]&lt;=25,"18-25",IF(Table1[[#This Row],[age]]&lt;=35,"26-35",IF(Table1[[#This Row],[age]]&lt;=50,"36-50","51+")))</f>
        <v>36-50</v>
      </c>
      <c r="G1395" t="s">
        <v>34</v>
      </c>
      <c r="H1395" t="s">
        <v>80</v>
      </c>
      <c r="I1395" t="s">
        <v>242</v>
      </c>
      <c r="J1395" t="s">
        <v>27</v>
      </c>
      <c r="K1395" t="s">
        <v>128</v>
      </c>
      <c r="L1395">
        <v>7</v>
      </c>
      <c r="M1395">
        <v>128.30000000000001</v>
      </c>
      <c r="N1395">
        <v>0.24</v>
      </c>
      <c r="O1395">
        <v>712.63</v>
      </c>
      <c r="P1395">
        <v>385.99</v>
      </c>
      <c r="Q1395">
        <v>51.66</v>
      </c>
      <c r="R1395" t="s">
        <v>49</v>
      </c>
      <c r="S1395">
        <v>1</v>
      </c>
      <c r="T1395" t="b">
        <v>0</v>
      </c>
      <c r="U1395" t="s">
        <v>71</v>
      </c>
      <c r="V1395">
        <v>4</v>
      </c>
    </row>
    <row r="1396" spans="1:22" x14ac:dyDescent="0.25">
      <c r="A1396" t="s">
        <v>3280</v>
      </c>
      <c r="B1396" s="1">
        <v>44448</v>
      </c>
      <c r="C1396" t="s">
        <v>3281</v>
      </c>
      <c r="D1396" t="s">
        <v>1456</v>
      </c>
      <c r="E1396">
        <v>32</v>
      </c>
      <c r="F1396" t="str">
        <f>IF(Table1[[#This Row],[age]]&lt;=25,"18-25",IF(Table1[[#This Row],[age]]&lt;=35,"26-35",IF(Table1[[#This Row],[age]]&lt;=50,"36-50","51+")))</f>
        <v>26-35</v>
      </c>
      <c r="G1396" t="s">
        <v>54</v>
      </c>
      <c r="H1396" t="s">
        <v>69</v>
      </c>
      <c r="I1396" t="s">
        <v>221</v>
      </c>
      <c r="J1396" t="s">
        <v>27</v>
      </c>
      <c r="K1396" t="s">
        <v>28</v>
      </c>
      <c r="L1396">
        <v>10</v>
      </c>
      <c r="M1396">
        <v>1927.01</v>
      </c>
      <c r="N1396">
        <v>0.23</v>
      </c>
      <c r="O1396">
        <v>14983.29</v>
      </c>
      <c r="P1396">
        <v>6280.5</v>
      </c>
      <c r="Q1396">
        <v>52.73</v>
      </c>
      <c r="R1396" t="s">
        <v>49</v>
      </c>
      <c r="S1396">
        <v>3</v>
      </c>
      <c r="T1396" t="b">
        <v>0</v>
      </c>
      <c r="U1396" t="s">
        <v>30</v>
      </c>
      <c r="V1396">
        <v>9</v>
      </c>
    </row>
    <row r="1397" spans="1:22" x14ac:dyDescent="0.25">
      <c r="A1397" t="s">
        <v>3282</v>
      </c>
      <c r="B1397" s="1">
        <v>45618</v>
      </c>
      <c r="C1397" t="s">
        <v>3283</v>
      </c>
      <c r="D1397" t="s">
        <v>646</v>
      </c>
      <c r="E1397">
        <v>23</v>
      </c>
      <c r="F1397" t="str">
        <f>IF(Table1[[#This Row],[age]]&lt;=25,"18-25",IF(Table1[[#This Row],[age]]&lt;=35,"26-35",IF(Table1[[#This Row],[age]]&lt;=50,"36-50","51+")))</f>
        <v>18-25</v>
      </c>
      <c r="G1397" t="s">
        <v>34</v>
      </c>
      <c r="H1397" t="s">
        <v>55</v>
      </c>
      <c r="I1397" t="s">
        <v>97</v>
      </c>
      <c r="J1397" t="s">
        <v>63</v>
      </c>
      <c r="K1397" t="s">
        <v>87</v>
      </c>
      <c r="L1397">
        <v>8</v>
      </c>
      <c r="M1397">
        <v>3689.55</v>
      </c>
      <c r="N1397">
        <v>0.36</v>
      </c>
      <c r="O1397">
        <v>22365.27</v>
      </c>
      <c r="P1397">
        <v>6339.32</v>
      </c>
      <c r="Q1397">
        <v>82.16</v>
      </c>
      <c r="R1397" t="s">
        <v>29</v>
      </c>
      <c r="S1397">
        <v>4</v>
      </c>
      <c r="T1397" t="b">
        <v>0</v>
      </c>
      <c r="U1397" t="s">
        <v>193</v>
      </c>
      <c r="V1397">
        <v>4</v>
      </c>
    </row>
    <row r="1398" spans="1:22" x14ac:dyDescent="0.25">
      <c r="A1398" t="s">
        <v>3284</v>
      </c>
      <c r="B1398" s="1">
        <v>45107</v>
      </c>
      <c r="C1398" t="s">
        <v>3285</v>
      </c>
      <c r="D1398" t="s">
        <v>1341</v>
      </c>
      <c r="E1398">
        <v>41</v>
      </c>
      <c r="F1398" t="str">
        <f>IF(Table1[[#This Row],[age]]&lt;=25,"18-25",IF(Table1[[#This Row],[age]]&lt;=35,"26-35",IF(Table1[[#This Row],[age]]&lt;=50,"36-50","51+")))</f>
        <v>36-50</v>
      </c>
      <c r="G1398" t="s">
        <v>24</v>
      </c>
      <c r="H1398" t="s">
        <v>61</v>
      </c>
      <c r="I1398" t="s">
        <v>62</v>
      </c>
      <c r="J1398" t="s">
        <v>101</v>
      </c>
      <c r="K1398" t="s">
        <v>318</v>
      </c>
      <c r="L1398">
        <v>9</v>
      </c>
      <c r="M1398">
        <v>6912.54</v>
      </c>
      <c r="N1398">
        <v>0.01</v>
      </c>
      <c r="O1398">
        <v>98451.07</v>
      </c>
      <c r="P1398">
        <v>24585.48</v>
      </c>
      <c r="Q1398">
        <v>74.650000000000006</v>
      </c>
      <c r="R1398" t="s">
        <v>57</v>
      </c>
      <c r="S1398">
        <v>5</v>
      </c>
      <c r="T1398" t="b">
        <v>0</v>
      </c>
      <c r="U1398" t="s">
        <v>30</v>
      </c>
      <c r="V1398">
        <v>6</v>
      </c>
    </row>
    <row r="1399" spans="1:22" x14ac:dyDescent="0.25">
      <c r="A1399" t="s">
        <v>3286</v>
      </c>
      <c r="B1399" s="1">
        <v>43982</v>
      </c>
      <c r="C1399" t="s">
        <v>3287</v>
      </c>
      <c r="D1399" t="s">
        <v>496</v>
      </c>
      <c r="E1399">
        <v>35</v>
      </c>
      <c r="F1399" t="str">
        <f>IF(Table1[[#This Row],[age]]&lt;=25,"18-25",IF(Table1[[#This Row],[age]]&lt;=35,"26-35",IF(Table1[[#This Row],[age]]&lt;=50,"36-50","51+")))</f>
        <v>26-35</v>
      </c>
      <c r="G1399" t="s">
        <v>24</v>
      </c>
      <c r="H1399" t="s">
        <v>80</v>
      </c>
      <c r="I1399" t="s">
        <v>81</v>
      </c>
      <c r="J1399" t="s">
        <v>36</v>
      </c>
      <c r="K1399" t="s">
        <v>230</v>
      </c>
      <c r="L1399">
        <v>4</v>
      </c>
      <c r="M1399">
        <v>14963.38</v>
      </c>
      <c r="N1399">
        <v>0.04</v>
      </c>
      <c r="O1399">
        <v>67902.84</v>
      </c>
      <c r="P1399">
        <v>22163.23</v>
      </c>
      <c r="Q1399">
        <v>68.709999999999994</v>
      </c>
      <c r="R1399" t="s">
        <v>49</v>
      </c>
      <c r="S1399">
        <v>3</v>
      </c>
      <c r="T1399" t="b">
        <v>0</v>
      </c>
      <c r="U1399" t="s">
        <v>30</v>
      </c>
      <c r="V1399">
        <v>8</v>
      </c>
    </row>
    <row r="1400" spans="1:22" x14ac:dyDescent="0.25">
      <c r="A1400" t="s">
        <v>3288</v>
      </c>
      <c r="B1400" s="1">
        <v>44061</v>
      </c>
      <c r="C1400" t="s">
        <v>3289</v>
      </c>
      <c r="D1400" t="s">
        <v>977</v>
      </c>
      <c r="E1400">
        <v>49</v>
      </c>
      <c r="F1400" t="str">
        <f>IF(Table1[[#This Row],[age]]&lt;=25,"18-25",IF(Table1[[#This Row],[age]]&lt;=35,"26-35",IF(Table1[[#This Row],[age]]&lt;=50,"36-50","51+")))</f>
        <v>36-50</v>
      </c>
      <c r="G1400" t="s">
        <v>34</v>
      </c>
      <c r="H1400" t="s">
        <v>25</v>
      </c>
      <c r="I1400" t="s">
        <v>26</v>
      </c>
      <c r="J1400" t="s">
        <v>47</v>
      </c>
      <c r="K1400" t="s">
        <v>204</v>
      </c>
      <c r="L1400">
        <v>1</v>
      </c>
      <c r="M1400">
        <v>1155.8800000000001</v>
      </c>
      <c r="N1400">
        <v>0.37</v>
      </c>
      <c r="O1400">
        <v>743.9</v>
      </c>
      <c r="P1400">
        <v>208.47</v>
      </c>
      <c r="Q1400">
        <v>59.74</v>
      </c>
      <c r="R1400" t="s">
        <v>29</v>
      </c>
      <c r="S1400">
        <v>4</v>
      </c>
      <c r="T1400" t="b">
        <v>0</v>
      </c>
      <c r="U1400" t="s">
        <v>30</v>
      </c>
      <c r="V1400">
        <v>1</v>
      </c>
    </row>
    <row r="1401" spans="1:22" x14ac:dyDescent="0.25">
      <c r="A1401" t="s">
        <v>3290</v>
      </c>
      <c r="B1401" s="1">
        <v>44250</v>
      </c>
      <c r="C1401" t="s">
        <v>3291</v>
      </c>
      <c r="D1401" t="s">
        <v>1445</v>
      </c>
      <c r="E1401">
        <v>46</v>
      </c>
      <c r="F1401" t="str">
        <f>IF(Table1[[#This Row],[age]]&lt;=25,"18-25",IF(Table1[[#This Row],[age]]&lt;=35,"26-35",IF(Table1[[#This Row],[age]]&lt;=50,"36-50","51+")))</f>
        <v>36-50</v>
      </c>
      <c r="G1401" t="s">
        <v>24</v>
      </c>
      <c r="H1401" t="s">
        <v>80</v>
      </c>
      <c r="I1401" t="s">
        <v>81</v>
      </c>
      <c r="J1401" t="s">
        <v>115</v>
      </c>
      <c r="K1401" t="s">
        <v>545</v>
      </c>
      <c r="L1401">
        <v>4</v>
      </c>
      <c r="M1401">
        <v>69413.05</v>
      </c>
      <c r="N1401">
        <v>0.19</v>
      </c>
      <c r="O1401">
        <v>236615.76</v>
      </c>
      <c r="P1401">
        <v>20189.990000000002</v>
      </c>
      <c r="Q1401">
        <v>74.25</v>
      </c>
      <c r="R1401" t="s">
        <v>43</v>
      </c>
      <c r="S1401">
        <v>2</v>
      </c>
      <c r="T1401" t="b">
        <v>0</v>
      </c>
      <c r="U1401" t="s">
        <v>71</v>
      </c>
      <c r="V1401">
        <v>7</v>
      </c>
    </row>
    <row r="1402" spans="1:22" x14ac:dyDescent="0.25">
      <c r="A1402" t="s">
        <v>3292</v>
      </c>
      <c r="B1402" s="1">
        <v>44593</v>
      </c>
      <c r="C1402" t="s">
        <v>3293</v>
      </c>
      <c r="D1402" t="s">
        <v>40</v>
      </c>
      <c r="E1402">
        <v>36</v>
      </c>
      <c r="F1402" t="str">
        <f>IF(Table1[[#This Row],[age]]&lt;=25,"18-25",IF(Table1[[#This Row],[age]]&lt;=35,"26-35",IF(Table1[[#This Row],[age]]&lt;=50,"36-50","51+")))</f>
        <v>36-50</v>
      </c>
      <c r="G1402" t="s">
        <v>24</v>
      </c>
      <c r="H1402" t="s">
        <v>61</v>
      </c>
      <c r="I1402" t="s">
        <v>141</v>
      </c>
      <c r="J1402" t="s">
        <v>115</v>
      </c>
      <c r="K1402" t="s">
        <v>398</v>
      </c>
      <c r="L1402">
        <v>1</v>
      </c>
      <c r="M1402">
        <v>21382.9</v>
      </c>
      <c r="N1402">
        <v>0.19</v>
      </c>
      <c r="O1402">
        <v>18387.23</v>
      </c>
      <c r="P1402">
        <v>1757.16</v>
      </c>
      <c r="Q1402">
        <v>13.65</v>
      </c>
      <c r="R1402" t="s">
        <v>49</v>
      </c>
      <c r="S1402">
        <v>5</v>
      </c>
      <c r="T1402" t="b">
        <v>0</v>
      </c>
      <c r="U1402" t="s">
        <v>30</v>
      </c>
      <c r="V1402">
        <v>6</v>
      </c>
    </row>
    <row r="1403" spans="1:22" x14ac:dyDescent="0.25">
      <c r="A1403" t="s">
        <v>3294</v>
      </c>
      <c r="B1403" s="1">
        <v>44831</v>
      </c>
      <c r="C1403" t="s">
        <v>3295</v>
      </c>
      <c r="D1403" t="s">
        <v>1178</v>
      </c>
      <c r="E1403">
        <v>35</v>
      </c>
      <c r="F1403" t="str">
        <f>IF(Table1[[#This Row],[age]]&lt;=25,"18-25",IF(Table1[[#This Row],[age]]&lt;=35,"26-35",IF(Table1[[#This Row],[age]]&lt;=50,"36-50","51+")))</f>
        <v>26-35</v>
      </c>
      <c r="G1403" t="s">
        <v>24</v>
      </c>
      <c r="H1403" t="s">
        <v>25</v>
      </c>
      <c r="I1403" t="s">
        <v>298</v>
      </c>
      <c r="J1403" t="s">
        <v>36</v>
      </c>
      <c r="K1403" t="s">
        <v>42</v>
      </c>
      <c r="L1403">
        <v>6</v>
      </c>
      <c r="M1403">
        <v>4727.2</v>
      </c>
      <c r="N1403">
        <v>0.3</v>
      </c>
      <c r="O1403">
        <v>22747.1</v>
      </c>
      <c r="P1403">
        <v>6128.52</v>
      </c>
      <c r="Q1403">
        <v>85.09</v>
      </c>
      <c r="R1403" t="s">
        <v>92</v>
      </c>
      <c r="S1403">
        <v>5</v>
      </c>
      <c r="T1403" t="b">
        <v>0</v>
      </c>
      <c r="U1403" t="s">
        <v>93</v>
      </c>
      <c r="V1403">
        <v>9</v>
      </c>
    </row>
    <row r="1404" spans="1:22" x14ac:dyDescent="0.25">
      <c r="A1404" t="s">
        <v>3296</v>
      </c>
      <c r="B1404" s="1">
        <v>44958</v>
      </c>
      <c r="C1404" t="s">
        <v>3297</v>
      </c>
      <c r="D1404" t="s">
        <v>1704</v>
      </c>
      <c r="E1404">
        <v>23</v>
      </c>
      <c r="F1404" t="str">
        <f>IF(Table1[[#This Row],[age]]&lt;=25,"18-25",IF(Table1[[#This Row],[age]]&lt;=35,"26-35",IF(Table1[[#This Row],[age]]&lt;=50,"36-50","51+")))</f>
        <v>18-25</v>
      </c>
      <c r="G1404" t="s">
        <v>34</v>
      </c>
      <c r="H1404" t="s">
        <v>55</v>
      </c>
      <c r="I1404" t="s">
        <v>75</v>
      </c>
      <c r="J1404" t="s">
        <v>47</v>
      </c>
      <c r="K1404" t="s">
        <v>204</v>
      </c>
      <c r="L1404">
        <v>4</v>
      </c>
      <c r="M1404">
        <v>246.31</v>
      </c>
      <c r="N1404">
        <v>0.32</v>
      </c>
      <c r="O1404">
        <v>670.92</v>
      </c>
      <c r="P1404">
        <v>214.73</v>
      </c>
      <c r="Q1404">
        <v>54.41</v>
      </c>
      <c r="R1404" t="s">
        <v>65</v>
      </c>
      <c r="S1404">
        <v>3</v>
      </c>
      <c r="T1404" t="b">
        <v>0</v>
      </c>
      <c r="U1404" t="s">
        <v>30</v>
      </c>
      <c r="V1404">
        <v>9</v>
      </c>
    </row>
    <row r="1405" spans="1:22" x14ac:dyDescent="0.25">
      <c r="A1405" t="s">
        <v>3298</v>
      </c>
      <c r="B1405" s="1">
        <v>44450</v>
      </c>
      <c r="C1405" t="s">
        <v>3299</v>
      </c>
      <c r="D1405" t="s">
        <v>1417</v>
      </c>
      <c r="E1405">
        <v>31</v>
      </c>
      <c r="F1405" t="str">
        <f>IF(Table1[[#This Row],[age]]&lt;=25,"18-25",IF(Table1[[#This Row],[age]]&lt;=35,"26-35",IF(Table1[[#This Row],[age]]&lt;=50,"36-50","51+")))</f>
        <v>26-35</v>
      </c>
      <c r="G1405" t="s">
        <v>54</v>
      </c>
      <c r="H1405" t="s">
        <v>61</v>
      </c>
      <c r="I1405" t="s">
        <v>91</v>
      </c>
      <c r="J1405" t="s">
        <v>115</v>
      </c>
      <c r="K1405" t="s">
        <v>545</v>
      </c>
      <c r="L1405">
        <v>2</v>
      </c>
      <c r="M1405">
        <v>20652.77</v>
      </c>
      <c r="N1405">
        <v>0.17</v>
      </c>
      <c r="O1405">
        <v>36063.910000000003</v>
      </c>
      <c r="P1405">
        <v>2449.77</v>
      </c>
      <c r="Q1405">
        <v>46.55</v>
      </c>
      <c r="R1405" t="s">
        <v>57</v>
      </c>
      <c r="S1405">
        <v>1</v>
      </c>
      <c r="T1405" t="b">
        <v>0</v>
      </c>
      <c r="U1405" t="s">
        <v>30</v>
      </c>
      <c r="V1405">
        <v>3</v>
      </c>
    </row>
    <row r="1406" spans="1:22" x14ac:dyDescent="0.25">
      <c r="A1406" t="s">
        <v>3300</v>
      </c>
      <c r="B1406" s="1">
        <v>44903</v>
      </c>
      <c r="C1406" t="s">
        <v>3301</v>
      </c>
      <c r="D1406" t="s">
        <v>1178</v>
      </c>
      <c r="E1406">
        <v>40</v>
      </c>
      <c r="F1406" t="str">
        <f>IF(Table1[[#This Row],[age]]&lt;=25,"18-25",IF(Table1[[#This Row],[age]]&lt;=35,"26-35",IF(Table1[[#This Row],[age]]&lt;=50,"36-50","51+")))</f>
        <v>36-50</v>
      </c>
      <c r="G1406" t="s">
        <v>24</v>
      </c>
      <c r="H1406" t="s">
        <v>55</v>
      </c>
      <c r="I1406" t="s">
        <v>114</v>
      </c>
      <c r="J1406" t="s">
        <v>63</v>
      </c>
      <c r="K1406" t="s">
        <v>434</v>
      </c>
      <c r="L1406">
        <v>8</v>
      </c>
      <c r="M1406">
        <v>3539.5</v>
      </c>
      <c r="N1406">
        <v>0.23</v>
      </c>
      <c r="O1406">
        <v>17882.7</v>
      </c>
      <c r="P1406">
        <v>6353.82</v>
      </c>
      <c r="Q1406">
        <v>60.26</v>
      </c>
      <c r="R1406" t="s">
        <v>92</v>
      </c>
      <c r="S1406">
        <v>4</v>
      </c>
      <c r="T1406" t="b">
        <v>0</v>
      </c>
      <c r="U1406" t="s">
        <v>71</v>
      </c>
      <c r="V1406">
        <v>9</v>
      </c>
    </row>
    <row r="1407" spans="1:22" x14ac:dyDescent="0.25">
      <c r="A1407" t="s">
        <v>3302</v>
      </c>
      <c r="B1407" s="1">
        <v>44887</v>
      </c>
      <c r="C1407" t="s">
        <v>3303</v>
      </c>
      <c r="D1407" t="s">
        <v>1327</v>
      </c>
      <c r="E1407">
        <v>36</v>
      </c>
      <c r="F1407" t="str">
        <f>IF(Table1[[#This Row],[age]]&lt;=25,"18-25",IF(Table1[[#This Row],[age]]&lt;=35,"26-35",IF(Table1[[#This Row],[age]]&lt;=50,"36-50","51+")))</f>
        <v>36-50</v>
      </c>
      <c r="G1407" t="s">
        <v>54</v>
      </c>
      <c r="H1407" t="s">
        <v>55</v>
      </c>
      <c r="I1407" t="s">
        <v>114</v>
      </c>
      <c r="J1407" t="s">
        <v>101</v>
      </c>
      <c r="K1407" t="s">
        <v>124</v>
      </c>
      <c r="L1407">
        <v>9</v>
      </c>
      <c r="M1407">
        <v>8072.68</v>
      </c>
      <c r="N1407">
        <v>0.11</v>
      </c>
      <c r="O1407">
        <v>55849.13</v>
      </c>
      <c r="P1407">
        <v>10192.200000000001</v>
      </c>
      <c r="Q1407">
        <v>56.59</v>
      </c>
      <c r="R1407" t="s">
        <v>65</v>
      </c>
      <c r="S1407">
        <v>1</v>
      </c>
      <c r="T1407" t="b">
        <v>0</v>
      </c>
      <c r="U1407" t="s">
        <v>30</v>
      </c>
      <c r="V1407">
        <v>8</v>
      </c>
    </row>
    <row r="1408" spans="1:22" x14ac:dyDescent="0.25">
      <c r="A1408" t="s">
        <v>3304</v>
      </c>
      <c r="B1408" s="1">
        <v>45011</v>
      </c>
      <c r="C1408" t="s">
        <v>3305</v>
      </c>
      <c r="D1408" t="s">
        <v>1223</v>
      </c>
      <c r="E1408">
        <v>28</v>
      </c>
      <c r="F1408" t="str">
        <f>IF(Table1[[#This Row],[age]]&lt;=25,"18-25",IF(Table1[[#This Row],[age]]&lt;=35,"26-35",IF(Table1[[#This Row],[age]]&lt;=50,"36-50","51+")))</f>
        <v>26-35</v>
      </c>
      <c r="G1408" t="s">
        <v>24</v>
      </c>
      <c r="H1408" t="s">
        <v>69</v>
      </c>
      <c r="I1408" t="s">
        <v>70</v>
      </c>
      <c r="J1408" t="s">
        <v>106</v>
      </c>
      <c r="K1408" t="s">
        <v>107</v>
      </c>
      <c r="L1408">
        <v>10</v>
      </c>
      <c r="M1408">
        <v>241.98</v>
      </c>
      <c r="N1408">
        <v>0.28000000000000003</v>
      </c>
      <c r="O1408">
        <v>2282.59</v>
      </c>
      <c r="P1408">
        <v>137.71</v>
      </c>
      <c r="Q1408">
        <v>54.31</v>
      </c>
      <c r="R1408" t="s">
        <v>57</v>
      </c>
      <c r="S1408">
        <v>5</v>
      </c>
      <c r="T1408" t="b">
        <v>0</v>
      </c>
      <c r="U1408" t="s">
        <v>71</v>
      </c>
      <c r="V1408">
        <v>4</v>
      </c>
    </row>
    <row r="1409" spans="1:22" x14ac:dyDescent="0.25">
      <c r="A1409" t="s">
        <v>3306</v>
      </c>
      <c r="B1409" s="1">
        <v>44400</v>
      </c>
      <c r="C1409" t="s">
        <v>3307</v>
      </c>
      <c r="D1409" t="s">
        <v>932</v>
      </c>
      <c r="E1409">
        <v>32</v>
      </c>
      <c r="F1409" t="str">
        <f>IF(Table1[[#This Row],[age]]&lt;=25,"18-25",IF(Table1[[#This Row],[age]]&lt;=35,"26-35",IF(Table1[[#This Row],[age]]&lt;=50,"36-50","51+")))</f>
        <v>26-35</v>
      </c>
      <c r="G1409" t="s">
        <v>24</v>
      </c>
      <c r="H1409" t="s">
        <v>69</v>
      </c>
      <c r="I1409" t="s">
        <v>221</v>
      </c>
      <c r="J1409" t="s">
        <v>27</v>
      </c>
      <c r="K1409" t="s">
        <v>480</v>
      </c>
      <c r="L1409">
        <v>3</v>
      </c>
      <c r="M1409">
        <v>676.4</v>
      </c>
      <c r="N1409">
        <v>0.31</v>
      </c>
      <c r="O1409">
        <v>2011.95</v>
      </c>
      <c r="P1409">
        <v>671.9</v>
      </c>
      <c r="Q1409">
        <v>89.11</v>
      </c>
      <c r="R1409" t="s">
        <v>43</v>
      </c>
      <c r="S1409">
        <v>3</v>
      </c>
      <c r="T1409" t="b">
        <v>0</v>
      </c>
      <c r="U1409" t="s">
        <v>30</v>
      </c>
      <c r="V1409">
        <v>7</v>
      </c>
    </row>
    <row r="1410" spans="1:22" x14ac:dyDescent="0.25">
      <c r="A1410" t="s">
        <v>3308</v>
      </c>
      <c r="B1410" s="1">
        <v>45433</v>
      </c>
      <c r="C1410" t="s">
        <v>3309</v>
      </c>
      <c r="D1410" t="s">
        <v>702</v>
      </c>
      <c r="E1410">
        <v>18</v>
      </c>
      <c r="F1410" t="str">
        <f>IF(Table1[[#This Row],[age]]&lt;=25,"18-25",IF(Table1[[#This Row],[age]]&lt;=35,"26-35",IF(Table1[[#This Row],[age]]&lt;=50,"36-50","51+")))</f>
        <v>18-25</v>
      </c>
      <c r="G1410" t="s">
        <v>34</v>
      </c>
      <c r="H1410" t="s">
        <v>69</v>
      </c>
      <c r="I1410" t="s">
        <v>70</v>
      </c>
      <c r="J1410" t="s">
        <v>36</v>
      </c>
      <c r="K1410" t="s">
        <v>37</v>
      </c>
      <c r="L1410">
        <v>3</v>
      </c>
      <c r="M1410">
        <v>27654.89</v>
      </c>
      <c r="N1410">
        <v>7.0000000000000007E-2</v>
      </c>
      <c r="O1410">
        <v>139972.32999999999</v>
      </c>
      <c r="P1410">
        <v>47884.94</v>
      </c>
      <c r="Q1410">
        <v>88.4</v>
      </c>
      <c r="R1410" t="s">
        <v>65</v>
      </c>
      <c r="S1410">
        <v>3</v>
      </c>
      <c r="T1410" t="b">
        <v>0</v>
      </c>
      <c r="U1410" t="s">
        <v>30</v>
      </c>
      <c r="V1410">
        <v>7</v>
      </c>
    </row>
    <row r="1411" spans="1:22" x14ac:dyDescent="0.25">
      <c r="A1411" t="s">
        <v>3310</v>
      </c>
      <c r="B1411" s="1">
        <v>45248</v>
      </c>
      <c r="C1411" t="s">
        <v>3311</v>
      </c>
      <c r="D1411" t="s">
        <v>85</v>
      </c>
      <c r="E1411">
        <v>37</v>
      </c>
      <c r="F1411" t="str">
        <f>IF(Table1[[#This Row],[age]]&lt;=25,"18-25",IF(Table1[[#This Row],[age]]&lt;=35,"26-35",IF(Table1[[#This Row],[age]]&lt;=50,"36-50","51+")))</f>
        <v>36-50</v>
      </c>
      <c r="G1411" t="s">
        <v>24</v>
      </c>
      <c r="H1411" t="s">
        <v>80</v>
      </c>
      <c r="I1411" t="s">
        <v>81</v>
      </c>
      <c r="J1411" t="s">
        <v>27</v>
      </c>
      <c r="K1411" t="s">
        <v>192</v>
      </c>
      <c r="L1411">
        <v>3</v>
      </c>
      <c r="M1411">
        <v>1910.31</v>
      </c>
      <c r="N1411">
        <v>0.38</v>
      </c>
      <c r="O1411">
        <v>3118.32</v>
      </c>
      <c r="P1411">
        <v>1686.07</v>
      </c>
      <c r="Q1411">
        <v>72.569999999999993</v>
      </c>
      <c r="R1411" t="s">
        <v>49</v>
      </c>
      <c r="S1411">
        <v>5</v>
      </c>
      <c r="T1411" t="b">
        <v>0</v>
      </c>
      <c r="U1411" t="s">
        <v>193</v>
      </c>
      <c r="V1411">
        <v>8</v>
      </c>
    </row>
    <row r="1412" spans="1:22" x14ac:dyDescent="0.25">
      <c r="A1412" t="s">
        <v>3312</v>
      </c>
      <c r="B1412" s="1">
        <v>45497</v>
      </c>
      <c r="C1412" t="s">
        <v>3313</v>
      </c>
      <c r="D1412" t="s">
        <v>685</v>
      </c>
      <c r="E1412">
        <v>39</v>
      </c>
      <c r="F1412" t="str">
        <f>IF(Table1[[#This Row],[age]]&lt;=25,"18-25",IF(Table1[[#This Row],[age]]&lt;=35,"26-35",IF(Table1[[#This Row],[age]]&lt;=50,"36-50","51+")))</f>
        <v>36-50</v>
      </c>
      <c r="G1412" t="s">
        <v>34</v>
      </c>
      <c r="H1412" t="s">
        <v>25</v>
      </c>
      <c r="I1412" t="s">
        <v>35</v>
      </c>
      <c r="J1412" t="s">
        <v>101</v>
      </c>
      <c r="K1412" t="s">
        <v>318</v>
      </c>
      <c r="L1412">
        <v>9</v>
      </c>
      <c r="M1412">
        <v>7643.25</v>
      </c>
      <c r="N1412">
        <v>0.12</v>
      </c>
      <c r="O1412">
        <v>102057.62</v>
      </c>
      <c r="P1412">
        <v>26038.27</v>
      </c>
      <c r="Q1412">
        <v>62.54</v>
      </c>
      <c r="R1412" t="s">
        <v>29</v>
      </c>
      <c r="S1412">
        <v>3</v>
      </c>
      <c r="T1412" t="b">
        <v>0</v>
      </c>
      <c r="U1412" t="s">
        <v>30</v>
      </c>
      <c r="V1412">
        <v>7</v>
      </c>
    </row>
    <row r="1413" spans="1:22" x14ac:dyDescent="0.25">
      <c r="A1413" t="s">
        <v>3314</v>
      </c>
      <c r="B1413" s="1">
        <v>44801</v>
      </c>
      <c r="C1413" t="s">
        <v>3315</v>
      </c>
      <c r="D1413" t="s">
        <v>629</v>
      </c>
      <c r="E1413">
        <v>33</v>
      </c>
      <c r="F1413" t="str">
        <f>IF(Table1[[#This Row],[age]]&lt;=25,"18-25",IF(Table1[[#This Row],[age]]&lt;=35,"26-35",IF(Table1[[#This Row],[age]]&lt;=50,"36-50","51+")))</f>
        <v>26-35</v>
      </c>
      <c r="G1413" t="s">
        <v>34</v>
      </c>
      <c r="H1413" t="s">
        <v>25</v>
      </c>
      <c r="I1413" t="s">
        <v>35</v>
      </c>
      <c r="J1413" t="s">
        <v>106</v>
      </c>
      <c r="K1413" t="s">
        <v>314</v>
      </c>
      <c r="L1413">
        <v>6</v>
      </c>
      <c r="M1413">
        <v>497.75</v>
      </c>
      <c r="N1413">
        <v>0.39</v>
      </c>
      <c r="O1413">
        <v>2474.96</v>
      </c>
      <c r="P1413">
        <v>216.67</v>
      </c>
      <c r="Q1413">
        <v>65.8</v>
      </c>
      <c r="R1413" t="s">
        <v>49</v>
      </c>
      <c r="S1413">
        <v>1</v>
      </c>
      <c r="T1413" t="b">
        <v>0</v>
      </c>
      <c r="U1413" t="s">
        <v>193</v>
      </c>
      <c r="V1413">
        <v>3</v>
      </c>
    </row>
    <row r="1414" spans="1:22" x14ac:dyDescent="0.25">
      <c r="A1414" t="s">
        <v>3316</v>
      </c>
      <c r="B1414" s="1">
        <v>44689</v>
      </c>
      <c r="C1414" t="s">
        <v>3317</v>
      </c>
      <c r="D1414" t="s">
        <v>343</v>
      </c>
      <c r="E1414">
        <v>36</v>
      </c>
      <c r="F1414" t="str">
        <f>IF(Table1[[#This Row],[age]]&lt;=25,"18-25",IF(Table1[[#This Row],[age]]&lt;=35,"26-35",IF(Table1[[#This Row],[age]]&lt;=50,"36-50","51+")))</f>
        <v>36-50</v>
      </c>
      <c r="G1414" t="s">
        <v>54</v>
      </c>
      <c r="H1414" t="s">
        <v>25</v>
      </c>
      <c r="I1414" t="s">
        <v>41</v>
      </c>
      <c r="J1414" t="s">
        <v>101</v>
      </c>
      <c r="K1414" t="s">
        <v>164</v>
      </c>
      <c r="L1414">
        <v>4</v>
      </c>
      <c r="M1414">
        <v>9134.3700000000008</v>
      </c>
      <c r="N1414">
        <v>0.28999999999999998</v>
      </c>
      <c r="O1414">
        <v>34788.58</v>
      </c>
      <c r="P1414">
        <v>8944.34</v>
      </c>
      <c r="Q1414">
        <v>65.47</v>
      </c>
      <c r="R1414" t="s">
        <v>92</v>
      </c>
      <c r="S1414">
        <v>5</v>
      </c>
      <c r="T1414" t="b">
        <v>0</v>
      </c>
      <c r="U1414" t="s">
        <v>30</v>
      </c>
      <c r="V1414">
        <v>4</v>
      </c>
    </row>
    <row r="1415" spans="1:22" x14ac:dyDescent="0.25">
      <c r="A1415" t="s">
        <v>3318</v>
      </c>
      <c r="B1415" s="1">
        <v>44835</v>
      </c>
      <c r="C1415" t="s">
        <v>3319</v>
      </c>
      <c r="D1415" t="s">
        <v>433</v>
      </c>
      <c r="E1415">
        <v>32</v>
      </c>
      <c r="F1415" t="str">
        <f>IF(Table1[[#This Row],[age]]&lt;=25,"18-25",IF(Table1[[#This Row],[age]]&lt;=35,"26-35",IF(Table1[[#This Row],[age]]&lt;=50,"36-50","51+")))</f>
        <v>26-35</v>
      </c>
      <c r="G1415" t="s">
        <v>54</v>
      </c>
      <c r="H1415" t="s">
        <v>69</v>
      </c>
      <c r="I1415" t="s">
        <v>70</v>
      </c>
      <c r="J1415" t="s">
        <v>27</v>
      </c>
      <c r="K1415" t="s">
        <v>480</v>
      </c>
      <c r="L1415">
        <v>10</v>
      </c>
      <c r="M1415">
        <v>909.09</v>
      </c>
      <c r="N1415">
        <v>0.28999999999999998</v>
      </c>
      <c r="O1415">
        <v>6829.99</v>
      </c>
      <c r="P1415">
        <v>3214.22</v>
      </c>
      <c r="Q1415">
        <v>86.69</v>
      </c>
      <c r="R1415" t="s">
        <v>49</v>
      </c>
      <c r="S1415">
        <v>2</v>
      </c>
      <c r="T1415" t="b">
        <v>0</v>
      </c>
      <c r="U1415" t="s">
        <v>30</v>
      </c>
      <c r="V1415">
        <v>4</v>
      </c>
    </row>
    <row r="1416" spans="1:22" x14ac:dyDescent="0.25">
      <c r="A1416" t="s">
        <v>3320</v>
      </c>
      <c r="B1416" s="1">
        <v>44469</v>
      </c>
      <c r="C1416" t="s">
        <v>240</v>
      </c>
      <c r="D1416" t="s">
        <v>621</v>
      </c>
      <c r="E1416">
        <v>35</v>
      </c>
      <c r="F1416" t="str">
        <f>IF(Table1[[#This Row],[age]]&lt;=25,"18-25",IF(Table1[[#This Row],[age]]&lt;=35,"26-35",IF(Table1[[#This Row],[age]]&lt;=50,"36-50","51+")))</f>
        <v>26-35</v>
      </c>
      <c r="G1416" t="s">
        <v>34</v>
      </c>
      <c r="H1416" t="s">
        <v>61</v>
      </c>
      <c r="I1416" t="s">
        <v>163</v>
      </c>
      <c r="J1416" t="s">
        <v>106</v>
      </c>
      <c r="K1416" t="s">
        <v>314</v>
      </c>
      <c r="L1416">
        <v>4</v>
      </c>
      <c r="M1416">
        <v>98.95</v>
      </c>
      <c r="N1416">
        <v>0.15</v>
      </c>
      <c r="O1416">
        <v>365.47</v>
      </c>
      <c r="P1416">
        <v>31.72</v>
      </c>
      <c r="Q1416">
        <v>78.47</v>
      </c>
      <c r="R1416" t="s">
        <v>92</v>
      </c>
      <c r="S1416">
        <v>1</v>
      </c>
      <c r="T1416" t="b">
        <v>1</v>
      </c>
      <c r="U1416" t="s">
        <v>50</v>
      </c>
      <c r="V1416">
        <v>4</v>
      </c>
    </row>
    <row r="1417" spans="1:22" x14ac:dyDescent="0.25">
      <c r="A1417" t="s">
        <v>3321</v>
      </c>
      <c r="B1417" s="1">
        <v>45391</v>
      </c>
      <c r="C1417" t="s">
        <v>3322</v>
      </c>
      <c r="D1417" t="s">
        <v>3259</v>
      </c>
      <c r="E1417">
        <v>29</v>
      </c>
      <c r="F1417" t="str">
        <f>IF(Table1[[#This Row],[age]]&lt;=25,"18-25",IF(Table1[[#This Row],[age]]&lt;=35,"26-35",IF(Table1[[#This Row],[age]]&lt;=50,"36-50","51+")))</f>
        <v>26-35</v>
      </c>
      <c r="G1417" t="s">
        <v>54</v>
      </c>
      <c r="H1417" t="s">
        <v>25</v>
      </c>
      <c r="I1417" t="s">
        <v>26</v>
      </c>
      <c r="J1417" t="s">
        <v>47</v>
      </c>
      <c r="K1417" t="s">
        <v>48</v>
      </c>
      <c r="L1417">
        <v>8</v>
      </c>
      <c r="M1417">
        <v>807.8</v>
      </c>
      <c r="N1417">
        <v>0.01</v>
      </c>
      <c r="O1417">
        <v>10104.81</v>
      </c>
      <c r="P1417">
        <v>3435.69</v>
      </c>
      <c r="Q1417">
        <v>55.12</v>
      </c>
      <c r="R1417" t="s">
        <v>92</v>
      </c>
      <c r="S1417">
        <v>5</v>
      </c>
      <c r="T1417" t="b">
        <v>1</v>
      </c>
      <c r="U1417" t="s">
        <v>50</v>
      </c>
      <c r="V1417">
        <v>10</v>
      </c>
    </row>
    <row r="1418" spans="1:22" x14ac:dyDescent="0.25">
      <c r="A1418" t="s">
        <v>3323</v>
      </c>
      <c r="B1418" s="1">
        <v>44839</v>
      </c>
      <c r="C1418" t="s">
        <v>3324</v>
      </c>
      <c r="D1418" t="s">
        <v>1641</v>
      </c>
      <c r="E1418">
        <v>20</v>
      </c>
      <c r="F1418" t="str">
        <f>IF(Table1[[#This Row],[age]]&lt;=25,"18-25",IF(Table1[[#This Row],[age]]&lt;=35,"26-35",IF(Table1[[#This Row],[age]]&lt;=50,"36-50","51+")))</f>
        <v>18-25</v>
      </c>
      <c r="G1418" t="s">
        <v>24</v>
      </c>
      <c r="H1418" t="s">
        <v>61</v>
      </c>
      <c r="I1418" t="s">
        <v>62</v>
      </c>
      <c r="J1418" t="s">
        <v>36</v>
      </c>
      <c r="K1418" t="s">
        <v>230</v>
      </c>
      <c r="L1418">
        <v>9</v>
      </c>
      <c r="M1418">
        <v>14626.63</v>
      </c>
      <c r="N1418">
        <v>0.32</v>
      </c>
      <c r="O1418">
        <v>81959.990000000005</v>
      </c>
      <c r="P1418">
        <v>31885.26</v>
      </c>
      <c r="Q1418">
        <v>43.74</v>
      </c>
      <c r="R1418" t="s">
        <v>92</v>
      </c>
      <c r="S1418">
        <v>5</v>
      </c>
      <c r="T1418" t="b">
        <v>0</v>
      </c>
      <c r="U1418" t="s">
        <v>30</v>
      </c>
      <c r="V1418">
        <v>1</v>
      </c>
    </row>
    <row r="1419" spans="1:22" x14ac:dyDescent="0.25">
      <c r="A1419" t="s">
        <v>3325</v>
      </c>
      <c r="B1419" s="1">
        <v>45085</v>
      </c>
      <c r="C1419" t="s">
        <v>3326</v>
      </c>
      <c r="D1419" t="s">
        <v>1141</v>
      </c>
      <c r="E1419">
        <v>37</v>
      </c>
      <c r="F1419" t="str">
        <f>IF(Table1[[#This Row],[age]]&lt;=25,"18-25",IF(Table1[[#This Row],[age]]&lt;=35,"26-35",IF(Table1[[#This Row],[age]]&lt;=50,"36-50","51+")))</f>
        <v>36-50</v>
      </c>
      <c r="G1419" t="s">
        <v>34</v>
      </c>
      <c r="H1419" t="s">
        <v>55</v>
      </c>
      <c r="I1419" t="s">
        <v>97</v>
      </c>
      <c r="J1419" t="s">
        <v>101</v>
      </c>
      <c r="K1419" t="s">
        <v>214</v>
      </c>
      <c r="L1419">
        <v>1</v>
      </c>
      <c r="M1419">
        <v>5089.72</v>
      </c>
      <c r="N1419">
        <v>0.06</v>
      </c>
      <c r="O1419">
        <v>8297.84</v>
      </c>
      <c r="P1419">
        <v>2163.06</v>
      </c>
      <c r="Q1419">
        <v>48.55</v>
      </c>
      <c r="R1419" t="s">
        <v>49</v>
      </c>
      <c r="S1419">
        <v>3</v>
      </c>
      <c r="T1419" t="b">
        <v>0</v>
      </c>
      <c r="U1419" t="s">
        <v>30</v>
      </c>
      <c r="V1419">
        <v>6</v>
      </c>
    </row>
    <row r="1420" spans="1:22" x14ac:dyDescent="0.25">
      <c r="A1420" t="s">
        <v>3327</v>
      </c>
      <c r="B1420" s="1">
        <v>44913</v>
      </c>
      <c r="C1420" t="s">
        <v>3328</v>
      </c>
      <c r="D1420" t="s">
        <v>995</v>
      </c>
      <c r="E1420">
        <v>33</v>
      </c>
      <c r="F1420" t="str">
        <f>IF(Table1[[#This Row],[age]]&lt;=25,"18-25",IF(Table1[[#This Row],[age]]&lt;=35,"26-35",IF(Table1[[#This Row],[age]]&lt;=50,"36-50","51+")))</f>
        <v>26-35</v>
      </c>
      <c r="G1420" t="s">
        <v>24</v>
      </c>
      <c r="H1420" t="s">
        <v>69</v>
      </c>
      <c r="I1420" t="s">
        <v>70</v>
      </c>
      <c r="J1420" t="s">
        <v>106</v>
      </c>
      <c r="K1420" t="s">
        <v>247</v>
      </c>
      <c r="L1420">
        <v>8</v>
      </c>
      <c r="M1420">
        <v>117.88</v>
      </c>
      <c r="N1420">
        <v>0.37</v>
      </c>
      <c r="O1420">
        <v>478.16</v>
      </c>
      <c r="P1420">
        <v>41.29</v>
      </c>
      <c r="Q1420">
        <v>88.62</v>
      </c>
      <c r="R1420" t="s">
        <v>92</v>
      </c>
      <c r="S1420">
        <v>1</v>
      </c>
      <c r="T1420" t="b">
        <v>1</v>
      </c>
      <c r="U1420" t="s">
        <v>50</v>
      </c>
      <c r="V1420">
        <v>3</v>
      </c>
    </row>
    <row r="1421" spans="1:22" x14ac:dyDescent="0.25">
      <c r="A1421" t="s">
        <v>3329</v>
      </c>
      <c r="B1421" s="1">
        <v>44556</v>
      </c>
      <c r="C1421" t="s">
        <v>3330</v>
      </c>
      <c r="D1421" t="s">
        <v>784</v>
      </c>
      <c r="E1421">
        <v>38</v>
      </c>
      <c r="F1421" t="str">
        <f>IF(Table1[[#This Row],[age]]&lt;=25,"18-25",IF(Table1[[#This Row],[age]]&lt;=35,"26-35",IF(Table1[[#This Row],[age]]&lt;=50,"36-50","51+")))</f>
        <v>36-50</v>
      </c>
      <c r="G1421" t="s">
        <v>54</v>
      </c>
      <c r="H1421" t="s">
        <v>25</v>
      </c>
      <c r="I1421" t="s">
        <v>26</v>
      </c>
      <c r="J1421" t="s">
        <v>63</v>
      </c>
      <c r="K1421" t="s">
        <v>64</v>
      </c>
      <c r="L1421">
        <v>9</v>
      </c>
      <c r="M1421">
        <v>3852.76</v>
      </c>
      <c r="N1421">
        <v>0.08</v>
      </c>
      <c r="O1421">
        <v>26003.08</v>
      </c>
      <c r="P1421">
        <v>7426.65</v>
      </c>
      <c r="Q1421">
        <v>50.19</v>
      </c>
      <c r="R1421" t="s">
        <v>57</v>
      </c>
      <c r="S1421">
        <v>5</v>
      </c>
      <c r="T1421" t="b">
        <v>0</v>
      </c>
      <c r="U1421" t="s">
        <v>30</v>
      </c>
      <c r="V1421">
        <v>9</v>
      </c>
    </row>
    <row r="1422" spans="1:22" x14ac:dyDescent="0.25">
      <c r="A1422" t="s">
        <v>3331</v>
      </c>
      <c r="B1422" s="1">
        <v>44117</v>
      </c>
      <c r="C1422" t="s">
        <v>3332</v>
      </c>
      <c r="D1422" t="s">
        <v>649</v>
      </c>
      <c r="E1422">
        <v>26</v>
      </c>
      <c r="F1422" t="str">
        <f>IF(Table1[[#This Row],[age]]&lt;=25,"18-25",IF(Table1[[#This Row],[age]]&lt;=35,"26-35",IF(Table1[[#This Row],[age]]&lt;=50,"36-50","51+")))</f>
        <v>26-35</v>
      </c>
      <c r="G1422" t="s">
        <v>34</v>
      </c>
      <c r="H1422" t="s">
        <v>55</v>
      </c>
      <c r="I1422" t="s">
        <v>114</v>
      </c>
      <c r="J1422" t="s">
        <v>101</v>
      </c>
      <c r="K1422" t="s">
        <v>214</v>
      </c>
      <c r="L1422">
        <v>10</v>
      </c>
      <c r="M1422">
        <v>2882</v>
      </c>
      <c r="N1422">
        <v>0.03</v>
      </c>
      <c r="O1422">
        <v>25085.42</v>
      </c>
      <c r="P1422">
        <v>5947.27</v>
      </c>
      <c r="Q1422">
        <v>58.31</v>
      </c>
      <c r="R1422" t="s">
        <v>43</v>
      </c>
      <c r="S1422">
        <v>5</v>
      </c>
      <c r="T1422" t="b">
        <v>0</v>
      </c>
      <c r="U1422" t="s">
        <v>30</v>
      </c>
      <c r="V1422">
        <v>9</v>
      </c>
    </row>
    <row r="1423" spans="1:22" x14ac:dyDescent="0.25">
      <c r="A1423" t="s">
        <v>3333</v>
      </c>
      <c r="B1423" s="1">
        <v>44639</v>
      </c>
      <c r="C1423" t="s">
        <v>3334</v>
      </c>
      <c r="D1423" t="s">
        <v>1659</v>
      </c>
      <c r="E1423">
        <v>50</v>
      </c>
      <c r="F1423" t="str">
        <f>IF(Table1[[#This Row],[age]]&lt;=25,"18-25",IF(Table1[[#This Row],[age]]&lt;=35,"26-35",IF(Table1[[#This Row],[age]]&lt;=50,"36-50","51+")))</f>
        <v>36-50</v>
      </c>
      <c r="G1423" t="s">
        <v>24</v>
      </c>
      <c r="H1423" t="s">
        <v>69</v>
      </c>
      <c r="I1423" t="s">
        <v>70</v>
      </c>
      <c r="J1423" t="s">
        <v>36</v>
      </c>
      <c r="K1423" t="s">
        <v>76</v>
      </c>
      <c r="L1423">
        <v>6</v>
      </c>
      <c r="M1423">
        <v>14556.36</v>
      </c>
      <c r="N1423">
        <v>0.03</v>
      </c>
      <c r="O1423">
        <v>99451.13</v>
      </c>
      <c r="P1423">
        <v>38970.92</v>
      </c>
      <c r="Q1423">
        <v>88.32</v>
      </c>
      <c r="R1423" t="s">
        <v>43</v>
      </c>
      <c r="S1423">
        <v>3</v>
      </c>
      <c r="T1423" t="b">
        <v>0</v>
      </c>
      <c r="U1423" t="s">
        <v>30</v>
      </c>
      <c r="V1423">
        <v>9</v>
      </c>
    </row>
    <row r="1424" spans="1:22" x14ac:dyDescent="0.25">
      <c r="A1424" t="s">
        <v>3335</v>
      </c>
      <c r="B1424" s="1">
        <v>43992</v>
      </c>
      <c r="C1424" t="s">
        <v>3336</v>
      </c>
      <c r="D1424" t="s">
        <v>1294</v>
      </c>
      <c r="E1424">
        <v>34</v>
      </c>
      <c r="F1424" t="str">
        <f>IF(Table1[[#This Row],[age]]&lt;=25,"18-25",IF(Table1[[#This Row],[age]]&lt;=35,"26-35",IF(Table1[[#This Row],[age]]&lt;=50,"36-50","51+")))</f>
        <v>26-35</v>
      </c>
      <c r="G1424" t="s">
        <v>34</v>
      </c>
      <c r="H1424" t="s">
        <v>55</v>
      </c>
      <c r="I1424" t="s">
        <v>56</v>
      </c>
      <c r="J1424" t="s">
        <v>101</v>
      </c>
      <c r="K1424" t="s">
        <v>164</v>
      </c>
      <c r="L1424">
        <v>3</v>
      </c>
      <c r="M1424">
        <v>6440.36</v>
      </c>
      <c r="N1424">
        <v>7.0000000000000007E-2</v>
      </c>
      <c r="O1424">
        <v>22706.45</v>
      </c>
      <c r="P1424">
        <v>4999.3999999999996</v>
      </c>
      <c r="Q1424">
        <v>42.43</v>
      </c>
      <c r="R1424" t="s">
        <v>57</v>
      </c>
      <c r="S1424">
        <v>4</v>
      </c>
      <c r="T1424" t="b">
        <v>0</v>
      </c>
      <c r="U1424" t="s">
        <v>30</v>
      </c>
      <c r="V1424">
        <v>8</v>
      </c>
    </row>
    <row r="1425" spans="1:22" x14ac:dyDescent="0.25">
      <c r="A1425" t="s">
        <v>3337</v>
      </c>
      <c r="B1425" s="1">
        <v>45577</v>
      </c>
      <c r="C1425" t="s">
        <v>3338</v>
      </c>
      <c r="D1425" t="s">
        <v>1414</v>
      </c>
      <c r="E1425">
        <v>50</v>
      </c>
      <c r="F1425" t="str">
        <f>IF(Table1[[#This Row],[age]]&lt;=25,"18-25",IF(Table1[[#This Row],[age]]&lt;=35,"26-35",IF(Table1[[#This Row],[age]]&lt;=50,"36-50","51+")))</f>
        <v>36-50</v>
      </c>
      <c r="G1425" t="s">
        <v>54</v>
      </c>
      <c r="H1425" t="s">
        <v>55</v>
      </c>
      <c r="I1425" t="s">
        <v>114</v>
      </c>
      <c r="J1425" t="s">
        <v>115</v>
      </c>
      <c r="K1425" t="s">
        <v>137</v>
      </c>
      <c r="L1425">
        <v>4</v>
      </c>
      <c r="M1425">
        <v>40360.699999999997</v>
      </c>
      <c r="N1425">
        <v>0.05</v>
      </c>
      <c r="O1425">
        <v>182429.15</v>
      </c>
      <c r="P1425">
        <v>25030.400000000001</v>
      </c>
      <c r="Q1425">
        <v>36.28</v>
      </c>
      <c r="R1425" t="s">
        <v>29</v>
      </c>
      <c r="S1425">
        <v>1</v>
      </c>
      <c r="T1425" t="b">
        <v>0</v>
      </c>
      <c r="U1425" t="s">
        <v>30</v>
      </c>
      <c r="V1425">
        <v>10</v>
      </c>
    </row>
    <row r="1426" spans="1:22" x14ac:dyDescent="0.25">
      <c r="A1426" t="s">
        <v>3339</v>
      </c>
      <c r="B1426" s="1">
        <v>45114</v>
      </c>
      <c r="C1426" t="s">
        <v>3340</v>
      </c>
      <c r="D1426" t="s">
        <v>474</v>
      </c>
      <c r="E1426">
        <v>39</v>
      </c>
      <c r="F1426" t="str">
        <f>IF(Table1[[#This Row],[age]]&lt;=25,"18-25",IF(Table1[[#This Row],[age]]&lt;=35,"26-35",IF(Table1[[#This Row],[age]]&lt;=50,"36-50","51+")))</f>
        <v>36-50</v>
      </c>
      <c r="G1426" t="s">
        <v>24</v>
      </c>
      <c r="H1426" t="s">
        <v>25</v>
      </c>
      <c r="I1426" t="s">
        <v>35</v>
      </c>
      <c r="J1426" t="s">
        <v>101</v>
      </c>
      <c r="K1426" t="s">
        <v>214</v>
      </c>
      <c r="L1426">
        <v>8</v>
      </c>
      <c r="M1426">
        <v>3387.86</v>
      </c>
      <c r="N1426">
        <v>0.24</v>
      </c>
      <c r="O1426">
        <v>29752.47</v>
      </c>
      <c r="P1426">
        <v>7208.56</v>
      </c>
      <c r="Q1426">
        <v>47.15</v>
      </c>
      <c r="R1426" t="s">
        <v>49</v>
      </c>
      <c r="S1426">
        <v>5</v>
      </c>
      <c r="T1426" t="b">
        <v>1</v>
      </c>
      <c r="U1426" t="s">
        <v>50</v>
      </c>
      <c r="V1426">
        <v>7</v>
      </c>
    </row>
    <row r="1427" spans="1:22" x14ac:dyDescent="0.25">
      <c r="A1427" t="s">
        <v>3341</v>
      </c>
      <c r="B1427" s="1">
        <v>44235</v>
      </c>
      <c r="C1427" t="s">
        <v>3342</v>
      </c>
      <c r="D1427" t="s">
        <v>227</v>
      </c>
      <c r="E1427">
        <v>20</v>
      </c>
      <c r="F1427" t="str">
        <f>IF(Table1[[#This Row],[age]]&lt;=25,"18-25",IF(Table1[[#This Row],[age]]&lt;=35,"26-35",IF(Table1[[#This Row],[age]]&lt;=50,"36-50","51+")))</f>
        <v>18-25</v>
      </c>
      <c r="G1427" t="s">
        <v>34</v>
      </c>
      <c r="H1427" t="s">
        <v>25</v>
      </c>
      <c r="I1427" t="s">
        <v>26</v>
      </c>
      <c r="J1427" t="s">
        <v>63</v>
      </c>
      <c r="K1427" t="s">
        <v>82</v>
      </c>
      <c r="L1427">
        <v>4</v>
      </c>
      <c r="M1427">
        <v>781.53</v>
      </c>
      <c r="N1427">
        <v>0.03</v>
      </c>
      <c r="O1427">
        <v>2842.15</v>
      </c>
      <c r="P1427">
        <v>1255.07</v>
      </c>
      <c r="Q1427">
        <v>61.02</v>
      </c>
      <c r="R1427" t="s">
        <v>65</v>
      </c>
      <c r="S1427">
        <v>5</v>
      </c>
      <c r="T1427" t="b">
        <v>0</v>
      </c>
      <c r="U1427" t="s">
        <v>30</v>
      </c>
      <c r="V1427">
        <v>7</v>
      </c>
    </row>
    <row r="1428" spans="1:22" x14ac:dyDescent="0.25">
      <c r="A1428" t="s">
        <v>3343</v>
      </c>
      <c r="B1428" s="1">
        <v>44684</v>
      </c>
      <c r="C1428" t="s">
        <v>3344</v>
      </c>
      <c r="D1428" t="s">
        <v>1654</v>
      </c>
      <c r="E1428">
        <v>36</v>
      </c>
      <c r="F1428" t="str">
        <f>IF(Table1[[#This Row],[age]]&lt;=25,"18-25",IF(Table1[[#This Row],[age]]&lt;=35,"26-35",IF(Table1[[#This Row],[age]]&lt;=50,"36-50","51+")))</f>
        <v>36-50</v>
      </c>
      <c r="G1428" t="s">
        <v>34</v>
      </c>
      <c r="H1428" t="s">
        <v>55</v>
      </c>
      <c r="I1428" t="s">
        <v>114</v>
      </c>
      <c r="J1428" t="s">
        <v>115</v>
      </c>
      <c r="K1428" t="s">
        <v>116</v>
      </c>
      <c r="L1428">
        <v>9</v>
      </c>
      <c r="M1428">
        <v>58361.52</v>
      </c>
      <c r="N1428">
        <v>0.14000000000000001</v>
      </c>
      <c r="O1428">
        <v>656523.77</v>
      </c>
      <c r="P1428">
        <v>75288.800000000003</v>
      </c>
      <c r="Q1428">
        <v>48.7</v>
      </c>
      <c r="R1428" t="s">
        <v>49</v>
      </c>
      <c r="S1428">
        <v>3</v>
      </c>
      <c r="T1428" t="b">
        <v>0</v>
      </c>
      <c r="U1428" t="s">
        <v>30</v>
      </c>
      <c r="V1428">
        <v>6</v>
      </c>
    </row>
    <row r="1429" spans="1:22" x14ac:dyDescent="0.25">
      <c r="A1429" t="s">
        <v>3345</v>
      </c>
      <c r="B1429" s="1">
        <v>44405</v>
      </c>
      <c r="C1429" t="s">
        <v>3346</v>
      </c>
      <c r="D1429" t="s">
        <v>3049</v>
      </c>
      <c r="E1429">
        <v>50</v>
      </c>
      <c r="F1429" t="str">
        <f>IF(Table1[[#This Row],[age]]&lt;=25,"18-25",IF(Table1[[#This Row],[age]]&lt;=35,"26-35",IF(Table1[[#This Row],[age]]&lt;=50,"36-50","51+")))</f>
        <v>36-50</v>
      </c>
      <c r="G1429" t="s">
        <v>34</v>
      </c>
      <c r="H1429" t="s">
        <v>55</v>
      </c>
      <c r="I1429" t="s">
        <v>75</v>
      </c>
      <c r="J1429" t="s">
        <v>47</v>
      </c>
      <c r="K1429" t="s">
        <v>600</v>
      </c>
      <c r="L1429">
        <v>9</v>
      </c>
      <c r="M1429">
        <v>303.27999999999997</v>
      </c>
      <c r="N1429">
        <v>0.16</v>
      </c>
      <c r="O1429">
        <v>2822.94</v>
      </c>
      <c r="P1429">
        <v>1428.88</v>
      </c>
      <c r="Q1429">
        <v>66.69</v>
      </c>
      <c r="R1429" t="s">
        <v>43</v>
      </c>
      <c r="S1429">
        <v>3</v>
      </c>
      <c r="T1429" t="b">
        <v>0</v>
      </c>
      <c r="U1429" t="s">
        <v>71</v>
      </c>
      <c r="V1429">
        <v>6</v>
      </c>
    </row>
    <row r="1430" spans="1:22" x14ac:dyDescent="0.25">
      <c r="A1430" t="s">
        <v>3347</v>
      </c>
      <c r="B1430" s="1">
        <v>44917</v>
      </c>
      <c r="C1430" t="s">
        <v>3348</v>
      </c>
      <c r="D1430" t="s">
        <v>564</v>
      </c>
      <c r="E1430">
        <v>21</v>
      </c>
      <c r="F1430" t="str">
        <f>IF(Table1[[#This Row],[age]]&lt;=25,"18-25",IF(Table1[[#This Row],[age]]&lt;=35,"26-35",IF(Table1[[#This Row],[age]]&lt;=50,"36-50","51+")))</f>
        <v>18-25</v>
      </c>
      <c r="G1430" t="s">
        <v>54</v>
      </c>
      <c r="H1430" t="s">
        <v>61</v>
      </c>
      <c r="I1430" t="s">
        <v>62</v>
      </c>
      <c r="J1430" t="s">
        <v>115</v>
      </c>
      <c r="K1430" t="s">
        <v>197</v>
      </c>
      <c r="L1430">
        <v>5</v>
      </c>
      <c r="M1430">
        <v>48591.01</v>
      </c>
      <c r="N1430">
        <v>0.14000000000000001</v>
      </c>
      <c r="O1430">
        <v>155853.93</v>
      </c>
      <c r="P1430">
        <v>14342.24</v>
      </c>
      <c r="Q1430">
        <v>67.81</v>
      </c>
      <c r="R1430" t="s">
        <v>29</v>
      </c>
      <c r="S1430">
        <v>5</v>
      </c>
      <c r="T1430" t="b">
        <v>0</v>
      </c>
      <c r="U1430" t="s">
        <v>30</v>
      </c>
      <c r="V1430">
        <v>2</v>
      </c>
    </row>
    <row r="1431" spans="1:22" x14ac:dyDescent="0.25">
      <c r="A1431" t="s">
        <v>3349</v>
      </c>
      <c r="B1431" s="1">
        <v>44902</v>
      </c>
      <c r="C1431" t="s">
        <v>3350</v>
      </c>
      <c r="D1431" t="s">
        <v>695</v>
      </c>
      <c r="E1431">
        <v>35</v>
      </c>
      <c r="F1431" t="str">
        <f>IF(Table1[[#This Row],[age]]&lt;=25,"18-25",IF(Table1[[#This Row],[age]]&lt;=35,"26-35",IF(Table1[[#This Row],[age]]&lt;=50,"36-50","51+")))</f>
        <v>26-35</v>
      </c>
      <c r="G1431" t="s">
        <v>34</v>
      </c>
      <c r="H1431" t="s">
        <v>55</v>
      </c>
      <c r="I1431" t="s">
        <v>114</v>
      </c>
      <c r="J1431" t="s">
        <v>106</v>
      </c>
      <c r="K1431" t="s">
        <v>188</v>
      </c>
      <c r="L1431">
        <v>1</v>
      </c>
      <c r="M1431">
        <v>211.63</v>
      </c>
      <c r="N1431">
        <v>0.34</v>
      </c>
      <c r="O1431">
        <v>100.19</v>
      </c>
      <c r="P1431">
        <v>8.8000000000000007</v>
      </c>
      <c r="Q1431">
        <v>38.35</v>
      </c>
      <c r="R1431" t="s">
        <v>92</v>
      </c>
      <c r="S1431">
        <v>3</v>
      </c>
      <c r="T1431" t="b">
        <v>0</v>
      </c>
      <c r="U1431" t="s">
        <v>30</v>
      </c>
      <c r="V1431">
        <v>6</v>
      </c>
    </row>
    <row r="1432" spans="1:22" x14ac:dyDescent="0.25">
      <c r="A1432" t="s">
        <v>3351</v>
      </c>
      <c r="B1432" s="1">
        <v>43954</v>
      </c>
      <c r="C1432" t="s">
        <v>3352</v>
      </c>
      <c r="D1432" t="s">
        <v>105</v>
      </c>
      <c r="E1432">
        <v>37</v>
      </c>
      <c r="F1432" t="str">
        <f>IF(Table1[[#This Row],[age]]&lt;=25,"18-25",IF(Table1[[#This Row],[age]]&lt;=35,"26-35",IF(Table1[[#This Row],[age]]&lt;=50,"36-50","51+")))</f>
        <v>36-50</v>
      </c>
      <c r="G1432" t="s">
        <v>34</v>
      </c>
      <c r="H1432" t="s">
        <v>69</v>
      </c>
      <c r="I1432" t="s">
        <v>136</v>
      </c>
      <c r="J1432" t="s">
        <v>27</v>
      </c>
      <c r="K1432" t="s">
        <v>335</v>
      </c>
      <c r="L1432">
        <v>4</v>
      </c>
      <c r="M1432">
        <v>206.46</v>
      </c>
      <c r="N1432">
        <v>0.08</v>
      </c>
      <c r="O1432">
        <v>835.93</v>
      </c>
      <c r="P1432">
        <v>232.93</v>
      </c>
      <c r="Q1432">
        <v>62.51</v>
      </c>
      <c r="R1432" t="s">
        <v>29</v>
      </c>
      <c r="S1432">
        <v>1</v>
      </c>
      <c r="T1432" t="b">
        <v>0</v>
      </c>
      <c r="U1432" t="s">
        <v>30</v>
      </c>
      <c r="V1432">
        <v>9</v>
      </c>
    </row>
    <row r="1433" spans="1:22" x14ac:dyDescent="0.25">
      <c r="A1433" t="s">
        <v>3353</v>
      </c>
      <c r="B1433" s="1">
        <v>44539</v>
      </c>
      <c r="C1433" t="s">
        <v>3354</v>
      </c>
      <c r="D1433" t="s">
        <v>324</v>
      </c>
      <c r="E1433">
        <v>25</v>
      </c>
      <c r="F1433" t="str">
        <f>IF(Table1[[#This Row],[age]]&lt;=25,"18-25",IF(Table1[[#This Row],[age]]&lt;=35,"26-35",IF(Table1[[#This Row],[age]]&lt;=50,"36-50","51+")))</f>
        <v>18-25</v>
      </c>
      <c r="G1433" t="s">
        <v>54</v>
      </c>
      <c r="H1433" t="s">
        <v>69</v>
      </c>
      <c r="I1433" t="s">
        <v>70</v>
      </c>
      <c r="J1433" t="s">
        <v>101</v>
      </c>
      <c r="K1433" t="s">
        <v>456</v>
      </c>
      <c r="L1433">
        <v>6</v>
      </c>
      <c r="M1433">
        <v>12768.97</v>
      </c>
      <c r="N1433">
        <v>0.03</v>
      </c>
      <c r="O1433">
        <v>54563.15</v>
      </c>
      <c r="P1433">
        <v>14418.02</v>
      </c>
      <c r="Q1433">
        <v>94.15</v>
      </c>
      <c r="R1433" t="s">
        <v>29</v>
      </c>
      <c r="S1433">
        <v>5</v>
      </c>
      <c r="T1433" t="b">
        <v>0</v>
      </c>
      <c r="U1433" t="s">
        <v>30</v>
      </c>
      <c r="V1433">
        <v>2</v>
      </c>
    </row>
    <row r="1434" spans="1:22" x14ac:dyDescent="0.25">
      <c r="A1434" t="s">
        <v>3355</v>
      </c>
      <c r="B1434" s="1">
        <v>45493</v>
      </c>
      <c r="C1434" t="s">
        <v>3356</v>
      </c>
      <c r="D1434" t="s">
        <v>1516</v>
      </c>
      <c r="E1434">
        <v>20</v>
      </c>
      <c r="F1434" t="str">
        <f>IF(Table1[[#This Row],[age]]&lt;=25,"18-25",IF(Table1[[#This Row],[age]]&lt;=35,"26-35",IF(Table1[[#This Row],[age]]&lt;=50,"36-50","51+")))</f>
        <v>18-25</v>
      </c>
      <c r="G1434" t="s">
        <v>54</v>
      </c>
      <c r="H1434" t="s">
        <v>25</v>
      </c>
      <c r="I1434" t="s">
        <v>41</v>
      </c>
      <c r="J1434" t="s">
        <v>47</v>
      </c>
      <c r="K1434" t="s">
        <v>204</v>
      </c>
      <c r="L1434">
        <v>9</v>
      </c>
      <c r="M1434">
        <v>872.17</v>
      </c>
      <c r="N1434">
        <v>0.28000000000000003</v>
      </c>
      <c r="O1434">
        <v>9875.31</v>
      </c>
      <c r="P1434">
        <v>3131.98</v>
      </c>
      <c r="Q1434">
        <v>23.1</v>
      </c>
      <c r="R1434" t="s">
        <v>49</v>
      </c>
      <c r="S1434">
        <v>2</v>
      </c>
      <c r="T1434" t="b">
        <v>0</v>
      </c>
      <c r="U1434" t="s">
        <v>30</v>
      </c>
      <c r="V1434">
        <v>4</v>
      </c>
    </row>
    <row r="1435" spans="1:22" x14ac:dyDescent="0.25">
      <c r="A1435" t="s">
        <v>3357</v>
      </c>
      <c r="B1435" s="1">
        <v>44304</v>
      </c>
      <c r="C1435" t="s">
        <v>3358</v>
      </c>
      <c r="D1435" t="s">
        <v>723</v>
      </c>
      <c r="E1435">
        <v>44</v>
      </c>
      <c r="F1435" t="str">
        <f>IF(Table1[[#This Row],[age]]&lt;=25,"18-25",IF(Table1[[#This Row],[age]]&lt;=35,"26-35",IF(Table1[[#This Row],[age]]&lt;=50,"36-50","51+")))</f>
        <v>36-50</v>
      </c>
      <c r="G1435" t="s">
        <v>54</v>
      </c>
      <c r="H1435" t="s">
        <v>80</v>
      </c>
      <c r="I1435" t="s">
        <v>81</v>
      </c>
      <c r="J1435" t="s">
        <v>101</v>
      </c>
      <c r="K1435" t="s">
        <v>318</v>
      </c>
      <c r="L1435">
        <v>1</v>
      </c>
      <c r="M1435">
        <v>736.98</v>
      </c>
      <c r="N1435">
        <v>0.23</v>
      </c>
      <c r="O1435">
        <v>690.69</v>
      </c>
      <c r="P1435">
        <v>150.91999999999999</v>
      </c>
      <c r="Q1435">
        <v>65.86</v>
      </c>
      <c r="R1435" t="s">
        <v>57</v>
      </c>
      <c r="S1435">
        <v>1</v>
      </c>
      <c r="T1435" t="b">
        <v>1</v>
      </c>
      <c r="U1435" t="s">
        <v>50</v>
      </c>
      <c r="V1435">
        <v>7</v>
      </c>
    </row>
    <row r="1436" spans="1:22" x14ac:dyDescent="0.25">
      <c r="A1436" t="s">
        <v>3359</v>
      </c>
      <c r="B1436" s="1">
        <v>45223</v>
      </c>
      <c r="C1436" t="s">
        <v>3360</v>
      </c>
      <c r="D1436" t="s">
        <v>2639</v>
      </c>
      <c r="E1436">
        <v>33</v>
      </c>
      <c r="F1436" t="str">
        <f>IF(Table1[[#This Row],[age]]&lt;=25,"18-25",IF(Table1[[#This Row],[age]]&lt;=35,"26-35",IF(Table1[[#This Row],[age]]&lt;=50,"36-50","51+")))</f>
        <v>26-35</v>
      </c>
      <c r="G1436" t="s">
        <v>24</v>
      </c>
      <c r="H1436" t="s">
        <v>69</v>
      </c>
      <c r="I1436" t="s">
        <v>70</v>
      </c>
      <c r="J1436" t="s">
        <v>27</v>
      </c>
      <c r="K1436" t="s">
        <v>128</v>
      </c>
      <c r="L1436">
        <v>4</v>
      </c>
      <c r="M1436">
        <v>1214.7</v>
      </c>
      <c r="N1436">
        <v>0.35</v>
      </c>
      <c r="O1436">
        <v>3082.23</v>
      </c>
      <c r="P1436">
        <v>1134.31</v>
      </c>
      <c r="Q1436">
        <v>101.88</v>
      </c>
      <c r="R1436" t="s">
        <v>43</v>
      </c>
      <c r="S1436">
        <v>4</v>
      </c>
      <c r="T1436" t="b">
        <v>0</v>
      </c>
      <c r="U1436" t="s">
        <v>30</v>
      </c>
      <c r="V1436">
        <v>4</v>
      </c>
    </row>
    <row r="1437" spans="1:22" x14ac:dyDescent="0.25">
      <c r="A1437" t="s">
        <v>3361</v>
      </c>
      <c r="B1437" s="1">
        <v>44617</v>
      </c>
      <c r="C1437" t="s">
        <v>3362</v>
      </c>
      <c r="D1437" t="s">
        <v>490</v>
      </c>
      <c r="E1437">
        <v>28</v>
      </c>
      <c r="F1437" t="str">
        <f>IF(Table1[[#This Row],[age]]&lt;=25,"18-25",IF(Table1[[#This Row],[age]]&lt;=35,"26-35",IF(Table1[[#This Row],[age]]&lt;=50,"36-50","51+")))</f>
        <v>26-35</v>
      </c>
      <c r="G1437" t="s">
        <v>34</v>
      </c>
      <c r="H1437" t="s">
        <v>69</v>
      </c>
      <c r="I1437" t="s">
        <v>136</v>
      </c>
      <c r="J1437" t="s">
        <v>27</v>
      </c>
      <c r="K1437" t="s">
        <v>128</v>
      </c>
      <c r="L1437">
        <v>2</v>
      </c>
      <c r="M1437">
        <v>2223.4699999999998</v>
      </c>
      <c r="N1437">
        <v>0.28000000000000003</v>
      </c>
      <c r="O1437">
        <v>3216.13</v>
      </c>
      <c r="P1437">
        <v>1585.85</v>
      </c>
      <c r="Q1437">
        <v>71.53</v>
      </c>
      <c r="R1437" t="s">
        <v>29</v>
      </c>
      <c r="S1437">
        <v>5</v>
      </c>
      <c r="T1437" t="b">
        <v>0</v>
      </c>
      <c r="U1437" t="s">
        <v>30</v>
      </c>
      <c r="V1437">
        <v>10</v>
      </c>
    </row>
    <row r="1438" spans="1:22" x14ac:dyDescent="0.25">
      <c r="A1438" t="s">
        <v>3363</v>
      </c>
      <c r="B1438" s="1">
        <v>43885</v>
      </c>
      <c r="C1438" t="s">
        <v>3364</v>
      </c>
      <c r="D1438" t="s">
        <v>361</v>
      </c>
      <c r="E1438">
        <v>40</v>
      </c>
      <c r="F1438" t="str">
        <f>IF(Table1[[#This Row],[age]]&lt;=25,"18-25",IF(Table1[[#This Row],[age]]&lt;=35,"26-35",IF(Table1[[#This Row],[age]]&lt;=50,"36-50","51+")))</f>
        <v>36-50</v>
      </c>
      <c r="G1438" t="s">
        <v>24</v>
      </c>
      <c r="H1438" t="s">
        <v>25</v>
      </c>
      <c r="I1438" t="s">
        <v>35</v>
      </c>
      <c r="J1438" t="s">
        <v>63</v>
      </c>
      <c r="K1438" t="s">
        <v>152</v>
      </c>
      <c r="L1438">
        <v>7</v>
      </c>
      <c r="M1438">
        <v>2365.37</v>
      </c>
      <c r="N1438">
        <v>0.23</v>
      </c>
      <c r="O1438">
        <v>11584.23</v>
      </c>
      <c r="P1438">
        <v>4400.45</v>
      </c>
      <c r="Q1438">
        <v>58.83</v>
      </c>
      <c r="R1438" t="s">
        <v>92</v>
      </c>
      <c r="S1438">
        <v>5</v>
      </c>
      <c r="T1438" t="b">
        <v>0</v>
      </c>
      <c r="U1438" t="s">
        <v>30</v>
      </c>
      <c r="V1438">
        <v>3</v>
      </c>
    </row>
    <row r="1439" spans="1:22" x14ac:dyDescent="0.25">
      <c r="A1439" t="s">
        <v>3365</v>
      </c>
      <c r="B1439" s="1">
        <v>44745</v>
      </c>
      <c r="C1439" t="s">
        <v>3366</v>
      </c>
      <c r="D1439" t="s">
        <v>123</v>
      </c>
      <c r="E1439">
        <v>47</v>
      </c>
      <c r="F1439" t="str">
        <f>IF(Table1[[#This Row],[age]]&lt;=25,"18-25",IF(Table1[[#This Row],[age]]&lt;=35,"26-35",IF(Table1[[#This Row],[age]]&lt;=50,"36-50","51+")))</f>
        <v>36-50</v>
      </c>
      <c r="G1439" t="s">
        <v>34</v>
      </c>
      <c r="H1439" t="s">
        <v>69</v>
      </c>
      <c r="I1439" t="s">
        <v>181</v>
      </c>
      <c r="J1439" t="s">
        <v>106</v>
      </c>
      <c r="K1439" t="s">
        <v>188</v>
      </c>
      <c r="L1439">
        <v>9</v>
      </c>
      <c r="M1439">
        <v>402.48</v>
      </c>
      <c r="N1439">
        <v>0.34</v>
      </c>
      <c r="O1439">
        <v>3545.6</v>
      </c>
      <c r="P1439">
        <v>235.12</v>
      </c>
      <c r="Q1439">
        <v>108.84</v>
      </c>
      <c r="R1439" t="s">
        <v>57</v>
      </c>
      <c r="S1439">
        <v>5</v>
      </c>
      <c r="T1439" t="b">
        <v>0</v>
      </c>
      <c r="U1439" t="s">
        <v>30</v>
      </c>
      <c r="V1439">
        <v>1</v>
      </c>
    </row>
    <row r="1440" spans="1:22" x14ac:dyDescent="0.25">
      <c r="A1440" t="s">
        <v>3367</v>
      </c>
      <c r="B1440" s="1">
        <v>43923</v>
      </c>
      <c r="C1440" t="s">
        <v>3368</v>
      </c>
      <c r="D1440" t="s">
        <v>1617</v>
      </c>
      <c r="E1440">
        <v>27</v>
      </c>
      <c r="F1440" t="str">
        <f>IF(Table1[[#This Row],[age]]&lt;=25,"18-25",IF(Table1[[#This Row],[age]]&lt;=35,"26-35",IF(Table1[[#This Row],[age]]&lt;=50,"36-50","51+")))</f>
        <v>26-35</v>
      </c>
      <c r="G1440" t="s">
        <v>54</v>
      </c>
      <c r="H1440" t="s">
        <v>55</v>
      </c>
      <c r="I1440" t="s">
        <v>97</v>
      </c>
      <c r="J1440" t="s">
        <v>106</v>
      </c>
      <c r="K1440" t="s">
        <v>331</v>
      </c>
      <c r="L1440">
        <v>3</v>
      </c>
      <c r="M1440">
        <v>263.48</v>
      </c>
      <c r="N1440">
        <v>0.27</v>
      </c>
      <c r="O1440">
        <v>622.58000000000004</v>
      </c>
      <c r="P1440">
        <v>55.39</v>
      </c>
      <c r="Q1440">
        <v>77.89</v>
      </c>
      <c r="R1440" t="s">
        <v>29</v>
      </c>
      <c r="S1440">
        <v>2</v>
      </c>
      <c r="T1440" t="b">
        <v>0</v>
      </c>
      <c r="U1440" t="s">
        <v>93</v>
      </c>
      <c r="V1440">
        <v>3</v>
      </c>
    </row>
    <row r="1441" spans="1:22" x14ac:dyDescent="0.25">
      <c r="A1441" t="s">
        <v>3369</v>
      </c>
      <c r="B1441" s="1">
        <v>44279</v>
      </c>
      <c r="C1441" t="s">
        <v>3370</v>
      </c>
      <c r="D1441" t="s">
        <v>1051</v>
      </c>
      <c r="E1441">
        <v>36</v>
      </c>
      <c r="F1441" t="str">
        <f>IF(Table1[[#This Row],[age]]&lt;=25,"18-25",IF(Table1[[#This Row],[age]]&lt;=35,"26-35",IF(Table1[[#This Row],[age]]&lt;=50,"36-50","51+")))</f>
        <v>36-50</v>
      </c>
      <c r="G1441" t="s">
        <v>54</v>
      </c>
      <c r="H1441" t="s">
        <v>25</v>
      </c>
      <c r="I1441" t="s">
        <v>41</v>
      </c>
      <c r="J1441" t="s">
        <v>27</v>
      </c>
      <c r="K1441" t="s">
        <v>128</v>
      </c>
      <c r="L1441">
        <v>8</v>
      </c>
      <c r="M1441">
        <v>1335.25</v>
      </c>
      <c r="N1441">
        <v>0.12</v>
      </c>
      <c r="O1441">
        <v>9435.3799999999992</v>
      </c>
      <c r="P1441">
        <v>4980.08</v>
      </c>
      <c r="Q1441">
        <v>64.56</v>
      </c>
      <c r="R1441" t="s">
        <v>92</v>
      </c>
      <c r="S1441">
        <v>2</v>
      </c>
      <c r="T1441" t="b">
        <v>0</v>
      </c>
      <c r="U1441" t="s">
        <v>71</v>
      </c>
      <c r="V1441">
        <v>1</v>
      </c>
    </row>
    <row r="1442" spans="1:22" x14ac:dyDescent="0.25">
      <c r="A1442" t="s">
        <v>3371</v>
      </c>
      <c r="B1442" s="1">
        <v>45463</v>
      </c>
      <c r="C1442" t="s">
        <v>3372</v>
      </c>
      <c r="D1442" t="s">
        <v>895</v>
      </c>
      <c r="E1442">
        <v>19</v>
      </c>
      <c r="F1442" t="str">
        <f>IF(Table1[[#This Row],[age]]&lt;=25,"18-25",IF(Table1[[#This Row],[age]]&lt;=35,"26-35",IF(Table1[[#This Row],[age]]&lt;=50,"36-50","51+")))</f>
        <v>18-25</v>
      </c>
      <c r="G1442" t="s">
        <v>54</v>
      </c>
      <c r="H1442" t="s">
        <v>80</v>
      </c>
      <c r="I1442" t="s">
        <v>236</v>
      </c>
      <c r="J1442" t="s">
        <v>106</v>
      </c>
      <c r="K1442" t="s">
        <v>247</v>
      </c>
      <c r="L1442">
        <v>9</v>
      </c>
      <c r="M1442">
        <v>293.41000000000003</v>
      </c>
      <c r="N1442">
        <v>0.09</v>
      </c>
      <c r="O1442">
        <v>4375.33</v>
      </c>
      <c r="P1442">
        <v>353.37</v>
      </c>
      <c r="Q1442">
        <v>78.569999999999993</v>
      </c>
      <c r="R1442" t="s">
        <v>43</v>
      </c>
      <c r="S1442">
        <v>5</v>
      </c>
      <c r="T1442" t="b">
        <v>0</v>
      </c>
      <c r="U1442" t="s">
        <v>30</v>
      </c>
      <c r="V1442">
        <v>8</v>
      </c>
    </row>
    <row r="1443" spans="1:22" x14ac:dyDescent="0.25">
      <c r="A1443" t="s">
        <v>3373</v>
      </c>
      <c r="B1443" s="1">
        <v>45371</v>
      </c>
      <c r="C1443" t="s">
        <v>3374</v>
      </c>
      <c r="D1443" t="s">
        <v>603</v>
      </c>
      <c r="E1443">
        <v>30</v>
      </c>
      <c r="F1443" t="str">
        <f>IF(Table1[[#This Row],[age]]&lt;=25,"18-25",IF(Table1[[#This Row],[age]]&lt;=35,"26-35",IF(Table1[[#This Row],[age]]&lt;=50,"36-50","51+")))</f>
        <v>26-35</v>
      </c>
      <c r="G1443" t="s">
        <v>34</v>
      </c>
      <c r="H1443" t="s">
        <v>69</v>
      </c>
      <c r="I1443" t="s">
        <v>136</v>
      </c>
      <c r="J1443" t="s">
        <v>115</v>
      </c>
      <c r="K1443" t="s">
        <v>197</v>
      </c>
      <c r="L1443">
        <v>6</v>
      </c>
      <c r="M1443">
        <v>68505.67</v>
      </c>
      <c r="N1443">
        <v>0.28000000000000003</v>
      </c>
      <c r="O1443">
        <v>367164.54</v>
      </c>
      <c r="P1443">
        <v>51349.21</v>
      </c>
      <c r="Q1443">
        <v>111.8</v>
      </c>
      <c r="R1443" t="s">
        <v>43</v>
      </c>
      <c r="S1443">
        <v>1</v>
      </c>
      <c r="T1443" t="b">
        <v>0</v>
      </c>
      <c r="U1443" t="s">
        <v>30</v>
      </c>
      <c r="V1443">
        <v>1</v>
      </c>
    </row>
    <row r="1444" spans="1:22" x14ac:dyDescent="0.25">
      <c r="A1444" t="s">
        <v>3375</v>
      </c>
      <c r="B1444" s="1">
        <v>45477</v>
      </c>
      <c r="C1444" t="s">
        <v>3376</v>
      </c>
      <c r="D1444" t="s">
        <v>2439</v>
      </c>
      <c r="E1444">
        <v>29</v>
      </c>
      <c r="F1444" t="str">
        <f>IF(Table1[[#This Row],[age]]&lt;=25,"18-25",IF(Table1[[#This Row],[age]]&lt;=35,"26-35",IF(Table1[[#This Row],[age]]&lt;=50,"36-50","51+")))</f>
        <v>26-35</v>
      </c>
      <c r="G1444" t="s">
        <v>24</v>
      </c>
      <c r="H1444" t="s">
        <v>25</v>
      </c>
      <c r="I1444" t="s">
        <v>41</v>
      </c>
      <c r="J1444" t="s">
        <v>63</v>
      </c>
      <c r="K1444" t="s">
        <v>111</v>
      </c>
      <c r="L1444">
        <v>7</v>
      </c>
      <c r="M1444">
        <v>3302.83</v>
      </c>
      <c r="N1444">
        <v>7.0000000000000007E-2</v>
      </c>
      <c r="O1444">
        <v>35762.76</v>
      </c>
      <c r="P1444">
        <v>10582.26</v>
      </c>
      <c r="Q1444">
        <v>67.27</v>
      </c>
      <c r="R1444" t="s">
        <v>29</v>
      </c>
      <c r="S1444">
        <v>2</v>
      </c>
      <c r="T1444" t="b">
        <v>0</v>
      </c>
      <c r="U1444" t="s">
        <v>93</v>
      </c>
      <c r="V1444">
        <v>3</v>
      </c>
    </row>
    <row r="1445" spans="1:22" x14ac:dyDescent="0.25">
      <c r="A1445" t="s">
        <v>3377</v>
      </c>
      <c r="B1445" s="1">
        <v>45423</v>
      </c>
      <c r="C1445" t="s">
        <v>3378</v>
      </c>
      <c r="D1445" t="s">
        <v>1136</v>
      </c>
      <c r="E1445">
        <v>22</v>
      </c>
      <c r="F1445" t="str">
        <f>IF(Table1[[#This Row],[age]]&lt;=25,"18-25",IF(Table1[[#This Row],[age]]&lt;=35,"26-35",IF(Table1[[#This Row],[age]]&lt;=50,"36-50","51+")))</f>
        <v>18-25</v>
      </c>
      <c r="G1445" t="s">
        <v>54</v>
      </c>
      <c r="H1445" t="s">
        <v>25</v>
      </c>
      <c r="I1445" t="s">
        <v>41</v>
      </c>
      <c r="J1445" t="s">
        <v>47</v>
      </c>
      <c r="K1445" t="s">
        <v>48</v>
      </c>
      <c r="L1445">
        <v>1</v>
      </c>
      <c r="M1445">
        <v>824.98</v>
      </c>
      <c r="N1445">
        <v>0.04</v>
      </c>
      <c r="O1445">
        <v>1484.35</v>
      </c>
      <c r="P1445">
        <v>718.2</v>
      </c>
      <c r="Q1445">
        <v>58.06</v>
      </c>
      <c r="R1445" t="s">
        <v>43</v>
      </c>
      <c r="S1445">
        <v>5</v>
      </c>
      <c r="T1445" t="b">
        <v>0</v>
      </c>
      <c r="U1445" t="s">
        <v>30</v>
      </c>
      <c r="V1445">
        <v>3</v>
      </c>
    </row>
    <row r="1446" spans="1:22" x14ac:dyDescent="0.25">
      <c r="A1446" t="s">
        <v>3379</v>
      </c>
      <c r="B1446" s="1">
        <v>45291</v>
      </c>
      <c r="C1446" t="s">
        <v>3380</v>
      </c>
      <c r="D1446" t="s">
        <v>1756</v>
      </c>
      <c r="E1446">
        <v>49</v>
      </c>
      <c r="F1446" t="str">
        <f>IF(Table1[[#This Row],[age]]&lt;=25,"18-25",IF(Table1[[#This Row],[age]]&lt;=35,"26-35",IF(Table1[[#This Row],[age]]&lt;=50,"36-50","51+")))</f>
        <v>36-50</v>
      </c>
      <c r="G1446" t="s">
        <v>24</v>
      </c>
      <c r="H1446" t="s">
        <v>80</v>
      </c>
      <c r="I1446" t="s">
        <v>236</v>
      </c>
      <c r="J1446" t="s">
        <v>115</v>
      </c>
      <c r="K1446" t="s">
        <v>145</v>
      </c>
      <c r="L1446">
        <v>9</v>
      </c>
      <c r="M1446">
        <v>15045.24</v>
      </c>
      <c r="N1446">
        <v>0.38</v>
      </c>
      <c r="O1446">
        <v>72139.33</v>
      </c>
      <c r="P1446">
        <v>9548.15</v>
      </c>
      <c r="Q1446">
        <v>70.61</v>
      </c>
      <c r="R1446" t="s">
        <v>29</v>
      </c>
      <c r="S1446">
        <v>1</v>
      </c>
      <c r="T1446" t="b">
        <v>0</v>
      </c>
      <c r="U1446" t="s">
        <v>30</v>
      </c>
      <c r="V1446">
        <v>6</v>
      </c>
    </row>
    <row r="1447" spans="1:22" x14ac:dyDescent="0.25">
      <c r="A1447" t="s">
        <v>3381</v>
      </c>
      <c r="B1447" s="1">
        <v>45593</v>
      </c>
      <c r="C1447" t="s">
        <v>3382</v>
      </c>
      <c r="D1447" t="s">
        <v>253</v>
      </c>
      <c r="E1447">
        <v>38</v>
      </c>
      <c r="F1447" t="str">
        <f>IF(Table1[[#This Row],[age]]&lt;=25,"18-25",IF(Table1[[#This Row],[age]]&lt;=35,"26-35",IF(Table1[[#This Row],[age]]&lt;=50,"36-50","51+")))</f>
        <v>36-50</v>
      </c>
      <c r="G1447" t="s">
        <v>54</v>
      </c>
      <c r="H1447" t="s">
        <v>80</v>
      </c>
      <c r="I1447" t="s">
        <v>81</v>
      </c>
      <c r="J1447" t="s">
        <v>106</v>
      </c>
      <c r="K1447" t="s">
        <v>718</v>
      </c>
      <c r="L1447">
        <v>10</v>
      </c>
      <c r="M1447">
        <v>86.55</v>
      </c>
      <c r="N1447">
        <v>0.27</v>
      </c>
      <c r="O1447">
        <v>746.03</v>
      </c>
      <c r="P1447">
        <v>63.53</v>
      </c>
      <c r="Q1447">
        <v>71.97</v>
      </c>
      <c r="R1447" t="s">
        <v>49</v>
      </c>
      <c r="S1447">
        <v>3</v>
      </c>
      <c r="T1447" t="b">
        <v>0</v>
      </c>
      <c r="U1447" t="s">
        <v>30</v>
      </c>
      <c r="V1447">
        <v>5</v>
      </c>
    </row>
    <row r="1448" spans="1:22" x14ac:dyDescent="0.25">
      <c r="A1448" t="s">
        <v>3383</v>
      </c>
      <c r="B1448" s="1">
        <v>44192</v>
      </c>
      <c r="C1448" t="s">
        <v>342</v>
      </c>
      <c r="D1448" t="s">
        <v>3384</v>
      </c>
      <c r="E1448">
        <v>39</v>
      </c>
      <c r="F1448" t="str">
        <f>IF(Table1[[#This Row],[age]]&lt;=25,"18-25",IF(Table1[[#This Row],[age]]&lt;=35,"26-35",IF(Table1[[#This Row],[age]]&lt;=50,"36-50","51+")))</f>
        <v>36-50</v>
      </c>
      <c r="G1448" t="s">
        <v>24</v>
      </c>
      <c r="H1448" t="s">
        <v>25</v>
      </c>
      <c r="I1448" t="s">
        <v>35</v>
      </c>
      <c r="J1448" t="s">
        <v>63</v>
      </c>
      <c r="K1448" t="s">
        <v>87</v>
      </c>
      <c r="L1448">
        <v>3</v>
      </c>
      <c r="M1448">
        <v>487.67</v>
      </c>
      <c r="N1448">
        <v>0.18</v>
      </c>
      <c r="O1448">
        <v>822.61</v>
      </c>
      <c r="P1448">
        <v>342.21</v>
      </c>
      <c r="Q1448">
        <v>83.7</v>
      </c>
      <c r="R1448" t="s">
        <v>49</v>
      </c>
      <c r="S1448">
        <v>3</v>
      </c>
      <c r="T1448" t="b">
        <v>0</v>
      </c>
      <c r="U1448" t="s">
        <v>30</v>
      </c>
      <c r="V1448">
        <v>7</v>
      </c>
    </row>
    <row r="1449" spans="1:22" x14ac:dyDescent="0.25">
      <c r="A1449" t="s">
        <v>3385</v>
      </c>
      <c r="B1449" s="1">
        <v>44610</v>
      </c>
      <c r="C1449" t="s">
        <v>3386</v>
      </c>
      <c r="D1449" t="s">
        <v>519</v>
      </c>
      <c r="E1449">
        <v>45</v>
      </c>
      <c r="F1449" t="str">
        <f>IF(Table1[[#This Row],[age]]&lt;=25,"18-25",IF(Table1[[#This Row],[age]]&lt;=35,"26-35",IF(Table1[[#This Row],[age]]&lt;=50,"36-50","51+")))</f>
        <v>36-50</v>
      </c>
      <c r="G1449" t="s">
        <v>34</v>
      </c>
      <c r="H1449" t="s">
        <v>55</v>
      </c>
      <c r="I1449" t="s">
        <v>56</v>
      </c>
      <c r="J1449" t="s">
        <v>27</v>
      </c>
      <c r="K1449" t="s">
        <v>28</v>
      </c>
      <c r="L1449">
        <v>3</v>
      </c>
      <c r="M1449">
        <v>1152.55</v>
      </c>
      <c r="N1449">
        <v>0.19</v>
      </c>
      <c r="O1449">
        <v>3015.35</v>
      </c>
      <c r="P1449">
        <v>955.16</v>
      </c>
      <c r="Q1449">
        <v>65.06</v>
      </c>
      <c r="R1449" t="s">
        <v>49</v>
      </c>
      <c r="S1449">
        <v>1</v>
      </c>
      <c r="T1449" t="b">
        <v>0</v>
      </c>
      <c r="U1449" t="s">
        <v>30</v>
      </c>
      <c r="V1449">
        <v>2</v>
      </c>
    </row>
    <row r="1450" spans="1:22" x14ac:dyDescent="0.25">
      <c r="A1450" t="s">
        <v>3387</v>
      </c>
      <c r="B1450" s="1">
        <v>44647</v>
      </c>
      <c r="C1450" t="s">
        <v>3388</v>
      </c>
      <c r="D1450" t="s">
        <v>1659</v>
      </c>
      <c r="E1450">
        <v>30</v>
      </c>
      <c r="F1450" t="str">
        <f>IF(Table1[[#This Row],[age]]&lt;=25,"18-25",IF(Table1[[#This Row],[age]]&lt;=35,"26-35",IF(Table1[[#This Row],[age]]&lt;=50,"36-50","51+")))</f>
        <v>26-35</v>
      </c>
      <c r="G1450" t="s">
        <v>54</v>
      </c>
      <c r="H1450" t="s">
        <v>55</v>
      </c>
      <c r="I1450" t="s">
        <v>56</v>
      </c>
      <c r="J1450" t="s">
        <v>115</v>
      </c>
      <c r="K1450" t="s">
        <v>137</v>
      </c>
      <c r="L1450">
        <v>2</v>
      </c>
      <c r="M1450">
        <v>58913.07</v>
      </c>
      <c r="N1450">
        <v>0.37</v>
      </c>
      <c r="O1450">
        <v>86706.37</v>
      </c>
      <c r="P1450">
        <v>9273.59</v>
      </c>
      <c r="Q1450">
        <v>54.91</v>
      </c>
      <c r="R1450" t="s">
        <v>49</v>
      </c>
      <c r="S1450">
        <v>2</v>
      </c>
      <c r="T1450" t="b">
        <v>0</v>
      </c>
      <c r="U1450" t="s">
        <v>93</v>
      </c>
      <c r="V1450">
        <v>3</v>
      </c>
    </row>
    <row r="1451" spans="1:22" x14ac:dyDescent="0.25">
      <c r="A1451" t="s">
        <v>3389</v>
      </c>
      <c r="B1451" s="1">
        <v>45438</v>
      </c>
      <c r="C1451" t="s">
        <v>3390</v>
      </c>
      <c r="D1451" t="s">
        <v>797</v>
      </c>
      <c r="E1451">
        <v>30</v>
      </c>
      <c r="F1451" t="str">
        <f>IF(Table1[[#This Row],[age]]&lt;=25,"18-25",IF(Table1[[#This Row],[age]]&lt;=35,"26-35",IF(Table1[[#This Row],[age]]&lt;=50,"36-50","51+")))</f>
        <v>26-35</v>
      </c>
      <c r="G1451" t="s">
        <v>24</v>
      </c>
      <c r="H1451" t="s">
        <v>69</v>
      </c>
      <c r="I1451" t="s">
        <v>70</v>
      </c>
      <c r="J1451" t="s">
        <v>36</v>
      </c>
      <c r="K1451" t="s">
        <v>37</v>
      </c>
      <c r="L1451">
        <v>9</v>
      </c>
      <c r="M1451">
        <v>10404.799999999999</v>
      </c>
      <c r="N1451">
        <v>0.35</v>
      </c>
      <c r="O1451">
        <v>103669.31</v>
      </c>
      <c r="P1451">
        <v>24976.75</v>
      </c>
      <c r="Q1451">
        <v>83.45</v>
      </c>
      <c r="R1451" t="s">
        <v>57</v>
      </c>
      <c r="S1451">
        <v>1</v>
      </c>
      <c r="T1451" t="b">
        <v>0</v>
      </c>
      <c r="U1451" t="s">
        <v>30</v>
      </c>
      <c r="V1451">
        <v>6</v>
      </c>
    </row>
    <row r="1452" spans="1:22" x14ac:dyDescent="0.25">
      <c r="A1452" t="s">
        <v>3391</v>
      </c>
      <c r="B1452" s="1">
        <v>45404</v>
      </c>
      <c r="C1452" t="s">
        <v>3392</v>
      </c>
      <c r="D1452" t="s">
        <v>297</v>
      </c>
      <c r="E1452">
        <v>29</v>
      </c>
      <c r="F1452" t="str">
        <f>IF(Table1[[#This Row],[age]]&lt;=25,"18-25",IF(Table1[[#This Row],[age]]&lt;=35,"26-35",IF(Table1[[#This Row],[age]]&lt;=50,"36-50","51+")))</f>
        <v>26-35</v>
      </c>
      <c r="G1452" t="s">
        <v>24</v>
      </c>
      <c r="H1452" t="s">
        <v>61</v>
      </c>
      <c r="I1452" t="s">
        <v>163</v>
      </c>
      <c r="J1452" t="s">
        <v>115</v>
      </c>
      <c r="K1452" t="s">
        <v>137</v>
      </c>
      <c r="L1452">
        <v>10</v>
      </c>
      <c r="M1452">
        <v>74580.77</v>
      </c>
      <c r="N1452">
        <v>0.23</v>
      </c>
      <c r="O1452">
        <v>804932.74</v>
      </c>
      <c r="P1452">
        <v>82687.350000000006</v>
      </c>
      <c r="Q1452">
        <v>42.09</v>
      </c>
      <c r="R1452" t="s">
        <v>29</v>
      </c>
      <c r="S1452">
        <v>3</v>
      </c>
      <c r="T1452" t="b">
        <v>0</v>
      </c>
      <c r="U1452" t="s">
        <v>30</v>
      </c>
      <c r="V1452">
        <v>10</v>
      </c>
    </row>
    <row r="1453" spans="1:22" x14ac:dyDescent="0.25">
      <c r="A1453" t="s">
        <v>3393</v>
      </c>
      <c r="B1453" s="1">
        <v>45114</v>
      </c>
      <c r="C1453" t="s">
        <v>3394</v>
      </c>
      <c r="D1453" t="s">
        <v>3384</v>
      </c>
      <c r="E1453">
        <v>33</v>
      </c>
      <c r="F1453" t="str">
        <f>IF(Table1[[#This Row],[age]]&lt;=25,"18-25",IF(Table1[[#This Row],[age]]&lt;=35,"26-35",IF(Table1[[#This Row],[age]]&lt;=50,"36-50","51+")))</f>
        <v>26-35</v>
      </c>
      <c r="G1453" t="s">
        <v>54</v>
      </c>
      <c r="H1453" t="s">
        <v>61</v>
      </c>
      <c r="I1453" t="s">
        <v>141</v>
      </c>
      <c r="J1453" t="s">
        <v>101</v>
      </c>
      <c r="K1453" t="s">
        <v>456</v>
      </c>
      <c r="L1453">
        <v>7</v>
      </c>
      <c r="M1453">
        <v>8842.83</v>
      </c>
      <c r="N1453">
        <v>0.34</v>
      </c>
      <c r="O1453">
        <v>62506.61</v>
      </c>
      <c r="P1453">
        <v>13120.8</v>
      </c>
      <c r="Q1453">
        <v>39.72</v>
      </c>
      <c r="R1453" t="s">
        <v>57</v>
      </c>
      <c r="S1453">
        <v>3</v>
      </c>
      <c r="T1453" t="b">
        <v>0</v>
      </c>
      <c r="U1453" t="s">
        <v>30</v>
      </c>
      <c r="V1453">
        <v>8</v>
      </c>
    </row>
    <row r="1454" spans="1:22" x14ac:dyDescent="0.25">
      <c r="A1454" t="s">
        <v>3395</v>
      </c>
      <c r="B1454" s="1">
        <v>44624</v>
      </c>
      <c r="C1454" t="s">
        <v>3396</v>
      </c>
      <c r="D1454" t="s">
        <v>40</v>
      </c>
      <c r="E1454">
        <v>46</v>
      </c>
      <c r="F1454" t="str">
        <f>IF(Table1[[#This Row],[age]]&lt;=25,"18-25",IF(Table1[[#This Row],[age]]&lt;=35,"26-35",IF(Table1[[#This Row],[age]]&lt;=50,"36-50","51+")))</f>
        <v>36-50</v>
      </c>
      <c r="G1454" t="s">
        <v>54</v>
      </c>
      <c r="H1454" t="s">
        <v>25</v>
      </c>
      <c r="I1454" t="s">
        <v>41</v>
      </c>
      <c r="J1454" t="s">
        <v>47</v>
      </c>
      <c r="K1454" t="s">
        <v>272</v>
      </c>
      <c r="L1454">
        <v>9</v>
      </c>
      <c r="M1454">
        <v>1062.8699999999999</v>
      </c>
      <c r="N1454">
        <v>0.06</v>
      </c>
      <c r="O1454">
        <v>10261.94</v>
      </c>
      <c r="P1454">
        <v>4417.8500000000004</v>
      </c>
      <c r="Q1454">
        <v>54.68</v>
      </c>
      <c r="R1454" t="s">
        <v>43</v>
      </c>
      <c r="S1454">
        <v>1</v>
      </c>
      <c r="T1454" t="b">
        <v>0</v>
      </c>
      <c r="U1454" t="s">
        <v>30</v>
      </c>
      <c r="V1454">
        <v>8</v>
      </c>
    </row>
    <row r="1455" spans="1:22" x14ac:dyDescent="0.25">
      <c r="A1455" t="s">
        <v>3397</v>
      </c>
      <c r="B1455" s="1">
        <v>44630</v>
      </c>
      <c r="C1455" t="s">
        <v>3398</v>
      </c>
      <c r="D1455" t="s">
        <v>1129</v>
      </c>
      <c r="E1455">
        <v>44</v>
      </c>
      <c r="F1455" t="str">
        <f>IF(Table1[[#This Row],[age]]&lt;=25,"18-25",IF(Table1[[#This Row],[age]]&lt;=35,"26-35",IF(Table1[[#This Row],[age]]&lt;=50,"36-50","51+")))</f>
        <v>36-50</v>
      </c>
      <c r="G1455" t="s">
        <v>24</v>
      </c>
      <c r="H1455" t="s">
        <v>25</v>
      </c>
      <c r="I1455" t="s">
        <v>298</v>
      </c>
      <c r="J1455" t="s">
        <v>115</v>
      </c>
      <c r="K1455" t="s">
        <v>116</v>
      </c>
      <c r="L1455">
        <v>8</v>
      </c>
      <c r="M1455">
        <v>33693.65</v>
      </c>
      <c r="N1455">
        <v>0.27</v>
      </c>
      <c r="O1455">
        <v>241104.48</v>
      </c>
      <c r="P1455">
        <v>26410.1</v>
      </c>
      <c r="Q1455">
        <v>80.849999999999994</v>
      </c>
      <c r="R1455" t="s">
        <v>43</v>
      </c>
      <c r="S1455">
        <v>4</v>
      </c>
      <c r="T1455" t="b">
        <v>0</v>
      </c>
      <c r="U1455" t="s">
        <v>30</v>
      </c>
      <c r="V1455">
        <v>4</v>
      </c>
    </row>
    <row r="1456" spans="1:22" x14ac:dyDescent="0.25">
      <c r="A1456" t="s">
        <v>3399</v>
      </c>
      <c r="B1456" s="1">
        <v>44635</v>
      </c>
      <c r="C1456" t="s">
        <v>3400</v>
      </c>
      <c r="D1456" t="s">
        <v>46</v>
      </c>
      <c r="E1456">
        <v>33</v>
      </c>
      <c r="F1456" t="str">
        <f>IF(Table1[[#This Row],[age]]&lt;=25,"18-25",IF(Table1[[#This Row],[age]]&lt;=35,"26-35",IF(Table1[[#This Row],[age]]&lt;=50,"36-50","51+")))</f>
        <v>26-35</v>
      </c>
      <c r="G1456" t="s">
        <v>34</v>
      </c>
      <c r="H1456" t="s">
        <v>61</v>
      </c>
      <c r="I1456" t="s">
        <v>141</v>
      </c>
      <c r="J1456" t="s">
        <v>47</v>
      </c>
      <c r="K1456" t="s">
        <v>272</v>
      </c>
      <c r="L1456">
        <v>10</v>
      </c>
      <c r="M1456">
        <v>1209.42</v>
      </c>
      <c r="N1456">
        <v>0.39</v>
      </c>
      <c r="O1456">
        <v>9490.36</v>
      </c>
      <c r="P1456">
        <v>4575.74</v>
      </c>
      <c r="Q1456">
        <v>31.85</v>
      </c>
      <c r="R1456" t="s">
        <v>57</v>
      </c>
      <c r="S1456">
        <v>3</v>
      </c>
      <c r="T1456" t="b">
        <v>0</v>
      </c>
      <c r="U1456" t="s">
        <v>30</v>
      </c>
      <c r="V1456">
        <v>6</v>
      </c>
    </row>
    <row r="1457" spans="1:22" x14ac:dyDescent="0.25">
      <c r="A1457" t="s">
        <v>3401</v>
      </c>
      <c r="B1457" s="1">
        <v>44963</v>
      </c>
      <c r="C1457" t="s">
        <v>3402</v>
      </c>
      <c r="D1457" t="s">
        <v>119</v>
      </c>
      <c r="E1457">
        <v>27</v>
      </c>
      <c r="F1457" t="str">
        <f>IF(Table1[[#This Row],[age]]&lt;=25,"18-25",IF(Table1[[#This Row],[age]]&lt;=35,"26-35",IF(Table1[[#This Row],[age]]&lt;=50,"36-50","51+")))</f>
        <v>26-35</v>
      </c>
      <c r="G1457" t="s">
        <v>24</v>
      </c>
      <c r="H1457" t="s">
        <v>80</v>
      </c>
      <c r="I1457" t="s">
        <v>242</v>
      </c>
      <c r="J1457" t="s">
        <v>63</v>
      </c>
      <c r="K1457" t="s">
        <v>64</v>
      </c>
      <c r="L1457">
        <v>7</v>
      </c>
      <c r="M1457">
        <v>3168.59</v>
      </c>
      <c r="N1457">
        <v>0.27</v>
      </c>
      <c r="O1457">
        <v>16375.14</v>
      </c>
      <c r="P1457">
        <v>4441.7299999999996</v>
      </c>
      <c r="Q1457">
        <v>88.78</v>
      </c>
      <c r="R1457" t="s">
        <v>65</v>
      </c>
      <c r="S1457">
        <v>3</v>
      </c>
      <c r="T1457" t="b">
        <v>0</v>
      </c>
      <c r="U1457" t="s">
        <v>30</v>
      </c>
      <c r="V1457">
        <v>9</v>
      </c>
    </row>
    <row r="1458" spans="1:22" x14ac:dyDescent="0.25">
      <c r="A1458" t="s">
        <v>3403</v>
      </c>
      <c r="B1458" s="1">
        <v>44209</v>
      </c>
      <c r="C1458" t="s">
        <v>3404</v>
      </c>
      <c r="D1458" t="s">
        <v>3195</v>
      </c>
      <c r="E1458">
        <v>27</v>
      </c>
      <c r="F1458" t="str">
        <f>IF(Table1[[#This Row],[age]]&lt;=25,"18-25",IF(Table1[[#This Row],[age]]&lt;=35,"26-35",IF(Table1[[#This Row],[age]]&lt;=50,"36-50","51+")))</f>
        <v>26-35</v>
      </c>
      <c r="G1458" t="s">
        <v>54</v>
      </c>
      <c r="H1458" t="s">
        <v>61</v>
      </c>
      <c r="I1458" t="s">
        <v>62</v>
      </c>
      <c r="J1458" t="s">
        <v>63</v>
      </c>
      <c r="K1458" t="s">
        <v>434</v>
      </c>
      <c r="L1458">
        <v>4</v>
      </c>
      <c r="M1458">
        <v>2117.62</v>
      </c>
      <c r="N1458">
        <v>0.34</v>
      </c>
      <c r="O1458">
        <v>4971.68</v>
      </c>
      <c r="P1458">
        <v>1716.37</v>
      </c>
      <c r="Q1458">
        <v>33.130000000000003</v>
      </c>
      <c r="R1458" t="s">
        <v>57</v>
      </c>
      <c r="S1458">
        <v>5</v>
      </c>
      <c r="T1458" t="b">
        <v>0</v>
      </c>
      <c r="U1458" t="s">
        <v>30</v>
      </c>
      <c r="V1458">
        <v>7</v>
      </c>
    </row>
    <row r="1459" spans="1:22" x14ac:dyDescent="0.25">
      <c r="A1459" t="s">
        <v>3405</v>
      </c>
      <c r="B1459" s="1">
        <v>44869</v>
      </c>
      <c r="C1459" t="s">
        <v>3406</v>
      </c>
      <c r="D1459" t="s">
        <v>259</v>
      </c>
      <c r="E1459">
        <v>46</v>
      </c>
      <c r="F1459" t="str">
        <f>IF(Table1[[#This Row],[age]]&lt;=25,"18-25",IF(Table1[[#This Row],[age]]&lt;=35,"26-35",IF(Table1[[#This Row],[age]]&lt;=50,"36-50","51+")))</f>
        <v>36-50</v>
      </c>
      <c r="G1459" t="s">
        <v>34</v>
      </c>
      <c r="H1459" t="s">
        <v>80</v>
      </c>
      <c r="I1459" t="s">
        <v>86</v>
      </c>
      <c r="J1459" t="s">
        <v>115</v>
      </c>
      <c r="K1459" t="s">
        <v>137</v>
      </c>
      <c r="L1459">
        <v>8</v>
      </c>
      <c r="M1459">
        <v>45292.92</v>
      </c>
      <c r="N1459">
        <v>0.39</v>
      </c>
      <c r="O1459">
        <v>211771.49</v>
      </c>
      <c r="P1459">
        <v>23511.040000000001</v>
      </c>
      <c r="Q1459">
        <v>58.92</v>
      </c>
      <c r="R1459" t="s">
        <v>57</v>
      </c>
      <c r="S1459">
        <v>4</v>
      </c>
      <c r="T1459" t="b">
        <v>0</v>
      </c>
      <c r="U1459" t="s">
        <v>30</v>
      </c>
      <c r="V1459">
        <v>6</v>
      </c>
    </row>
    <row r="1460" spans="1:22" x14ac:dyDescent="0.25">
      <c r="A1460" t="s">
        <v>3407</v>
      </c>
      <c r="B1460" s="1">
        <v>45523</v>
      </c>
      <c r="C1460" t="s">
        <v>3408</v>
      </c>
      <c r="D1460" t="s">
        <v>443</v>
      </c>
      <c r="E1460">
        <v>35</v>
      </c>
      <c r="F1460" t="str">
        <f>IF(Table1[[#This Row],[age]]&lt;=25,"18-25",IF(Table1[[#This Row],[age]]&lt;=35,"26-35",IF(Table1[[#This Row],[age]]&lt;=50,"36-50","51+")))</f>
        <v>26-35</v>
      </c>
      <c r="G1460" t="s">
        <v>54</v>
      </c>
      <c r="H1460" t="s">
        <v>25</v>
      </c>
      <c r="I1460" t="s">
        <v>41</v>
      </c>
      <c r="J1460" t="s">
        <v>63</v>
      </c>
      <c r="K1460" t="s">
        <v>87</v>
      </c>
      <c r="L1460">
        <v>1</v>
      </c>
      <c r="M1460">
        <v>2372.34</v>
      </c>
      <c r="N1460">
        <v>0.22</v>
      </c>
      <c r="O1460">
        <v>2718.27</v>
      </c>
      <c r="P1460">
        <v>745.68</v>
      </c>
      <c r="Q1460">
        <v>55.26</v>
      </c>
      <c r="R1460" t="s">
        <v>65</v>
      </c>
      <c r="S1460">
        <v>3</v>
      </c>
      <c r="T1460" t="b">
        <v>1</v>
      </c>
      <c r="U1460" t="s">
        <v>50</v>
      </c>
      <c r="V1460">
        <v>3</v>
      </c>
    </row>
    <row r="1461" spans="1:22" x14ac:dyDescent="0.25">
      <c r="A1461" t="s">
        <v>3409</v>
      </c>
      <c r="B1461" s="1">
        <v>44206</v>
      </c>
      <c r="C1461" t="s">
        <v>3410</v>
      </c>
      <c r="D1461" t="s">
        <v>2481</v>
      </c>
      <c r="E1461">
        <v>46</v>
      </c>
      <c r="F1461" t="str">
        <f>IF(Table1[[#This Row],[age]]&lt;=25,"18-25",IF(Table1[[#This Row],[age]]&lt;=35,"26-35",IF(Table1[[#This Row],[age]]&lt;=50,"36-50","51+")))</f>
        <v>36-50</v>
      </c>
      <c r="G1461" t="s">
        <v>34</v>
      </c>
      <c r="H1461" t="s">
        <v>61</v>
      </c>
      <c r="I1461" t="s">
        <v>141</v>
      </c>
      <c r="J1461" t="s">
        <v>106</v>
      </c>
      <c r="K1461" t="s">
        <v>314</v>
      </c>
      <c r="L1461">
        <v>3</v>
      </c>
      <c r="M1461">
        <v>437.4</v>
      </c>
      <c r="N1461">
        <v>0.24</v>
      </c>
      <c r="O1461">
        <v>697.7</v>
      </c>
      <c r="P1461">
        <v>69.739999999999995</v>
      </c>
      <c r="Q1461">
        <v>36.51</v>
      </c>
      <c r="R1461" t="s">
        <v>49</v>
      </c>
      <c r="S1461">
        <v>3</v>
      </c>
      <c r="T1461" t="b">
        <v>1</v>
      </c>
      <c r="U1461" t="s">
        <v>50</v>
      </c>
      <c r="V1461">
        <v>3</v>
      </c>
    </row>
    <row r="1462" spans="1:22" x14ac:dyDescent="0.25">
      <c r="A1462" t="s">
        <v>3411</v>
      </c>
      <c r="B1462" s="1">
        <v>44255</v>
      </c>
      <c r="C1462" t="s">
        <v>3412</v>
      </c>
      <c r="D1462" t="s">
        <v>695</v>
      </c>
      <c r="E1462">
        <v>39</v>
      </c>
      <c r="F1462" t="str">
        <f>IF(Table1[[#This Row],[age]]&lt;=25,"18-25",IF(Table1[[#This Row],[age]]&lt;=35,"26-35",IF(Table1[[#This Row],[age]]&lt;=50,"36-50","51+")))</f>
        <v>36-50</v>
      </c>
      <c r="G1462" t="s">
        <v>34</v>
      </c>
      <c r="H1462" t="s">
        <v>25</v>
      </c>
      <c r="I1462" t="s">
        <v>41</v>
      </c>
      <c r="J1462" t="s">
        <v>36</v>
      </c>
      <c r="K1462" t="s">
        <v>42</v>
      </c>
      <c r="L1462">
        <v>5</v>
      </c>
      <c r="M1462">
        <v>20432.759999999998</v>
      </c>
      <c r="N1462">
        <v>0.34</v>
      </c>
      <c r="O1462">
        <v>61498.27</v>
      </c>
      <c r="P1462">
        <v>12694.42</v>
      </c>
      <c r="Q1462">
        <v>49.26</v>
      </c>
      <c r="R1462" t="s">
        <v>65</v>
      </c>
      <c r="S1462">
        <v>4</v>
      </c>
      <c r="T1462" t="b">
        <v>0</v>
      </c>
      <c r="U1462" t="s">
        <v>93</v>
      </c>
      <c r="V1462">
        <v>7</v>
      </c>
    </row>
    <row r="1463" spans="1:22" x14ac:dyDescent="0.25">
      <c r="A1463" t="s">
        <v>3413</v>
      </c>
      <c r="B1463" s="1">
        <v>44315</v>
      </c>
      <c r="C1463" t="s">
        <v>3414</v>
      </c>
      <c r="D1463" t="s">
        <v>387</v>
      </c>
      <c r="E1463">
        <v>32</v>
      </c>
      <c r="F1463" t="str">
        <f>IF(Table1[[#This Row],[age]]&lt;=25,"18-25",IF(Table1[[#This Row],[age]]&lt;=35,"26-35",IF(Table1[[#This Row],[age]]&lt;=50,"36-50","51+")))</f>
        <v>26-35</v>
      </c>
      <c r="G1463" t="s">
        <v>54</v>
      </c>
      <c r="H1463" t="s">
        <v>80</v>
      </c>
      <c r="I1463" t="s">
        <v>242</v>
      </c>
      <c r="J1463" t="s">
        <v>115</v>
      </c>
      <c r="K1463" t="s">
        <v>197</v>
      </c>
      <c r="L1463">
        <v>9</v>
      </c>
      <c r="M1463">
        <v>18229.89</v>
      </c>
      <c r="N1463">
        <v>0.19</v>
      </c>
      <c r="O1463">
        <v>166334.16</v>
      </c>
      <c r="P1463">
        <v>22099.86</v>
      </c>
      <c r="Q1463">
        <v>42.76</v>
      </c>
      <c r="R1463" t="s">
        <v>43</v>
      </c>
      <c r="S1463">
        <v>2</v>
      </c>
      <c r="T1463" t="b">
        <v>1</v>
      </c>
      <c r="U1463" t="s">
        <v>50</v>
      </c>
      <c r="V1463">
        <v>2</v>
      </c>
    </row>
    <row r="1464" spans="1:22" x14ac:dyDescent="0.25">
      <c r="A1464" t="s">
        <v>3415</v>
      </c>
      <c r="B1464" s="1">
        <v>45404</v>
      </c>
      <c r="C1464" t="s">
        <v>3416</v>
      </c>
      <c r="D1464" t="s">
        <v>1566</v>
      </c>
      <c r="E1464">
        <v>24</v>
      </c>
      <c r="F1464" t="str">
        <f>IF(Table1[[#This Row],[age]]&lt;=25,"18-25",IF(Table1[[#This Row],[age]]&lt;=35,"26-35",IF(Table1[[#This Row],[age]]&lt;=50,"36-50","51+")))</f>
        <v>18-25</v>
      </c>
      <c r="G1464" t="s">
        <v>34</v>
      </c>
      <c r="H1464" t="s">
        <v>69</v>
      </c>
      <c r="I1464" t="s">
        <v>181</v>
      </c>
      <c r="J1464" t="s">
        <v>27</v>
      </c>
      <c r="K1464" t="s">
        <v>192</v>
      </c>
      <c r="L1464">
        <v>10</v>
      </c>
      <c r="M1464">
        <v>1772.45</v>
      </c>
      <c r="N1464">
        <v>0.25</v>
      </c>
      <c r="O1464">
        <v>19172.07</v>
      </c>
      <c r="P1464">
        <v>8733.2199999999993</v>
      </c>
      <c r="Q1464">
        <v>67.290000000000006</v>
      </c>
      <c r="R1464" t="s">
        <v>65</v>
      </c>
      <c r="S1464">
        <v>5</v>
      </c>
      <c r="T1464" t="b">
        <v>0</v>
      </c>
      <c r="U1464" t="s">
        <v>30</v>
      </c>
      <c r="V1464">
        <v>5</v>
      </c>
    </row>
    <row r="1465" spans="1:22" x14ac:dyDescent="0.25">
      <c r="A1465" t="s">
        <v>3417</v>
      </c>
      <c r="B1465" s="1">
        <v>45462</v>
      </c>
      <c r="C1465" t="s">
        <v>3418</v>
      </c>
      <c r="D1465" t="s">
        <v>956</v>
      </c>
      <c r="E1465">
        <v>31</v>
      </c>
      <c r="F1465" t="str">
        <f>IF(Table1[[#This Row],[age]]&lt;=25,"18-25",IF(Table1[[#This Row],[age]]&lt;=35,"26-35",IF(Table1[[#This Row],[age]]&lt;=50,"36-50","51+")))</f>
        <v>26-35</v>
      </c>
      <c r="G1465" t="s">
        <v>24</v>
      </c>
      <c r="H1465" t="s">
        <v>25</v>
      </c>
      <c r="I1465" t="s">
        <v>41</v>
      </c>
      <c r="J1465" t="s">
        <v>101</v>
      </c>
      <c r="K1465" t="s">
        <v>102</v>
      </c>
      <c r="L1465">
        <v>10</v>
      </c>
      <c r="M1465">
        <v>2344.6999999999998</v>
      </c>
      <c r="N1465">
        <v>0.37</v>
      </c>
      <c r="O1465">
        <v>24013.4</v>
      </c>
      <c r="P1465">
        <v>8412.7900000000009</v>
      </c>
      <c r="Q1465">
        <v>44.13</v>
      </c>
      <c r="R1465" t="s">
        <v>29</v>
      </c>
      <c r="S1465">
        <v>3</v>
      </c>
      <c r="T1465" t="b">
        <v>0</v>
      </c>
      <c r="U1465" t="s">
        <v>30</v>
      </c>
      <c r="V1465">
        <v>1</v>
      </c>
    </row>
    <row r="1466" spans="1:22" x14ac:dyDescent="0.25">
      <c r="A1466" t="s">
        <v>3419</v>
      </c>
      <c r="B1466" s="1">
        <v>44290</v>
      </c>
      <c r="C1466" t="s">
        <v>3420</v>
      </c>
      <c r="D1466" t="s">
        <v>2460</v>
      </c>
      <c r="E1466">
        <v>32</v>
      </c>
      <c r="F1466" t="str">
        <f>IF(Table1[[#This Row],[age]]&lt;=25,"18-25",IF(Table1[[#This Row],[age]]&lt;=35,"26-35",IF(Table1[[#This Row],[age]]&lt;=50,"36-50","51+")))</f>
        <v>26-35</v>
      </c>
      <c r="G1466" t="s">
        <v>34</v>
      </c>
      <c r="H1466" t="s">
        <v>55</v>
      </c>
      <c r="I1466" t="s">
        <v>56</v>
      </c>
      <c r="J1466" t="s">
        <v>27</v>
      </c>
      <c r="K1466" t="s">
        <v>168</v>
      </c>
      <c r="L1466">
        <v>4</v>
      </c>
      <c r="M1466">
        <v>1615.32</v>
      </c>
      <c r="N1466">
        <v>0.23</v>
      </c>
      <c r="O1466">
        <v>5821.33</v>
      </c>
      <c r="P1466">
        <v>2423.94</v>
      </c>
      <c r="Q1466">
        <v>39.79</v>
      </c>
      <c r="R1466" t="s">
        <v>29</v>
      </c>
      <c r="S1466">
        <v>3</v>
      </c>
      <c r="T1466" t="b">
        <v>0</v>
      </c>
      <c r="U1466" t="s">
        <v>30</v>
      </c>
      <c r="V1466">
        <v>8</v>
      </c>
    </row>
    <row r="1467" spans="1:22" x14ac:dyDescent="0.25">
      <c r="A1467" t="s">
        <v>3421</v>
      </c>
      <c r="B1467" s="1">
        <v>44898</v>
      </c>
      <c r="C1467" t="s">
        <v>3422</v>
      </c>
      <c r="D1467" t="s">
        <v>2359</v>
      </c>
      <c r="E1467">
        <v>39</v>
      </c>
      <c r="F1467" t="str">
        <f>IF(Table1[[#This Row],[age]]&lt;=25,"18-25",IF(Table1[[#This Row],[age]]&lt;=35,"26-35",IF(Table1[[#This Row],[age]]&lt;=50,"36-50","51+")))</f>
        <v>36-50</v>
      </c>
      <c r="G1467" t="s">
        <v>54</v>
      </c>
      <c r="H1467" t="s">
        <v>61</v>
      </c>
      <c r="I1467" t="s">
        <v>91</v>
      </c>
      <c r="J1467" t="s">
        <v>36</v>
      </c>
      <c r="K1467" t="s">
        <v>76</v>
      </c>
      <c r="L1467">
        <v>10</v>
      </c>
      <c r="M1467">
        <v>8976.94</v>
      </c>
      <c r="N1467">
        <v>0.1</v>
      </c>
      <c r="O1467">
        <v>59488.18</v>
      </c>
      <c r="P1467">
        <v>14335.73</v>
      </c>
      <c r="Q1467">
        <v>53.25</v>
      </c>
      <c r="R1467" t="s">
        <v>65</v>
      </c>
      <c r="S1467">
        <v>5</v>
      </c>
      <c r="T1467" t="b">
        <v>0</v>
      </c>
      <c r="U1467" t="s">
        <v>30</v>
      </c>
      <c r="V1467">
        <v>3</v>
      </c>
    </row>
    <row r="1468" spans="1:22" x14ac:dyDescent="0.25">
      <c r="A1468" t="s">
        <v>3423</v>
      </c>
      <c r="B1468" s="1">
        <v>45200</v>
      </c>
      <c r="C1468" t="s">
        <v>3424</v>
      </c>
      <c r="D1468" t="s">
        <v>2716</v>
      </c>
      <c r="E1468">
        <v>45</v>
      </c>
      <c r="F1468" t="str">
        <f>IF(Table1[[#This Row],[age]]&lt;=25,"18-25",IF(Table1[[#This Row],[age]]&lt;=35,"26-35",IF(Table1[[#This Row],[age]]&lt;=50,"36-50","51+")))</f>
        <v>36-50</v>
      </c>
      <c r="G1468" t="s">
        <v>34</v>
      </c>
      <c r="H1468" t="s">
        <v>25</v>
      </c>
      <c r="I1468" t="s">
        <v>41</v>
      </c>
      <c r="J1468" t="s">
        <v>63</v>
      </c>
      <c r="K1468" t="s">
        <v>64</v>
      </c>
      <c r="L1468">
        <v>4</v>
      </c>
      <c r="M1468">
        <v>3292.57</v>
      </c>
      <c r="N1468">
        <v>0.28000000000000003</v>
      </c>
      <c r="O1468">
        <v>11158.23</v>
      </c>
      <c r="P1468">
        <v>3813.16</v>
      </c>
      <c r="Q1468">
        <v>38.43</v>
      </c>
      <c r="R1468" t="s">
        <v>65</v>
      </c>
      <c r="S1468">
        <v>2</v>
      </c>
      <c r="T1468" t="b">
        <v>1</v>
      </c>
      <c r="U1468" t="s">
        <v>50</v>
      </c>
      <c r="V1468">
        <v>2</v>
      </c>
    </row>
    <row r="1469" spans="1:22" x14ac:dyDescent="0.25">
      <c r="A1469" t="s">
        <v>3425</v>
      </c>
      <c r="B1469" s="1">
        <v>44007</v>
      </c>
      <c r="C1469" t="s">
        <v>3426</v>
      </c>
      <c r="D1469" t="s">
        <v>3427</v>
      </c>
      <c r="E1469">
        <v>25</v>
      </c>
      <c r="F1469" t="str">
        <f>IF(Table1[[#This Row],[age]]&lt;=25,"18-25",IF(Table1[[#This Row],[age]]&lt;=35,"26-35",IF(Table1[[#This Row],[age]]&lt;=50,"36-50","51+")))</f>
        <v>18-25</v>
      </c>
      <c r="G1469" t="s">
        <v>34</v>
      </c>
      <c r="H1469" t="s">
        <v>61</v>
      </c>
      <c r="I1469" t="s">
        <v>141</v>
      </c>
      <c r="J1469" t="s">
        <v>63</v>
      </c>
      <c r="K1469" t="s">
        <v>64</v>
      </c>
      <c r="L1469">
        <v>1</v>
      </c>
      <c r="M1469">
        <v>338.51</v>
      </c>
      <c r="N1469">
        <v>0.27</v>
      </c>
      <c r="O1469">
        <v>309.08999999999997</v>
      </c>
      <c r="P1469">
        <v>73.930000000000007</v>
      </c>
      <c r="Q1469">
        <v>31.18</v>
      </c>
      <c r="R1469" t="s">
        <v>65</v>
      </c>
      <c r="S1469">
        <v>4</v>
      </c>
      <c r="T1469" t="b">
        <v>0</v>
      </c>
      <c r="U1469" t="s">
        <v>30</v>
      </c>
      <c r="V1469">
        <v>9</v>
      </c>
    </row>
    <row r="1470" spans="1:22" x14ac:dyDescent="0.25">
      <c r="A1470" t="s">
        <v>3428</v>
      </c>
      <c r="B1470" s="1">
        <v>45530</v>
      </c>
      <c r="C1470" t="s">
        <v>3429</v>
      </c>
      <c r="D1470" t="s">
        <v>177</v>
      </c>
      <c r="E1470">
        <v>34</v>
      </c>
      <c r="F1470" t="str">
        <f>IF(Table1[[#This Row],[age]]&lt;=25,"18-25",IF(Table1[[#This Row],[age]]&lt;=35,"26-35",IF(Table1[[#This Row],[age]]&lt;=50,"36-50","51+")))</f>
        <v>26-35</v>
      </c>
      <c r="G1470" t="s">
        <v>34</v>
      </c>
      <c r="H1470" t="s">
        <v>61</v>
      </c>
      <c r="I1470" t="s">
        <v>62</v>
      </c>
      <c r="J1470" t="s">
        <v>27</v>
      </c>
      <c r="K1470" t="s">
        <v>168</v>
      </c>
      <c r="L1470">
        <v>10</v>
      </c>
      <c r="M1470">
        <v>1495.3</v>
      </c>
      <c r="N1470">
        <v>0.02</v>
      </c>
      <c r="O1470">
        <v>21442.1</v>
      </c>
      <c r="P1470">
        <v>8864.0400000000009</v>
      </c>
      <c r="Q1470">
        <v>49.29</v>
      </c>
      <c r="R1470" t="s">
        <v>92</v>
      </c>
      <c r="S1470">
        <v>5</v>
      </c>
      <c r="T1470" t="b">
        <v>0</v>
      </c>
      <c r="U1470" t="s">
        <v>30</v>
      </c>
      <c r="V1470">
        <v>3</v>
      </c>
    </row>
    <row r="1471" spans="1:22" x14ac:dyDescent="0.25">
      <c r="A1471" t="s">
        <v>3430</v>
      </c>
      <c r="B1471" s="1">
        <v>45546</v>
      </c>
      <c r="C1471" t="s">
        <v>3431</v>
      </c>
      <c r="D1471" t="s">
        <v>1756</v>
      </c>
      <c r="E1471">
        <v>31</v>
      </c>
      <c r="F1471" t="str">
        <f>IF(Table1[[#This Row],[age]]&lt;=25,"18-25",IF(Table1[[#This Row],[age]]&lt;=35,"26-35",IF(Table1[[#This Row],[age]]&lt;=50,"36-50","51+")))</f>
        <v>26-35</v>
      </c>
      <c r="G1471" t="s">
        <v>54</v>
      </c>
      <c r="H1471" t="s">
        <v>55</v>
      </c>
      <c r="I1471" t="s">
        <v>56</v>
      </c>
      <c r="J1471" t="s">
        <v>47</v>
      </c>
      <c r="K1471" t="s">
        <v>600</v>
      </c>
      <c r="L1471">
        <v>10</v>
      </c>
      <c r="M1471">
        <v>1101.3699999999999</v>
      </c>
      <c r="N1471">
        <v>0.36</v>
      </c>
      <c r="O1471">
        <v>8920.66</v>
      </c>
      <c r="P1471">
        <v>4181.57</v>
      </c>
      <c r="Q1471">
        <v>53.45</v>
      </c>
      <c r="R1471" t="s">
        <v>43</v>
      </c>
      <c r="S1471">
        <v>5</v>
      </c>
      <c r="T1471" t="b">
        <v>0</v>
      </c>
      <c r="U1471" t="s">
        <v>30</v>
      </c>
      <c r="V1471">
        <v>10</v>
      </c>
    </row>
    <row r="1472" spans="1:22" x14ac:dyDescent="0.25">
      <c r="A1472" t="s">
        <v>3432</v>
      </c>
      <c r="B1472" s="1">
        <v>44954</v>
      </c>
      <c r="C1472" t="s">
        <v>3433</v>
      </c>
      <c r="D1472" t="s">
        <v>2639</v>
      </c>
      <c r="E1472">
        <v>36</v>
      </c>
      <c r="F1472" t="str">
        <f>IF(Table1[[#This Row],[age]]&lt;=25,"18-25",IF(Table1[[#This Row],[age]]&lt;=35,"26-35",IF(Table1[[#This Row],[age]]&lt;=50,"36-50","51+")))</f>
        <v>36-50</v>
      </c>
      <c r="G1472" t="s">
        <v>34</v>
      </c>
      <c r="H1472" t="s">
        <v>69</v>
      </c>
      <c r="I1472" t="s">
        <v>181</v>
      </c>
      <c r="J1472" t="s">
        <v>63</v>
      </c>
      <c r="K1472" t="s">
        <v>434</v>
      </c>
      <c r="L1472">
        <v>2</v>
      </c>
      <c r="M1472">
        <v>3753.91</v>
      </c>
      <c r="N1472">
        <v>0.2</v>
      </c>
      <c r="O1472">
        <v>5209.29</v>
      </c>
      <c r="P1472">
        <v>1157.2</v>
      </c>
      <c r="Q1472">
        <v>78.02</v>
      </c>
      <c r="R1472" t="s">
        <v>65</v>
      </c>
      <c r="S1472">
        <v>5</v>
      </c>
      <c r="T1472" t="b">
        <v>0</v>
      </c>
      <c r="U1472" t="s">
        <v>30</v>
      </c>
      <c r="V1472">
        <v>4</v>
      </c>
    </row>
    <row r="1473" spans="1:22" x14ac:dyDescent="0.25">
      <c r="A1473" t="s">
        <v>3434</v>
      </c>
      <c r="B1473" s="1">
        <v>43905</v>
      </c>
      <c r="C1473" t="s">
        <v>3435</v>
      </c>
      <c r="D1473" t="s">
        <v>666</v>
      </c>
      <c r="E1473">
        <v>33</v>
      </c>
      <c r="F1473" t="str">
        <f>IF(Table1[[#This Row],[age]]&lt;=25,"18-25",IF(Table1[[#This Row],[age]]&lt;=35,"26-35",IF(Table1[[#This Row],[age]]&lt;=50,"36-50","51+")))</f>
        <v>26-35</v>
      </c>
      <c r="G1473" t="s">
        <v>54</v>
      </c>
      <c r="H1473" t="s">
        <v>55</v>
      </c>
      <c r="I1473" t="s">
        <v>114</v>
      </c>
      <c r="J1473" t="s">
        <v>63</v>
      </c>
      <c r="K1473" t="s">
        <v>152</v>
      </c>
      <c r="L1473">
        <v>2</v>
      </c>
      <c r="M1473">
        <v>344.95</v>
      </c>
      <c r="N1473">
        <v>0.01</v>
      </c>
      <c r="O1473">
        <v>675.21</v>
      </c>
      <c r="P1473">
        <v>315.70999999999998</v>
      </c>
      <c r="Q1473">
        <v>45.42</v>
      </c>
      <c r="R1473" t="s">
        <v>65</v>
      </c>
      <c r="S1473">
        <v>3</v>
      </c>
      <c r="T1473" t="b">
        <v>0</v>
      </c>
      <c r="U1473" t="s">
        <v>30</v>
      </c>
      <c r="V1473">
        <v>3</v>
      </c>
    </row>
    <row r="1474" spans="1:22" x14ac:dyDescent="0.25">
      <c r="A1474" t="s">
        <v>3436</v>
      </c>
      <c r="B1474" s="1">
        <v>45380</v>
      </c>
      <c r="C1474" t="s">
        <v>3437</v>
      </c>
      <c r="D1474" t="s">
        <v>151</v>
      </c>
      <c r="E1474">
        <v>23</v>
      </c>
      <c r="F1474" t="str">
        <f>IF(Table1[[#This Row],[age]]&lt;=25,"18-25",IF(Table1[[#This Row],[age]]&lt;=35,"26-35",IF(Table1[[#This Row],[age]]&lt;=50,"36-50","51+")))</f>
        <v>18-25</v>
      </c>
      <c r="G1474" t="s">
        <v>34</v>
      </c>
      <c r="H1474" t="s">
        <v>61</v>
      </c>
      <c r="I1474" t="s">
        <v>141</v>
      </c>
      <c r="J1474" t="s">
        <v>27</v>
      </c>
      <c r="K1474" t="s">
        <v>128</v>
      </c>
      <c r="L1474">
        <v>1</v>
      </c>
      <c r="M1474">
        <v>1431.02</v>
      </c>
      <c r="N1474">
        <v>0.25</v>
      </c>
      <c r="O1474">
        <v>1421.67</v>
      </c>
      <c r="P1474">
        <v>657.95</v>
      </c>
      <c r="Q1474">
        <v>43.1</v>
      </c>
      <c r="R1474" t="s">
        <v>29</v>
      </c>
      <c r="S1474">
        <v>2</v>
      </c>
      <c r="T1474" t="b">
        <v>0</v>
      </c>
      <c r="U1474" t="s">
        <v>71</v>
      </c>
      <c r="V1474">
        <v>7</v>
      </c>
    </row>
    <row r="1475" spans="1:22" x14ac:dyDescent="0.25">
      <c r="A1475" t="s">
        <v>3438</v>
      </c>
      <c r="B1475" s="1">
        <v>45383</v>
      </c>
      <c r="C1475" t="s">
        <v>3439</v>
      </c>
      <c r="D1475" t="s">
        <v>90</v>
      </c>
      <c r="E1475">
        <v>30</v>
      </c>
      <c r="F1475" t="str">
        <f>IF(Table1[[#This Row],[age]]&lt;=25,"18-25",IF(Table1[[#This Row],[age]]&lt;=35,"26-35",IF(Table1[[#This Row],[age]]&lt;=50,"36-50","51+")))</f>
        <v>26-35</v>
      </c>
      <c r="G1475" t="s">
        <v>34</v>
      </c>
      <c r="H1475" t="s">
        <v>61</v>
      </c>
      <c r="I1475" t="s">
        <v>163</v>
      </c>
      <c r="J1475" t="s">
        <v>36</v>
      </c>
      <c r="K1475" t="s">
        <v>76</v>
      </c>
      <c r="L1475">
        <v>6</v>
      </c>
      <c r="M1475">
        <v>17399.759999999998</v>
      </c>
      <c r="N1475">
        <v>0.22</v>
      </c>
      <c r="O1475">
        <v>137113.34</v>
      </c>
      <c r="P1475">
        <v>33401.93</v>
      </c>
      <c r="Q1475">
        <v>68.400000000000006</v>
      </c>
      <c r="R1475" t="s">
        <v>65</v>
      </c>
      <c r="S1475">
        <v>4</v>
      </c>
      <c r="T1475" t="b">
        <v>0</v>
      </c>
      <c r="U1475" t="s">
        <v>30</v>
      </c>
      <c r="V1475">
        <v>6</v>
      </c>
    </row>
    <row r="1476" spans="1:22" x14ac:dyDescent="0.25">
      <c r="A1476" t="s">
        <v>3440</v>
      </c>
      <c r="B1476" s="1">
        <v>43961</v>
      </c>
      <c r="C1476" t="s">
        <v>3441</v>
      </c>
      <c r="D1476" t="s">
        <v>60</v>
      </c>
      <c r="E1476">
        <v>26</v>
      </c>
      <c r="F1476" t="str">
        <f>IF(Table1[[#This Row],[age]]&lt;=25,"18-25",IF(Table1[[#This Row],[age]]&lt;=35,"26-35",IF(Table1[[#This Row],[age]]&lt;=50,"36-50","51+")))</f>
        <v>26-35</v>
      </c>
      <c r="G1476" t="s">
        <v>34</v>
      </c>
      <c r="H1476" t="s">
        <v>25</v>
      </c>
      <c r="I1476" t="s">
        <v>26</v>
      </c>
      <c r="J1476" t="s">
        <v>101</v>
      </c>
      <c r="K1476" t="s">
        <v>456</v>
      </c>
      <c r="L1476">
        <v>7</v>
      </c>
      <c r="M1476">
        <v>2073.13</v>
      </c>
      <c r="N1476">
        <v>0.36</v>
      </c>
      <c r="O1476">
        <v>10684.14</v>
      </c>
      <c r="P1476">
        <v>1902.76</v>
      </c>
      <c r="Q1476">
        <v>39.270000000000003</v>
      </c>
      <c r="R1476" t="s">
        <v>65</v>
      </c>
      <c r="S1476">
        <v>3</v>
      </c>
      <c r="T1476" t="b">
        <v>1</v>
      </c>
      <c r="U1476" t="s">
        <v>50</v>
      </c>
      <c r="V1476">
        <v>2</v>
      </c>
    </row>
    <row r="1477" spans="1:22" x14ac:dyDescent="0.25">
      <c r="A1477" t="s">
        <v>3442</v>
      </c>
      <c r="B1477" s="1">
        <v>44089</v>
      </c>
      <c r="C1477" t="s">
        <v>3443</v>
      </c>
      <c r="D1477" t="s">
        <v>1782</v>
      </c>
      <c r="E1477">
        <v>38</v>
      </c>
      <c r="F1477" t="str">
        <f>IF(Table1[[#This Row],[age]]&lt;=25,"18-25",IF(Table1[[#This Row],[age]]&lt;=35,"26-35",IF(Table1[[#This Row],[age]]&lt;=50,"36-50","51+")))</f>
        <v>36-50</v>
      </c>
      <c r="G1477" t="s">
        <v>24</v>
      </c>
      <c r="H1477" t="s">
        <v>61</v>
      </c>
      <c r="I1477" t="s">
        <v>91</v>
      </c>
      <c r="J1477" t="s">
        <v>36</v>
      </c>
      <c r="K1477" t="s">
        <v>132</v>
      </c>
      <c r="L1477">
        <v>10</v>
      </c>
      <c r="M1477">
        <v>2950.98</v>
      </c>
      <c r="N1477">
        <v>0.23</v>
      </c>
      <c r="O1477">
        <v>23921.040000000001</v>
      </c>
      <c r="P1477">
        <v>3847.48</v>
      </c>
      <c r="Q1477">
        <v>-4.29</v>
      </c>
      <c r="R1477" t="s">
        <v>57</v>
      </c>
      <c r="S1477">
        <v>3</v>
      </c>
      <c r="T1477" t="b">
        <v>0</v>
      </c>
      <c r="U1477" t="s">
        <v>30</v>
      </c>
      <c r="V1477">
        <v>9</v>
      </c>
    </row>
    <row r="1478" spans="1:22" x14ac:dyDescent="0.25">
      <c r="A1478" t="s">
        <v>3444</v>
      </c>
      <c r="B1478" s="1">
        <v>45594</v>
      </c>
      <c r="C1478" t="s">
        <v>3445</v>
      </c>
      <c r="D1478" t="s">
        <v>1291</v>
      </c>
      <c r="E1478">
        <v>35</v>
      </c>
      <c r="F1478" t="str">
        <f>IF(Table1[[#This Row],[age]]&lt;=25,"18-25",IF(Table1[[#This Row],[age]]&lt;=35,"26-35",IF(Table1[[#This Row],[age]]&lt;=50,"36-50","51+")))</f>
        <v>26-35</v>
      </c>
      <c r="G1478" t="s">
        <v>24</v>
      </c>
      <c r="H1478" t="s">
        <v>55</v>
      </c>
      <c r="I1478" t="s">
        <v>97</v>
      </c>
      <c r="J1478" t="s">
        <v>36</v>
      </c>
      <c r="K1478" t="s">
        <v>230</v>
      </c>
      <c r="L1478">
        <v>1</v>
      </c>
      <c r="M1478">
        <v>15458.12</v>
      </c>
      <c r="N1478">
        <v>0.11</v>
      </c>
      <c r="O1478">
        <v>13583.09</v>
      </c>
      <c r="P1478">
        <v>3718.13</v>
      </c>
      <c r="Q1478">
        <v>49.57</v>
      </c>
      <c r="R1478" t="s">
        <v>43</v>
      </c>
      <c r="S1478">
        <v>2</v>
      </c>
      <c r="T1478" t="b">
        <v>1</v>
      </c>
      <c r="U1478" t="s">
        <v>50</v>
      </c>
      <c r="V1478">
        <v>5</v>
      </c>
    </row>
    <row r="1479" spans="1:22" x14ac:dyDescent="0.25">
      <c r="A1479" t="s">
        <v>3446</v>
      </c>
      <c r="B1479" s="1">
        <v>44211</v>
      </c>
      <c r="C1479" t="s">
        <v>3447</v>
      </c>
      <c r="D1479" t="s">
        <v>1183</v>
      </c>
      <c r="E1479">
        <v>41</v>
      </c>
      <c r="F1479" t="str">
        <f>IF(Table1[[#This Row],[age]]&lt;=25,"18-25",IF(Table1[[#This Row],[age]]&lt;=35,"26-35",IF(Table1[[#This Row],[age]]&lt;=50,"36-50","51+")))</f>
        <v>36-50</v>
      </c>
      <c r="G1479" t="s">
        <v>34</v>
      </c>
      <c r="H1479" t="s">
        <v>61</v>
      </c>
      <c r="I1479" t="s">
        <v>163</v>
      </c>
      <c r="J1479" t="s">
        <v>63</v>
      </c>
      <c r="K1479" t="s">
        <v>82</v>
      </c>
      <c r="L1479">
        <v>3</v>
      </c>
      <c r="M1479">
        <v>1065.3800000000001</v>
      </c>
      <c r="N1479">
        <v>0.01</v>
      </c>
      <c r="O1479">
        <v>2521.39</v>
      </c>
      <c r="P1479">
        <v>658.85</v>
      </c>
      <c r="Q1479">
        <v>38.14</v>
      </c>
      <c r="R1479" t="s">
        <v>29</v>
      </c>
      <c r="S1479">
        <v>2</v>
      </c>
      <c r="T1479" t="b">
        <v>0</v>
      </c>
      <c r="U1479" t="s">
        <v>30</v>
      </c>
      <c r="V1479">
        <v>3</v>
      </c>
    </row>
    <row r="1480" spans="1:22" x14ac:dyDescent="0.25">
      <c r="A1480" t="s">
        <v>3448</v>
      </c>
      <c r="B1480" s="1">
        <v>44132</v>
      </c>
      <c r="C1480" t="s">
        <v>3449</v>
      </c>
      <c r="D1480" t="s">
        <v>510</v>
      </c>
      <c r="E1480">
        <v>41</v>
      </c>
      <c r="F1480" t="str">
        <f>IF(Table1[[#This Row],[age]]&lt;=25,"18-25",IF(Table1[[#This Row],[age]]&lt;=35,"26-35",IF(Table1[[#This Row],[age]]&lt;=50,"36-50","51+")))</f>
        <v>36-50</v>
      </c>
      <c r="G1480" t="s">
        <v>34</v>
      </c>
      <c r="H1480" t="s">
        <v>25</v>
      </c>
      <c r="I1480" t="s">
        <v>298</v>
      </c>
      <c r="J1480" t="s">
        <v>106</v>
      </c>
      <c r="K1480" t="s">
        <v>247</v>
      </c>
      <c r="L1480">
        <v>1</v>
      </c>
      <c r="M1480">
        <v>462.13</v>
      </c>
      <c r="N1480">
        <v>0.38</v>
      </c>
      <c r="O1480">
        <v>250.84</v>
      </c>
      <c r="P1480">
        <v>21.71</v>
      </c>
      <c r="Q1480">
        <v>65.959999999999994</v>
      </c>
      <c r="R1480" t="s">
        <v>43</v>
      </c>
      <c r="S1480">
        <v>3</v>
      </c>
      <c r="T1480" t="b">
        <v>1</v>
      </c>
      <c r="U1480" t="s">
        <v>50</v>
      </c>
      <c r="V1480">
        <v>10</v>
      </c>
    </row>
    <row r="1481" spans="1:22" x14ac:dyDescent="0.25">
      <c r="A1481" t="s">
        <v>3450</v>
      </c>
      <c r="B1481" s="1">
        <v>44370</v>
      </c>
      <c r="C1481" t="s">
        <v>3451</v>
      </c>
      <c r="D1481" t="s">
        <v>2460</v>
      </c>
      <c r="E1481">
        <v>25</v>
      </c>
      <c r="F1481" t="str">
        <f>IF(Table1[[#This Row],[age]]&lt;=25,"18-25",IF(Table1[[#This Row],[age]]&lt;=35,"26-35",IF(Table1[[#This Row],[age]]&lt;=50,"36-50","51+")))</f>
        <v>18-25</v>
      </c>
      <c r="G1481" t="s">
        <v>54</v>
      </c>
      <c r="H1481" t="s">
        <v>80</v>
      </c>
      <c r="I1481" t="s">
        <v>81</v>
      </c>
      <c r="J1481" t="s">
        <v>63</v>
      </c>
      <c r="K1481" t="s">
        <v>152</v>
      </c>
      <c r="L1481">
        <v>2</v>
      </c>
      <c r="M1481">
        <v>1500.45</v>
      </c>
      <c r="N1481">
        <v>0.33</v>
      </c>
      <c r="O1481">
        <v>2399.5100000000002</v>
      </c>
      <c r="P1481">
        <v>625.12</v>
      </c>
      <c r="Q1481">
        <v>70.56</v>
      </c>
      <c r="R1481" t="s">
        <v>43</v>
      </c>
      <c r="S1481">
        <v>1</v>
      </c>
      <c r="T1481" t="b">
        <v>0</v>
      </c>
      <c r="U1481" t="s">
        <v>30</v>
      </c>
      <c r="V1481">
        <v>9</v>
      </c>
    </row>
    <row r="1482" spans="1:22" x14ac:dyDescent="0.25">
      <c r="A1482" t="s">
        <v>3452</v>
      </c>
      <c r="B1482" s="1">
        <v>45259</v>
      </c>
      <c r="C1482" t="s">
        <v>3453</v>
      </c>
      <c r="D1482" t="s">
        <v>433</v>
      </c>
      <c r="E1482">
        <v>35</v>
      </c>
      <c r="F1482" t="str">
        <f>IF(Table1[[#This Row],[age]]&lt;=25,"18-25",IF(Table1[[#This Row],[age]]&lt;=35,"26-35",IF(Table1[[#This Row],[age]]&lt;=50,"36-50","51+")))</f>
        <v>26-35</v>
      </c>
      <c r="G1482" t="s">
        <v>54</v>
      </c>
      <c r="H1482" t="s">
        <v>25</v>
      </c>
      <c r="I1482" t="s">
        <v>298</v>
      </c>
      <c r="J1482" t="s">
        <v>36</v>
      </c>
      <c r="K1482" t="s">
        <v>243</v>
      </c>
      <c r="L1482">
        <v>6</v>
      </c>
      <c r="M1482">
        <v>9674.09</v>
      </c>
      <c r="N1482">
        <v>0.13</v>
      </c>
      <c r="O1482">
        <v>45840.04</v>
      </c>
      <c r="P1482">
        <v>10521.95</v>
      </c>
      <c r="Q1482">
        <v>82.91</v>
      </c>
      <c r="R1482" t="s">
        <v>57</v>
      </c>
      <c r="S1482">
        <v>5</v>
      </c>
      <c r="T1482" t="b">
        <v>0</v>
      </c>
      <c r="U1482" t="s">
        <v>30</v>
      </c>
      <c r="V1482">
        <v>4</v>
      </c>
    </row>
    <row r="1483" spans="1:22" x14ac:dyDescent="0.25">
      <c r="A1483" t="s">
        <v>3454</v>
      </c>
      <c r="B1483" s="1">
        <v>44418</v>
      </c>
      <c r="C1483" t="s">
        <v>3455</v>
      </c>
      <c r="D1483" t="s">
        <v>412</v>
      </c>
      <c r="E1483">
        <v>34</v>
      </c>
      <c r="F1483" t="str">
        <f>IF(Table1[[#This Row],[age]]&lt;=25,"18-25",IF(Table1[[#This Row],[age]]&lt;=35,"26-35",IF(Table1[[#This Row],[age]]&lt;=50,"36-50","51+")))</f>
        <v>26-35</v>
      </c>
      <c r="G1483" t="s">
        <v>54</v>
      </c>
      <c r="H1483" t="s">
        <v>25</v>
      </c>
      <c r="I1483" t="s">
        <v>298</v>
      </c>
      <c r="J1483" t="s">
        <v>63</v>
      </c>
      <c r="K1483" t="s">
        <v>82</v>
      </c>
      <c r="L1483">
        <v>6</v>
      </c>
      <c r="M1483">
        <v>851.31</v>
      </c>
      <c r="N1483">
        <v>0.03</v>
      </c>
      <c r="O1483">
        <v>6109.24</v>
      </c>
      <c r="P1483">
        <v>2057.4299999999998</v>
      </c>
      <c r="Q1483">
        <v>55.78</v>
      </c>
      <c r="R1483" t="s">
        <v>49</v>
      </c>
      <c r="S1483">
        <v>3</v>
      </c>
      <c r="T1483" t="b">
        <v>0</v>
      </c>
      <c r="U1483" t="s">
        <v>30</v>
      </c>
      <c r="V1483">
        <v>1</v>
      </c>
    </row>
    <row r="1484" spans="1:22" x14ac:dyDescent="0.25">
      <c r="A1484" t="s">
        <v>3456</v>
      </c>
      <c r="B1484" s="1">
        <v>44978</v>
      </c>
      <c r="C1484" t="s">
        <v>3457</v>
      </c>
      <c r="D1484" t="s">
        <v>970</v>
      </c>
      <c r="E1484">
        <v>33</v>
      </c>
      <c r="F1484" t="str">
        <f>IF(Table1[[#This Row],[age]]&lt;=25,"18-25",IF(Table1[[#This Row],[age]]&lt;=35,"26-35",IF(Table1[[#This Row],[age]]&lt;=50,"36-50","51+")))</f>
        <v>26-35</v>
      </c>
      <c r="G1484" t="s">
        <v>34</v>
      </c>
      <c r="H1484" t="s">
        <v>61</v>
      </c>
      <c r="I1484" t="s">
        <v>141</v>
      </c>
      <c r="J1484" t="s">
        <v>115</v>
      </c>
      <c r="K1484" t="s">
        <v>137</v>
      </c>
      <c r="L1484">
        <v>1</v>
      </c>
      <c r="M1484">
        <v>23168.240000000002</v>
      </c>
      <c r="N1484">
        <v>0.12</v>
      </c>
      <c r="O1484">
        <v>22315.35</v>
      </c>
      <c r="P1484">
        <v>1911.92</v>
      </c>
      <c r="Q1484">
        <v>65.2</v>
      </c>
      <c r="R1484" t="s">
        <v>57</v>
      </c>
      <c r="S1484">
        <v>2</v>
      </c>
      <c r="T1484" t="b">
        <v>0</v>
      </c>
      <c r="U1484" t="s">
        <v>71</v>
      </c>
      <c r="V1484">
        <v>2</v>
      </c>
    </row>
    <row r="1485" spans="1:22" x14ac:dyDescent="0.25">
      <c r="A1485" t="s">
        <v>3458</v>
      </c>
      <c r="B1485" s="1">
        <v>45273</v>
      </c>
      <c r="C1485" t="s">
        <v>3459</v>
      </c>
      <c r="D1485" t="s">
        <v>361</v>
      </c>
      <c r="E1485">
        <v>37</v>
      </c>
      <c r="F1485" t="str">
        <f>IF(Table1[[#This Row],[age]]&lt;=25,"18-25",IF(Table1[[#This Row],[age]]&lt;=35,"26-35",IF(Table1[[#This Row],[age]]&lt;=50,"36-50","51+")))</f>
        <v>36-50</v>
      </c>
      <c r="G1485" t="s">
        <v>24</v>
      </c>
      <c r="H1485" t="s">
        <v>61</v>
      </c>
      <c r="I1485" t="s">
        <v>163</v>
      </c>
      <c r="J1485" t="s">
        <v>47</v>
      </c>
      <c r="K1485" t="s">
        <v>120</v>
      </c>
      <c r="L1485">
        <v>2</v>
      </c>
      <c r="M1485">
        <v>478.86</v>
      </c>
      <c r="N1485">
        <v>0.24</v>
      </c>
      <c r="O1485">
        <v>581.38</v>
      </c>
      <c r="P1485">
        <v>256.04000000000002</v>
      </c>
      <c r="Q1485">
        <v>27.77</v>
      </c>
      <c r="R1485" t="s">
        <v>57</v>
      </c>
      <c r="S1485">
        <v>5</v>
      </c>
      <c r="T1485" t="b">
        <v>1</v>
      </c>
      <c r="U1485" t="s">
        <v>50</v>
      </c>
      <c r="V1485">
        <v>2</v>
      </c>
    </row>
    <row r="1486" spans="1:22" x14ac:dyDescent="0.25">
      <c r="A1486" t="s">
        <v>3460</v>
      </c>
      <c r="B1486" s="1">
        <v>45474</v>
      </c>
      <c r="C1486" t="s">
        <v>3461</v>
      </c>
      <c r="D1486" t="s">
        <v>826</v>
      </c>
      <c r="E1486">
        <v>33</v>
      </c>
      <c r="F1486" t="str">
        <f>IF(Table1[[#This Row],[age]]&lt;=25,"18-25",IF(Table1[[#This Row],[age]]&lt;=35,"26-35",IF(Table1[[#This Row],[age]]&lt;=50,"36-50","51+")))</f>
        <v>26-35</v>
      </c>
      <c r="G1486" t="s">
        <v>54</v>
      </c>
      <c r="H1486" t="s">
        <v>80</v>
      </c>
      <c r="I1486" t="s">
        <v>236</v>
      </c>
      <c r="J1486" t="s">
        <v>115</v>
      </c>
      <c r="K1486" t="s">
        <v>116</v>
      </c>
      <c r="L1486">
        <v>7</v>
      </c>
      <c r="M1486">
        <v>51364.38</v>
      </c>
      <c r="N1486">
        <v>0.28999999999999998</v>
      </c>
      <c r="O1486">
        <v>439744.01</v>
      </c>
      <c r="P1486">
        <v>43544.12</v>
      </c>
      <c r="Q1486">
        <v>63.03</v>
      </c>
      <c r="R1486" t="s">
        <v>57</v>
      </c>
      <c r="S1486">
        <v>4</v>
      </c>
      <c r="T1486" t="b">
        <v>1</v>
      </c>
      <c r="U1486" t="s">
        <v>50</v>
      </c>
      <c r="V1486">
        <v>5</v>
      </c>
    </row>
    <row r="1487" spans="1:22" x14ac:dyDescent="0.25">
      <c r="A1487" t="s">
        <v>3462</v>
      </c>
      <c r="B1487" s="1">
        <v>44067</v>
      </c>
      <c r="C1487" t="s">
        <v>3463</v>
      </c>
      <c r="D1487" t="s">
        <v>110</v>
      </c>
      <c r="E1487">
        <v>20</v>
      </c>
      <c r="F1487" t="str">
        <f>IF(Table1[[#This Row],[age]]&lt;=25,"18-25",IF(Table1[[#This Row],[age]]&lt;=35,"26-35",IF(Table1[[#This Row],[age]]&lt;=50,"36-50","51+")))</f>
        <v>18-25</v>
      </c>
      <c r="G1487" t="s">
        <v>54</v>
      </c>
      <c r="H1487" t="s">
        <v>61</v>
      </c>
      <c r="I1487" t="s">
        <v>163</v>
      </c>
      <c r="J1487" t="s">
        <v>63</v>
      </c>
      <c r="K1487" t="s">
        <v>87</v>
      </c>
      <c r="L1487">
        <v>10</v>
      </c>
      <c r="M1487">
        <v>3376.68</v>
      </c>
      <c r="N1487">
        <v>0.25</v>
      </c>
      <c r="O1487">
        <v>25205.24</v>
      </c>
      <c r="P1487">
        <v>7511.03</v>
      </c>
      <c r="Q1487">
        <v>52.49</v>
      </c>
      <c r="R1487" t="s">
        <v>43</v>
      </c>
      <c r="S1487">
        <v>2</v>
      </c>
      <c r="T1487" t="b">
        <v>0</v>
      </c>
      <c r="U1487" t="s">
        <v>30</v>
      </c>
      <c r="V1487">
        <v>6</v>
      </c>
    </row>
    <row r="1488" spans="1:22" x14ac:dyDescent="0.25">
      <c r="A1488" t="s">
        <v>3464</v>
      </c>
      <c r="B1488" s="1">
        <v>44740</v>
      </c>
      <c r="C1488" t="s">
        <v>3465</v>
      </c>
      <c r="D1488" t="s">
        <v>3466</v>
      </c>
      <c r="E1488">
        <v>28</v>
      </c>
      <c r="F1488" t="str">
        <f>IF(Table1[[#This Row],[age]]&lt;=25,"18-25",IF(Table1[[#This Row],[age]]&lt;=35,"26-35",IF(Table1[[#This Row],[age]]&lt;=50,"36-50","51+")))</f>
        <v>26-35</v>
      </c>
      <c r="G1488" t="s">
        <v>24</v>
      </c>
      <c r="H1488" t="s">
        <v>69</v>
      </c>
      <c r="I1488" t="s">
        <v>70</v>
      </c>
      <c r="J1488" t="s">
        <v>101</v>
      </c>
      <c r="K1488" t="s">
        <v>318</v>
      </c>
      <c r="L1488">
        <v>10</v>
      </c>
      <c r="M1488">
        <v>6754.43</v>
      </c>
      <c r="N1488">
        <v>0.27</v>
      </c>
      <c r="O1488">
        <v>62381.81</v>
      </c>
      <c r="P1488">
        <v>13614.67</v>
      </c>
      <c r="Q1488">
        <v>90.67</v>
      </c>
      <c r="R1488" t="s">
        <v>65</v>
      </c>
      <c r="S1488">
        <v>2</v>
      </c>
      <c r="T1488" t="b">
        <v>1</v>
      </c>
      <c r="U1488" t="s">
        <v>50</v>
      </c>
      <c r="V1488">
        <v>5</v>
      </c>
    </row>
    <row r="1489" spans="1:22" x14ac:dyDescent="0.25">
      <c r="A1489" t="s">
        <v>3467</v>
      </c>
      <c r="B1489" s="1">
        <v>44540</v>
      </c>
      <c r="C1489" t="s">
        <v>3468</v>
      </c>
      <c r="D1489" t="s">
        <v>275</v>
      </c>
      <c r="E1489">
        <v>25</v>
      </c>
      <c r="F1489" t="str">
        <f>IF(Table1[[#This Row],[age]]&lt;=25,"18-25",IF(Table1[[#This Row],[age]]&lt;=35,"26-35",IF(Table1[[#This Row],[age]]&lt;=50,"36-50","51+")))</f>
        <v>18-25</v>
      </c>
      <c r="G1489" t="s">
        <v>54</v>
      </c>
      <c r="H1489" t="s">
        <v>69</v>
      </c>
      <c r="I1489" t="s">
        <v>70</v>
      </c>
      <c r="J1489" t="s">
        <v>36</v>
      </c>
      <c r="K1489" t="s">
        <v>132</v>
      </c>
      <c r="L1489">
        <v>1</v>
      </c>
      <c r="M1489">
        <v>22660.17</v>
      </c>
      <c r="N1489">
        <v>0.02</v>
      </c>
      <c r="O1489">
        <v>14757.73</v>
      </c>
      <c r="P1489">
        <v>4052.14</v>
      </c>
      <c r="Q1489">
        <v>91.15</v>
      </c>
      <c r="R1489" t="s">
        <v>49</v>
      </c>
      <c r="S1489">
        <v>4</v>
      </c>
      <c r="T1489" t="b">
        <v>0</v>
      </c>
      <c r="U1489" t="s">
        <v>193</v>
      </c>
      <c r="V1489">
        <v>10</v>
      </c>
    </row>
    <row r="1490" spans="1:22" x14ac:dyDescent="0.25">
      <c r="A1490" t="s">
        <v>3469</v>
      </c>
      <c r="B1490" s="1">
        <v>43975</v>
      </c>
      <c r="C1490" t="s">
        <v>3470</v>
      </c>
      <c r="D1490" t="s">
        <v>1166</v>
      </c>
      <c r="E1490">
        <v>28</v>
      </c>
      <c r="F1490" t="str">
        <f>IF(Table1[[#This Row],[age]]&lt;=25,"18-25",IF(Table1[[#This Row],[age]]&lt;=35,"26-35",IF(Table1[[#This Row],[age]]&lt;=50,"36-50","51+")))</f>
        <v>26-35</v>
      </c>
      <c r="G1490" t="s">
        <v>24</v>
      </c>
      <c r="H1490" t="s">
        <v>80</v>
      </c>
      <c r="I1490" t="s">
        <v>242</v>
      </c>
      <c r="J1490" t="s">
        <v>106</v>
      </c>
      <c r="K1490" t="s">
        <v>314</v>
      </c>
      <c r="L1490">
        <v>10</v>
      </c>
      <c r="M1490">
        <v>162.52000000000001</v>
      </c>
      <c r="N1490">
        <v>0.09</v>
      </c>
      <c r="O1490">
        <v>1867.23</v>
      </c>
      <c r="P1490">
        <v>150.49</v>
      </c>
      <c r="Q1490">
        <v>86.74</v>
      </c>
      <c r="R1490" t="s">
        <v>92</v>
      </c>
      <c r="S1490">
        <v>5</v>
      </c>
      <c r="T1490" t="b">
        <v>0</v>
      </c>
      <c r="U1490" t="s">
        <v>30</v>
      </c>
      <c r="V1490">
        <v>10</v>
      </c>
    </row>
    <row r="1491" spans="1:22" x14ac:dyDescent="0.25">
      <c r="A1491" t="s">
        <v>3471</v>
      </c>
      <c r="B1491" s="1">
        <v>45110</v>
      </c>
      <c r="C1491" t="s">
        <v>3472</v>
      </c>
      <c r="D1491" t="s">
        <v>580</v>
      </c>
      <c r="E1491">
        <v>31</v>
      </c>
      <c r="F1491" t="str">
        <f>IF(Table1[[#This Row],[age]]&lt;=25,"18-25",IF(Table1[[#This Row],[age]]&lt;=35,"26-35",IF(Table1[[#This Row],[age]]&lt;=50,"36-50","51+")))</f>
        <v>26-35</v>
      </c>
      <c r="G1491" t="s">
        <v>34</v>
      </c>
      <c r="H1491" t="s">
        <v>55</v>
      </c>
      <c r="I1491" t="s">
        <v>75</v>
      </c>
      <c r="J1491" t="s">
        <v>63</v>
      </c>
      <c r="K1491" t="s">
        <v>152</v>
      </c>
      <c r="L1491">
        <v>1</v>
      </c>
      <c r="M1491">
        <v>362.3</v>
      </c>
      <c r="N1491">
        <v>0.37</v>
      </c>
      <c r="O1491">
        <v>319.67</v>
      </c>
      <c r="P1491">
        <v>152.66</v>
      </c>
      <c r="Q1491">
        <v>52.96</v>
      </c>
      <c r="R1491" t="s">
        <v>57</v>
      </c>
      <c r="S1491">
        <v>4</v>
      </c>
      <c r="T1491" t="b">
        <v>0</v>
      </c>
      <c r="U1491" t="s">
        <v>30</v>
      </c>
      <c r="V1491">
        <v>3</v>
      </c>
    </row>
    <row r="1492" spans="1:22" x14ac:dyDescent="0.25">
      <c r="A1492" t="s">
        <v>3473</v>
      </c>
      <c r="B1492" s="1">
        <v>45085</v>
      </c>
      <c r="C1492" t="s">
        <v>3474</v>
      </c>
      <c r="D1492" t="s">
        <v>884</v>
      </c>
      <c r="E1492">
        <v>41</v>
      </c>
      <c r="F1492" t="str">
        <f>IF(Table1[[#This Row],[age]]&lt;=25,"18-25",IF(Table1[[#This Row],[age]]&lt;=35,"26-35",IF(Table1[[#This Row],[age]]&lt;=50,"36-50","51+")))</f>
        <v>36-50</v>
      </c>
      <c r="G1492" t="s">
        <v>54</v>
      </c>
      <c r="H1492" t="s">
        <v>61</v>
      </c>
      <c r="I1492" t="s">
        <v>62</v>
      </c>
      <c r="J1492" t="s">
        <v>106</v>
      </c>
      <c r="K1492" t="s">
        <v>188</v>
      </c>
      <c r="L1492">
        <v>9</v>
      </c>
      <c r="M1492">
        <v>193.51</v>
      </c>
      <c r="N1492">
        <v>0.35</v>
      </c>
      <c r="O1492">
        <v>2061</v>
      </c>
      <c r="P1492">
        <v>255.36</v>
      </c>
      <c r="Q1492">
        <v>60.83</v>
      </c>
      <c r="R1492" t="s">
        <v>29</v>
      </c>
      <c r="S1492">
        <v>5</v>
      </c>
      <c r="T1492" t="b">
        <v>0</v>
      </c>
      <c r="U1492" t="s">
        <v>93</v>
      </c>
      <c r="V1492">
        <v>3</v>
      </c>
    </row>
    <row r="1493" spans="1:22" x14ac:dyDescent="0.25">
      <c r="A1493" t="s">
        <v>3475</v>
      </c>
      <c r="B1493" s="1">
        <v>45093</v>
      </c>
      <c r="C1493" t="s">
        <v>3476</v>
      </c>
      <c r="D1493" t="s">
        <v>3477</v>
      </c>
      <c r="E1493">
        <v>48</v>
      </c>
      <c r="F1493" t="str">
        <f>IF(Table1[[#This Row],[age]]&lt;=25,"18-25",IF(Table1[[#This Row],[age]]&lt;=35,"26-35",IF(Table1[[#This Row],[age]]&lt;=50,"36-50","51+")))</f>
        <v>36-50</v>
      </c>
      <c r="G1493" t="s">
        <v>34</v>
      </c>
      <c r="H1493" t="s">
        <v>25</v>
      </c>
      <c r="I1493" t="s">
        <v>41</v>
      </c>
      <c r="J1493" t="s">
        <v>27</v>
      </c>
      <c r="K1493" t="s">
        <v>28</v>
      </c>
      <c r="L1493">
        <v>10</v>
      </c>
      <c r="M1493">
        <v>1834.25</v>
      </c>
      <c r="N1493">
        <v>0.11</v>
      </c>
      <c r="O1493">
        <v>24185.57</v>
      </c>
      <c r="P1493">
        <v>12598.93</v>
      </c>
      <c r="Q1493">
        <v>80.64</v>
      </c>
      <c r="R1493" t="s">
        <v>65</v>
      </c>
      <c r="S1493">
        <v>1</v>
      </c>
      <c r="T1493" t="b">
        <v>0</v>
      </c>
      <c r="U1493" t="s">
        <v>30</v>
      </c>
      <c r="V1493">
        <v>8</v>
      </c>
    </row>
    <row r="1494" spans="1:22" x14ac:dyDescent="0.25">
      <c r="A1494" t="s">
        <v>3478</v>
      </c>
      <c r="B1494" s="1">
        <v>44255</v>
      </c>
      <c r="C1494" t="s">
        <v>3479</v>
      </c>
      <c r="D1494" t="s">
        <v>148</v>
      </c>
      <c r="E1494">
        <v>38</v>
      </c>
      <c r="F1494" t="str">
        <f>IF(Table1[[#This Row],[age]]&lt;=25,"18-25",IF(Table1[[#This Row],[age]]&lt;=35,"26-35",IF(Table1[[#This Row],[age]]&lt;=50,"36-50","51+")))</f>
        <v>36-50</v>
      </c>
      <c r="G1494" t="s">
        <v>54</v>
      </c>
      <c r="H1494" t="s">
        <v>69</v>
      </c>
      <c r="I1494" t="s">
        <v>181</v>
      </c>
      <c r="J1494" t="s">
        <v>27</v>
      </c>
      <c r="K1494" t="s">
        <v>128</v>
      </c>
      <c r="L1494">
        <v>3</v>
      </c>
      <c r="M1494">
        <v>892.77</v>
      </c>
      <c r="N1494">
        <v>0.28000000000000003</v>
      </c>
      <c r="O1494">
        <v>1753.17</v>
      </c>
      <c r="P1494">
        <v>830.67</v>
      </c>
      <c r="Q1494">
        <v>58.34</v>
      </c>
      <c r="R1494" t="s">
        <v>92</v>
      </c>
      <c r="S1494">
        <v>2</v>
      </c>
      <c r="T1494" t="b">
        <v>0</v>
      </c>
      <c r="U1494" t="s">
        <v>193</v>
      </c>
      <c r="V1494">
        <v>7</v>
      </c>
    </row>
    <row r="1495" spans="1:22" x14ac:dyDescent="0.25">
      <c r="A1495" t="s">
        <v>3480</v>
      </c>
      <c r="B1495" s="1">
        <v>45609</v>
      </c>
      <c r="C1495" t="s">
        <v>3481</v>
      </c>
      <c r="D1495" t="s">
        <v>40</v>
      </c>
      <c r="E1495">
        <v>38</v>
      </c>
      <c r="F1495" t="str">
        <f>IF(Table1[[#This Row],[age]]&lt;=25,"18-25",IF(Table1[[#This Row],[age]]&lt;=35,"26-35",IF(Table1[[#This Row],[age]]&lt;=50,"36-50","51+")))</f>
        <v>36-50</v>
      </c>
      <c r="G1495" t="s">
        <v>54</v>
      </c>
      <c r="H1495" t="s">
        <v>61</v>
      </c>
      <c r="I1495" t="s">
        <v>141</v>
      </c>
      <c r="J1495" t="s">
        <v>63</v>
      </c>
      <c r="K1495" t="s">
        <v>434</v>
      </c>
      <c r="L1495">
        <v>4</v>
      </c>
      <c r="M1495">
        <v>485.84</v>
      </c>
      <c r="N1495">
        <v>0.21</v>
      </c>
      <c r="O1495">
        <v>1531.45</v>
      </c>
      <c r="P1495">
        <v>454.16</v>
      </c>
      <c r="Q1495">
        <v>69.77</v>
      </c>
      <c r="R1495" t="s">
        <v>43</v>
      </c>
      <c r="S1495">
        <v>3</v>
      </c>
      <c r="T1495" t="b">
        <v>0</v>
      </c>
      <c r="U1495" t="s">
        <v>93</v>
      </c>
      <c r="V1495">
        <v>1</v>
      </c>
    </row>
    <row r="1496" spans="1:22" x14ac:dyDescent="0.25">
      <c r="A1496" t="s">
        <v>3482</v>
      </c>
      <c r="B1496" s="1">
        <v>44814</v>
      </c>
      <c r="C1496" t="s">
        <v>3483</v>
      </c>
      <c r="D1496" t="s">
        <v>310</v>
      </c>
      <c r="E1496">
        <v>45</v>
      </c>
      <c r="F1496" t="str">
        <f>IF(Table1[[#This Row],[age]]&lt;=25,"18-25",IF(Table1[[#This Row],[age]]&lt;=35,"26-35",IF(Table1[[#This Row],[age]]&lt;=50,"36-50","51+")))</f>
        <v>36-50</v>
      </c>
      <c r="G1496" t="s">
        <v>34</v>
      </c>
      <c r="H1496" t="s">
        <v>61</v>
      </c>
      <c r="I1496" t="s">
        <v>163</v>
      </c>
      <c r="J1496" t="s">
        <v>115</v>
      </c>
      <c r="K1496" t="s">
        <v>197</v>
      </c>
      <c r="L1496">
        <v>4</v>
      </c>
      <c r="M1496">
        <v>37633.82</v>
      </c>
      <c r="N1496">
        <v>0.33</v>
      </c>
      <c r="O1496">
        <v>125197.09</v>
      </c>
      <c r="P1496">
        <v>14972.92</v>
      </c>
      <c r="Q1496">
        <v>53.12</v>
      </c>
      <c r="R1496" t="s">
        <v>65</v>
      </c>
      <c r="S1496">
        <v>4</v>
      </c>
      <c r="T1496" t="b">
        <v>0</v>
      </c>
      <c r="U1496" t="s">
        <v>30</v>
      </c>
      <c r="V1496">
        <v>2</v>
      </c>
    </row>
    <row r="1497" spans="1:22" x14ac:dyDescent="0.25">
      <c r="A1497" t="s">
        <v>3484</v>
      </c>
      <c r="B1497" s="1">
        <v>44080</v>
      </c>
      <c r="C1497" t="s">
        <v>3485</v>
      </c>
      <c r="D1497" t="s">
        <v>580</v>
      </c>
      <c r="E1497">
        <v>36</v>
      </c>
      <c r="F1497" t="str">
        <f>IF(Table1[[#This Row],[age]]&lt;=25,"18-25",IF(Table1[[#This Row],[age]]&lt;=35,"26-35",IF(Table1[[#This Row],[age]]&lt;=50,"36-50","51+")))</f>
        <v>36-50</v>
      </c>
      <c r="G1497" t="s">
        <v>24</v>
      </c>
      <c r="H1497" t="s">
        <v>69</v>
      </c>
      <c r="I1497" t="s">
        <v>136</v>
      </c>
      <c r="J1497" t="s">
        <v>47</v>
      </c>
      <c r="K1497" t="s">
        <v>120</v>
      </c>
      <c r="L1497">
        <v>8</v>
      </c>
      <c r="M1497">
        <v>224.05</v>
      </c>
      <c r="N1497">
        <v>0.35</v>
      </c>
      <c r="O1497">
        <v>1031.47</v>
      </c>
      <c r="P1497">
        <v>454.3</v>
      </c>
      <c r="Q1497">
        <v>63.62</v>
      </c>
      <c r="R1497" t="s">
        <v>49</v>
      </c>
      <c r="S1497">
        <v>3</v>
      </c>
      <c r="T1497" t="b">
        <v>0</v>
      </c>
      <c r="U1497" t="s">
        <v>30</v>
      </c>
      <c r="V1497">
        <v>6</v>
      </c>
    </row>
    <row r="1498" spans="1:22" x14ac:dyDescent="0.25">
      <c r="A1498" t="s">
        <v>3486</v>
      </c>
      <c r="B1498" s="1">
        <v>45654</v>
      </c>
      <c r="C1498" t="s">
        <v>3487</v>
      </c>
      <c r="D1498" t="s">
        <v>2721</v>
      </c>
      <c r="E1498">
        <v>33</v>
      </c>
      <c r="F1498" t="str">
        <f>IF(Table1[[#This Row],[age]]&lt;=25,"18-25",IF(Table1[[#This Row],[age]]&lt;=35,"26-35",IF(Table1[[#This Row],[age]]&lt;=50,"36-50","51+")))</f>
        <v>26-35</v>
      </c>
      <c r="G1498" t="s">
        <v>54</v>
      </c>
      <c r="H1498" t="s">
        <v>25</v>
      </c>
      <c r="I1498" t="s">
        <v>26</v>
      </c>
      <c r="J1498" t="s">
        <v>106</v>
      </c>
      <c r="K1498" t="s">
        <v>188</v>
      </c>
      <c r="L1498">
        <v>1</v>
      </c>
      <c r="M1498">
        <v>51.21</v>
      </c>
      <c r="N1498">
        <v>0.14000000000000001</v>
      </c>
      <c r="O1498">
        <v>42.95</v>
      </c>
      <c r="P1498">
        <v>2.98</v>
      </c>
      <c r="Q1498">
        <v>49.87</v>
      </c>
      <c r="R1498" t="s">
        <v>43</v>
      </c>
      <c r="S1498">
        <v>4</v>
      </c>
      <c r="T1498" t="b">
        <v>0</v>
      </c>
      <c r="U1498" t="s">
        <v>193</v>
      </c>
      <c r="V1498">
        <v>8</v>
      </c>
    </row>
    <row r="1499" spans="1:22" x14ac:dyDescent="0.25">
      <c r="A1499" t="s">
        <v>3488</v>
      </c>
      <c r="B1499" s="1">
        <v>44921</v>
      </c>
      <c r="C1499" t="s">
        <v>3489</v>
      </c>
      <c r="D1499" t="s">
        <v>235</v>
      </c>
      <c r="E1499">
        <v>33</v>
      </c>
      <c r="F1499" t="str">
        <f>IF(Table1[[#This Row],[age]]&lt;=25,"18-25",IF(Table1[[#This Row],[age]]&lt;=35,"26-35",IF(Table1[[#This Row],[age]]&lt;=50,"36-50","51+")))</f>
        <v>26-35</v>
      </c>
      <c r="G1499" t="s">
        <v>54</v>
      </c>
      <c r="H1499" t="s">
        <v>61</v>
      </c>
      <c r="I1499" t="s">
        <v>91</v>
      </c>
      <c r="J1499" t="s">
        <v>63</v>
      </c>
      <c r="K1499" t="s">
        <v>87</v>
      </c>
      <c r="L1499">
        <v>4</v>
      </c>
      <c r="M1499">
        <v>1099.8399999999999</v>
      </c>
      <c r="N1499">
        <v>0.38</v>
      </c>
      <c r="O1499">
        <v>2509.02</v>
      </c>
      <c r="P1499">
        <v>890.82</v>
      </c>
      <c r="Q1499">
        <v>49.1</v>
      </c>
      <c r="R1499" t="s">
        <v>29</v>
      </c>
      <c r="S1499">
        <v>1</v>
      </c>
      <c r="T1499" t="b">
        <v>0</v>
      </c>
      <c r="U1499" t="s">
        <v>71</v>
      </c>
      <c r="V1499">
        <v>8</v>
      </c>
    </row>
    <row r="1500" spans="1:22" x14ac:dyDescent="0.25">
      <c r="A1500" t="s">
        <v>3490</v>
      </c>
      <c r="B1500" s="1">
        <v>44268</v>
      </c>
      <c r="C1500" t="s">
        <v>3491</v>
      </c>
      <c r="D1500" t="s">
        <v>1736</v>
      </c>
      <c r="E1500">
        <v>33</v>
      </c>
      <c r="F1500" t="str">
        <f>IF(Table1[[#This Row],[age]]&lt;=25,"18-25",IF(Table1[[#This Row],[age]]&lt;=35,"26-35",IF(Table1[[#This Row],[age]]&lt;=50,"36-50","51+")))</f>
        <v>26-35</v>
      </c>
      <c r="G1500" t="s">
        <v>24</v>
      </c>
      <c r="H1500" t="s">
        <v>69</v>
      </c>
      <c r="I1500" t="s">
        <v>181</v>
      </c>
      <c r="J1500" t="s">
        <v>106</v>
      </c>
      <c r="K1500" t="s">
        <v>188</v>
      </c>
      <c r="L1500">
        <v>1</v>
      </c>
      <c r="M1500">
        <v>314.79000000000002</v>
      </c>
      <c r="N1500">
        <v>0.34</v>
      </c>
      <c r="O1500">
        <v>241.87</v>
      </c>
      <c r="P1500">
        <v>12.49</v>
      </c>
      <c r="Q1500">
        <v>85.01</v>
      </c>
      <c r="R1500" t="s">
        <v>65</v>
      </c>
      <c r="S1500">
        <v>2</v>
      </c>
      <c r="T1500" t="b">
        <v>0</v>
      </c>
      <c r="U1500" t="s">
        <v>30</v>
      </c>
      <c r="V1500">
        <v>2</v>
      </c>
    </row>
    <row r="1501" spans="1:22" x14ac:dyDescent="0.25">
      <c r="A1501" t="s">
        <v>3492</v>
      </c>
      <c r="B1501" s="1">
        <v>44619</v>
      </c>
      <c r="C1501" t="s">
        <v>3493</v>
      </c>
      <c r="D1501" t="s">
        <v>1761</v>
      </c>
      <c r="E1501">
        <v>27</v>
      </c>
      <c r="F1501" t="str">
        <f>IF(Table1[[#This Row],[age]]&lt;=25,"18-25",IF(Table1[[#This Row],[age]]&lt;=35,"26-35",IF(Table1[[#This Row],[age]]&lt;=50,"36-50","51+")))</f>
        <v>26-35</v>
      </c>
      <c r="G1501" t="s">
        <v>54</v>
      </c>
      <c r="H1501" t="s">
        <v>69</v>
      </c>
      <c r="I1501" t="s">
        <v>181</v>
      </c>
      <c r="J1501" t="s">
        <v>101</v>
      </c>
      <c r="K1501" t="s">
        <v>318</v>
      </c>
      <c r="L1501">
        <v>10</v>
      </c>
      <c r="M1501">
        <v>5565.04</v>
      </c>
      <c r="N1501">
        <v>0.32</v>
      </c>
      <c r="O1501">
        <v>39181</v>
      </c>
      <c r="P1501">
        <v>7825.8</v>
      </c>
      <c r="Q1501">
        <v>71.62</v>
      </c>
      <c r="R1501" t="s">
        <v>57</v>
      </c>
      <c r="S1501">
        <v>4</v>
      </c>
      <c r="T1501" t="b">
        <v>0</v>
      </c>
      <c r="U1501" t="s">
        <v>30</v>
      </c>
      <c r="V1501">
        <v>3</v>
      </c>
    </row>
    <row r="1502" spans="1:22" x14ac:dyDescent="0.25">
      <c r="A1502" t="s">
        <v>3494</v>
      </c>
      <c r="B1502" s="1">
        <v>45110</v>
      </c>
      <c r="C1502" t="s">
        <v>3495</v>
      </c>
      <c r="D1502" t="s">
        <v>307</v>
      </c>
      <c r="E1502">
        <v>37</v>
      </c>
      <c r="F1502" t="str">
        <f>IF(Table1[[#This Row],[age]]&lt;=25,"18-25",IF(Table1[[#This Row],[age]]&lt;=35,"26-35",IF(Table1[[#This Row],[age]]&lt;=50,"36-50","51+")))</f>
        <v>36-50</v>
      </c>
      <c r="G1502" t="s">
        <v>34</v>
      </c>
      <c r="H1502" t="s">
        <v>25</v>
      </c>
      <c r="I1502" t="s">
        <v>41</v>
      </c>
      <c r="J1502" t="s">
        <v>47</v>
      </c>
      <c r="K1502" t="s">
        <v>204</v>
      </c>
      <c r="L1502">
        <v>4</v>
      </c>
      <c r="M1502">
        <v>258.16000000000003</v>
      </c>
      <c r="N1502">
        <v>0.2</v>
      </c>
      <c r="O1502">
        <v>1147.42</v>
      </c>
      <c r="P1502">
        <v>452.37</v>
      </c>
      <c r="Q1502">
        <v>71.77</v>
      </c>
      <c r="R1502" t="s">
        <v>92</v>
      </c>
      <c r="S1502">
        <v>5</v>
      </c>
      <c r="T1502" t="b">
        <v>1</v>
      </c>
      <c r="U1502" t="s">
        <v>50</v>
      </c>
      <c r="V1502">
        <v>7</v>
      </c>
    </row>
    <row r="1503" spans="1:22" x14ac:dyDescent="0.25">
      <c r="A1503" t="s">
        <v>3496</v>
      </c>
      <c r="B1503" s="1">
        <v>44482</v>
      </c>
      <c r="C1503" t="s">
        <v>3497</v>
      </c>
      <c r="D1503" t="s">
        <v>2142</v>
      </c>
      <c r="E1503">
        <v>49</v>
      </c>
      <c r="F1503" t="str">
        <f>IF(Table1[[#This Row],[age]]&lt;=25,"18-25",IF(Table1[[#This Row],[age]]&lt;=35,"26-35",IF(Table1[[#This Row],[age]]&lt;=50,"36-50","51+")))</f>
        <v>36-50</v>
      </c>
      <c r="G1503" t="s">
        <v>54</v>
      </c>
      <c r="H1503" t="s">
        <v>25</v>
      </c>
      <c r="I1503" t="s">
        <v>35</v>
      </c>
      <c r="J1503" t="s">
        <v>47</v>
      </c>
      <c r="K1503" t="s">
        <v>156</v>
      </c>
      <c r="L1503">
        <v>10</v>
      </c>
      <c r="M1503">
        <v>1078.3599999999999</v>
      </c>
      <c r="N1503">
        <v>0.39</v>
      </c>
      <c r="O1503">
        <v>5300.77</v>
      </c>
      <c r="P1503">
        <v>2043.67</v>
      </c>
      <c r="Q1503">
        <v>59.94</v>
      </c>
      <c r="R1503" t="s">
        <v>57</v>
      </c>
      <c r="S1503">
        <v>1</v>
      </c>
      <c r="T1503" t="b">
        <v>0</v>
      </c>
      <c r="U1503" t="s">
        <v>30</v>
      </c>
      <c r="V1503">
        <v>2</v>
      </c>
    </row>
    <row r="1504" spans="1:22" x14ac:dyDescent="0.25">
      <c r="A1504" t="s">
        <v>3498</v>
      </c>
      <c r="B1504" s="1">
        <v>44907</v>
      </c>
      <c r="C1504" t="s">
        <v>3499</v>
      </c>
      <c r="D1504" t="s">
        <v>1442</v>
      </c>
      <c r="E1504">
        <v>24</v>
      </c>
      <c r="F1504" t="str">
        <f>IF(Table1[[#This Row],[age]]&lt;=25,"18-25",IF(Table1[[#This Row],[age]]&lt;=35,"26-35",IF(Table1[[#This Row],[age]]&lt;=50,"36-50","51+")))</f>
        <v>18-25</v>
      </c>
      <c r="G1504" t="s">
        <v>54</v>
      </c>
      <c r="H1504" t="s">
        <v>80</v>
      </c>
      <c r="I1504" t="s">
        <v>86</v>
      </c>
      <c r="J1504" t="s">
        <v>106</v>
      </c>
      <c r="K1504" t="s">
        <v>188</v>
      </c>
      <c r="L1504">
        <v>5</v>
      </c>
      <c r="M1504">
        <v>256.82</v>
      </c>
      <c r="N1504">
        <v>0.05</v>
      </c>
      <c r="O1504">
        <v>1034.27</v>
      </c>
      <c r="P1504">
        <v>102.49</v>
      </c>
      <c r="Q1504">
        <v>85.67</v>
      </c>
      <c r="R1504" t="s">
        <v>65</v>
      </c>
      <c r="S1504">
        <v>5</v>
      </c>
      <c r="T1504" t="b">
        <v>0</v>
      </c>
      <c r="U1504" t="s">
        <v>193</v>
      </c>
      <c r="V1504">
        <v>6</v>
      </c>
    </row>
    <row r="1505" spans="1:22" x14ac:dyDescent="0.25">
      <c r="A1505" t="s">
        <v>3500</v>
      </c>
      <c r="B1505" s="1">
        <v>45183</v>
      </c>
      <c r="C1505" t="s">
        <v>3501</v>
      </c>
      <c r="D1505" t="s">
        <v>135</v>
      </c>
      <c r="E1505">
        <v>27</v>
      </c>
      <c r="F1505" t="str">
        <f>IF(Table1[[#This Row],[age]]&lt;=25,"18-25",IF(Table1[[#This Row],[age]]&lt;=35,"26-35",IF(Table1[[#This Row],[age]]&lt;=50,"36-50","51+")))</f>
        <v>26-35</v>
      </c>
      <c r="G1505" t="s">
        <v>34</v>
      </c>
      <c r="H1505" t="s">
        <v>61</v>
      </c>
      <c r="I1505" t="s">
        <v>91</v>
      </c>
      <c r="J1505" t="s">
        <v>106</v>
      </c>
      <c r="K1505" t="s">
        <v>188</v>
      </c>
      <c r="L1505">
        <v>2</v>
      </c>
      <c r="M1505">
        <v>188.27</v>
      </c>
      <c r="N1505">
        <v>0.27</v>
      </c>
      <c r="O1505">
        <v>372.56</v>
      </c>
      <c r="P1505">
        <v>23.33</v>
      </c>
      <c r="Q1505">
        <v>48.93</v>
      </c>
      <c r="R1505" t="s">
        <v>49</v>
      </c>
      <c r="S1505">
        <v>5</v>
      </c>
      <c r="T1505" t="b">
        <v>0</v>
      </c>
      <c r="U1505" t="s">
        <v>30</v>
      </c>
      <c r="V1505">
        <v>8</v>
      </c>
    </row>
    <row r="1506" spans="1:22" x14ac:dyDescent="0.25">
      <c r="A1506" t="s">
        <v>3502</v>
      </c>
      <c r="B1506" s="1">
        <v>44428</v>
      </c>
      <c r="C1506" t="s">
        <v>3503</v>
      </c>
      <c r="D1506" t="s">
        <v>378</v>
      </c>
      <c r="E1506">
        <v>26</v>
      </c>
      <c r="F1506" t="str">
        <f>IF(Table1[[#This Row],[age]]&lt;=25,"18-25",IF(Table1[[#This Row],[age]]&lt;=35,"26-35",IF(Table1[[#This Row],[age]]&lt;=50,"36-50","51+")))</f>
        <v>26-35</v>
      </c>
      <c r="G1506" t="s">
        <v>54</v>
      </c>
      <c r="H1506" t="s">
        <v>69</v>
      </c>
      <c r="I1506" t="s">
        <v>136</v>
      </c>
      <c r="J1506" t="s">
        <v>27</v>
      </c>
      <c r="K1506" t="s">
        <v>192</v>
      </c>
      <c r="L1506">
        <v>9</v>
      </c>
      <c r="M1506">
        <v>296.29000000000002</v>
      </c>
      <c r="N1506">
        <v>0.39</v>
      </c>
      <c r="O1506">
        <v>2124.79</v>
      </c>
      <c r="P1506">
        <v>1395.29</v>
      </c>
      <c r="Q1506">
        <v>84.16</v>
      </c>
      <c r="R1506" t="s">
        <v>29</v>
      </c>
      <c r="S1506">
        <v>4</v>
      </c>
      <c r="T1506" t="b">
        <v>0</v>
      </c>
      <c r="U1506" t="s">
        <v>30</v>
      </c>
      <c r="V1506">
        <v>10</v>
      </c>
    </row>
    <row r="1507" spans="1:22" x14ac:dyDescent="0.25">
      <c r="A1507" t="s">
        <v>3504</v>
      </c>
      <c r="B1507" s="1">
        <v>44766</v>
      </c>
      <c r="C1507" t="s">
        <v>3505</v>
      </c>
      <c r="D1507" t="s">
        <v>3506</v>
      </c>
      <c r="E1507">
        <v>54</v>
      </c>
      <c r="F1507" t="str">
        <f>IF(Table1[[#This Row],[age]]&lt;=25,"18-25",IF(Table1[[#This Row],[age]]&lt;=35,"26-35",IF(Table1[[#This Row],[age]]&lt;=50,"36-50","51+")))</f>
        <v>51+</v>
      </c>
      <c r="G1507" t="s">
        <v>34</v>
      </c>
      <c r="H1507" t="s">
        <v>25</v>
      </c>
      <c r="I1507" t="s">
        <v>298</v>
      </c>
      <c r="J1507" t="s">
        <v>27</v>
      </c>
      <c r="K1507" t="s">
        <v>28</v>
      </c>
      <c r="L1507">
        <v>2</v>
      </c>
      <c r="M1507">
        <v>1392.89</v>
      </c>
      <c r="N1507">
        <v>0.22</v>
      </c>
      <c r="O1507">
        <v>3170.9</v>
      </c>
      <c r="P1507">
        <v>1551.48</v>
      </c>
      <c r="Q1507">
        <v>64.72</v>
      </c>
      <c r="R1507" t="s">
        <v>65</v>
      </c>
      <c r="S1507">
        <v>3</v>
      </c>
      <c r="T1507" t="b">
        <v>0</v>
      </c>
      <c r="U1507" t="s">
        <v>71</v>
      </c>
      <c r="V1507">
        <v>3</v>
      </c>
    </row>
    <row r="1508" spans="1:22" x14ac:dyDescent="0.25">
      <c r="A1508" t="s">
        <v>3507</v>
      </c>
      <c r="B1508" s="1">
        <v>43837</v>
      </c>
      <c r="C1508" t="s">
        <v>3508</v>
      </c>
      <c r="D1508" t="s">
        <v>884</v>
      </c>
      <c r="E1508">
        <v>40</v>
      </c>
      <c r="F1508" t="str">
        <f>IF(Table1[[#This Row],[age]]&lt;=25,"18-25",IF(Table1[[#This Row],[age]]&lt;=35,"26-35",IF(Table1[[#This Row],[age]]&lt;=50,"36-50","51+")))</f>
        <v>36-50</v>
      </c>
      <c r="G1508" t="s">
        <v>54</v>
      </c>
      <c r="H1508" t="s">
        <v>25</v>
      </c>
      <c r="I1508" t="s">
        <v>41</v>
      </c>
      <c r="J1508" t="s">
        <v>36</v>
      </c>
      <c r="K1508" t="s">
        <v>230</v>
      </c>
      <c r="L1508">
        <v>5</v>
      </c>
      <c r="M1508">
        <v>5040.09</v>
      </c>
      <c r="N1508">
        <v>0.17</v>
      </c>
      <c r="O1508">
        <v>16406.419999999998</v>
      </c>
      <c r="P1508">
        <v>4616.87</v>
      </c>
      <c r="Q1508">
        <v>51.71</v>
      </c>
      <c r="R1508" t="s">
        <v>65</v>
      </c>
      <c r="S1508">
        <v>3</v>
      </c>
      <c r="T1508" t="b">
        <v>0</v>
      </c>
      <c r="U1508" t="s">
        <v>30</v>
      </c>
      <c r="V1508">
        <v>9</v>
      </c>
    </row>
    <row r="1509" spans="1:22" x14ac:dyDescent="0.25">
      <c r="A1509" t="s">
        <v>3509</v>
      </c>
      <c r="B1509" s="1">
        <v>45337</v>
      </c>
      <c r="C1509" t="s">
        <v>3510</v>
      </c>
      <c r="D1509" t="s">
        <v>682</v>
      </c>
      <c r="E1509">
        <v>64</v>
      </c>
      <c r="F1509" t="str">
        <f>IF(Table1[[#This Row],[age]]&lt;=25,"18-25",IF(Table1[[#This Row],[age]]&lt;=35,"26-35",IF(Table1[[#This Row],[age]]&lt;=50,"36-50","51+")))</f>
        <v>51+</v>
      </c>
      <c r="G1509" t="s">
        <v>34</v>
      </c>
      <c r="H1509" t="s">
        <v>80</v>
      </c>
      <c r="I1509" t="s">
        <v>86</v>
      </c>
      <c r="J1509" t="s">
        <v>63</v>
      </c>
      <c r="K1509" t="s">
        <v>64</v>
      </c>
      <c r="L1509">
        <v>10</v>
      </c>
      <c r="M1509">
        <v>649.39</v>
      </c>
      <c r="N1509">
        <v>0.08</v>
      </c>
      <c r="O1509">
        <v>6250.27</v>
      </c>
      <c r="P1509">
        <v>1461.59</v>
      </c>
      <c r="Q1509">
        <v>89.12</v>
      </c>
      <c r="R1509" t="s">
        <v>92</v>
      </c>
      <c r="S1509">
        <v>5</v>
      </c>
      <c r="T1509" t="b">
        <v>0</v>
      </c>
      <c r="U1509" t="s">
        <v>30</v>
      </c>
      <c r="V1509">
        <v>1</v>
      </c>
    </row>
    <row r="1510" spans="1:22" x14ac:dyDescent="0.25">
      <c r="A1510" t="s">
        <v>3511</v>
      </c>
      <c r="B1510" s="1">
        <v>44341</v>
      </c>
      <c r="C1510" t="s">
        <v>3512</v>
      </c>
      <c r="D1510" t="s">
        <v>548</v>
      </c>
      <c r="E1510">
        <v>42</v>
      </c>
      <c r="F1510" t="str">
        <f>IF(Table1[[#This Row],[age]]&lt;=25,"18-25",IF(Table1[[#This Row],[age]]&lt;=35,"26-35",IF(Table1[[#This Row],[age]]&lt;=50,"36-50","51+")))</f>
        <v>36-50</v>
      </c>
      <c r="G1510" t="s">
        <v>34</v>
      </c>
      <c r="H1510" t="s">
        <v>55</v>
      </c>
      <c r="I1510" t="s">
        <v>114</v>
      </c>
      <c r="J1510" t="s">
        <v>36</v>
      </c>
      <c r="K1510" t="s">
        <v>42</v>
      </c>
      <c r="L1510">
        <v>1</v>
      </c>
      <c r="M1510">
        <v>28223.81</v>
      </c>
      <c r="N1510">
        <v>0.01</v>
      </c>
      <c r="O1510">
        <v>41826.379999999997</v>
      </c>
      <c r="P1510">
        <v>10977.5</v>
      </c>
      <c r="Q1510">
        <v>68.34</v>
      </c>
      <c r="R1510" t="s">
        <v>92</v>
      </c>
      <c r="S1510">
        <v>4</v>
      </c>
      <c r="T1510" t="b">
        <v>0</v>
      </c>
      <c r="U1510" t="s">
        <v>30</v>
      </c>
      <c r="V1510">
        <v>8</v>
      </c>
    </row>
    <row r="1511" spans="1:22" x14ac:dyDescent="0.25">
      <c r="A1511" t="s">
        <v>3513</v>
      </c>
      <c r="B1511" s="1">
        <v>45622</v>
      </c>
      <c r="C1511" t="s">
        <v>3514</v>
      </c>
      <c r="D1511" t="s">
        <v>1659</v>
      </c>
      <c r="E1511">
        <v>42</v>
      </c>
      <c r="F1511" t="str">
        <f>IF(Table1[[#This Row],[age]]&lt;=25,"18-25",IF(Table1[[#This Row],[age]]&lt;=35,"26-35",IF(Table1[[#This Row],[age]]&lt;=50,"36-50","51+")))</f>
        <v>36-50</v>
      </c>
      <c r="G1511" t="s">
        <v>54</v>
      </c>
      <c r="H1511" t="s">
        <v>55</v>
      </c>
      <c r="I1511" t="s">
        <v>114</v>
      </c>
      <c r="J1511" t="s">
        <v>27</v>
      </c>
      <c r="K1511" t="s">
        <v>192</v>
      </c>
      <c r="L1511">
        <v>4</v>
      </c>
      <c r="M1511">
        <v>2248.41</v>
      </c>
      <c r="N1511">
        <v>0.28999999999999998</v>
      </c>
      <c r="O1511">
        <v>6511.18</v>
      </c>
      <c r="P1511">
        <v>3980.78</v>
      </c>
      <c r="Q1511">
        <v>20.27</v>
      </c>
      <c r="R1511" t="s">
        <v>43</v>
      </c>
      <c r="S1511">
        <v>3</v>
      </c>
      <c r="T1511" t="b">
        <v>0</v>
      </c>
      <c r="U1511" t="s">
        <v>71</v>
      </c>
      <c r="V1511">
        <v>1</v>
      </c>
    </row>
    <row r="1512" spans="1:22" x14ac:dyDescent="0.25">
      <c r="A1512" t="s">
        <v>3515</v>
      </c>
      <c r="B1512" s="1">
        <v>44126</v>
      </c>
      <c r="C1512" t="s">
        <v>3516</v>
      </c>
      <c r="D1512" t="s">
        <v>854</v>
      </c>
      <c r="E1512">
        <v>22</v>
      </c>
      <c r="F1512" t="str">
        <f>IF(Table1[[#This Row],[age]]&lt;=25,"18-25",IF(Table1[[#This Row],[age]]&lt;=35,"26-35",IF(Table1[[#This Row],[age]]&lt;=50,"36-50","51+")))</f>
        <v>18-25</v>
      </c>
      <c r="G1512" t="s">
        <v>34</v>
      </c>
      <c r="H1512" t="s">
        <v>80</v>
      </c>
      <c r="I1512" t="s">
        <v>242</v>
      </c>
      <c r="J1512" t="s">
        <v>106</v>
      </c>
      <c r="K1512" t="s">
        <v>331</v>
      </c>
      <c r="L1512">
        <v>7</v>
      </c>
      <c r="M1512">
        <v>388.2</v>
      </c>
      <c r="N1512">
        <v>0.05</v>
      </c>
      <c r="O1512">
        <v>2233.08</v>
      </c>
      <c r="P1512">
        <v>175.74</v>
      </c>
      <c r="Q1512">
        <v>74.16</v>
      </c>
      <c r="R1512" t="s">
        <v>43</v>
      </c>
      <c r="S1512">
        <v>2</v>
      </c>
      <c r="T1512" t="b">
        <v>0</v>
      </c>
      <c r="U1512" t="s">
        <v>193</v>
      </c>
      <c r="V1512">
        <v>4</v>
      </c>
    </row>
    <row r="1513" spans="1:22" x14ac:dyDescent="0.25">
      <c r="A1513" t="s">
        <v>3517</v>
      </c>
      <c r="B1513" s="1">
        <v>44569</v>
      </c>
      <c r="C1513" t="s">
        <v>3518</v>
      </c>
      <c r="D1513" t="s">
        <v>657</v>
      </c>
      <c r="E1513">
        <v>30</v>
      </c>
      <c r="F1513" t="str">
        <f>IF(Table1[[#This Row],[age]]&lt;=25,"18-25",IF(Table1[[#This Row],[age]]&lt;=35,"26-35",IF(Table1[[#This Row],[age]]&lt;=50,"36-50","51+")))</f>
        <v>26-35</v>
      </c>
      <c r="G1513" t="s">
        <v>54</v>
      </c>
      <c r="H1513" t="s">
        <v>69</v>
      </c>
      <c r="I1513" t="s">
        <v>136</v>
      </c>
      <c r="J1513" t="s">
        <v>63</v>
      </c>
      <c r="K1513" t="s">
        <v>82</v>
      </c>
      <c r="L1513">
        <v>5</v>
      </c>
      <c r="M1513">
        <v>2059.67</v>
      </c>
      <c r="N1513">
        <v>0.04</v>
      </c>
      <c r="O1513">
        <v>9298.94</v>
      </c>
      <c r="P1513">
        <v>5107.08</v>
      </c>
      <c r="Q1513">
        <v>80.05</v>
      </c>
      <c r="R1513" t="s">
        <v>57</v>
      </c>
      <c r="S1513">
        <v>4</v>
      </c>
      <c r="T1513" t="b">
        <v>0</v>
      </c>
      <c r="U1513" t="s">
        <v>30</v>
      </c>
      <c r="V1513">
        <v>3</v>
      </c>
    </row>
    <row r="1514" spans="1:22" x14ac:dyDescent="0.25">
      <c r="A1514" t="s">
        <v>3519</v>
      </c>
      <c r="B1514" s="1">
        <v>45323</v>
      </c>
      <c r="C1514" t="s">
        <v>3520</v>
      </c>
      <c r="D1514" t="s">
        <v>1498</v>
      </c>
      <c r="E1514">
        <v>38</v>
      </c>
      <c r="F1514" t="str">
        <f>IF(Table1[[#This Row],[age]]&lt;=25,"18-25",IF(Table1[[#This Row],[age]]&lt;=35,"26-35",IF(Table1[[#This Row],[age]]&lt;=50,"36-50","51+")))</f>
        <v>36-50</v>
      </c>
      <c r="G1514" t="s">
        <v>24</v>
      </c>
      <c r="H1514" t="s">
        <v>80</v>
      </c>
      <c r="I1514" t="s">
        <v>242</v>
      </c>
      <c r="J1514" t="s">
        <v>36</v>
      </c>
      <c r="K1514" t="s">
        <v>243</v>
      </c>
      <c r="L1514">
        <v>3</v>
      </c>
      <c r="M1514">
        <v>23851.040000000001</v>
      </c>
      <c r="N1514">
        <v>0.2</v>
      </c>
      <c r="O1514">
        <v>59295.25</v>
      </c>
      <c r="P1514">
        <v>20111.349999999999</v>
      </c>
      <c r="Q1514">
        <v>64.77</v>
      </c>
      <c r="R1514" t="s">
        <v>49</v>
      </c>
      <c r="S1514">
        <v>5</v>
      </c>
      <c r="T1514" t="b">
        <v>0</v>
      </c>
      <c r="U1514" t="s">
        <v>30</v>
      </c>
      <c r="V1514">
        <v>4</v>
      </c>
    </row>
    <row r="1515" spans="1:22" x14ac:dyDescent="0.25">
      <c r="A1515" t="s">
        <v>3521</v>
      </c>
      <c r="B1515" s="1">
        <v>45206</v>
      </c>
      <c r="C1515" t="s">
        <v>3522</v>
      </c>
      <c r="D1515" t="s">
        <v>1622</v>
      </c>
      <c r="E1515">
        <v>28</v>
      </c>
      <c r="F1515" t="str">
        <f>IF(Table1[[#This Row],[age]]&lt;=25,"18-25",IF(Table1[[#This Row],[age]]&lt;=35,"26-35",IF(Table1[[#This Row],[age]]&lt;=50,"36-50","51+")))</f>
        <v>26-35</v>
      </c>
      <c r="G1515" t="s">
        <v>34</v>
      </c>
      <c r="H1515" t="s">
        <v>80</v>
      </c>
      <c r="I1515" t="s">
        <v>242</v>
      </c>
      <c r="J1515" t="s">
        <v>27</v>
      </c>
      <c r="K1515" t="s">
        <v>128</v>
      </c>
      <c r="L1515">
        <v>8</v>
      </c>
      <c r="M1515">
        <v>1575.79</v>
      </c>
      <c r="N1515">
        <v>0.24</v>
      </c>
      <c r="O1515">
        <v>9914.18</v>
      </c>
      <c r="P1515">
        <v>4246.21</v>
      </c>
      <c r="Q1515">
        <v>73.87</v>
      </c>
      <c r="R1515" t="s">
        <v>49</v>
      </c>
      <c r="S1515">
        <v>4</v>
      </c>
      <c r="T1515" t="b">
        <v>0</v>
      </c>
      <c r="U1515" t="s">
        <v>30</v>
      </c>
      <c r="V1515">
        <v>4</v>
      </c>
    </row>
    <row r="1516" spans="1:22" x14ac:dyDescent="0.25">
      <c r="A1516" t="s">
        <v>3523</v>
      </c>
      <c r="B1516" s="1">
        <v>43999</v>
      </c>
      <c r="C1516" t="s">
        <v>3524</v>
      </c>
      <c r="D1516" t="s">
        <v>1914</v>
      </c>
      <c r="E1516">
        <v>27</v>
      </c>
      <c r="F1516" t="str">
        <f>IF(Table1[[#This Row],[age]]&lt;=25,"18-25",IF(Table1[[#This Row],[age]]&lt;=35,"26-35",IF(Table1[[#This Row],[age]]&lt;=50,"36-50","51+")))</f>
        <v>26-35</v>
      </c>
      <c r="G1516" t="s">
        <v>54</v>
      </c>
      <c r="H1516" t="s">
        <v>25</v>
      </c>
      <c r="I1516" t="s">
        <v>35</v>
      </c>
      <c r="J1516" t="s">
        <v>63</v>
      </c>
      <c r="K1516" t="s">
        <v>64</v>
      </c>
      <c r="L1516">
        <v>1</v>
      </c>
      <c r="M1516">
        <v>1409.39</v>
      </c>
      <c r="N1516">
        <v>0.1</v>
      </c>
      <c r="O1516">
        <v>1762.59</v>
      </c>
      <c r="P1516">
        <v>761.88</v>
      </c>
      <c r="Q1516">
        <v>58.09</v>
      </c>
      <c r="R1516" t="s">
        <v>65</v>
      </c>
      <c r="S1516">
        <v>3</v>
      </c>
      <c r="T1516" t="b">
        <v>0</v>
      </c>
      <c r="U1516" t="s">
        <v>30</v>
      </c>
      <c r="V1516">
        <v>3</v>
      </c>
    </row>
    <row r="1517" spans="1:22" x14ac:dyDescent="0.25">
      <c r="A1517" t="s">
        <v>3525</v>
      </c>
      <c r="B1517" s="1">
        <v>44589</v>
      </c>
      <c r="C1517" t="s">
        <v>3526</v>
      </c>
      <c r="D1517" t="s">
        <v>772</v>
      </c>
      <c r="E1517">
        <v>41</v>
      </c>
      <c r="F1517" t="str">
        <f>IF(Table1[[#This Row],[age]]&lt;=25,"18-25",IF(Table1[[#This Row],[age]]&lt;=35,"26-35",IF(Table1[[#This Row],[age]]&lt;=50,"36-50","51+")))</f>
        <v>36-50</v>
      </c>
      <c r="G1517" t="s">
        <v>24</v>
      </c>
      <c r="H1517" t="s">
        <v>61</v>
      </c>
      <c r="I1517" t="s">
        <v>141</v>
      </c>
      <c r="J1517" t="s">
        <v>47</v>
      </c>
      <c r="K1517" t="s">
        <v>120</v>
      </c>
      <c r="L1517">
        <v>2</v>
      </c>
      <c r="M1517">
        <v>921.77</v>
      </c>
      <c r="N1517">
        <v>0.34</v>
      </c>
      <c r="O1517">
        <v>1063.82</v>
      </c>
      <c r="P1517">
        <v>488.6</v>
      </c>
      <c r="Q1517">
        <v>72.61</v>
      </c>
      <c r="R1517" t="s">
        <v>57</v>
      </c>
      <c r="S1517">
        <v>4</v>
      </c>
      <c r="T1517" t="b">
        <v>0</v>
      </c>
      <c r="U1517" t="s">
        <v>30</v>
      </c>
      <c r="V1517">
        <v>1</v>
      </c>
    </row>
    <row r="1518" spans="1:22" x14ac:dyDescent="0.25">
      <c r="A1518" t="s">
        <v>3527</v>
      </c>
      <c r="B1518" s="1">
        <v>44415</v>
      </c>
      <c r="C1518" t="s">
        <v>3528</v>
      </c>
      <c r="D1518" t="s">
        <v>1901</v>
      </c>
      <c r="E1518">
        <v>27</v>
      </c>
      <c r="F1518" t="str">
        <f>IF(Table1[[#This Row],[age]]&lt;=25,"18-25",IF(Table1[[#This Row],[age]]&lt;=35,"26-35",IF(Table1[[#This Row],[age]]&lt;=50,"36-50","51+")))</f>
        <v>26-35</v>
      </c>
      <c r="G1518" t="s">
        <v>54</v>
      </c>
      <c r="H1518" t="s">
        <v>25</v>
      </c>
      <c r="I1518" t="s">
        <v>35</v>
      </c>
      <c r="J1518" t="s">
        <v>115</v>
      </c>
      <c r="K1518" t="s">
        <v>116</v>
      </c>
      <c r="L1518">
        <v>3</v>
      </c>
      <c r="M1518">
        <v>54652.78</v>
      </c>
      <c r="N1518">
        <v>0.01</v>
      </c>
      <c r="O1518">
        <v>192332.91</v>
      </c>
      <c r="P1518">
        <v>11105.11</v>
      </c>
      <c r="Q1518">
        <v>56.52</v>
      </c>
      <c r="R1518" t="s">
        <v>29</v>
      </c>
      <c r="S1518">
        <v>1</v>
      </c>
      <c r="T1518" t="b">
        <v>0</v>
      </c>
      <c r="U1518" t="s">
        <v>30</v>
      </c>
      <c r="V1518">
        <v>9</v>
      </c>
    </row>
    <row r="1519" spans="1:22" x14ac:dyDescent="0.25">
      <c r="A1519" t="s">
        <v>3529</v>
      </c>
      <c r="B1519" s="1">
        <v>44216</v>
      </c>
      <c r="C1519" t="s">
        <v>3530</v>
      </c>
      <c r="D1519" t="s">
        <v>1677</v>
      </c>
      <c r="E1519">
        <v>48</v>
      </c>
      <c r="F1519" t="str">
        <f>IF(Table1[[#This Row],[age]]&lt;=25,"18-25",IF(Table1[[#This Row],[age]]&lt;=35,"26-35",IF(Table1[[#This Row],[age]]&lt;=50,"36-50","51+")))</f>
        <v>36-50</v>
      </c>
      <c r="G1519" t="s">
        <v>34</v>
      </c>
      <c r="H1519" t="s">
        <v>80</v>
      </c>
      <c r="I1519" t="s">
        <v>236</v>
      </c>
      <c r="J1519" t="s">
        <v>63</v>
      </c>
      <c r="K1519" t="s">
        <v>64</v>
      </c>
      <c r="L1519">
        <v>2</v>
      </c>
      <c r="M1519">
        <v>2685.53</v>
      </c>
      <c r="N1519">
        <v>0.16</v>
      </c>
      <c r="O1519">
        <v>3463.77</v>
      </c>
      <c r="P1519">
        <v>1147.8599999999999</v>
      </c>
      <c r="Q1519">
        <v>69.17</v>
      </c>
      <c r="R1519" t="s">
        <v>49</v>
      </c>
      <c r="S1519">
        <v>2</v>
      </c>
      <c r="T1519" t="b">
        <v>1</v>
      </c>
      <c r="U1519" t="s">
        <v>50</v>
      </c>
      <c r="V1519">
        <v>6</v>
      </c>
    </row>
    <row r="1520" spans="1:22" x14ac:dyDescent="0.25">
      <c r="A1520" t="s">
        <v>3531</v>
      </c>
      <c r="B1520" s="1">
        <v>44475</v>
      </c>
      <c r="C1520" t="s">
        <v>3532</v>
      </c>
      <c r="D1520" t="s">
        <v>923</v>
      </c>
      <c r="E1520">
        <v>35</v>
      </c>
      <c r="F1520" t="str">
        <f>IF(Table1[[#This Row],[age]]&lt;=25,"18-25",IF(Table1[[#This Row],[age]]&lt;=35,"26-35",IF(Table1[[#This Row],[age]]&lt;=50,"36-50","51+")))</f>
        <v>26-35</v>
      </c>
      <c r="G1520" t="s">
        <v>54</v>
      </c>
      <c r="H1520" t="s">
        <v>25</v>
      </c>
      <c r="I1520" t="s">
        <v>35</v>
      </c>
      <c r="J1520" t="s">
        <v>47</v>
      </c>
      <c r="K1520" t="s">
        <v>204</v>
      </c>
      <c r="L1520">
        <v>10</v>
      </c>
      <c r="M1520">
        <v>268.47000000000003</v>
      </c>
      <c r="N1520">
        <v>0.24</v>
      </c>
      <c r="O1520">
        <v>1754.08</v>
      </c>
      <c r="P1520">
        <v>598.80999999999995</v>
      </c>
      <c r="Q1520">
        <v>69.44</v>
      </c>
      <c r="R1520" t="s">
        <v>57</v>
      </c>
      <c r="S1520">
        <v>5</v>
      </c>
      <c r="T1520" t="b">
        <v>0</v>
      </c>
      <c r="U1520" t="s">
        <v>30</v>
      </c>
      <c r="V1520">
        <v>6</v>
      </c>
    </row>
    <row r="1521" spans="1:22" x14ac:dyDescent="0.25">
      <c r="A1521" t="s">
        <v>3533</v>
      </c>
      <c r="B1521" s="1">
        <v>44540</v>
      </c>
      <c r="C1521" t="s">
        <v>3534</v>
      </c>
      <c r="D1521" t="s">
        <v>90</v>
      </c>
      <c r="E1521">
        <v>32</v>
      </c>
      <c r="F1521" t="str">
        <f>IF(Table1[[#This Row],[age]]&lt;=25,"18-25",IF(Table1[[#This Row],[age]]&lt;=35,"26-35",IF(Table1[[#This Row],[age]]&lt;=50,"36-50","51+")))</f>
        <v>26-35</v>
      </c>
      <c r="G1521" t="s">
        <v>24</v>
      </c>
      <c r="H1521" t="s">
        <v>25</v>
      </c>
      <c r="I1521" t="s">
        <v>26</v>
      </c>
      <c r="J1521" t="s">
        <v>27</v>
      </c>
      <c r="K1521" t="s">
        <v>168</v>
      </c>
      <c r="L1521">
        <v>7</v>
      </c>
      <c r="M1521">
        <v>1768.37</v>
      </c>
      <c r="N1521">
        <v>0.03</v>
      </c>
      <c r="O1521">
        <v>7423.51</v>
      </c>
      <c r="P1521">
        <v>3260.02</v>
      </c>
      <c r="Q1521">
        <v>49.67</v>
      </c>
      <c r="R1521" t="s">
        <v>43</v>
      </c>
      <c r="S1521">
        <v>2</v>
      </c>
      <c r="T1521" t="b">
        <v>1</v>
      </c>
      <c r="U1521" t="s">
        <v>50</v>
      </c>
      <c r="V1521">
        <v>2</v>
      </c>
    </row>
    <row r="1522" spans="1:22" x14ac:dyDescent="0.25">
      <c r="A1522" t="s">
        <v>3535</v>
      </c>
      <c r="B1522" s="1">
        <v>43910</v>
      </c>
      <c r="C1522" t="s">
        <v>3536</v>
      </c>
      <c r="D1522" t="s">
        <v>499</v>
      </c>
      <c r="E1522">
        <v>47</v>
      </c>
      <c r="F1522" t="str">
        <f>IF(Table1[[#This Row],[age]]&lt;=25,"18-25",IF(Table1[[#This Row],[age]]&lt;=35,"26-35",IF(Table1[[#This Row],[age]]&lt;=50,"36-50","51+")))</f>
        <v>36-50</v>
      </c>
      <c r="G1522" t="s">
        <v>34</v>
      </c>
      <c r="H1522" t="s">
        <v>55</v>
      </c>
      <c r="I1522" t="s">
        <v>97</v>
      </c>
      <c r="J1522" t="s">
        <v>27</v>
      </c>
      <c r="K1522" t="s">
        <v>28</v>
      </c>
      <c r="L1522">
        <v>10</v>
      </c>
      <c r="M1522">
        <v>1799.76</v>
      </c>
      <c r="N1522">
        <v>0.15</v>
      </c>
      <c r="O1522">
        <v>15785.6</v>
      </c>
      <c r="P1522">
        <v>5681.65</v>
      </c>
      <c r="Q1522">
        <v>56.65</v>
      </c>
      <c r="R1522" t="s">
        <v>57</v>
      </c>
      <c r="S1522">
        <v>4</v>
      </c>
      <c r="T1522" t="b">
        <v>0</v>
      </c>
      <c r="U1522" t="s">
        <v>30</v>
      </c>
      <c r="V1522">
        <v>1</v>
      </c>
    </row>
    <row r="1523" spans="1:22" x14ac:dyDescent="0.25">
      <c r="A1523" t="s">
        <v>3537</v>
      </c>
      <c r="B1523" s="1">
        <v>44558</v>
      </c>
      <c r="C1523" t="s">
        <v>3538</v>
      </c>
      <c r="D1523" t="s">
        <v>3427</v>
      </c>
      <c r="E1523">
        <v>41</v>
      </c>
      <c r="F1523" t="str">
        <f>IF(Table1[[#This Row],[age]]&lt;=25,"18-25",IF(Table1[[#This Row],[age]]&lt;=35,"26-35",IF(Table1[[#This Row],[age]]&lt;=50,"36-50","51+")))</f>
        <v>36-50</v>
      </c>
      <c r="G1523" t="s">
        <v>54</v>
      </c>
      <c r="H1523" t="s">
        <v>69</v>
      </c>
      <c r="I1523" t="s">
        <v>181</v>
      </c>
      <c r="J1523" t="s">
        <v>101</v>
      </c>
      <c r="K1523" t="s">
        <v>102</v>
      </c>
      <c r="L1523">
        <v>8</v>
      </c>
      <c r="M1523">
        <v>6352.95</v>
      </c>
      <c r="N1523">
        <v>0.12</v>
      </c>
      <c r="O1523">
        <v>31396.560000000001</v>
      </c>
      <c r="P1523">
        <v>5551.7</v>
      </c>
      <c r="Q1523">
        <v>90.42</v>
      </c>
      <c r="R1523" t="s">
        <v>92</v>
      </c>
      <c r="S1523">
        <v>1</v>
      </c>
      <c r="T1523" t="b">
        <v>1</v>
      </c>
      <c r="U1523" t="s">
        <v>50</v>
      </c>
      <c r="V1523">
        <v>9</v>
      </c>
    </row>
    <row r="1524" spans="1:22" x14ac:dyDescent="0.25">
      <c r="A1524" t="s">
        <v>3539</v>
      </c>
      <c r="B1524" s="1">
        <v>44818</v>
      </c>
      <c r="C1524" t="s">
        <v>3540</v>
      </c>
      <c r="D1524" t="s">
        <v>1617</v>
      </c>
      <c r="E1524">
        <v>37</v>
      </c>
      <c r="F1524" t="str">
        <f>IF(Table1[[#This Row],[age]]&lt;=25,"18-25",IF(Table1[[#This Row],[age]]&lt;=35,"26-35",IF(Table1[[#This Row],[age]]&lt;=50,"36-50","51+")))</f>
        <v>36-50</v>
      </c>
      <c r="G1524" t="s">
        <v>34</v>
      </c>
      <c r="H1524" t="s">
        <v>69</v>
      </c>
      <c r="I1524" t="s">
        <v>221</v>
      </c>
      <c r="J1524" t="s">
        <v>115</v>
      </c>
      <c r="K1524" t="s">
        <v>137</v>
      </c>
      <c r="L1524">
        <v>7</v>
      </c>
      <c r="M1524">
        <v>44012.800000000003</v>
      </c>
      <c r="N1524">
        <v>0.02</v>
      </c>
      <c r="O1524">
        <v>388387</v>
      </c>
      <c r="P1524">
        <v>49485.75</v>
      </c>
      <c r="Q1524">
        <v>89.27</v>
      </c>
      <c r="R1524" t="s">
        <v>49</v>
      </c>
      <c r="S1524">
        <v>1</v>
      </c>
      <c r="T1524" t="b">
        <v>0</v>
      </c>
      <c r="U1524" t="s">
        <v>30</v>
      </c>
      <c r="V1524">
        <v>7</v>
      </c>
    </row>
    <row r="1525" spans="1:22" x14ac:dyDescent="0.25">
      <c r="A1525" t="s">
        <v>3541</v>
      </c>
      <c r="B1525" s="1">
        <v>45362</v>
      </c>
      <c r="C1525" t="s">
        <v>3542</v>
      </c>
      <c r="D1525" t="s">
        <v>2142</v>
      </c>
      <c r="E1525">
        <v>42</v>
      </c>
      <c r="F1525" t="str">
        <f>IF(Table1[[#This Row],[age]]&lt;=25,"18-25",IF(Table1[[#This Row],[age]]&lt;=35,"26-35",IF(Table1[[#This Row],[age]]&lt;=50,"36-50","51+")))</f>
        <v>36-50</v>
      </c>
      <c r="G1525" t="s">
        <v>34</v>
      </c>
      <c r="H1525" t="s">
        <v>80</v>
      </c>
      <c r="I1525" t="s">
        <v>236</v>
      </c>
      <c r="J1525" t="s">
        <v>106</v>
      </c>
      <c r="K1525" t="s">
        <v>331</v>
      </c>
      <c r="L1525">
        <v>2</v>
      </c>
      <c r="M1525">
        <v>389.26</v>
      </c>
      <c r="N1525">
        <v>0.24</v>
      </c>
      <c r="O1525">
        <v>771.78</v>
      </c>
      <c r="P1525">
        <v>80.459999999999994</v>
      </c>
      <c r="Q1525">
        <v>71.53</v>
      </c>
      <c r="R1525" t="s">
        <v>29</v>
      </c>
      <c r="S1525">
        <v>4</v>
      </c>
      <c r="T1525" t="b">
        <v>0</v>
      </c>
      <c r="U1525" t="s">
        <v>30</v>
      </c>
      <c r="V1525">
        <v>3</v>
      </c>
    </row>
    <row r="1526" spans="1:22" x14ac:dyDescent="0.25">
      <c r="A1526" t="s">
        <v>3543</v>
      </c>
      <c r="B1526" s="1">
        <v>45430</v>
      </c>
      <c r="C1526" t="s">
        <v>3544</v>
      </c>
      <c r="D1526" t="s">
        <v>1171</v>
      </c>
      <c r="E1526">
        <v>42</v>
      </c>
      <c r="F1526" t="str">
        <f>IF(Table1[[#This Row],[age]]&lt;=25,"18-25",IF(Table1[[#This Row],[age]]&lt;=35,"26-35",IF(Table1[[#This Row],[age]]&lt;=50,"36-50","51+")))</f>
        <v>36-50</v>
      </c>
      <c r="G1526" t="s">
        <v>54</v>
      </c>
      <c r="H1526" t="s">
        <v>61</v>
      </c>
      <c r="I1526" t="s">
        <v>91</v>
      </c>
      <c r="J1526" t="s">
        <v>101</v>
      </c>
      <c r="K1526" t="s">
        <v>318</v>
      </c>
      <c r="L1526">
        <v>1</v>
      </c>
      <c r="M1526">
        <v>9307.0300000000007</v>
      </c>
      <c r="N1526">
        <v>0.19</v>
      </c>
      <c r="O1526">
        <v>13905.79</v>
      </c>
      <c r="P1526">
        <v>3331.01</v>
      </c>
      <c r="Q1526">
        <v>47.05</v>
      </c>
      <c r="R1526" t="s">
        <v>43</v>
      </c>
      <c r="S1526">
        <v>2</v>
      </c>
      <c r="T1526" t="b">
        <v>0</v>
      </c>
      <c r="U1526" t="s">
        <v>30</v>
      </c>
      <c r="V1526">
        <v>1</v>
      </c>
    </row>
    <row r="1527" spans="1:22" x14ac:dyDescent="0.25">
      <c r="A1527" t="s">
        <v>3545</v>
      </c>
      <c r="B1527" s="1">
        <v>44077</v>
      </c>
      <c r="C1527" t="s">
        <v>3546</v>
      </c>
      <c r="D1527" t="s">
        <v>1538</v>
      </c>
      <c r="E1527">
        <v>27</v>
      </c>
      <c r="F1527" t="str">
        <f>IF(Table1[[#This Row],[age]]&lt;=25,"18-25",IF(Table1[[#This Row],[age]]&lt;=35,"26-35",IF(Table1[[#This Row],[age]]&lt;=50,"36-50","51+")))</f>
        <v>26-35</v>
      </c>
      <c r="G1527" t="s">
        <v>34</v>
      </c>
      <c r="H1527" t="s">
        <v>25</v>
      </c>
      <c r="I1527" t="s">
        <v>35</v>
      </c>
      <c r="J1527" t="s">
        <v>115</v>
      </c>
      <c r="K1527" t="s">
        <v>145</v>
      </c>
      <c r="L1527">
        <v>5</v>
      </c>
      <c r="M1527">
        <v>56264.15</v>
      </c>
      <c r="N1527">
        <v>0.28000000000000003</v>
      </c>
      <c r="O1527">
        <v>197944.28</v>
      </c>
      <c r="P1527">
        <v>23405.15</v>
      </c>
      <c r="Q1527">
        <v>58.56</v>
      </c>
      <c r="R1527" t="s">
        <v>57</v>
      </c>
      <c r="S1527">
        <v>4</v>
      </c>
      <c r="T1527" t="b">
        <v>0</v>
      </c>
      <c r="U1527" t="s">
        <v>30</v>
      </c>
      <c r="V1527">
        <v>8</v>
      </c>
    </row>
    <row r="1528" spans="1:22" x14ac:dyDescent="0.25">
      <c r="A1528" t="s">
        <v>3547</v>
      </c>
      <c r="B1528" s="1">
        <v>44823</v>
      </c>
      <c r="C1528" t="s">
        <v>3548</v>
      </c>
      <c r="D1528" t="s">
        <v>284</v>
      </c>
      <c r="E1528">
        <v>30</v>
      </c>
      <c r="F1528" t="str">
        <f>IF(Table1[[#This Row],[age]]&lt;=25,"18-25",IF(Table1[[#This Row],[age]]&lt;=35,"26-35",IF(Table1[[#This Row],[age]]&lt;=50,"36-50","51+")))</f>
        <v>26-35</v>
      </c>
      <c r="G1528" t="s">
        <v>24</v>
      </c>
      <c r="H1528" t="s">
        <v>69</v>
      </c>
      <c r="I1528" t="s">
        <v>70</v>
      </c>
      <c r="J1528" t="s">
        <v>115</v>
      </c>
      <c r="K1528" t="s">
        <v>145</v>
      </c>
      <c r="L1528">
        <v>8</v>
      </c>
      <c r="M1528">
        <v>32204.55</v>
      </c>
      <c r="N1528">
        <v>0.02</v>
      </c>
      <c r="O1528">
        <v>332387.03999999998</v>
      </c>
      <c r="P1528">
        <v>37369.29</v>
      </c>
      <c r="Q1528">
        <v>86.45</v>
      </c>
      <c r="R1528" t="s">
        <v>65</v>
      </c>
      <c r="S1528">
        <v>3</v>
      </c>
      <c r="T1528" t="b">
        <v>0</v>
      </c>
      <c r="U1528" t="s">
        <v>30</v>
      </c>
      <c r="V1528">
        <v>6</v>
      </c>
    </row>
    <row r="1529" spans="1:22" x14ac:dyDescent="0.25">
      <c r="A1529" t="s">
        <v>3549</v>
      </c>
      <c r="B1529" s="1">
        <v>45198</v>
      </c>
      <c r="C1529" t="s">
        <v>3550</v>
      </c>
      <c r="D1529" t="s">
        <v>1092</v>
      </c>
      <c r="E1529">
        <v>24</v>
      </c>
      <c r="F1529" t="str">
        <f>IF(Table1[[#This Row],[age]]&lt;=25,"18-25",IF(Table1[[#This Row],[age]]&lt;=35,"26-35",IF(Table1[[#This Row],[age]]&lt;=50,"36-50","51+")))</f>
        <v>18-25</v>
      </c>
      <c r="G1529" t="s">
        <v>24</v>
      </c>
      <c r="H1529" t="s">
        <v>61</v>
      </c>
      <c r="I1529" t="s">
        <v>163</v>
      </c>
      <c r="J1529" t="s">
        <v>101</v>
      </c>
      <c r="K1529" t="s">
        <v>164</v>
      </c>
      <c r="L1529">
        <v>1</v>
      </c>
      <c r="M1529">
        <v>13020.42</v>
      </c>
      <c r="N1529">
        <v>0.2</v>
      </c>
      <c r="O1529">
        <v>14018.12</v>
      </c>
      <c r="P1529">
        <v>3020.91</v>
      </c>
      <c r="Q1529">
        <v>61.72</v>
      </c>
      <c r="R1529" t="s">
        <v>43</v>
      </c>
      <c r="S1529">
        <v>2</v>
      </c>
      <c r="T1529" t="b">
        <v>0</v>
      </c>
      <c r="U1529" t="s">
        <v>30</v>
      </c>
      <c r="V1529">
        <v>1</v>
      </c>
    </row>
    <row r="1530" spans="1:22" x14ac:dyDescent="0.25">
      <c r="A1530" t="s">
        <v>3551</v>
      </c>
      <c r="B1530" s="1">
        <v>45297</v>
      </c>
      <c r="C1530" t="s">
        <v>3552</v>
      </c>
      <c r="D1530" t="s">
        <v>1630</v>
      </c>
      <c r="E1530">
        <v>43</v>
      </c>
      <c r="F1530" t="str">
        <f>IF(Table1[[#This Row],[age]]&lt;=25,"18-25",IF(Table1[[#This Row],[age]]&lt;=35,"26-35",IF(Table1[[#This Row],[age]]&lt;=50,"36-50","51+")))</f>
        <v>36-50</v>
      </c>
      <c r="G1530" t="s">
        <v>24</v>
      </c>
      <c r="H1530" t="s">
        <v>69</v>
      </c>
      <c r="I1530" t="s">
        <v>70</v>
      </c>
      <c r="J1530" t="s">
        <v>115</v>
      </c>
      <c r="K1530" t="s">
        <v>398</v>
      </c>
      <c r="L1530">
        <v>10</v>
      </c>
      <c r="M1530">
        <v>61190.11</v>
      </c>
      <c r="N1530">
        <v>0.19</v>
      </c>
      <c r="O1530">
        <v>507797.13</v>
      </c>
      <c r="P1530">
        <v>61885.87</v>
      </c>
      <c r="Q1530">
        <v>74.94</v>
      </c>
      <c r="R1530" t="s">
        <v>29</v>
      </c>
      <c r="S1530">
        <v>1</v>
      </c>
      <c r="T1530" t="b">
        <v>1</v>
      </c>
      <c r="U1530" t="s">
        <v>50</v>
      </c>
      <c r="V1530">
        <v>1</v>
      </c>
    </row>
    <row r="1531" spans="1:22" x14ac:dyDescent="0.25">
      <c r="A1531" t="s">
        <v>3553</v>
      </c>
      <c r="B1531" s="1">
        <v>45049</v>
      </c>
      <c r="C1531" t="s">
        <v>3554</v>
      </c>
      <c r="D1531" t="s">
        <v>275</v>
      </c>
      <c r="E1531">
        <v>27</v>
      </c>
      <c r="F1531" t="str">
        <f>IF(Table1[[#This Row],[age]]&lt;=25,"18-25",IF(Table1[[#This Row],[age]]&lt;=35,"26-35",IF(Table1[[#This Row],[age]]&lt;=50,"36-50","51+")))</f>
        <v>26-35</v>
      </c>
      <c r="G1531" t="s">
        <v>34</v>
      </c>
      <c r="H1531" t="s">
        <v>80</v>
      </c>
      <c r="I1531" t="s">
        <v>86</v>
      </c>
      <c r="J1531" t="s">
        <v>63</v>
      </c>
      <c r="K1531" t="s">
        <v>111</v>
      </c>
      <c r="L1531">
        <v>2</v>
      </c>
      <c r="M1531">
        <v>1416.76</v>
      </c>
      <c r="N1531">
        <v>0.08</v>
      </c>
      <c r="O1531">
        <v>3388.3</v>
      </c>
      <c r="P1531">
        <v>1544.37</v>
      </c>
      <c r="Q1531">
        <v>52.35</v>
      </c>
      <c r="R1531" t="s">
        <v>92</v>
      </c>
      <c r="S1531">
        <v>4</v>
      </c>
      <c r="T1531" t="b">
        <v>0</v>
      </c>
      <c r="U1531" t="s">
        <v>30</v>
      </c>
      <c r="V1531">
        <v>6</v>
      </c>
    </row>
    <row r="1532" spans="1:22" x14ac:dyDescent="0.25">
      <c r="A1532" t="s">
        <v>3555</v>
      </c>
      <c r="B1532" s="1">
        <v>45284</v>
      </c>
      <c r="C1532" t="s">
        <v>3556</v>
      </c>
      <c r="D1532" t="s">
        <v>3477</v>
      </c>
      <c r="E1532">
        <v>49</v>
      </c>
      <c r="F1532" t="str">
        <f>IF(Table1[[#This Row],[age]]&lt;=25,"18-25",IF(Table1[[#This Row],[age]]&lt;=35,"26-35",IF(Table1[[#This Row],[age]]&lt;=50,"36-50","51+")))</f>
        <v>36-50</v>
      </c>
      <c r="G1532" t="s">
        <v>24</v>
      </c>
      <c r="H1532" t="s">
        <v>69</v>
      </c>
      <c r="I1532" t="s">
        <v>136</v>
      </c>
      <c r="J1532" t="s">
        <v>27</v>
      </c>
      <c r="K1532" t="s">
        <v>168</v>
      </c>
      <c r="L1532">
        <v>10</v>
      </c>
      <c r="M1532">
        <v>1236.98</v>
      </c>
      <c r="N1532">
        <v>0.08</v>
      </c>
      <c r="O1532">
        <v>8816.24</v>
      </c>
      <c r="P1532">
        <v>3251.41</v>
      </c>
      <c r="Q1532">
        <v>62.69</v>
      </c>
      <c r="R1532" t="s">
        <v>65</v>
      </c>
      <c r="S1532">
        <v>2</v>
      </c>
      <c r="T1532" t="b">
        <v>0</v>
      </c>
      <c r="U1532" t="s">
        <v>71</v>
      </c>
      <c r="V1532">
        <v>9</v>
      </c>
    </row>
    <row r="1533" spans="1:22" x14ac:dyDescent="0.25">
      <c r="A1533" t="s">
        <v>3557</v>
      </c>
      <c r="B1533" s="1">
        <v>44961</v>
      </c>
      <c r="C1533" t="s">
        <v>3558</v>
      </c>
      <c r="D1533" t="s">
        <v>2598</v>
      </c>
      <c r="E1533">
        <v>30</v>
      </c>
      <c r="F1533" t="str">
        <f>IF(Table1[[#This Row],[age]]&lt;=25,"18-25",IF(Table1[[#This Row],[age]]&lt;=35,"26-35",IF(Table1[[#This Row],[age]]&lt;=50,"36-50","51+")))</f>
        <v>26-35</v>
      </c>
      <c r="G1533" t="s">
        <v>24</v>
      </c>
      <c r="H1533" t="s">
        <v>80</v>
      </c>
      <c r="I1533" t="s">
        <v>242</v>
      </c>
      <c r="J1533" t="s">
        <v>101</v>
      </c>
      <c r="K1533" t="s">
        <v>214</v>
      </c>
      <c r="L1533">
        <v>8</v>
      </c>
      <c r="M1533">
        <v>11980.53</v>
      </c>
      <c r="N1533">
        <v>0.03</v>
      </c>
      <c r="O1533">
        <v>84384.27</v>
      </c>
      <c r="P1533">
        <v>25026.93</v>
      </c>
      <c r="Q1533">
        <v>61.24</v>
      </c>
      <c r="R1533" t="s">
        <v>57</v>
      </c>
      <c r="S1533">
        <v>2</v>
      </c>
      <c r="T1533" t="b">
        <v>0</v>
      </c>
      <c r="U1533" t="s">
        <v>30</v>
      </c>
      <c r="V1533">
        <v>3</v>
      </c>
    </row>
    <row r="1534" spans="1:22" x14ac:dyDescent="0.25">
      <c r="A1534" t="s">
        <v>3559</v>
      </c>
      <c r="B1534" s="1">
        <v>44142</v>
      </c>
      <c r="C1534" t="s">
        <v>3560</v>
      </c>
      <c r="D1534" t="s">
        <v>982</v>
      </c>
      <c r="E1534">
        <v>41</v>
      </c>
      <c r="F1534" t="str">
        <f>IF(Table1[[#This Row],[age]]&lt;=25,"18-25",IF(Table1[[#This Row],[age]]&lt;=35,"26-35",IF(Table1[[#This Row],[age]]&lt;=50,"36-50","51+")))</f>
        <v>36-50</v>
      </c>
      <c r="G1534" t="s">
        <v>54</v>
      </c>
      <c r="H1534" t="s">
        <v>61</v>
      </c>
      <c r="I1534" t="s">
        <v>91</v>
      </c>
      <c r="J1534" t="s">
        <v>115</v>
      </c>
      <c r="K1534" t="s">
        <v>137</v>
      </c>
      <c r="L1534">
        <v>2</v>
      </c>
      <c r="M1534">
        <v>33488.83</v>
      </c>
      <c r="N1534">
        <v>0.15</v>
      </c>
      <c r="O1534">
        <v>43647.67</v>
      </c>
      <c r="P1534">
        <v>5482.23</v>
      </c>
      <c r="Q1534">
        <v>46.65</v>
      </c>
      <c r="R1534" t="s">
        <v>43</v>
      </c>
      <c r="S1534">
        <v>2</v>
      </c>
      <c r="T1534" t="b">
        <v>0</v>
      </c>
      <c r="U1534" t="s">
        <v>30</v>
      </c>
      <c r="V1534">
        <v>6</v>
      </c>
    </row>
    <row r="1535" spans="1:22" x14ac:dyDescent="0.25">
      <c r="A1535" t="s">
        <v>3561</v>
      </c>
      <c r="B1535" s="1">
        <v>44826</v>
      </c>
      <c r="C1535" t="s">
        <v>3562</v>
      </c>
      <c r="D1535" t="s">
        <v>1545</v>
      </c>
      <c r="E1535">
        <v>33</v>
      </c>
      <c r="F1535" t="str">
        <f>IF(Table1[[#This Row],[age]]&lt;=25,"18-25",IF(Table1[[#This Row],[age]]&lt;=35,"26-35",IF(Table1[[#This Row],[age]]&lt;=50,"36-50","51+")))</f>
        <v>26-35</v>
      </c>
      <c r="G1535" t="s">
        <v>24</v>
      </c>
      <c r="H1535" t="s">
        <v>61</v>
      </c>
      <c r="I1535" t="s">
        <v>62</v>
      </c>
      <c r="J1535" t="s">
        <v>27</v>
      </c>
      <c r="K1535" t="s">
        <v>128</v>
      </c>
      <c r="L1535">
        <v>7</v>
      </c>
      <c r="M1535">
        <v>437.18</v>
      </c>
      <c r="N1535">
        <v>0.02</v>
      </c>
      <c r="O1535">
        <v>3874.82</v>
      </c>
      <c r="P1535">
        <v>1697.95</v>
      </c>
      <c r="Q1535">
        <v>54.03</v>
      </c>
      <c r="R1535" t="s">
        <v>49</v>
      </c>
      <c r="S1535">
        <v>2</v>
      </c>
      <c r="T1535" t="b">
        <v>0</v>
      </c>
      <c r="U1535" t="s">
        <v>30</v>
      </c>
      <c r="V1535">
        <v>8</v>
      </c>
    </row>
    <row r="1536" spans="1:22" x14ac:dyDescent="0.25">
      <c r="A1536" t="s">
        <v>3563</v>
      </c>
      <c r="B1536" s="1">
        <v>44850</v>
      </c>
      <c r="C1536" t="s">
        <v>3564</v>
      </c>
      <c r="D1536" t="s">
        <v>2405</v>
      </c>
      <c r="E1536">
        <v>34</v>
      </c>
      <c r="F1536" t="str">
        <f>IF(Table1[[#This Row],[age]]&lt;=25,"18-25",IF(Table1[[#This Row],[age]]&lt;=35,"26-35",IF(Table1[[#This Row],[age]]&lt;=50,"36-50","51+")))</f>
        <v>26-35</v>
      </c>
      <c r="G1536" t="s">
        <v>34</v>
      </c>
      <c r="H1536" t="s">
        <v>80</v>
      </c>
      <c r="I1536" t="s">
        <v>81</v>
      </c>
      <c r="J1536" t="s">
        <v>47</v>
      </c>
      <c r="K1536" t="s">
        <v>48</v>
      </c>
      <c r="L1536">
        <v>7</v>
      </c>
      <c r="M1536">
        <v>1297.73</v>
      </c>
      <c r="N1536">
        <v>0.09</v>
      </c>
      <c r="O1536">
        <v>8533.6299999999992</v>
      </c>
      <c r="P1536">
        <v>3189.67</v>
      </c>
      <c r="Q1536">
        <v>93.17</v>
      </c>
      <c r="R1536" t="s">
        <v>65</v>
      </c>
      <c r="S1536">
        <v>3</v>
      </c>
      <c r="T1536" t="b">
        <v>0</v>
      </c>
      <c r="U1536" t="s">
        <v>30</v>
      </c>
      <c r="V1536">
        <v>5</v>
      </c>
    </row>
    <row r="1537" spans="1:22" x14ac:dyDescent="0.25">
      <c r="A1537" t="s">
        <v>3565</v>
      </c>
      <c r="B1537" s="1">
        <v>45131</v>
      </c>
      <c r="C1537" t="s">
        <v>3566</v>
      </c>
      <c r="D1537" t="s">
        <v>805</v>
      </c>
      <c r="E1537">
        <v>30</v>
      </c>
      <c r="F1537" t="str">
        <f>IF(Table1[[#This Row],[age]]&lt;=25,"18-25",IF(Table1[[#This Row],[age]]&lt;=35,"26-35",IF(Table1[[#This Row],[age]]&lt;=50,"36-50","51+")))</f>
        <v>26-35</v>
      </c>
      <c r="G1537" t="s">
        <v>34</v>
      </c>
      <c r="H1537" t="s">
        <v>69</v>
      </c>
      <c r="I1537" t="s">
        <v>181</v>
      </c>
      <c r="J1537" t="s">
        <v>47</v>
      </c>
      <c r="K1537" t="s">
        <v>204</v>
      </c>
      <c r="L1537">
        <v>7</v>
      </c>
      <c r="M1537">
        <v>748.66</v>
      </c>
      <c r="N1537">
        <v>0.03</v>
      </c>
      <c r="O1537">
        <v>7011.74</v>
      </c>
      <c r="P1537">
        <v>2220.64</v>
      </c>
      <c r="Q1537">
        <v>86.38</v>
      </c>
      <c r="R1537" t="s">
        <v>65</v>
      </c>
      <c r="S1537">
        <v>4</v>
      </c>
      <c r="T1537" t="b">
        <v>0</v>
      </c>
      <c r="U1537" t="s">
        <v>30</v>
      </c>
      <c r="V1537">
        <v>7</v>
      </c>
    </row>
    <row r="1538" spans="1:22" x14ac:dyDescent="0.25">
      <c r="A1538" t="s">
        <v>3567</v>
      </c>
      <c r="B1538" s="1">
        <v>45436</v>
      </c>
      <c r="C1538" t="s">
        <v>3568</v>
      </c>
      <c r="D1538" t="s">
        <v>1074</v>
      </c>
      <c r="E1538">
        <v>22</v>
      </c>
      <c r="F1538" t="str">
        <f>IF(Table1[[#This Row],[age]]&lt;=25,"18-25",IF(Table1[[#This Row],[age]]&lt;=35,"26-35",IF(Table1[[#This Row],[age]]&lt;=50,"36-50","51+")))</f>
        <v>18-25</v>
      </c>
      <c r="G1538" t="s">
        <v>34</v>
      </c>
      <c r="H1538" t="s">
        <v>61</v>
      </c>
      <c r="I1538" t="s">
        <v>62</v>
      </c>
      <c r="J1538" t="s">
        <v>36</v>
      </c>
      <c r="K1538" t="s">
        <v>230</v>
      </c>
      <c r="L1538">
        <v>1</v>
      </c>
      <c r="M1538">
        <v>24499.78</v>
      </c>
      <c r="N1538">
        <v>0.05</v>
      </c>
      <c r="O1538">
        <v>38719.410000000003</v>
      </c>
      <c r="P1538">
        <v>9078.7900000000009</v>
      </c>
      <c r="Q1538">
        <v>41.62</v>
      </c>
      <c r="R1538" t="s">
        <v>49</v>
      </c>
      <c r="S1538">
        <v>3</v>
      </c>
      <c r="T1538" t="b">
        <v>0</v>
      </c>
      <c r="U1538" t="s">
        <v>30</v>
      </c>
      <c r="V1538">
        <v>8</v>
      </c>
    </row>
    <row r="1539" spans="1:22" x14ac:dyDescent="0.25">
      <c r="A1539" t="s">
        <v>3569</v>
      </c>
      <c r="B1539" s="1">
        <v>44160</v>
      </c>
      <c r="C1539" t="s">
        <v>3570</v>
      </c>
      <c r="D1539" t="s">
        <v>271</v>
      </c>
      <c r="E1539">
        <v>61</v>
      </c>
      <c r="F1539" t="str">
        <f>IF(Table1[[#This Row],[age]]&lt;=25,"18-25",IF(Table1[[#This Row],[age]]&lt;=35,"26-35",IF(Table1[[#This Row],[age]]&lt;=50,"36-50","51+")))</f>
        <v>51+</v>
      </c>
      <c r="G1539" t="s">
        <v>24</v>
      </c>
      <c r="H1539" t="s">
        <v>61</v>
      </c>
      <c r="I1539" t="s">
        <v>91</v>
      </c>
      <c r="J1539" t="s">
        <v>106</v>
      </c>
      <c r="K1539" t="s">
        <v>314</v>
      </c>
      <c r="L1539">
        <v>8</v>
      </c>
      <c r="M1539">
        <v>463.67</v>
      </c>
      <c r="N1539">
        <v>0.39</v>
      </c>
      <c r="O1539">
        <v>1629.41</v>
      </c>
      <c r="P1539">
        <v>107.01</v>
      </c>
      <c r="Q1539">
        <v>45.72</v>
      </c>
      <c r="R1539" t="s">
        <v>92</v>
      </c>
      <c r="S1539">
        <v>3</v>
      </c>
      <c r="T1539" t="b">
        <v>0</v>
      </c>
      <c r="U1539" t="s">
        <v>30</v>
      </c>
      <c r="V1539">
        <v>10</v>
      </c>
    </row>
    <row r="1540" spans="1:22" x14ac:dyDescent="0.25">
      <c r="A1540" t="s">
        <v>3571</v>
      </c>
      <c r="B1540" s="1">
        <v>44134</v>
      </c>
      <c r="C1540" t="s">
        <v>3572</v>
      </c>
      <c r="D1540" t="s">
        <v>1436</v>
      </c>
      <c r="E1540">
        <v>18</v>
      </c>
      <c r="F1540" t="str">
        <f>IF(Table1[[#This Row],[age]]&lt;=25,"18-25",IF(Table1[[#This Row],[age]]&lt;=35,"26-35",IF(Table1[[#This Row],[age]]&lt;=50,"36-50","51+")))</f>
        <v>18-25</v>
      </c>
      <c r="G1540" t="s">
        <v>54</v>
      </c>
      <c r="H1540" t="s">
        <v>55</v>
      </c>
      <c r="I1540" t="s">
        <v>97</v>
      </c>
      <c r="J1540" t="s">
        <v>36</v>
      </c>
      <c r="K1540" t="s">
        <v>132</v>
      </c>
      <c r="L1540">
        <v>9</v>
      </c>
      <c r="M1540">
        <v>33383.42</v>
      </c>
      <c r="N1540">
        <v>0.18</v>
      </c>
      <c r="O1540">
        <v>235297.53</v>
      </c>
      <c r="P1540">
        <v>79526.38</v>
      </c>
      <c r="Q1540">
        <v>58.3</v>
      </c>
      <c r="R1540" t="s">
        <v>65</v>
      </c>
      <c r="S1540">
        <v>2</v>
      </c>
      <c r="T1540" t="b">
        <v>0</v>
      </c>
      <c r="U1540" t="s">
        <v>30</v>
      </c>
      <c r="V1540">
        <v>3</v>
      </c>
    </row>
    <row r="1541" spans="1:22" x14ac:dyDescent="0.25">
      <c r="A1541" t="s">
        <v>3573</v>
      </c>
      <c r="B1541" s="1">
        <v>45271</v>
      </c>
      <c r="C1541" t="s">
        <v>3574</v>
      </c>
      <c r="D1541" t="s">
        <v>1901</v>
      </c>
      <c r="E1541">
        <v>19</v>
      </c>
      <c r="F1541" t="str">
        <f>IF(Table1[[#This Row],[age]]&lt;=25,"18-25",IF(Table1[[#This Row],[age]]&lt;=35,"26-35",IF(Table1[[#This Row],[age]]&lt;=50,"36-50","51+")))</f>
        <v>18-25</v>
      </c>
      <c r="G1541" t="s">
        <v>34</v>
      </c>
      <c r="H1541" t="s">
        <v>61</v>
      </c>
      <c r="I1541" t="s">
        <v>163</v>
      </c>
      <c r="J1541" t="s">
        <v>63</v>
      </c>
      <c r="K1541" t="s">
        <v>87</v>
      </c>
      <c r="L1541">
        <v>2</v>
      </c>
      <c r="M1541">
        <v>350.76</v>
      </c>
      <c r="N1541">
        <v>0.26</v>
      </c>
      <c r="O1541">
        <v>437.15</v>
      </c>
      <c r="P1541">
        <v>113.04</v>
      </c>
      <c r="Q1541">
        <v>72.77</v>
      </c>
      <c r="R1541" t="s">
        <v>57</v>
      </c>
      <c r="S1541">
        <v>2</v>
      </c>
      <c r="T1541" t="b">
        <v>0</v>
      </c>
      <c r="U1541" t="s">
        <v>71</v>
      </c>
      <c r="V1541">
        <v>9</v>
      </c>
    </row>
    <row r="1542" spans="1:22" x14ac:dyDescent="0.25">
      <c r="A1542" t="s">
        <v>3575</v>
      </c>
      <c r="B1542" s="1">
        <v>44960</v>
      </c>
      <c r="C1542" t="s">
        <v>3576</v>
      </c>
      <c r="D1542" t="s">
        <v>1401</v>
      </c>
      <c r="E1542">
        <v>34</v>
      </c>
      <c r="F1542" t="str">
        <f>IF(Table1[[#This Row],[age]]&lt;=25,"18-25",IF(Table1[[#This Row],[age]]&lt;=35,"26-35",IF(Table1[[#This Row],[age]]&lt;=50,"36-50","51+")))</f>
        <v>26-35</v>
      </c>
      <c r="G1542" t="s">
        <v>34</v>
      </c>
      <c r="H1542" t="s">
        <v>55</v>
      </c>
      <c r="I1542" t="s">
        <v>97</v>
      </c>
      <c r="J1542" t="s">
        <v>63</v>
      </c>
      <c r="K1542" t="s">
        <v>82</v>
      </c>
      <c r="L1542">
        <v>5</v>
      </c>
      <c r="M1542">
        <v>3467.44</v>
      </c>
      <c r="N1542">
        <v>0.22</v>
      </c>
      <c r="O1542">
        <v>15431.87</v>
      </c>
      <c r="P1542">
        <v>4362.76</v>
      </c>
      <c r="Q1542">
        <v>70.28</v>
      </c>
      <c r="R1542" t="s">
        <v>57</v>
      </c>
      <c r="S1542">
        <v>1</v>
      </c>
      <c r="T1542" t="b">
        <v>0</v>
      </c>
      <c r="U1542" t="s">
        <v>30</v>
      </c>
      <c r="V1542">
        <v>1</v>
      </c>
    </row>
    <row r="1543" spans="1:22" x14ac:dyDescent="0.25">
      <c r="A1543" t="s">
        <v>3577</v>
      </c>
      <c r="B1543" s="1">
        <v>44285</v>
      </c>
      <c r="C1543" t="s">
        <v>3578</v>
      </c>
      <c r="D1543" t="s">
        <v>1129</v>
      </c>
      <c r="E1543">
        <v>39</v>
      </c>
      <c r="F1543" t="str">
        <f>IF(Table1[[#This Row],[age]]&lt;=25,"18-25",IF(Table1[[#This Row],[age]]&lt;=35,"26-35",IF(Table1[[#This Row],[age]]&lt;=50,"36-50","51+")))</f>
        <v>36-50</v>
      </c>
      <c r="G1543" t="s">
        <v>24</v>
      </c>
      <c r="H1543" t="s">
        <v>80</v>
      </c>
      <c r="I1543" t="s">
        <v>86</v>
      </c>
      <c r="J1543" t="s">
        <v>106</v>
      </c>
      <c r="K1543" t="s">
        <v>188</v>
      </c>
      <c r="L1543">
        <v>3</v>
      </c>
      <c r="M1543">
        <v>105.18</v>
      </c>
      <c r="N1543">
        <v>0.02</v>
      </c>
      <c r="O1543">
        <v>322.97000000000003</v>
      </c>
      <c r="P1543">
        <v>31.12</v>
      </c>
      <c r="Q1543">
        <v>57.45</v>
      </c>
      <c r="R1543" t="s">
        <v>92</v>
      </c>
      <c r="S1543">
        <v>5</v>
      </c>
      <c r="T1543" t="b">
        <v>0</v>
      </c>
      <c r="U1543" t="s">
        <v>30</v>
      </c>
      <c r="V1543">
        <v>8</v>
      </c>
    </row>
    <row r="1544" spans="1:22" x14ac:dyDescent="0.25">
      <c r="A1544" t="s">
        <v>3579</v>
      </c>
      <c r="B1544" s="1">
        <v>45495</v>
      </c>
      <c r="C1544" t="s">
        <v>3580</v>
      </c>
      <c r="D1544" t="s">
        <v>1362</v>
      </c>
      <c r="E1544">
        <v>44</v>
      </c>
      <c r="F1544" t="str">
        <f>IF(Table1[[#This Row],[age]]&lt;=25,"18-25",IF(Table1[[#This Row],[age]]&lt;=35,"26-35",IF(Table1[[#This Row],[age]]&lt;=50,"36-50","51+")))</f>
        <v>36-50</v>
      </c>
      <c r="G1544" t="s">
        <v>24</v>
      </c>
      <c r="H1544" t="s">
        <v>61</v>
      </c>
      <c r="I1544" t="s">
        <v>62</v>
      </c>
      <c r="J1544" t="s">
        <v>27</v>
      </c>
      <c r="K1544" t="s">
        <v>480</v>
      </c>
      <c r="L1544">
        <v>4</v>
      </c>
      <c r="M1544">
        <v>467.13</v>
      </c>
      <c r="N1544">
        <v>0.35</v>
      </c>
      <c r="O1544">
        <v>2125.39</v>
      </c>
      <c r="P1544">
        <v>857.43</v>
      </c>
      <c r="Q1544">
        <v>18.28</v>
      </c>
      <c r="R1544" t="s">
        <v>65</v>
      </c>
      <c r="S1544">
        <v>4</v>
      </c>
      <c r="T1544" t="b">
        <v>0</v>
      </c>
      <c r="U1544" t="s">
        <v>93</v>
      </c>
      <c r="V1544">
        <v>3</v>
      </c>
    </row>
    <row r="1545" spans="1:22" x14ac:dyDescent="0.25">
      <c r="A1545" t="s">
        <v>3581</v>
      </c>
      <c r="B1545" s="1">
        <v>45339</v>
      </c>
      <c r="C1545" t="s">
        <v>3582</v>
      </c>
      <c r="D1545" t="s">
        <v>551</v>
      </c>
      <c r="E1545">
        <v>36</v>
      </c>
      <c r="F1545" t="str">
        <f>IF(Table1[[#This Row],[age]]&lt;=25,"18-25",IF(Table1[[#This Row],[age]]&lt;=35,"26-35",IF(Table1[[#This Row],[age]]&lt;=50,"36-50","51+")))</f>
        <v>36-50</v>
      </c>
      <c r="G1545" t="s">
        <v>24</v>
      </c>
      <c r="H1545" t="s">
        <v>80</v>
      </c>
      <c r="I1545" t="s">
        <v>242</v>
      </c>
      <c r="J1545" t="s">
        <v>101</v>
      </c>
      <c r="K1545" t="s">
        <v>124</v>
      </c>
      <c r="L1545">
        <v>8</v>
      </c>
      <c r="M1545">
        <v>10455.969999999999</v>
      </c>
      <c r="N1545">
        <v>0.38</v>
      </c>
      <c r="O1545">
        <v>58029.61</v>
      </c>
      <c r="P1545">
        <v>11501.7</v>
      </c>
      <c r="Q1545">
        <v>55.15</v>
      </c>
      <c r="R1545" t="s">
        <v>57</v>
      </c>
      <c r="S1545">
        <v>2</v>
      </c>
      <c r="T1545" t="b">
        <v>0</v>
      </c>
      <c r="U1545" t="s">
        <v>30</v>
      </c>
      <c r="V1545">
        <v>10</v>
      </c>
    </row>
    <row r="1546" spans="1:22" x14ac:dyDescent="0.25">
      <c r="A1546" t="s">
        <v>3583</v>
      </c>
      <c r="B1546" s="1">
        <v>44877</v>
      </c>
      <c r="C1546" t="s">
        <v>3584</v>
      </c>
      <c r="D1546" t="s">
        <v>626</v>
      </c>
      <c r="E1546">
        <v>42</v>
      </c>
      <c r="F1546" t="str">
        <f>IF(Table1[[#This Row],[age]]&lt;=25,"18-25",IF(Table1[[#This Row],[age]]&lt;=35,"26-35",IF(Table1[[#This Row],[age]]&lt;=50,"36-50","51+")))</f>
        <v>36-50</v>
      </c>
      <c r="G1546" t="s">
        <v>24</v>
      </c>
      <c r="H1546" t="s">
        <v>80</v>
      </c>
      <c r="I1546" t="s">
        <v>236</v>
      </c>
      <c r="J1546" t="s">
        <v>115</v>
      </c>
      <c r="K1546" t="s">
        <v>545</v>
      </c>
      <c r="L1546">
        <v>4</v>
      </c>
      <c r="M1546">
        <v>76493.84</v>
      </c>
      <c r="N1546">
        <v>0.09</v>
      </c>
      <c r="O1546">
        <v>272766.46000000002</v>
      </c>
      <c r="P1546">
        <v>29631.74</v>
      </c>
      <c r="Q1546">
        <v>60.2</v>
      </c>
      <c r="R1546" t="s">
        <v>49</v>
      </c>
      <c r="S1546">
        <v>4</v>
      </c>
      <c r="T1546" t="b">
        <v>0</v>
      </c>
      <c r="U1546" t="s">
        <v>30</v>
      </c>
      <c r="V1546">
        <v>3</v>
      </c>
    </row>
    <row r="1547" spans="1:22" x14ac:dyDescent="0.25">
      <c r="A1547" t="s">
        <v>3585</v>
      </c>
      <c r="B1547" s="1">
        <v>43851</v>
      </c>
      <c r="C1547" t="s">
        <v>3586</v>
      </c>
      <c r="D1547" t="s">
        <v>862</v>
      </c>
      <c r="E1547">
        <v>37</v>
      </c>
      <c r="F1547" t="str">
        <f>IF(Table1[[#This Row],[age]]&lt;=25,"18-25",IF(Table1[[#This Row],[age]]&lt;=35,"26-35",IF(Table1[[#This Row],[age]]&lt;=50,"36-50","51+")))</f>
        <v>36-50</v>
      </c>
      <c r="G1547" t="s">
        <v>34</v>
      </c>
      <c r="H1547" t="s">
        <v>69</v>
      </c>
      <c r="I1547" t="s">
        <v>136</v>
      </c>
      <c r="J1547" t="s">
        <v>36</v>
      </c>
      <c r="K1547" t="s">
        <v>243</v>
      </c>
      <c r="L1547">
        <v>5</v>
      </c>
      <c r="M1547">
        <v>27804.49</v>
      </c>
      <c r="N1547">
        <v>0.3</v>
      </c>
      <c r="O1547">
        <v>77191.05</v>
      </c>
      <c r="P1547">
        <v>24198.91</v>
      </c>
      <c r="Q1547">
        <v>77.819999999999993</v>
      </c>
      <c r="R1547" t="s">
        <v>65</v>
      </c>
      <c r="S1547">
        <v>3</v>
      </c>
      <c r="T1547" t="b">
        <v>0</v>
      </c>
      <c r="U1547" t="s">
        <v>30</v>
      </c>
      <c r="V1547">
        <v>4</v>
      </c>
    </row>
    <row r="1548" spans="1:22" x14ac:dyDescent="0.25">
      <c r="A1548" t="s">
        <v>3587</v>
      </c>
      <c r="B1548" s="1">
        <v>45019</v>
      </c>
      <c r="C1548" t="s">
        <v>3588</v>
      </c>
      <c r="D1548" t="s">
        <v>702</v>
      </c>
      <c r="E1548">
        <v>51</v>
      </c>
      <c r="F1548" t="str">
        <f>IF(Table1[[#This Row],[age]]&lt;=25,"18-25",IF(Table1[[#This Row],[age]]&lt;=35,"26-35",IF(Table1[[#This Row],[age]]&lt;=50,"36-50","51+")))</f>
        <v>51+</v>
      </c>
      <c r="G1548" t="s">
        <v>24</v>
      </c>
      <c r="H1548" t="s">
        <v>25</v>
      </c>
      <c r="I1548" t="s">
        <v>41</v>
      </c>
      <c r="J1548" t="s">
        <v>36</v>
      </c>
      <c r="K1548" t="s">
        <v>76</v>
      </c>
      <c r="L1548">
        <v>7</v>
      </c>
      <c r="M1548">
        <v>9306.42</v>
      </c>
      <c r="N1548">
        <v>0.37</v>
      </c>
      <c r="O1548">
        <v>66850.759999999995</v>
      </c>
      <c r="P1548">
        <v>15497.67</v>
      </c>
      <c r="Q1548">
        <v>63.06</v>
      </c>
      <c r="R1548" t="s">
        <v>29</v>
      </c>
      <c r="S1548">
        <v>4</v>
      </c>
      <c r="T1548" t="b">
        <v>1</v>
      </c>
      <c r="U1548" t="s">
        <v>50</v>
      </c>
      <c r="V1548">
        <v>4</v>
      </c>
    </row>
    <row r="1549" spans="1:22" x14ac:dyDescent="0.25">
      <c r="A1549" t="s">
        <v>3589</v>
      </c>
      <c r="B1549" s="1">
        <v>45484</v>
      </c>
      <c r="C1549" t="s">
        <v>3590</v>
      </c>
      <c r="D1549" t="s">
        <v>1126</v>
      </c>
      <c r="E1549">
        <v>40</v>
      </c>
      <c r="F1549" t="str">
        <f>IF(Table1[[#This Row],[age]]&lt;=25,"18-25",IF(Table1[[#This Row],[age]]&lt;=35,"26-35",IF(Table1[[#This Row],[age]]&lt;=50,"36-50","51+")))</f>
        <v>36-50</v>
      </c>
      <c r="G1549" t="s">
        <v>34</v>
      </c>
      <c r="H1549" t="s">
        <v>80</v>
      </c>
      <c r="I1549" t="s">
        <v>86</v>
      </c>
      <c r="J1549" t="s">
        <v>115</v>
      </c>
      <c r="K1549" t="s">
        <v>398</v>
      </c>
      <c r="L1549">
        <v>5</v>
      </c>
      <c r="M1549">
        <v>14932.93</v>
      </c>
      <c r="N1549">
        <v>0.35</v>
      </c>
      <c r="O1549">
        <v>77317.66</v>
      </c>
      <c r="P1549">
        <v>5613.46</v>
      </c>
      <c r="Q1549">
        <v>85.87</v>
      </c>
      <c r="R1549" t="s">
        <v>65</v>
      </c>
      <c r="S1549">
        <v>2</v>
      </c>
      <c r="T1549" t="b">
        <v>0</v>
      </c>
      <c r="U1549" t="s">
        <v>30</v>
      </c>
      <c r="V1549">
        <v>9</v>
      </c>
    </row>
    <row r="1550" spans="1:22" x14ac:dyDescent="0.25">
      <c r="A1550" t="s">
        <v>3591</v>
      </c>
      <c r="B1550" s="1">
        <v>44956</v>
      </c>
      <c r="C1550" t="s">
        <v>3592</v>
      </c>
      <c r="D1550" t="s">
        <v>301</v>
      </c>
      <c r="E1550">
        <v>39</v>
      </c>
      <c r="F1550" t="str">
        <f>IF(Table1[[#This Row],[age]]&lt;=25,"18-25",IF(Table1[[#This Row],[age]]&lt;=35,"26-35",IF(Table1[[#This Row],[age]]&lt;=50,"36-50","51+")))</f>
        <v>36-50</v>
      </c>
      <c r="G1550" t="s">
        <v>34</v>
      </c>
      <c r="H1550" t="s">
        <v>69</v>
      </c>
      <c r="I1550" t="s">
        <v>136</v>
      </c>
      <c r="J1550" t="s">
        <v>106</v>
      </c>
      <c r="K1550" t="s">
        <v>188</v>
      </c>
      <c r="L1550">
        <v>6</v>
      </c>
      <c r="M1550">
        <v>253.83</v>
      </c>
      <c r="N1550">
        <v>0.19</v>
      </c>
      <c r="O1550">
        <v>1077.3399999999999</v>
      </c>
      <c r="P1550">
        <v>92.56</v>
      </c>
      <c r="Q1550">
        <v>70.48</v>
      </c>
      <c r="R1550" t="s">
        <v>65</v>
      </c>
      <c r="S1550">
        <v>2</v>
      </c>
      <c r="T1550" t="b">
        <v>0</v>
      </c>
      <c r="U1550" t="s">
        <v>93</v>
      </c>
      <c r="V1550">
        <v>1</v>
      </c>
    </row>
    <row r="1551" spans="1:22" x14ac:dyDescent="0.25">
      <c r="A1551" t="s">
        <v>3593</v>
      </c>
      <c r="B1551" s="1">
        <v>45404</v>
      </c>
      <c r="C1551" t="s">
        <v>3594</v>
      </c>
      <c r="D1551" t="s">
        <v>2439</v>
      </c>
      <c r="E1551">
        <v>38</v>
      </c>
      <c r="F1551" t="str">
        <f>IF(Table1[[#This Row],[age]]&lt;=25,"18-25",IF(Table1[[#This Row],[age]]&lt;=35,"26-35",IF(Table1[[#This Row],[age]]&lt;=50,"36-50","51+")))</f>
        <v>36-50</v>
      </c>
      <c r="G1551" t="s">
        <v>54</v>
      </c>
      <c r="H1551" t="s">
        <v>80</v>
      </c>
      <c r="I1551" t="s">
        <v>242</v>
      </c>
      <c r="J1551" t="s">
        <v>63</v>
      </c>
      <c r="K1551" t="s">
        <v>111</v>
      </c>
      <c r="L1551">
        <v>3</v>
      </c>
      <c r="M1551">
        <v>1489.86</v>
      </c>
      <c r="N1551">
        <v>0.2</v>
      </c>
      <c r="O1551">
        <v>4679.3100000000004</v>
      </c>
      <c r="P1551">
        <v>2296.34</v>
      </c>
      <c r="Q1551">
        <v>74.38</v>
      </c>
      <c r="R1551" t="s">
        <v>49</v>
      </c>
      <c r="S1551">
        <v>1</v>
      </c>
      <c r="T1551" t="b">
        <v>0</v>
      </c>
      <c r="U1551" t="s">
        <v>71</v>
      </c>
      <c r="V1551">
        <v>10</v>
      </c>
    </row>
    <row r="1552" spans="1:22" x14ac:dyDescent="0.25">
      <c r="A1552" t="s">
        <v>3595</v>
      </c>
      <c r="B1552" s="1">
        <v>45349</v>
      </c>
      <c r="C1552" t="s">
        <v>3596</v>
      </c>
      <c r="D1552" t="s">
        <v>985</v>
      </c>
      <c r="E1552">
        <v>41</v>
      </c>
      <c r="F1552" t="str">
        <f>IF(Table1[[#This Row],[age]]&lt;=25,"18-25",IF(Table1[[#This Row],[age]]&lt;=35,"26-35",IF(Table1[[#This Row],[age]]&lt;=50,"36-50","51+")))</f>
        <v>36-50</v>
      </c>
      <c r="G1552" t="s">
        <v>34</v>
      </c>
      <c r="H1552" t="s">
        <v>80</v>
      </c>
      <c r="I1552" t="s">
        <v>86</v>
      </c>
      <c r="J1552" t="s">
        <v>47</v>
      </c>
      <c r="K1552" t="s">
        <v>204</v>
      </c>
      <c r="L1552">
        <v>6</v>
      </c>
      <c r="M1552">
        <v>1461.81</v>
      </c>
      <c r="N1552">
        <v>0.04</v>
      </c>
      <c r="O1552">
        <v>9112.7099999999991</v>
      </c>
      <c r="P1552">
        <v>3389.16</v>
      </c>
      <c r="Q1552">
        <v>67.03</v>
      </c>
      <c r="R1552" t="s">
        <v>29</v>
      </c>
      <c r="S1552">
        <v>3</v>
      </c>
      <c r="T1552" t="b">
        <v>0</v>
      </c>
      <c r="U1552" t="s">
        <v>30</v>
      </c>
      <c r="V1552">
        <v>4</v>
      </c>
    </row>
    <row r="1553" spans="1:22" x14ac:dyDescent="0.25">
      <c r="A1553" t="s">
        <v>3597</v>
      </c>
      <c r="B1553" s="1">
        <v>45199</v>
      </c>
      <c r="C1553" t="s">
        <v>3598</v>
      </c>
      <c r="D1553" t="s">
        <v>1178</v>
      </c>
      <c r="E1553">
        <v>36</v>
      </c>
      <c r="F1553" t="str">
        <f>IF(Table1[[#This Row],[age]]&lt;=25,"18-25",IF(Table1[[#This Row],[age]]&lt;=35,"26-35",IF(Table1[[#This Row],[age]]&lt;=50,"36-50","51+")))</f>
        <v>36-50</v>
      </c>
      <c r="G1553" t="s">
        <v>34</v>
      </c>
      <c r="H1553" t="s">
        <v>80</v>
      </c>
      <c r="I1553" t="s">
        <v>86</v>
      </c>
      <c r="J1553" t="s">
        <v>106</v>
      </c>
      <c r="K1553" t="s">
        <v>188</v>
      </c>
      <c r="L1553">
        <v>2</v>
      </c>
      <c r="M1553">
        <v>384.04</v>
      </c>
      <c r="N1553">
        <v>0.03</v>
      </c>
      <c r="O1553">
        <v>819.11</v>
      </c>
      <c r="P1553">
        <v>70.23</v>
      </c>
      <c r="Q1553">
        <v>67.84</v>
      </c>
      <c r="R1553" t="s">
        <v>65</v>
      </c>
      <c r="S1553">
        <v>2</v>
      </c>
      <c r="T1553" t="b">
        <v>0</v>
      </c>
      <c r="U1553" t="s">
        <v>30</v>
      </c>
      <c r="V1553">
        <v>5</v>
      </c>
    </row>
    <row r="1554" spans="1:22" x14ac:dyDescent="0.25">
      <c r="A1554" t="s">
        <v>3599</v>
      </c>
      <c r="B1554" s="1">
        <v>44367</v>
      </c>
      <c r="C1554" t="s">
        <v>3600</v>
      </c>
      <c r="D1554" t="s">
        <v>246</v>
      </c>
      <c r="E1554">
        <v>28</v>
      </c>
      <c r="F1554" t="str">
        <f>IF(Table1[[#This Row],[age]]&lt;=25,"18-25",IF(Table1[[#This Row],[age]]&lt;=35,"26-35",IF(Table1[[#This Row],[age]]&lt;=50,"36-50","51+")))</f>
        <v>26-35</v>
      </c>
      <c r="G1554" t="s">
        <v>54</v>
      </c>
      <c r="H1554" t="s">
        <v>69</v>
      </c>
      <c r="I1554" t="s">
        <v>136</v>
      </c>
      <c r="J1554" t="s">
        <v>36</v>
      </c>
      <c r="K1554" t="s">
        <v>42</v>
      </c>
      <c r="L1554">
        <v>10</v>
      </c>
      <c r="M1554">
        <v>8582.4</v>
      </c>
      <c r="N1554">
        <v>0.22</v>
      </c>
      <c r="O1554">
        <v>82620.44</v>
      </c>
      <c r="P1554">
        <v>29287.56</v>
      </c>
      <c r="Q1554">
        <v>68.430000000000007</v>
      </c>
      <c r="R1554" t="s">
        <v>43</v>
      </c>
      <c r="S1554">
        <v>4</v>
      </c>
      <c r="T1554" t="b">
        <v>0</v>
      </c>
      <c r="U1554" t="s">
        <v>30</v>
      </c>
      <c r="V1554">
        <v>8</v>
      </c>
    </row>
    <row r="1555" spans="1:22" x14ac:dyDescent="0.25">
      <c r="A1555" t="s">
        <v>3601</v>
      </c>
      <c r="B1555" s="1">
        <v>45078</v>
      </c>
      <c r="C1555" t="s">
        <v>3602</v>
      </c>
      <c r="D1555" t="s">
        <v>1365</v>
      </c>
      <c r="E1555">
        <v>50</v>
      </c>
      <c r="F1555" t="str">
        <f>IF(Table1[[#This Row],[age]]&lt;=25,"18-25",IF(Table1[[#This Row],[age]]&lt;=35,"26-35",IF(Table1[[#This Row],[age]]&lt;=50,"36-50","51+")))</f>
        <v>36-50</v>
      </c>
      <c r="G1555" t="s">
        <v>34</v>
      </c>
      <c r="H1555" t="s">
        <v>80</v>
      </c>
      <c r="I1555" t="s">
        <v>81</v>
      </c>
      <c r="J1555" t="s">
        <v>47</v>
      </c>
      <c r="K1555" t="s">
        <v>272</v>
      </c>
      <c r="L1555">
        <v>1</v>
      </c>
      <c r="M1555">
        <v>430.84</v>
      </c>
      <c r="N1555">
        <v>0.37</v>
      </c>
      <c r="O1555">
        <v>479.27</v>
      </c>
      <c r="P1555">
        <v>212.94</v>
      </c>
      <c r="Q1555">
        <v>47.32</v>
      </c>
      <c r="R1555" t="s">
        <v>65</v>
      </c>
      <c r="S1555">
        <v>2</v>
      </c>
      <c r="T1555" t="b">
        <v>0</v>
      </c>
      <c r="U1555" t="s">
        <v>30</v>
      </c>
      <c r="V1555">
        <v>7</v>
      </c>
    </row>
    <row r="1556" spans="1:22" x14ac:dyDescent="0.25">
      <c r="A1556" t="s">
        <v>3603</v>
      </c>
      <c r="B1556" s="1">
        <v>44666</v>
      </c>
      <c r="C1556" t="s">
        <v>3604</v>
      </c>
      <c r="D1556" t="s">
        <v>743</v>
      </c>
      <c r="E1556">
        <v>40</v>
      </c>
      <c r="F1556" t="str">
        <f>IF(Table1[[#This Row],[age]]&lt;=25,"18-25",IF(Table1[[#This Row],[age]]&lt;=35,"26-35",IF(Table1[[#This Row],[age]]&lt;=50,"36-50","51+")))</f>
        <v>36-50</v>
      </c>
      <c r="G1556" t="s">
        <v>24</v>
      </c>
      <c r="H1556" t="s">
        <v>61</v>
      </c>
      <c r="I1556" t="s">
        <v>62</v>
      </c>
      <c r="J1556" t="s">
        <v>101</v>
      </c>
      <c r="K1556" t="s">
        <v>456</v>
      </c>
      <c r="L1556">
        <v>5</v>
      </c>
      <c r="M1556">
        <v>7694.53</v>
      </c>
      <c r="N1556">
        <v>0.2</v>
      </c>
      <c r="O1556">
        <v>39253.99</v>
      </c>
      <c r="P1556">
        <v>7429.11</v>
      </c>
      <c r="Q1556">
        <v>45.05</v>
      </c>
      <c r="R1556" t="s">
        <v>92</v>
      </c>
      <c r="S1556">
        <v>2</v>
      </c>
      <c r="T1556" t="b">
        <v>1</v>
      </c>
      <c r="U1556" t="s">
        <v>50</v>
      </c>
      <c r="V1556">
        <v>2</v>
      </c>
    </row>
    <row r="1557" spans="1:22" x14ac:dyDescent="0.25">
      <c r="A1557" t="s">
        <v>3605</v>
      </c>
      <c r="B1557" s="1">
        <v>45491</v>
      </c>
      <c r="C1557" t="s">
        <v>3606</v>
      </c>
      <c r="D1557" t="s">
        <v>982</v>
      </c>
      <c r="E1557">
        <v>60</v>
      </c>
      <c r="F1557" t="str">
        <f>IF(Table1[[#This Row],[age]]&lt;=25,"18-25",IF(Table1[[#This Row],[age]]&lt;=35,"26-35",IF(Table1[[#This Row],[age]]&lt;=50,"36-50","51+")))</f>
        <v>51+</v>
      </c>
      <c r="G1557" t="s">
        <v>34</v>
      </c>
      <c r="H1557" t="s">
        <v>80</v>
      </c>
      <c r="I1557" t="s">
        <v>86</v>
      </c>
      <c r="J1557" t="s">
        <v>47</v>
      </c>
      <c r="K1557" t="s">
        <v>600</v>
      </c>
      <c r="L1557">
        <v>9</v>
      </c>
      <c r="M1557">
        <v>1373</v>
      </c>
      <c r="N1557">
        <v>0.06</v>
      </c>
      <c r="O1557">
        <v>17944.78</v>
      </c>
      <c r="P1557">
        <v>4726.75</v>
      </c>
      <c r="Q1557">
        <v>32.78</v>
      </c>
      <c r="R1557" t="s">
        <v>49</v>
      </c>
      <c r="S1557">
        <v>5</v>
      </c>
      <c r="T1557" t="b">
        <v>0</v>
      </c>
      <c r="U1557" t="s">
        <v>30</v>
      </c>
      <c r="V1557">
        <v>8</v>
      </c>
    </row>
    <row r="1558" spans="1:22" x14ac:dyDescent="0.25">
      <c r="A1558" t="s">
        <v>3607</v>
      </c>
      <c r="B1558" s="1">
        <v>45518</v>
      </c>
      <c r="C1558" t="s">
        <v>3608</v>
      </c>
      <c r="D1558" t="s">
        <v>2503</v>
      </c>
      <c r="E1558">
        <v>42</v>
      </c>
      <c r="F1558" t="str">
        <f>IF(Table1[[#This Row],[age]]&lt;=25,"18-25",IF(Table1[[#This Row],[age]]&lt;=35,"26-35",IF(Table1[[#This Row],[age]]&lt;=50,"36-50","51+")))</f>
        <v>36-50</v>
      </c>
      <c r="G1558" t="s">
        <v>34</v>
      </c>
      <c r="H1558" t="s">
        <v>69</v>
      </c>
      <c r="I1558" t="s">
        <v>136</v>
      </c>
      <c r="J1558" t="s">
        <v>36</v>
      </c>
      <c r="K1558" t="s">
        <v>230</v>
      </c>
      <c r="L1558">
        <v>8</v>
      </c>
      <c r="M1558">
        <v>32976.81</v>
      </c>
      <c r="N1558">
        <v>0.11</v>
      </c>
      <c r="O1558">
        <v>345009.69</v>
      </c>
      <c r="P1558">
        <v>104290.26</v>
      </c>
      <c r="Q1558">
        <v>89.17</v>
      </c>
      <c r="R1558" t="s">
        <v>29</v>
      </c>
      <c r="S1558">
        <v>4</v>
      </c>
      <c r="T1558" t="b">
        <v>1</v>
      </c>
      <c r="U1558" t="s">
        <v>50</v>
      </c>
      <c r="V1558">
        <v>2</v>
      </c>
    </row>
    <row r="1559" spans="1:22" x14ac:dyDescent="0.25">
      <c r="A1559" t="s">
        <v>3609</v>
      </c>
      <c r="B1559" s="1">
        <v>45074</v>
      </c>
      <c r="C1559" t="s">
        <v>3610</v>
      </c>
      <c r="D1559" t="s">
        <v>522</v>
      </c>
      <c r="E1559">
        <v>30</v>
      </c>
      <c r="F1559" t="str">
        <f>IF(Table1[[#This Row],[age]]&lt;=25,"18-25",IF(Table1[[#This Row],[age]]&lt;=35,"26-35",IF(Table1[[#This Row],[age]]&lt;=50,"36-50","51+")))</f>
        <v>26-35</v>
      </c>
      <c r="G1559" t="s">
        <v>54</v>
      </c>
      <c r="H1559" t="s">
        <v>55</v>
      </c>
      <c r="I1559" t="s">
        <v>97</v>
      </c>
      <c r="J1559" t="s">
        <v>101</v>
      </c>
      <c r="K1559" t="s">
        <v>214</v>
      </c>
      <c r="L1559">
        <v>7</v>
      </c>
      <c r="M1559">
        <v>5477.01</v>
      </c>
      <c r="N1559">
        <v>0.23</v>
      </c>
      <c r="O1559">
        <v>47648.68</v>
      </c>
      <c r="P1559">
        <v>10592.45</v>
      </c>
      <c r="Q1559">
        <v>58.19</v>
      </c>
      <c r="R1559" t="s">
        <v>43</v>
      </c>
      <c r="S1559">
        <v>1</v>
      </c>
      <c r="T1559" t="b">
        <v>0</v>
      </c>
      <c r="U1559" t="s">
        <v>30</v>
      </c>
      <c r="V1559">
        <v>1</v>
      </c>
    </row>
    <row r="1560" spans="1:22" x14ac:dyDescent="0.25">
      <c r="A1560" t="s">
        <v>3611</v>
      </c>
      <c r="B1560" s="1">
        <v>45236</v>
      </c>
      <c r="C1560" t="s">
        <v>3612</v>
      </c>
      <c r="D1560" t="s">
        <v>1203</v>
      </c>
      <c r="E1560">
        <v>35</v>
      </c>
      <c r="F1560" t="str">
        <f>IF(Table1[[#This Row],[age]]&lt;=25,"18-25",IF(Table1[[#This Row],[age]]&lt;=35,"26-35",IF(Table1[[#This Row],[age]]&lt;=50,"36-50","51+")))</f>
        <v>26-35</v>
      </c>
      <c r="G1560" t="s">
        <v>34</v>
      </c>
      <c r="H1560" t="s">
        <v>61</v>
      </c>
      <c r="I1560" t="s">
        <v>141</v>
      </c>
      <c r="J1560" t="s">
        <v>36</v>
      </c>
      <c r="K1560" t="s">
        <v>230</v>
      </c>
      <c r="L1560">
        <v>2</v>
      </c>
      <c r="M1560">
        <v>19200.919999999998</v>
      </c>
      <c r="N1560">
        <v>0.3</v>
      </c>
      <c r="O1560">
        <v>29270.92</v>
      </c>
      <c r="P1560">
        <v>9828.67</v>
      </c>
      <c r="Q1560">
        <v>57.73</v>
      </c>
      <c r="R1560" t="s">
        <v>49</v>
      </c>
      <c r="S1560">
        <v>1</v>
      </c>
      <c r="T1560" t="b">
        <v>0</v>
      </c>
      <c r="U1560" t="s">
        <v>30</v>
      </c>
      <c r="V1560">
        <v>4</v>
      </c>
    </row>
    <row r="1561" spans="1:22" x14ac:dyDescent="0.25">
      <c r="A1561" t="s">
        <v>3613</v>
      </c>
      <c r="B1561" s="1">
        <v>45530</v>
      </c>
      <c r="C1561" t="s">
        <v>3614</v>
      </c>
      <c r="D1561" t="s">
        <v>79</v>
      </c>
      <c r="E1561">
        <v>42</v>
      </c>
      <c r="F1561" t="str">
        <f>IF(Table1[[#This Row],[age]]&lt;=25,"18-25",IF(Table1[[#This Row],[age]]&lt;=35,"26-35",IF(Table1[[#This Row],[age]]&lt;=50,"36-50","51+")))</f>
        <v>36-50</v>
      </c>
      <c r="G1561" t="s">
        <v>54</v>
      </c>
      <c r="H1561" t="s">
        <v>55</v>
      </c>
      <c r="I1561" t="s">
        <v>97</v>
      </c>
      <c r="J1561" t="s">
        <v>36</v>
      </c>
      <c r="K1561" t="s">
        <v>76</v>
      </c>
      <c r="L1561">
        <v>4</v>
      </c>
      <c r="M1561">
        <v>16102.25</v>
      </c>
      <c r="N1561">
        <v>0.05</v>
      </c>
      <c r="O1561">
        <v>99545.13</v>
      </c>
      <c r="P1561">
        <v>31612.91</v>
      </c>
      <c r="Q1561">
        <v>51.44</v>
      </c>
      <c r="R1561" t="s">
        <v>92</v>
      </c>
      <c r="S1561">
        <v>3</v>
      </c>
      <c r="T1561" t="b">
        <v>0</v>
      </c>
      <c r="U1561" t="s">
        <v>30</v>
      </c>
      <c r="V1561">
        <v>3</v>
      </c>
    </row>
    <row r="1562" spans="1:22" x14ac:dyDescent="0.25">
      <c r="A1562" t="s">
        <v>3615</v>
      </c>
      <c r="B1562" s="1">
        <v>44406</v>
      </c>
      <c r="C1562" t="s">
        <v>3616</v>
      </c>
      <c r="D1562" t="s">
        <v>307</v>
      </c>
      <c r="E1562">
        <v>30</v>
      </c>
      <c r="F1562" t="str">
        <f>IF(Table1[[#This Row],[age]]&lt;=25,"18-25",IF(Table1[[#This Row],[age]]&lt;=35,"26-35",IF(Table1[[#This Row],[age]]&lt;=50,"36-50","51+")))</f>
        <v>26-35</v>
      </c>
      <c r="G1562" t="s">
        <v>54</v>
      </c>
      <c r="H1562" t="s">
        <v>69</v>
      </c>
      <c r="I1562" t="s">
        <v>181</v>
      </c>
      <c r="J1562" t="s">
        <v>47</v>
      </c>
      <c r="K1562" t="s">
        <v>204</v>
      </c>
      <c r="L1562">
        <v>5</v>
      </c>
      <c r="M1562">
        <v>1321.61</v>
      </c>
      <c r="N1562">
        <v>0.39</v>
      </c>
      <c r="O1562">
        <v>6316.69</v>
      </c>
      <c r="P1562">
        <v>1989.53</v>
      </c>
      <c r="Q1562">
        <v>80.34</v>
      </c>
      <c r="R1562" t="s">
        <v>65</v>
      </c>
      <c r="S1562">
        <v>2</v>
      </c>
      <c r="T1562" t="b">
        <v>0</v>
      </c>
      <c r="U1562" t="s">
        <v>71</v>
      </c>
      <c r="V1562">
        <v>1</v>
      </c>
    </row>
    <row r="1563" spans="1:22" x14ac:dyDescent="0.25">
      <c r="A1563" t="s">
        <v>3617</v>
      </c>
      <c r="B1563" s="1">
        <v>44168</v>
      </c>
      <c r="C1563" t="s">
        <v>3618</v>
      </c>
      <c r="D1563" t="s">
        <v>977</v>
      </c>
      <c r="E1563">
        <v>49</v>
      </c>
      <c r="F1563" t="str">
        <f>IF(Table1[[#This Row],[age]]&lt;=25,"18-25",IF(Table1[[#This Row],[age]]&lt;=35,"26-35",IF(Table1[[#This Row],[age]]&lt;=50,"36-50","51+")))</f>
        <v>36-50</v>
      </c>
      <c r="G1563" t="s">
        <v>24</v>
      </c>
      <c r="H1563" t="s">
        <v>61</v>
      </c>
      <c r="I1563" t="s">
        <v>163</v>
      </c>
      <c r="J1563" t="s">
        <v>63</v>
      </c>
      <c r="K1563" t="s">
        <v>64</v>
      </c>
      <c r="L1563">
        <v>5</v>
      </c>
      <c r="M1563">
        <v>836.99</v>
      </c>
      <c r="N1563">
        <v>0.39</v>
      </c>
      <c r="O1563">
        <v>1880.14</v>
      </c>
      <c r="P1563">
        <v>686.79</v>
      </c>
      <c r="Q1563">
        <v>30.4</v>
      </c>
      <c r="R1563" t="s">
        <v>43</v>
      </c>
      <c r="S1563">
        <v>2</v>
      </c>
      <c r="T1563" t="b">
        <v>0</v>
      </c>
      <c r="U1563" t="s">
        <v>30</v>
      </c>
      <c r="V1563">
        <v>8</v>
      </c>
    </row>
    <row r="1564" spans="1:22" x14ac:dyDescent="0.25">
      <c r="A1564" t="s">
        <v>3619</v>
      </c>
      <c r="B1564" s="1">
        <v>45502</v>
      </c>
      <c r="C1564" t="s">
        <v>3620</v>
      </c>
      <c r="D1564" t="s">
        <v>443</v>
      </c>
      <c r="E1564">
        <v>21</v>
      </c>
      <c r="F1564" t="str">
        <f>IF(Table1[[#This Row],[age]]&lt;=25,"18-25",IF(Table1[[#This Row],[age]]&lt;=35,"26-35",IF(Table1[[#This Row],[age]]&lt;=50,"36-50","51+")))</f>
        <v>18-25</v>
      </c>
      <c r="G1564" t="s">
        <v>24</v>
      </c>
      <c r="H1564" t="s">
        <v>55</v>
      </c>
      <c r="I1564" t="s">
        <v>75</v>
      </c>
      <c r="J1564" t="s">
        <v>101</v>
      </c>
      <c r="K1564" t="s">
        <v>102</v>
      </c>
      <c r="L1564">
        <v>5</v>
      </c>
      <c r="M1564">
        <v>12528.36</v>
      </c>
      <c r="N1564">
        <v>0.21</v>
      </c>
      <c r="O1564">
        <v>80527.42</v>
      </c>
      <c r="P1564">
        <v>9443.81</v>
      </c>
      <c r="Q1564">
        <v>90.11</v>
      </c>
      <c r="R1564" t="s">
        <v>43</v>
      </c>
      <c r="S1564">
        <v>2</v>
      </c>
      <c r="T1564" t="b">
        <v>0</v>
      </c>
      <c r="U1564" t="s">
        <v>30</v>
      </c>
      <c r="V1564">
        <v>7</v>
      </c>
    </row>
    <row r="1565" spans="1:22" x14ac:dyDescent="0.25">
      <c r="A1565" t="s">
        <v>3621</v>
      </c>
      <c r="B1565" s="1">
        <v>44283</v>
      </c>
      <c r="C1565" t="s">
        <v>3622</v>
      </c>
      <c r="D1565" t="s">
        <v>1644</v>
      </c>
      <c r="E1565">
        <v>29</v>
      </c>
      <c r="F1565" t="str">
        <f>IF(Table1[[#This Row],[age]]&lt;=25,"18-25",IF(Table1[[#This Row],[age]]&lt;=35,"26-35",IF(Table1[[#This Row],[age]]&lt;=50,"36-50","51+")))</f>
        <v>26-35</v>
      </c>
      <c r="G1565" t="s">
        <v>54</v>
      </c>
      <c r="H1565" t="s">
        <v>55</v>
      </c>
      <c r="I1565" t="s">
        <v>114</v>
      </c>
      <c r="J1565" t="s">
        <v>63</v>
      </c>
      <c r="K1565" t="s">
        <v>152</v>
      </c>
      <c r="L1565">
        <v>10</v>
      </c>
      <c r="M1565">
        <v>2005.76</v>
      </c>
      <c r="N1565">
        <v>0.22</v>
      </c>
      <c r="O1565">
        <v>15986.56</v>
      </c>
      <c r="P1565">
        <v>5111.22</v>
      </c>
      <c r="Q1565">
        <v>51.92</v>
      </c>
      <c r="R1565" t="s">
        <v>29</v>
      </c>
      <c r="S1565">
        <v>3</v>
      </c>
      <c r="T1565" t="b">
        <v>0</v>
      </c>
      <c r="U1565" t="s">
        <v>30</v>
      </c>
      <c r="V1565">
        <v>10</v>
      </c>
    </row>
    <row r="1566" spans="1:22" x14ac:dyDescent="0.25">
      <c r="A1566" t="s">
        <v>3623</v>
      </c>
      <c r="B1566" s="1">
        <v>44733</v>
      </c>
      <c r="C1566" t="s">
        <v>3624</v>
      </c>
      <c r="D1566" t="s">
        <v>1719</v>
      </c>
      <c r="E1566">
        <v>51</v>
      </c>
      <c r="F1566" t="str">
        <f>IF(Table1[[#This Row],[age]]&lt;=25,"18-25",IF(Table1[[#This Row],[age]]&lt;=35,"26-35",IF(Table1[[#This Row],[age]]&lt;=50,"36-50","51+")))</f>
        <v>51+</v>
      </c>
      <c r="G1566" t="s">
        <v>24</v>
      </c>
      <c r="H1566" t="s">
        <v>80</v>
      </c>
      <c r="I1566" t="s">
        <v>242</v>
      </c>
      <c r="J1566" t="s">
        <v>106</v>
      </c>
      <c r="K1566" t="s">
        <v>331</v>
      </c>
      <c r="L1566">
        <v>1</v>
      </c>
      <c r="M1566">
        <v>341.43</v>
      </c>
      <c r="N1566">
        <v>0.34</v>
      </c>
      <c r="O1566">
        <v>376.21</v>
      </c>
      <c r="P1566">
        <v>32.950000000000003</v>
      </c>
      <c r="Q1566">
        <v>85.56</v>
      </c>
      <c r="R1566" t="s">
        <v>57</v>
      </c>
      <c r="S1566">
        <v>4</v>
      </c>
      <c r="T1566" t="b">
        <v>0</v>
      </c>
      <c r="U1566" t="s">
        <v>71</v>
      </c>
      <c r="V1566">
        <v>7</v>
      </c>
    </row>
    <row r="1567" spans="1:22" x14ac:dyDescent="0.25">
      <c r="A1567" t="s">
        <v>3625</v>
      </c>
      <c r="B1567" s="1">
        <v>45556</v>
      </c>
      <c r="C1567" t="s">
        <v>3626</v>
      </c>
      <c r="D1567" t="s">
        <v>155</v>
      </c>
      <c r="E1567">
        <v>33</v>
      </c>
      <c r="F1567" t="str">
        <f>IF(Table1[[#This Row],[age]]&lt;=25,"18-25",IF(Table1[[#This Row],[age]]&lt;=35,"26-35",IF(Table1[[#This Row],[age]]&lt;=50,"36-50","51+")))</f>
        <v>26-35</v>
      </c>
      <c r="G1567" t="s">
        <v>34</v>
      </c>
      <c r="H1567" t="s">
        <v>25</v>
      </c>
      <c r="I1567" t="s">
        <v>298</v>
      </c>
      <c r="J1567" t="s">
        <v>115</v>
      </c>
      <c r="K1567" t="s">
        <v>145</v>
      </c>
      <c r="L1567">
        <v>2</v>
      </c>
      <c r="M1567">
        <v>79639.72</v>
      </c>
      <c r="N1567">
        <v>0.34</v>
      </c>
      <c r="O1567">
        <v>134225.29</v>
      </c>
      <c r="P1567">
        <v>11600.84</v>
      </c>
      <c r="Q1567">
        <v>87.92</v>
      </c>
      <c r="R1567" t="s">
        <v>92</v>
      </c>
      <c r="S1567">
        <v>3</v>
      </c>
      <c r="T1567" t="b">
        <v>0</v>
      </c>
      <c r="U1567" t="s">
        <v>30</v>
      </c>
      <c r="V1567">
        <v>4</v>
      </c>
    </row>
    <row r="1568" spans="1:22" x14ac:dyDescent="0.25">
      <c r="A1568" t="s">
        <v>3627</v>
      </c>
      <c r="B1568" s="1">
        <v>43849</v>
      </c>
      <c r="C1568" t="s">
        <v>3628</v>
      </c>
      <c r="D1568" t="s">
        <v>1330</v>
      </c>
      <c r="E1568">
        <v>39</v>
      </c>
      <c r="F1568" t="str">
        <f>IF(Table1[[#This Row],[age]]&lt;=25,"18-25",IF(Table1[[#This Row],[age]]&lt;=35,"26-35",IF(Table1[[#This Row],[age]]&lt;=50,"36-50","51+")))</f>
        <v>36-50</v>
      </c>
      <c r="G1568" t="s">
        <v>54</v>
      </c>
      <c r="H1568" t="s">
        <v>25</v>
      </c>
      <c r="I1568" t="s">
        <v>35</v>
      </c>
      <c r="J1568" t="s">
        <v>36</v>
      </c>
      <c r="K1568" t="s">
        <v>76</v>
      </c>
      <c r="L1568">
        <v>2</v>
      </c>
      <c r="M1568">
        <v>27360.86</v>
      </c>
      <c r="N1568">
        <v>0.37</v>
      </c>
      <c r="O1568">
        <v>23527.01</v>
      </c>
      <c r="P1568">
        <v>6855.56</v>
      </c>
      <c r="Q1568">
        <v>58.81</v>
      </c>
      <c r="R1568" t="s">
        <v>65</v>
      </c>
      <c r="S1568">
        <v>4</v>
      </c>
      <c r="T1568" t="b">
        <v>0</v>
      </c>
      <c r="U1568" t="s">
        <v>71</v>
      </c>
      <c r="V1568">
        <v>4</v>
      </c>
    </row>
    <row r="1569" spans="1:22" x14ac:dyDescent="0.25">
      <c r="A1569" t="s">
        <v>3629</v>
      </c>
      <c r="B1569" s="1">
        <v>45555</v>
      </c>
      <c r="C1569" t="s">
        <v>3630</v>
      </c>
      <c r="D1569" t="s">
        <v>904</v>
      </c>
      <c r="E1569">
        <v>36</v>
      </c>
      <c r="F1569" t="str">
        <f>IF(Table1[[#This Row],[age]]&lt;=25,"18-25",IF(Table1[[#This Row],[age]]&lt;=35,"26-35",IF(Table1[[#This Row],[age]]&lt;=50,"36-50","51+")))</f>
        <v>36-50</v>
      </c>
      <c r="G1569" t="s">
        <v>34</v>
      </c>
      <c r="H1569" t="s">
        <v>69</v>
      </c>
      <c r="I1569" t="s">
        <v>70</v>
      </c>
      <c r="J1569" t="s">
        <v>27</v>
      </c>
      <c r="K1569" t="s">
        <v>28</v>
      </c>
      <c r="L1569">
        <v>3</v>
      </c>
      <c r="M1569">
        <v>1494.83</v>
      </c>
      <c r="N1569">
        <v>0.26</v>
      </c>
      <c r="O1569">
        <v>3664.34</v>
      </c>
      <c r="P1569">
        <v>2210.9299999999998</v>
      </c>
      <c r="Q1569">
        <v>96.38</v>
      </c>
      <c r="R1569" t="s">
        <v>92</v>
      </c>
      <c r="S1569">
        <v>1</v>
      </c>
      <c r="T1569" t="b">
        <v>0</v>
      </c>
      <c r="U1569" t="s">
        <v>30</v>
      </c>
      <c r="V1569">
        <v>8</v>
      </c>
    </row>
    <row r="1570" spans="1:22" x14ac:dyDescent="0.25">
      <c r="A1570" t="s">
        <v>3631</v>
      </c>
      <c r="B1570" s="1">
        <v>44135</v>
      </c>
      <c r="C1570" t="s">
        <v>3632</v>
      </c>
      <c r="D1570" t="s">
        <v>2514</v>
      </c>
      <c r="E1570">
        <v>47</v>
      </c>
      <c r="F1570" t="str">
        <f>IF(Table1[[#This Row],[age]]&lt;=25,"18-25",IF(Table1[[#This Row],[age]]&lt;=35,"26-35",IF(Table1[[#This Row],[age]]&lt;=50,"36-50","51+")))</f>
        <v>36-50</v>
      </c>
      <c r="G1570" t="s">
        <v>54</v>
      </c>
      <c r="H1570" t="s">
        <v>80</v>
      </c>
      <c r="I1570" t="s">
        <v>86</v>
      </c>
      <c r="J1570" t="s">
        <v>36</v>
      </c>
      <c r="K1570" t="s">
        <v>132</v>
      </c>
      <c r="L1570">
        <v>6</v>
      </c>
      <c r="M1570">
        <v>14372.23</v>
      </c>
      <c r="N1570">
        <v>0.35</v>
      </c>
      <c r="O1570">
        <v>39890.370000000003</v>
      </c>
      <c r="P1570">
        <v>9362.8700000000008</v>
      </c>
      <c r="Q1570">
        <v>62.14</v>
      </c>
      <c r="R1570" t="s">
        <v>49</v>
      </c>
      <c r="S1570">
        <v>1</v>
      </c>
      <c r="T1570" t="b">
        <v>0</v>
      </c>
      <c r="U1570" t="s">
        <v>71</v>
      </c>
      <c r="V1570">
        <v>1</v>
      </c>
    </row>
    <row r="1571" spans="1:22" x14ac:dyDescent="0.25">
      <c r="A1571" t="s">
        <v>3633</v>
      </c>
      <c r="B1571" s="1">
        <v>45067</v>
      </c>
      <c r="C1571" t="s">
        <v>3634</v>
      </c>
      <c r="D1571" t="s">
        <v>1365</v>
      </c>
      <c r="E1571">
        <v>56</v>
      </c>
      <c r="F1571" t="str">
        <f>IF(Table1[[#This Row],[age]]&lt;=25,"18-25",IF(Table1[[#This Row],[age]]&lt;=35,"26-35",IF(Table1[[#This Row],[age]]&lt;=50,"36-50","51+")))</f>
        <v>51+</v>
      </c>
      <c r="G1571" t="s">
        <v>54</v>
      </c>
      <c r="H1571" t="s">
        <v>61</v>
      </c>
      <c r="I1571" t="s">
        <v>163</v>
      </c>
      <c r="J1571" t="s">
        <v>27</v>
      </c>
      <c r="K1571" t="s">
        <v>28</v>
      </c>
      <c r="L1571">
        <v>3</v>
      </c>
      <c r="M1571">
        <v>2042.61</v>
      </c>
      <c r="N1571">
        <v>0.3</v>
      </c>
      <c r="O1571">
        <v>6276.07</v>
      </c>
      <c r="P1571">
        <v>1964</v>
      </c>
      <c r="Q1571">
        <v>43.44</v>
      </c>
      <c r="R1571" t="s">
        <v>57</v>
      </c>
      <c r="S1571">
        <v>4</v>
      </c>
      <c r="T1571" t="b">
        <v>1</v>
      </c>
      <c r="U1571" t="s">
        <v>50</v>
      </c>
      <c r="V1571">
        <v>7</v>
      </c>
    </row>
    <row r="1572" spans="1:22" x14ac:dyDescent="0.25">
      <c r="A1572" t="s">
        <v>3635</v>
      </c>
      <c r="B1572" s="1">
        <v>45367</v>
      </c>
      <c r="C1572" t="s">
        <v>3636</v>
      </c>
      <c r="D1572" t="s">
        <v>2003</v>
      </c>
      <c r="E1572">
        <v>27</v>
      </c>
      <c r="F1572" t="str">
        <f>IF(Table1[[#This Row],[age]]&lt;=25,"18-25",IF(Table1[[#This Row],[age]]&lt;=35,"26-35",IF(Table1[[#This Row],[age]]&lt;=50,"36-50","51+")))</f>
        <v>26-35</v>
      </c>
      <c r="G1572" t="s">
        <v>24</v>
      </c>
      <c r="H1572" t="s">
        <v>61</v>
      </c>
      <c r="I1572" t="s">
        <v>163</v>
      </c>
      <c r="J1572" t="s">
        <v>101</v>
      </c>
      <c r="K1572" t="s">
        <v>102</v>
      </c>
      <c r="L1572">
        <v>3</v>
      </c>
      <c r="M1572">
        <v>7222.19</v>
      </c>
      <c r="N1572">
        <v>0.14000000000000001</v>
      </c>
      <c r="O1572">
        <v>26770.77</v>
      </c>
      <c r="P1572">
        <v>4462.6899999999996</v>
      </c>
      <c r="Q1572">
        <v>53.66</v>
      </c>
      <c r="R1572" t="s">
        <v>65</v>
      </c>
      <c r="S1572">
        <v>4</v>
      </c>
      <c r="T1572" t="b">
        <v>1</v>
      </c>
      <c r="U1572" t="s">
        <v>50</v>
      </c>
      <c r="V1572">
        <v>10</v>
      </c>
    </row>
    <row r="1573" spans="1:22" x14ac:dyDescent="0.25">
      <c r="A1573" t="s">
        <v>3637</v>
      </c>
      <c r="B1573" s="1">
        <v>44862</v>
      </c>
      <c r="C1573" t="s">
        <v>3638</v>
      </c>
      <c r="D1573" t="s">
        <v>1473</v>
      </c>
      <c r="E1573">
        <v>33</v>
      </c>
      <c r="F1573" t="str">
        <f>IF(Table1[[#This Row],[age]]&lt;=25,"18-25",IF(Table1[[#This Row],[age]]&lt;=35,"26-35",IF(Table1[[#This Row],[age]]&lt;=50,"36-50","51+")))</f>
        <v>26-35</v>
      </c>
      <c r="G1573" t="s">
        <v>54</v>
      </c>
      <c r="H1573" t="s">
        <v>61</v>
      </c>
      <c r="I1573" t="s">
        <v>141</v>
      </c>
      <c r="J1573" t="s">
        <v>27</v>
      </c>
      <c r="K1573" t="s">
        <v>28</v>
      </c>
      <c r="L1573">
        <v>5</v>
      </c>
      <c r="M1573">
        <v>240.15</v>
      </c>
      <c r="N1573">
        <v>0.22</v>
      </c>
      <c r="O1573">
        <v>946.09</v>
      </c>
      <c r="P1573">
        <v>433.08</v>
      </c>
      <c r="Q1573">
        <v>72.989999999999995</v>
      </c>
      <c r="R1573" t="s">
        <v>49</v>
      </c>
      <c r="S1573">
        <v>3</v>
      </c>
      <c r="T1573" t="b">
        <v>0</v>
      </c>
      <c r="U1573" t="s">
        <v>30</v>
      </c>
      <c r="V1573">
        <v>2</v>
      </c>
    </row>
    <row r="1574" spans="1:22" x14ac:dyDescent="0.25">
      <c r="A1574" t="s">
        <v>3639</v>
      </c>
      <c r="B1574" s="1">
        <v>45207</v>
      </c>
      <c r="C1574" t="s">
        <v>3640</v>
      </c>
      <c r="D1574" t="s">
        <v>430</v>
      </c>
      <c r="E1574">
        <v>32</v>
      </c>
      <c r="F1574" t="str">
        <f>IF(Table1[[#This Row],[age]]&lt;=25,"18-25",IF(Table1[[#This Row],[age]]&lt;=35,"26-35",IF(Table1[[#This Row],[age]]&lt;=50,"36-50","51+")))</f>
        <v>26-35</v>
      </c>
      <c r="G1574" t="s">
        <v>34</v>
      </c>
      <c r="H1574" t="s">
        <v>80</v>
      </c>
      <c r="I1574" t="s">
        <v>81</v>
      </c>
      <c r="J1574" t="s">
        <v>36</v>
      </c>
      <c r="K1574" t="s">
        <v>132</v>
      </c>
      <c r="L1574">
        <v>5</v>
      </c>
      <c r="M1574">
        <v>12843.58</v>
      </c>
      <c r="N1574">
        <v>0.22</v>
      </c>
      <c r="O1574">
        <v>54184.88</v>
      </c>
      <c r="P1574">
        <v>11377.39</v>
      </c>
      <c r="Q1574">
        <v>67.77</v>
      </c>
      <c r="R1574" t="s">
        <v>29</v>
      </c>
      <c r="S1574">
        <v>5</v>
      </c>
      <c r="T1574" t="b">
        <v>1</v>
      </c>
      <c r="U1574" t="s">
        <v>50</v>
      </c>
      <c r="V1574">
        <v>4</v>
      </c>
    </row>
    <row r="1575" spans="1:22" x14ac:dyDescent="0.25">
      <c r="A1575" t="s">
        <v>3641</v>
      </c>
      <c r="B1575" s="1">
        <v>45074</v>
      </c>
      <c r="C1575" t="s">
        <v>3642</v>
      </c>
      <c r="D1575" t="s">
        <v>452</v>
      </c>
      <c r="E1575">
        <v>35</v>
      </c>
      <c r="F1575" t="str">
        <f>IF(Table1[[#This Row],[age]]&lt;=25,"18-25",IF(Table1[[#This Row],[age]]&lt;=35,"26-35",IF(Table1[[#This Row],[age]]&lt;=50,"36-50","51+")))</f>
        <v>26-35</v>
      </c>
      <c r="G1575" t="s">
        <v>24</v>
      </c>
      <c r="H1575" t="s">
        <v>80</v>
      </c>
      <c r="I1575" t="s">
        <v>236</v>
      </c>
      <c r="J1575" t="s">
        <v>47</v>
      </c>
      <c r="K1575" t="s">
        <v>120</v>
      </c>
      <c r="L1575">
        <v>7</v>
      </c>
      <c r="M1575">
        <v>1017.23</v>
      </c>
      <c r="N1575">
        <v>0.04</v>
      </c>
      <c r="O1575">
        <v>11341.51</v>
      </c>
      <c r="P1575">
        <v>5245.65</v>
      </c>
      <c r="Q1575">
        <v>86.02</v>
      </c>
      <c r="R1575" t="s">
        <v>29</v>
      </c>
      <c r="S1575">
        <v>5</v>
      </c>
      <c r="T1575" t="b">
        <v>0</v>
      </c>
      <c r="U1575" t="s">
        <v>30</v>
      </c>
      <c r="V1575">
        <v>3</v>
      </c>
    </row>
    <row r="1576" spans="1:22" x14ac:dyDescent="0.25">
      <c r="A1576" t="s">
        <v>3643</v>
      </c>
      <c r="B1576" s="1">
        <v>45236</v>
      </c>
      <c r="C1576" t="s">
        <v>3644</v>
      </c>
      <c r="D1576" t="s">
        <v>679</v>
      </c>
      <c r="E1576">
        <v>56</v>
      </c>
      <c r="F1576" t="str">
        <f>IF(Table1[[#This Row],[age]]&lt;=25,"18-25",IF(Table1[[#This Row],[age]]&lt;=35,"26-35",IF(Table1[[#This Row],[age]]&lt;=50,"36-50","51+")))</f>
        <v>51+</v>
      </c>
      <c r="G1576" t="s">
        <v>34</v>
      </c>
      <c r="H1576" t="s">
        <v>69</v>
      </c>
      <c r="I1576" t="s">
        <v>181</v>
      </c>
      <c r="J1576" t="s">
        <v>106</v>
      </c>
      <c r="K1576" t="s">
        <v>331</v>
      </c>
      <c r="L1576">
        <v>10</v>
      </c>
      <c r="M1576">
        <v>220.19</v>
      </c>
      <c r="N1576">
        <v>0.34</v>
      </c>
      <c r="O1576">
        <v>1171.24</v>
      </c>
      <c r="P1576">
        <v>111.88</v>
      </c>
      <c r="Q1576">
        <v>89.4</v>
      </c>
      <c r="R1576" t="s">
        <v>43</v>
      </c>
      <c r="S1576">
        <v>5</v>
      </c>
      <c r="T1576" t="b">
        <v>0</v>
      </c>
      <c r="U1576" t="s">
        <v>30</v>
      </c>
      <c r="V1576">
        <v>9</v>
      </c>
    </row>
    <row r="1577" spans="1:22" x14ac:dyDescent="0.25">
      <c r="A1577" t="s">
        <v>3645</v>
      </c>
      <c r="B1577" s="1">
        <v>43871</v>
      </c>
      <c r="C1577" t="s">
        <v>3646</v>
      </c>
      <c r="D1577" t="s">
        <v>2716</v>
      </c>
      <c r="E1577">
        <v>42</v>
      </c>
      <c r="F1577" t="str">
        <f>IF(Table1[[#This Row],[age]]&lt;=25,"18-25",IF(Table1[[#This Row],[age]]&lt;=35,"26-35",IF(Table1[[#This Row],[age]]&lt;=50,"36-50","51+")))</f>
        <v>36-50</v>
      </c>
      <c r="G1577" t="s">
        <v>24</v>
      </c>
      <c r="H1577" t="s">
        <v>61</v>
      </c>
      <c r="I1577" t="s">
        <v>141</v>
      </c>
      <c r="J1577" t="s">
        <v>47</v>
      </c>
      <c r="K1577" t="s">
        <v>204</v>
      </c>
      <c r="L1577">
        <v>6</v>
      </c>
      <c r="M1577">
        <v>1324.58</v>
      </c>
      <c r="N1577">
        <v>0.04</v>
      </c>
      <c r="O1577">
        <v>5636.59</v>
      </c>
      <c r="P1577">
        <v>2151.6799999999998</v>
      </c>
      <c r="Q1577">
        <v>32.81</v>
      </c>
      <c r="R1577" t="s">
        <v>92</v>
      </c>
      <c r="S1577">
        <v>1</v>
      </c>
      <c r="T1577" t="b">
        <v>0</v>
      </c>
      <c r="U1577" t="s">
        <v>30</v>
      </c>
      <c r="V1577">
        <v>5</v>
      </c>
    </row>
    <row r="1578" spans="1:22" x14ac:dyDescent="0.25">
      <c r="A1578" t="s">
        <v>3647</v>
      </c>
      <c r="B1578" s="1">
        <v>44930</v>
      </c>
      <c r="C1578" t="s">
        <v>3648</v>
      </c>
      <c r="D1578" t="s">
        <v>2439</v>
      </c>
      <c r="E1578">
        <v>35</v>
      </c>
      <c r="F1578" t="str">
        <f>IF(Table1[[#This Row],[age]]&lt;=25,"18-25",IF(Table1[[#This Row],[age]]&lt;=35,"26-35",IF(Table1[[#This Row],[age]]&lt;=50,"36-50","51+")))</f>
        <v>26-35</v>
      </c>
      <c r="G1578" t="s">
        <v>54</v>
      </c>
      <c r="H1578" t="s">
        <v>25</v>
      </c>
      <c r="I1578" t="s">
        <v>26</v>
      </c>
      <c r="J1578" t="s">
        <v>27</v>
      </c>
      <c r="K1578" t="s">
        <v>192</v>
      </c>
      <c r="L1578">
        <v>6</v>
      </c>
      <c r="M1578">
        <v>2135.86</v>
      </c>
      <c r="N1578">
        <v>0.17</v>
      </c>
      <c r="O1578">
        <v>10370.780000000001</v>
      </c>
      <c r="P1578">
        <v>5319.35</v>
      </c>
      <c r="Q1578">
        <v>62.28</v>
      </c>
      <c r="R1578" t="s">
        <v>65</v>
      </c>
      <c r="S1578">
        <v>2</v>
      </c>
      <c r="T1578" t="b">
        <v>0</v>
      </c>
      <c r="U1578" t="s">
        <v>30</v>
      </c>
      <c r="V1578">
        <v>8</v>
      </c>
    </row>
    <row r="1579" spans="1:22" x14ac:dyDescent="0.25">
      <c r="A1579" t="s">
        <v>3649</v>
      </c>
      <c r="B1579" s="1">
        <v>45545</v>
      </c>
      <c r="C1579" t="s">
        <v>3650</v>
      </c>
      <c r="D1579" t="s">
        <v>1126</v>
      </c>
      <c r="E1579">
        <v>38</v>
      </c>
      <c r="F1579" t="str">
        <f>IF(Table1[[#This Row],[age]]&lt;=25,"18-25",IF(Table1[[#This Row],[age]]&lt;=35,"26-35",IF(Table1[[#This Row],[age]]&lt;=50,"36-50","51+")))</f>
        <v>36-50</v>
      </c>
      <c r="G1579" t="s">
        <v>54</v>
      </c>
      <c r="H1579" t="s">
        <v>80</v>
      </c>
      <c r="I1579" t="s">
        <v>236</v>
      </c>
      <c r="J1579" t="s">
        <v>63</v>
      </c>
      <c r="K1579" t="s">
        <v>64</v>
      </c>
      <c r="L1579">
        <v>2</v>
      </c>
      <c r="M1579">
        <v>3110.73</v>
      </c>
      <c r="N1579">
        <v>0.31</v>
      </c>
      <c r="O1579">
        <v>5626.31</v>
      </c>
      <c r="P1579">
        <v>2678.85</v>
      </c>
      <c r="Q1579">
        <v>48.57</v>
      </c>
      <c r="R1579" t="s">
        <v>49</v>
      </c>
      <c r="S1579">
        <v>2</v>
      </c>
      <c r="T1579" t="b">
        <v>0</v>
      </c>
      <c r="U1579" t="s">
        <v>30</v>
      </c>
      <c r="V1579">
        <v>3</v>
      </c>
    </row>
    <row r="1580" spans="1:22" x14ac:dyDescent="0.25">
      <c r="A1580" t="s">
        <v>3651</v>
      </c>
      <c r="B1580" s="1">
        <v>45200</v>
      </c>
      <c r="C1580" t="s">
        <v>3652</v>
      </c>
      <c r="D1580" t="s">
        <v>407</v>
      </c>
      <c r="E1580">
        <v>40</v>
      </c>
      <c r="F1580" t="str">
        <f>IF(Table1[[#This Row],[age]]&lt;=25,"18-25",IF(Table1[[#This Row],[age]]&lt;=35,"26-35",IF(Table1[[#This Row],[age]]&lt;=50,"36-50","51+")))</f>
        <v>36-50</v>
      </c>
      <c r="G1580" t="s">
        <v>24</v>
      </c>
      <c r="H1580" t="s">
        <v>69</v>
      </c>
      <c r="I1580" t="s">
        <v>136</v>
      </c>
      <c r="J1580" t="s">
        <v>63</v>
      </c>
      <c r="K1580" t="s">
        <v>64</v>
      </c>
      <c r="L1580">
        <v>9</v>
      </c>
      <c r="M1580">
        <v>2536.02</v>
      </c>
      <c r="N1580">
        <v>0.14000000000000001</v>
      </c>
      <c r="O1580">
        <v>21413.39</v>
      </c>
      <c r="P1580">
        <v>5628.93</v>
      </c>
      <c r="Q1580">
        <v>110.12</v>
      </c>
      <c r="R1580" t="s">
        <v>92</v>
      </c>
      <c r="S1580">
        <v>3</v>
      </c>
      <c r="T1580" t="b">
        <v>0</v>
      </c>
      <c r="U1580" t="s">
        <v>30</v>
      </c>
      <c r="V1580">
        <v>8</v>
      </c>
    </row>
    <row r="1581" spans="1:22" x14ac:dyDescent="0.25">
      <c r="A1581" t="s">
        <v>3653</v>
      </c>
      <c r="B1581" s="1">
        <v>43859</v>
      </c>
      <c r="C1581" t="s">
        <v>3654</v>
      </c>
      <c r="D1581" t="s">
        <v>1348</v>
      </c>
      <c r="E1581">
        <v>32</v>
      </c>
      <c r="F1581" t="str">
        <f>IF(Table1[[#This Row],[age]]&lt;=25,"18-25",IF(Table1[[#This Row],[age]]&lt;=35,"26-35",IF(Table1[[#This Row],[age]]&lt;=50,"36-50","51+")))</f>
        <v>26-35</v>
      </c>
      <c r="G1581" t="s">
        <v>34</v>
      </c>
      <c r="H1581" t="s">
        <v>55</v>
      </c>
      <c r="I1581" t="s">
        <v>75</v>
      </c>
      <c r="J1581" t="s">
        <v>47</v>
      </c>
      <c r="K1581" t="s">
        <v>600</v>
      </c>
      <c r="L1581">
        <v>10</v>
      </c>
      <c r="M1581">
        <v>1068.22</v>
      </c>
      <c r="N1581">
        <v>0.28000000000000003</v>
      </c>
      <c r="O1581">
        <v>6120.48</v>
      </c>
      <c r="P1581">
        <v>1959.21</v>
      </c>
      <c r="Q1581">
        <v>71.19</v>
      </c>
      <c r="R1581" t="s">
        <v>92</v>
      </c>
      <c r="S1581">
        <v>5</v>
      </c>
      <c r="T1581" t="b">
        <v>0</v>
      </c>
      <c r="U1581" t="s">
        <v>30</v>
      </c>
      <c r="V1581">
        <v>10</v>
      </c>
    </row>
    <row r="1582" spans="1:22" x14ac:dyDescent="0.25">
      <c r="A1582" t="s">
        <v>3655</v>
      </c>
      <c r="B1582" s="1">
        <v>43842</v>
      </c>
      <c r="C1582" t="s">
        <v>3656</v>
      </c>
      <c r="D1582" t="s">
        <v>284</v>
      </c>
      <c r="E1582">
        <v>33</v>
      </c>
      <c r="F1582" t="str">
        <f>IF(Table1[[#This Row],[age]]&lt;=25,"18-25",IF(Table1[[#This Row],[age]]&lt;=35,"26-35",IF(Table1[[#This Row],[age]]&lt;=50,"36-50","51+")))</f>
        <v>26-35</v>
      </c>
      <c r="G1582" t="s">
        <v>54</v>
      </c>
      <c r="H1582" t="s">
        <v>80</v>
      </c>
      <c r="I1582" t="s">
        <v>242</v>
      </c>
      <c r="J1582" t="s">
        <v>63</v>
      </c>
      <c r="K1582" t="s">
        <v>87</v>
      </c>
      <c r="L1582">
        <v>5</v>
      </c>
      <c r="M1582">
        <v>982.12</v>
      </c>
      <c r="N1582">
        <v>0.14000000000000001</v>
      </c>
      <c r="O1582">
        <v>3024.95</v>
      </c>
      <c r="P1582">
        <v>1479.25</v>
      </c>
      <c r="Q1582">
        <v>87.03</v>
      </c>
      <c r="R1582" t="s">
        <v>29</v>
      </c>
      <c r="S1582">
        <v>1</v>
      </c>
      <c r="T1582" t="b">
        <v>0</v>
      </c>
      <c r="U1582" t="s">
        <v>71</v>
      </c>
      <c r="V1582">
        <v>6</v>
      </c>
    </row>
    <row r="1583" spans="1:22" x14ac:dyDescent="0.25">
      <c r="A1583" t="s">
        <v>3657</v>
      </c>
      <c r="B1583" s="1">
        <v>45532</v>
      </c>
      <c r="C1583" t="s">
        <v>3658</v>
      </c>
      <c r="D1583" t="s">
        <v>250</v>
      </c>
      <c r="E1583">
        <v>43</v>
      </c>
      <c r="F1583" t="str">
        <f>IF(Table1[[#This Row],[age]]&lt;=25,"18-25",IF(Table1[[#This Row],[age]]&lt;=35,"26-35",IF(Table1[[#This Row],[age]]&lt;=50,"36-50","51+")))</f>
        <v>36-50</v>
      </c>
      <c r="G1583" t="s">
        <v>24</v>
      </c>
      <c r="H1583" t="s">
        <v>25</v>
      </c>
      <c r="I1583" t="s">
        <v>298</v>
      </c>
      <c r="J1583" t="s">
        <v>36</v>
      </c>
      <c r="K1583" t="s">
        <v>132</v>
      </c>
      <c r="L1583">
        <v>5</v>
      </c>
      <c r="M1583">
        <v>10461.44</v>
      </c>
      <c r="N1583">
        <v>0.36</v>
      </c>
      <c r="O1583">
        <v>47377.21</v>
      </c>
      <c r="P1583">
        <v>9996.02</v>
      </c>
      <c r="Q1583">
        <v>42.47</v>
      </c>
      <c r="R1583" t="s">
        <v>29</v>
      </c>
      <c r="S1583">
        <v>3</v>
      </c>
      <c r="T1583" t="b">
        <v>0</v>
      </c>
      <c r="U1583" t="s">
        <v>30</v>
      </c>
      <c r="V1583">
        <v>8</v>
      </c>
    </row>
    <row r="1584" spans="1:22" x14ac:dyDescent="0.25">
      <c r="A1584" t="s">
        <v>3659</v>
      </c>
      <c r="B1584" s="1">
        <v>44601</v>
      </c>
      <c r="C1584" t="s">
        <v>3660</v>
      </c>
      <c r="D1584" t="s">
        <v>100</v>
      </c>
      <c r="E1584">
        <v>49</v>
      </c>
      <c r="F1584" t="str">
        <f>IF(Table1[[#This Row],[age]]&lt;=25,"18-25",IF(Table1[[#This Row],[age]]&lt;=35,"26-35",IF(Table1[[#This Row],[age]]&lt;=50,"36-50","51+")))</f>
        <v>36-50</v>
      </c>
      <c r="G1584" t="s">
        <v>24</v>
      </c>
      <c r="H1584" t="s">
        <v>61</v>
      </c>
      <c r="I1584" t="s">
        <v>163</v>
      </c>
      <c r="J1584" t="s">
        <v>115</v>
      </c>
      <c r="K1584" t="s">
        <v>137</v>
      </c>
      <c r="L1584">
        <v>6</v>
      </c>
      <c r="M1584">
        <v>56561.21</v>
      </c>
      <c r="N1584">
        <v>0.28000000000000003</v>
      </c>
      <c r="O1584">
        <v>224338.28</v>
      </c>
      <c r="P1584">
        <v>29151.1</v>
      </c>
      <c r="Q1584">
        <v>44.91</v>
      </c>
      <c r="R1584" t="s">
        <v>43</v>
      </c>
      <c r="S1584">
        <v>3</v>
      </c>
      <c r="T1584" t="b">
        <v>0</v>
      </c>
      <c r="U1584" t="s">
        <v>193</v>
      </c>
      <c r="V1584">
        <v>6</v>
      </c>
    </row>
    <row r="1585" spans="1:22" x14ac:dyDescent="0.25">
      <c r="A1585" t="s">
        <v>3661</v>
      </c>
      <c r="B1585" s="1">
        <v>44769</v>
      </c>
      <c r="C1585" t="s">
        <v>3662</v>
      </c>
      <c r="D1585" t="s">
        <v>657</v>
      </c>
      <c r="E1585">
        <v>20</v>
      </c>
      <c r="F1585" t="str">
        <f>IF(Table1[[#This Row],[age]]&lt;=25,"18-25",IF(Table1[[#This Row],[age]]&lt;=35,"26-35",IF(Table1[[#This Row],[age]]&lt;=50,"36-50","51+")))</f>
        <v>18-25</v>
      </c>
      <c r="G1585" t="s">
        <v>54</v>
      </c>
      <c r="H1585" t="s">
        <v>69</v>
      </c>
      <c r="I1585" t="s">
        <v>221</v>
      </c>
      <c r="J1585" t="s">
        <v>36</v>
      </c>
      <c r="K1585" t="s">
        <v>42</v>
      </c>
      <c r="L1585">
        <v>2</v>
      </c>
      <c r="M1585">
        <v>31495.21</v>
      </c>
      <c r="N1585">
        <v>0.33</v>
      </c>
      <c r="O1585">
        <v>64795.12</v>
      </c>
      <c r="P1585">
        <v>24291.07</v>
      </c>
      <c r="Q1585">
        <v>75.12</v>
      </c>
      <c r="R1585" t="s">
        <v>49</v>
      </c>
      <c r="S1585">
        <v>2</v>
      </c>
      <c r="T1585" t="b">
        <v>0</v>
      </c>
      <c r="U1585" t="s">
        <v>30</v>
      </c>
      <c r="V1585">
        <v>2</v>
      </c>
    </row>
    <row r="1586" spans="1:22" x14ac:dyDescent="0.25">
      <c r="A1586" t="s">
        <v>3663</v>
      </c>
      <c r="B1586" s="1">
        <v>43848</v>
      </c>
      <c r="C1586" t="s">
        <v>3664</v>
      </c>
      <c r="D1586" t="s">
        <v>823</v>
      </c>
      <c r="E1586">
        <v>35</v>
      </c>
      <c r="F1586" t="str">
        <f>IF(Table1[[#This Row],[age]]&lt;=25,"18-25",IF(Table1[[#This Row],[age]]&lt;=35,"26-35",IF(Table1[[#This Row],[age]]&lt;=50,"36-50","51+")))</f>
        <v>26-35</v>
      </c>
      <c r="G1586" t="s">
        <v>24</v>
      </c>
      <c r="H1586" t="s">
        <v>25</v>
      </c>
      <c r="I1586" t="s">
        <v>41</v>
      </c>
      <c r="J1586" t="s">
        <v>27</v>
      </c>
      <c r="K1586" t="s">
        <v>28</v>
      </c>
      <c r="L1586">
        <v>4</v>
      </c>
      <c r="M1586">
        <v>1072.98</v>
      </c>
      <c r="N1586">
        <v>0.33</v>
      </c>
      <c r="O1586">
        <v>2172.2399999999998</v>
      </c>
      <c r="P1586">
        <v>728.67</v>
      </c>
      <c r="Q1586">
        <v>54.1</v>
      </c>
      <c r="R1586" t="s">
        <v>92</v>
      </c>
      <c r="S1586">
        <v>2</v>
      </c>
      <c r="T1586" t="b">
        <v>0</v>
      </c>
      <c r="U1586" t="s">
        <v>30</v>
      </c>
      <c r="V1586">
        <v>8</v>
      </c>
    </row>
    <row r="1587" spans="1:22" x14ac:dyDescent="0.25">
      <c r="A1587" t="s">
        <v>3665</v>
      </c>
      <c r="B1587" s="1">
        <v>44709</v>
      </c>
      <c r="C1587" t="s">
        <v>3666</v>
      </c>
      <c r="D1587" t="s">
        <v>802</v>
      </c>
      <c r="E1587">
        <v>29</v>
      </c>
      <c r="F1587" t="str">
        <f>IF(Table1[[#This Row],[age]]&lt;=25,"18-25",IF(Table1[[#This Row],[age]]&lt;=35,"26-35",IF(Table1[[#This Row],[age]]&lt;=50,"36-50","51+")))</f>
        <v>26-35</v>
      </c>
      <c r="G1587" t="s">
        <v>34</v>
      </c>
      <c r="H1587" t="s">
        <v>55</v>
      </c>
      <c r="I1587" t="s">
        <v>56</v>
      </c>
      <c r="J1587" t="s">
        <v>101</v>
      </c>
      <c r="K1587" t="s">
        <v>456</v>
      </c>
      <c r="L1587">
        <v>3</v>
      </c>
      <c r="M1587">
        <v>1982.04</v>
      </c>
      <c r="N1587">
        <v>0.26</v>
      </c>
      <c r="O1587">
        <v>6584.46</v>
      </c>
      <c r="P1587">
        <v>1776.74</v>
      </c>
      <c r="Q1587">
        <v>74.510000000000005</v>
      </c>
      <c r="R1587" t="s">
        <v>92</v>
      </c>
      <c r="S1587">
        <v>1</v>
      </c>
      <c r="T1587" t="b">
        <v>1</v>
      </c>
      <c r="U1587" t="s">
        <v>50</v>
      </c>
      <c r="V1587">
        <v>2</v>
      </c>
    </row>
    <row r="1588" spans="1:22" x14ac:dyDescent="0.25">
      <c r="A1588" t="s">
        <v>3667</v>
      </c>
      <c r="B1588" s="1">
        <v>44697</v>
      </c>
      <c r="C1588" t="s">
        <v>3668</v>
      </c>
      <c r="D1588" t="s">
        <v>1598</v>
      </c>
      <c r="E1588">
        <v>35</v>
      </c>
      <c r="F1588" t="str">
        <f>IF(Table1[[#This Row],[age]]&lt;=25,"18-25",IF(Table1[[#This Row],[age]]&lt;=35,"26-35",IF(Table1[[#This Row],[age]]&lt;=50,"36-50","51+")))</f>
        <v>26-35</v>
      </c>
      <c r="G1588" t="s">
        <v>54</v>
      </c>
      <c r="H1588" t="s">
        <v>80</v>
      </c>
      <c r="I1588" t="s">
        <v>242</v>
      </c>
      <c r="J1588" t="s">
        <v>106</v>
      </c>
      <c r="K1588" t="s">
        <v>314</v>
      </c>
      <c r="L1588">
        <v>4</v>
      </c>
      <c r="M1588">
        <v>88.31</v>
      </c>
      <c r="N1588">
        <v>0.38</v>
      </c>
      <c r="O1588">
        <v>308.14999999999998</v>
      </c>
      <c r="P1588">
        <v>28.01</v>
      </c>
      <c r="Q1588">
        <v>51.4</v>
      </c>
      <c r="R1588" t="s">
        <v>43</v>
      </c>
      <c r="S1588">
        <v>3</v>
      </c>
      <c r="T1588" t="b">
        <v>1</v>
      </c>
      <c r="U1588" t="s">
        <v>50</v>
      </c>
      <c r="V1588">
        <v>5</v>
      </c>
    </row>
    <row r="1589" spans="1:22" x14ac:dyDescent="0.25">
      <c r="A1589" t="s">
        <v>3669</v>
      </c>
      <c r="B1589" s="1">
        <v>44841</v>
      </c>
      <c r="C1589" t="s">
        <v>3670</v>
      </c>
      <c r="D1589" t="s">
        <v>1166</v>
      </c>
      <c r="E1589">
        <v>23</v>
      </c>
      <c r="F1589" t="str">
        <f>IF(Table1[[#This Row],[age]]&lt;=25,"18-25",IF(Table1[[#This Row],[age]]&lt;=35,"26-35",IF(Table1[[#This Row],[age]]&lt;=50,"36-50","51+")))</f>
        <v>18-25</v>
      </c>
      <c r="G1589" t="s">
        <v>34</v>
      </c>
      <c r="H1589" t="s">
        <v>55</v>
      </c>
      <c r="I1589" t="s">
        <v>75</v>
      </c>
      <c r="J1589" t="s">
        <v>36</v>
      </c>
      <c r="K1589" t="s">
        <v>243</v>
      </c>
      <c r="L1589">
        <v>8</v>
      </c>
      <c r="M1589">
        <v>14019.33</v>
      </c>
      <c r="N1589">
        <v>0.14000000000000001</v>
      </c>
      <c r="O1589">
        <v>89382.21</v>
      </c>
      <c r="P1589">
        <v>25883.45</v>
      </c>
      <c r="Q1589">
        <v>54.76</v>
      </c>
      <c r="R1589" t="s">
        <v>49</v>
      </c>
      <c r="S1589">
        <v>5</v>
      </c>
      <c r="T1589" t="b">
        <v>0</v>
      </c>
      <c r="U1589" t="s">
        <v>71</v>
      </c>
      <c r="V1589">
        <v>4</v>
      </c>
    </row>
    <row r="1590" spans="1:22" x14ac:dyDescent="0.25">
      <c r="A1590" t="s">
        <v>3671</v>
      </c>
      <c r="B1590" s="1">
        <v>45142</v>
      </c>
      <c r="C1590" t="s">
        <v>3672</v>
      </c>
      <c r="D1590" t="s">
        <v>392</v>
      </c>
      <c r="E1590">
        <v>28</v>
      </c>
      <c r="F1590" t="str">
        <f>IF(Table1[[#This Row],[age]]&lt;=25,"18-25",IF(Table1[[#This Row],[age]]&lt;=35,"26-35",IF(Table1[[#This Row],[age]]&lt;=50,"36-50","51+")))</f>
        <v>26-35</v>
      </c>
      <c r="G1590" t="s">
        <v>24</v>
      </c>
      <c r="H1590" t="s">
        <v>55</v>
      </c>
      <c r="I1590" t="s">
        <v>114</v>
      </c>
      <c r="J1590" t="s">
        <v>63</v>
      </c>
      <c r="K1590" t="s">
        <v>64</v>
      </c>
      <c r="L1590">
        <v>9</v>
      </c>
      <c r="M1590">
        <v>3487.12</v>
      </c>
      <c r="N1590">
        <v>0.33</v>
      </c>
      <c r="O1590">
        <v>31127.41</v>
      </c>
      <c r="P1590">
        <v>10643.66</v>
      </c>
      <c r="Q1590">
        <v>62.57</v>
      </c>
      <c r="R1590" t="s">
        <v>49</v>
      </c>
      <c r="S1590">
        <v>4</v>
      </c>
      <c r="T1590" t="b">
        <v>0</v>
      </c>
      <c r="U1590" t="s">
        <v>30</v>
      </c>
      <c r="V1590">
        <v>7</v>
      </c>
    </row>
    <row r="1591" spans="1:22" x14ac:dyDescent="0.25">
      <c r="A1591" t="s">
        <v>3673</v>
      </c>
      <c r="B1591" s="1">
        <v>45365</v>
      </c>
      <c r="C1591" t="s">
        <v>3674</v>
      </c>
      <c r="D1591" t="s">
        <v>3675</v>
      </c>
      <c r="E1591">
        <v>25</v>
      </c>
      <c r="F1591" t="str">
        <f>IF(Table1[[#This Row],[age]]&lt;=25,"18-25",IF(Table1[[#This Row],[age]]&lt;=35,"26-35",IF(Table1[[#This Row],[age]]&lt;=50,"36-50","51+")))</f>
        <v>18-25</v>
      </c>
      <c r="G1591" t="s">
        <v>34</v>
      </c>
      <c r="H1591" t="s">
        <v>55</v>
      </c>
      <c r="I1591" t="s">
        <v>75</v>
      </c>
      <c r="J1591" t="s">
        <v>27</v>
      </c>
      <c r="K1591" t="s">
        <v>480</v>
      </c>
      <c r="L1591">
        <v>7</v>
      </c>
      <c r="M1591">
        <v>140.28</v>
      </c>
      <c r="N1591">
        <v>0.09</v>
      </c>
      <c r="O1591">
        <v>1117.68</v>
      </c>
      <c r="P1591">
        <v>498.94</v>
      </c>
      <c r="Q1591">
        <v>53.41</v>
      </c>
      <c r="R1591" t="s">
        <v>29</v>
      </c>
      <c r="S1591">
        <v>1</v>
      </c>
      <c r="T1591" t="b">
        <v>0</v>
      </c>
      <c r="U1591" t="s">
        <v>93</v>
      </c>
      <c r="V1591">
        <v>3</v>
      </c>
    </row>
    <row r="1592" spans="1:22" x14ac:dyDescent="0.25">
      <c r="A1592" t="s">
        <v>3676</v>
      </c>
      <c r="B1592" s="1">
        <v>44154</v>
      </c>
      <c r="C1592" t="s">
        <v>3677</v>
      </c>
      <c r="D1592" t="s">
        <v>603</v>
      </c>
      <c r="E1592">
        <v>40</v>
      </c>
      <c r="F1592" t="str">
        <f>IF(Table1[[#This Row],[age]]&lt;=25,"18-25",IF(Table1[[#This Row],[age]]&lt;=35,"26-35",IF(Table1[[#This Row],[age]]&lt;=50,"36-50","51+")))</f>
        <v>36-50</v>
      </c>
      <c r="G1592" t="s">
        <v>34</v>
      </c>
      <c r="H1592" t="s">
        <v>25</v>
      </c>
      <c r="I1592" t="s">
        <v>41</v>
      </c>
      <c r="J1592" t="s">
        <v>47</v>
      </c>
      <c r="K1592" t="s">
        <v>600</v>
      </c>
      <c r="L1592">
        <v>2</v>
      </c>
      <c r="M1592">
        <v>1299.05</v>
      </c>
      <c r="N1592">
        <v>0.27</v>
      </c>
      <c r="O1592">
        <v>1164.72</v>
      </c>
      <c r="P1592">
        <v>514.4</v>
      </c>
      <c r="Q1592">
        <v>72.209999999999994</v>
      </c>
      <c r="R1592" t="s">
        <v>92</v>
      </c>
      <c r="S1592">
        <v>4</v>
      </c>
      <c r="T1592" t="b">
        <v>0</v>
      </c>
      <c r="U1592" t="s">
        <v>30</v>
      </c>
      <c r="V1592">
        <v>10</v>
      </c>
    </row>
    <row r="1593" spans="1:22" x14ac:dyDescent="0.25">
      <c r="A1593" t="s">
        <v>3678</v>
      </c>
      <c r="B1593" s="1">
        <v>44203</v>
      </c>
      <c r="C1593" t="s">
        <v>3679</v>
      </c>
      <c r="D1593" t="s">
        <v>2639</v>
      </c>
      <c r="E1593">
        <v>35</v>
      </c>
      <c r="F1593" t="str">
        <f>IF(Table1[[#This Row],[age]]&lt;=25,"18-25",IF(Table1[[#This Row],[age]]&lt;=35,"26-35",IF(Table1[[#This Row],[age]]&lt;=50,"36-50","51+")))</f>
        <v>26-35</v>
      </c>
      <c r="G1593" t="s">
        <v>54</v>
      </c>
      <c r="H1593" t="s">
        <v>25</v>
      </c>
      <c r="I1593" t="s">
        <v>298</v>
      </c>
      <c r="J1593" t="s">
        <v>101</v>
      </c>
      <c r="K1593" t="s">
        <v>124</v>
      </c>
      <c r="L1593">
        <v>9</v>
      </c>
      <c r="M1593">
        <v>14339.86</v>
      </c>
      <c r="N1593">
        <v>0.04</v>
      </c>
      <c r="O1593">
        <v>107237.51</v>
      </c>
      <c r="P1593">
        <v>27378.18</v>
      </c>
      <c r="Q1593">
        <v>59.88</v>
      </c>
      <c r="R1593" t="s">
        <v>49</v>
      </c>
      <c r="S1593">
        <v>5</v>
      </c>
      <c r="T1593" t="b">
        <v>0</v>
      </c>
      <c r="U1593" t="s">
        <v>30</v>
      </c>
      <c r="V1593">
        <v>7</v>
      </c>
    </row>
    <row r="1594" spans="1:22" x14ac:dyDescent="0.25">
      <c r="A1594" t="s">
        <v>3680</v>
      </c>
      <c r="B1594" s="1">
        <v>45425</v>
      </c>
      <c r="C1594" t="s">
        <v>3681</v>
      </c>
      <c r="D1594" t="s">
        <v>60</v>
      </c>
      <c r="E1594">
        <v>19</v>
      </c>
      <c r="F1594" t="str">
        <f>IF(Table1[[#This Row],[age]]&lt;=25,"18-25",IF(Table1[[#This Row],[age]]&lt;=35,"26-35",IF(Table1[[#This Row],[age]]&lt;=50,"36-50","51+")))</f>
        <v>18-25</v>
      </c>
      <c r="G1594" t="s">
        <v>54</v>
      </c>
      <c r="H1594" t="s">
        <v>61</v>
      </c>
      <c r="I1594" t="s">
        <v>62</v>
      </c>
      <c r="J1594" t="s">
        <v>63</v>
      </c>
      <c r="K1594" t="s">
        <v>82</v>
      </c>
      <c r="L1594">
        <v>1</v>
      </c>
      <c r="M1594">
        <v>1396.08</v>
      </c>
      <c r="N1594">
        <v>0.02</v>
      </c>
      <c r="O1594">
        <v>2286.71</v>
      </c>
      <c r="P1594">
        <v>826.31</v>
      </c>
      <c r="Q1594">
        <v>32.4</v>
      </c>
      <c r="R1594" t="s">
        <v>57</v>
      </c>
      <c r="S1594">
        <v>2</v>
      </c>
      <c r="T1594" t="b">
        <v>0</v>
      </c>
      <c r="U1594" t="s">
        <v>30</v>
      </c>
      <c r="V1594">
        <v>4</v>
      </c>
    </row>
    <row r="1595" spans="1:22" x14ac:dyDescent="0.25">
      <c r="A1595" t="s">
        <v>3682</v>
      </c>
      <c r="B1595" s="1">
        <v>45221</v>
      </c>
      <c r="C1595" t="s">
        <v>3683</v>
      </c>
      <c r="D1595" t="s">
        <v>452</v>
      </c>
      <c r="E1595">
        <v>21</v>
      </c>
      <c r="F1595" t="str">
        <f>IF(Table1[[#This Row],[age]]&lt;=25,"18-25",IF(Table1[[#This Row],[age]]&lt;=35,"26-35",IF(Table1[[#This Row],[age]]&lt;=50,"36-50","51+")))</f>
        <v>18-25</v>
      </c>
      <c r="G1595" t="s">
        <v>24</v>
      </c>
      <c r="H1595" t="s">
        <v>61</v>
      </c>
      <c r="I1595" t="s">
        <v>91</v>
      </c>
      <c r="J1595" t="s">
        <v>101</v>
      </c>
      <c r="K1595" t="s">
        <v>102</v>
      </c>
      <c r="L1595">
        <v>7</v>
      </c>
      <c r="M1595">
        <v>3704.66</v>
      </c>
      <c r="N1595">
        <v>0.33</v>
      </c>
      <c r="O1595">
        <v>18963.560000000001</v>
      </c>
      <c r="P1595">
        <v>3880.05</v>
      </c>
      <c r="Q1595">
        <v>61.03</v>
      </c>
      <c r="R1595" t="s">
        <v>43</v>
      </c>
      <c r="S1595">
        <v>3</v>
      </c>
      <c r="T1595" t="b">
        <v>0</v>
      </c>
      <c r="U1595" t="s">
        <v>30</v>
      </c>
      <c r="V1595">
        <v>10</v>
      </c>
    </row>
    <row r="1596" spans="1:22" x14ac:dyDescent="0.25">
      <c r="A1596" t="s">
        <v>3684</v>
      </c>
      <c r="B1596" s="1">
        <v>45184</v>
      </c>
      <c r="C1596" t="s">
        <v>3685</v>
      </c>
      <c r="D1596" t="s">
        <v>2107</v>
      </c>
      <c r="E1596">
        <v>40</v>
      </c>
      <c r="F1596" t="str">
        <f>IF(Table1[[#This Row],[age]]&lt;=25,"18-25",IF(Table1[[#This Row],[age]]&lt;=35,"26-35",IF(Table1[[#This Row],[age]]&lt;=50,"36-50","51+")))</f>
        <v>36-50</v>
      </c>
      <c r="G1596" t="s">
        <v>34</v>
      </c>
      <c r="H1596" t="s">
        <v>55</v>
      </c>
      <c r="I1596" t="s">
        <v>56</v>
      </c>
      <c r="J1596" t="s">
        <v>47</v>
      </c>
      <c r="K1596" t="s">
        <v>48</v>
      </c>
      <c r="L1596">
        <v>3</v>
      </c>
      <c r="M1596">
        <v>662.97</v>
      </c>
      <c r="N1596">
        <v>0.22</v>
      </c>
      <c r="O1596">
        <v>1602.1</v>
      </c>
      <c r="P1596">
        <v>682.08</v>
      </c>
      <c r="Q1596">
        <v>60.4</v>
      </c>
      <c r="R1596" t="s">
        <v>65</v>
      </c>
      <c r="S1596">
        <v>3</v>
      </c>
      <c r="T1596" t="b">
        <v>0</v>
      </c>
      <c r="U1596" t="s">
        <v>30</v>
      </c>
      <c r="V1596">
        <v>8</v>
      </c>
    </row>
    <row r="1597" spans="1:22" x14ac:dyDescent="0.25">
      <c r="A1597" t="s">
        <v>3686</v>
      </c>
      <c r="B1597" s="1">
        <v>45612</v>
      </c>
      <c r="C1597" t="s">
        <v>3687</v>
      </c>
      <c r="D1597" t="s">
        <v>346</v>
      </c>
      <c r="E1597">
        <v>53</v>
      </c>
      <c r="F1597" t="str">
        <f>IF(Table1[[#This Row],[age]]&lt;=25,"18-25",IF(Table1[[#This Row],[age]]&lt;=35,"26-35",IF(Table1[[#This Row],[age]]&lt;=50,"36-50","51+")))</f>
        <v>51+</v>
      </c>
      <c r="G1597" t="s">
        <v>54</v>
      </c>
      <c r="H1597" t="s">
        <v>61</v>
      </c>
      <c r="I1597" t="s">
        <v>91</v>
      </c>
      <c r="J1597" t="s">
        <v>101</v>
      </c>
      <c r="K1597" t="s">
        <v>164</v>
      </c>
      <c r="L1597">
        <v>6</v>
      </c>
      <c r="M1597">
        <v>6418.63</v>
      </c>
      <c r="N1597">
        <v>0.12</v>
      </c>
      <c r="O1597">
        <v>31683.87</v>
      </c>
      <c r="P1597">
        <v>6743.34</v>
      </c>
      <c r="Q1597">
        <v>60.52</v>
      </c>
      <c r="R1597" t="s">
        <v>57</v>
      </c>
      <c r="S1597">
        <v>3</v>
      </c>
      <c r="T1597" t="b">
        <v>0</v>
      </c>
      <c r="U1597" t="s">
        <v>30</v>
      </c>
      <c r="V1597">
        <v>5</v>
      </c>
    </row>
    <row r="1598" spans="1:22" x14ac:dyDescent="0.25">
      <c r="A1598" t="s">
        <v>3688</v>
      </c>
      <c r="B1598" s="1">
        <v>44219</v>
      </c>
      <c r="C1598" t="s">
        <v>3689</v>
      </c>
      <c r="D1598" t="s">
        <v>767</v>
      </c>
      <c r="E1598">
        <v>48</v>
      </c>
      <c r="F1598" t="str">
        <f>IF(Table1[[#This Row],[age]]&lt;=25,"18-25",IF(Table1[[#This Row],[age]]&lt;=35,"26-35",IF(Table1[[#This Row],[age]]&lt;=50,"36-50","51+")))</f>
        <v>36-50</v>
      </c>
      <c r="G1598" t="s">
        <v>54</v>
      </c>
      <c r="H1598" t="s">
        <v>80</v>
      </c>
      <c r="I1598" t="s">
        <v>86</v>
      </c>
      <c r="J1598" t="s">
        <v>36</v>
      </c>
      <c r="K1598" t="s">
        <v>132</v>
      </c>
      <c r="L1598">
        <v>1</v>
      </c>
      <c r="M1598">
        <v>6917.97</v>
      </c>
      <c r="N1598">
        <v>0.23</v>
      </c>
      <c r="O1598">
        <v>4191.1499999999996</v>
      </c>
      <c r="P1598">
        <v>1571.77</v>
      </c>
      <c r="Q1598">
        <v>96.28</v>
      </c>
      <c r="R1598" t="s">
        <v>43</v>
      </c>
      <c r="S1598">
        <v>5</v>
      </c>
      <c r="T1598" t="b">
        <v>0</v>
      </c>
      <c r="U1598" t="s">
        <v>30</v>
      </c>
      <c r="V1598">
        <v>5</v>
      </c>
    </row>
    <row r="1599" spans="1:22" x14ac:dyDescent="0.25">
      <c r="A1599" t="s">
        <v>3690</v>
      </c>
      <c r="B1599" s="1">
        <v>44416</v>
      </c>
      <c r="C1599" t="s">
        <v>3691</v>
      </c>
      <c r="D1599" t="s">
        <v>3692</v>
      </c>
      <c r="E1599">
        <v>33</v>
      </c>
      <c r="F1599" t="str">
        <f>IF(Table1[[#This Row],[age]]&lt;=25,"18-25",IF(Table1[[#This Row],[age]]&lt;=35,"26-35",IF(Table1[[#This Row],[age]]&lt;=50,"36-50","51+")))</f>
        <v>26-35</v>
      </c>
      <c r="G1599" t="s">
        <v>24</v>
      </c>
      <c r="H1599" t="s">
        <v>80</v>
      </c>
      <c r="I1599" t="s">
        <v>86</v>
      </c>
      <c r="J1599" t="s">
        <v>63</v>
      </c>
      <c r="K1599" t="s">
        <v>82</v>
      </c>
      <c r="L1599">
        <v>9</v>
      </c>
      <c r="M1599">
        <v>1576.8</v>
      </c>
      <c r="N1599">
        <v>0.31</v>
      </c>
      <c r="O1599">
        <v>14192.8</v>
      </c>
      <c r="P1599">
        <v>7027.01</v>
      </c>
      <c r="Q1599">
        <v>63.25</v>
      </c>
      <c r="R1599" t="s">
        <v>65</v>
      </c>
      <c r="S1599">
        <v>2</v>
      </c>
      <c r="T1599" t="b">
        <v>0</v>
      </c>
      <c r="U1599" t="s">
        <v>30</v>
      </c>
      <c r="V1599">
        <v>6</v>
      </c>
    </row>
    <row r="1600" spans="1:22" x14ac:dyDescent="0.25">
      <c r="A1600" t="s">
        <v>3693</v>
      </c>
      <c r="B1600" s="1">
        <v>44600</v>
      </c>
      <c r="C1600" t="s">
        <v>3694</v>
      </c>
      <c r="D1600" t="s">
        <v>397</v>
      </c>
      <c r="E1600">
        <v>18</v>
      </c>
      <c r="F1600" t="str">
        <f>IF(Table1[[#This Row],[age]]&lt;=25,"18-25",IF(Table1[[#This Row],[age]]&lt;=35,"26-35",IF(Table1[[#This Row],[age]]&lt;=50,"36-50","51+")))</f>
        <v>18-25</v>
      </c>
      <c r="G1600" t="s">
        <v>24</v>
      </c>
      <c r="H1600" t="s">
        <v>80</v>
      </c>
      <c r="I1600" t="s">
        <v>81</v>
      </c>
      <c r="J1600" t="s">
        <v>47</v>
      </c>
      <c r="K1600" t="s">
        <v>204</v>
      </c>
      <c r="L1600">
        <v>999</v>
      </c>
      <c r="M1600">
        <v>709.64</v>
      </c>
      <c r="N1600">
        <v>0.16</v>
      </c>
      <c r="O1600">
        <v>533420.31000000006</v>
      </c>
      <c r="P1600">
        <v>141347.64000000001</v>
      </c>
      <c r="Q1600">
        <v>82.77</v>
      </c>
      <c r="R1600" t="s">
        <v>29</v>
      </c>
      <c r="S1600">
        <v>2</v>
      </c>
      <c r="T1600" t="b">
        <v>1</v>
      </c>
      <c r="U1600" t="s">
        <v>50</v>
      </c>
      <c r="V1600">
        <v>2</v>
      </c>
    </row>
    <row r="1601" spans="1:22" x14ac:dyDescent="0.25">
      <c r="A1601" t="s">
        <v>3695</v>
      </c>
      <c r="B1601" s="1">
        <v>45460</v>
      </c>
      <c r="C1601" t="s">
        <v>3696</v>
      </c>
      <c r="D1601" t="s">
        <v>241</v>
      </c>
      <c r="E1601">
        <v>39</v>
      </c>
      <c r="F1601" t="str">
        <f>IF(Table1[[#This Row],[age]]&lt;=25,"18-25",IF(Table1[[#This Row],[age]]&lt;=35,"26-35",IF(Table1[[#This Row],[age]]&lt;=50,"36-50","51+")))</f>
        <v>36-50</v>
      </c>
      <c r="G1601" t="s">
        <v>34</v>
      </c>
      <c r="H1601" t="s">
        <v>25</v>
      </c>
      <c r="I1601" t="s">
        <v>298</v>
      </c>
      <c r="J1601" t="s">
        <v>27</v>
      </c>
      <c r="K1601" t="s">
        <v>335</v>
      </c>
      <c r="L1601">
        <v>1</v>
      </c>
      <c r="M1601">
        <v>1139.19</v>
      </c>
      <c r="N1601">
        <v>0.02</v>
      </c>
      <c r="O1601">
        <v>2138.54</v>
      </c>
      <c r="P1601">
        <v>958.64</v>
      </c>
      <c r="Q1601">
        <v>47.9</v>
      </c>
      <c r="R1601" t="s">
        <v>43</v>
      </c>
      <c r="S1601">
        <v>2</v>
      </c>
      <c r="T1601" t="b">
        <v>0</v>
      </c>
      <c r="U1601" t="s">
        <v>30</v>
      </c>
      <c r="V1601">
        <v>6</v>
      </c>
    </row>
    <row r="1602" spans="1:22" x14ac:dyDescent="0.25">
      <c r="A1602" t="s">
        <v>3697</v>
      </c>
      <c r="B1602" s="1">
        <v>44313</v>
      </c>
      <c r="C1602" t="s">
        <v>3698</v>
      </c>
      <c r="D1602" t="s">
        <v>618</v>
      </c>
      <c r="E1602">
        <v>28</v>
      </c>
      <c r="F1602" t="str">
        <f>IF(Table1[[#This Row],[age]]&lt;=25,"18-25",IF(Table1[[#This Row],[age]]&lt;=35,"26-35",IF(Table1[[#This Row],[age]]&lt;=50,"36-50","51+")))</f>
        <v>26-35</v>
      </c>
      <c r="G1602" t="s">
        <v>54</v>
      </c>
      <c r="H1602" t="s">
        <v>55</v>
      </c>
      <c r="I1602" t="s">
        <v>97</v>
      </c>
      <c r="J1602" t="s">
        <v>115</v>
      </c>
      <c r="K1602" t="s">
        <v>137</v>
      </c>
      <c r="L1602">
        <v>8</v>
      </c>
      <c r="M1602">
        <v>55099.88</v>
      </c>
      <c r="N1602">
        <v>0.08</v>
      </c>
      <c r="O1602">
        <v>534701.88</v>
      </c>
      <c r="P1602">
        <v>62826.35</v>
      </c>
      <c r="Q1602">
        <v>64.28</v>
      </c>
      <c r="R1602" t="s">
        <v>65</v>
      </c>
      <c r="S1602">
        <v>5</v>
      </c>
      <c r="T1602" t="b">
        <v>0</v>
      </c>
      <c r="U1602" t="s">
        <v>71</v>
      </c>
      <c r="V1602">
        <v>2</v>
      </c>
    </row>
    <row r="1603" spans="1:22" x14ac:dyDescent="0.25">
      <c r="A1603" t="s">
        <v>3699</v>
      </c>
      <c r="B1603" s="1">
        <v>44876</v>
      </c>
      <c r="C1603" t="s">
        <v>3700</v>
      </c>
      <c r="D1603" t="s">
        <v>3701</v>
      </c>
      <c r="E1603">
        <v>30</v>
      </c>
      <c r="F1603" t="str">
        <f>IF(Table1[[#This Row],[age]]&lt;=25,"18-25",IF(Table1[[#This Row],[age]]&lt;=35,"26-35",IF(Table1[[#This Row],[age]]&lt;=50,"36-50","51+")))</f>
        <v>26-35</v>
      </c>
      <c r="G1603" t="s">
        <v>24</v>
      </c>
      <c r="H1603" t="s">
        <v>55</v>
      </c>
      <c r="I1603" t="s">
        <v>97</v>
      </c>
      <c r="J1603" t="s">
        <v>101</v>
      </c>
      <c r="K1603" t="s">
        <v>214</v>
      </c>
      <c r="L1603">
        <v>2</v>
      </c>
      <c r="M1603">
        <v>9107.15</v>
      </c>
      <c r="N1603">
        <v>0.1</v>
      </c>
      <c r="O1603">
        <v>14915.74</v>
      </c>
      <c r="P1603">
        <v>3305.13</v>
      </c>
      <c r="Q1603">
        <v>61.84</v>
      </c>
      <c r="R1603" t="s">
        <v>49</v>
      </c>
      <c r="S1603">
        <v>1</v>
      </c>
      <c r="T1603" t="b">
        <v>0</v>
      </c>
      <c r="U1603" t="s">
        <v>30</v>
      </c>
      <c r="V1603">
        <v>1</v>
      </c>
    </row>
    <row r="1604" spans="1:22" x14ac:dyDescent="0.25">
      <c r="A1604" t="s">
        <v>3702</v>
      </c>
      <c r="B1604" s="1">
        <v>44565</v>
      </c>
      <c r="C1604" t="s">
        <v>3703</v>
      </c>
      <c r="D1604" t="s">
        <v>522</v>
      </c>
      <c r="E1604">
        <v>37</v>
      </c>
      <c r="F1604" t="str">
        <f>IF(Table1[[#This Row],[age]]&lt;=25,"18-25",IF(Table1[[#This Row],[age]]&lt;=35,"26-35",IF(Table1[[#This Row],[age]]&lt;=50,"36-50","51+")))</f>
        <v>36-50</v>
      </c>
      <c r="G1604" t="s">
        <v>24</v>
      </c>
      <c r="H1604" t="s">
        <v>55</v>
      </c>
      <c r="I1604" t="s">
        <v>97</v>
      </c>
      <c r="J1604" t="s">
        <v>27</v>
      </c>
      <c r="K1604" t="s">
        <v>168</v>
      </c>
      <c r="L1604">
        <v>8</v>
      </c>
      <c r="M1604">
        <v>2293.23</v>
      </c>
      <c r="N1604">
        <v>0.01</v>
      </c>
      <c r="O1604">
        <v>15979.96</v>
      </c>
      <c r="P1604">
        <v>7902.58</v>
      </c>
      <c r="Q1604">
        <v>42.27</v>
      </c>
      <c r="R1604" t="s">
        <v>43</v>
      </c>
      <c r="S1604">
        <v>3</v>
      </c>
      <c r="T1604" t="b">
        <v>0</v>
      </c>
      <c r="U1604" t="s">
        <v>30</v>
      </c>
      <c r="V1604">
        <v>2</v>
      </c>
    </row>
    <row r="1605" spans="1:22" x14ac:dyDescent="0.25">
      <c r="A1605" t="s">
        <v>3704</v>
      </c>
      <c r="B1605" s="1">
        <v>45097</v>
      </c>
      <c r="C1605" t="s">
        <v>3705</v>
      </c>
      <c r="D1605" t="s">
        <v>235</v>
      </c>
      <c r="E1605">
        <v>38</v>
      </c>
      <c r="F1605" t="str">
        <f>IF(Table1[[#This Row],[age]]&lt;=25,"18-25",IF(Table1[[#This Row],[age]]&lt;=35,"26-35",IF(Table1[[#This Row],[age]]&lt;=50,"36-50","51+")))</f>
        <v>36-50</v>
      </c>
      <c r="G1605" t="s">
        <v>54</v>
      </c>
      <c r="H1605" t="s">
        <v>25</v>
      </c>
      <c r="I1605" t="s">
        <v>26</v>
      </c>
      <c r="J1605" t="s">
        <v>101</v>
      </c>
      <c r="K1605" t="s">
        <v>164</v>
      </c>
      <c r="L1605">
        <v>10</v>
      </c>
      <c r="M1605">
        <v>12849.18</v>
      </c>
      <c r="N1605">
        <v>0.17</v>
      </c>
      <c r="O1605">
        <v>162026.23999999999</v>
      </c>
      <c r="P1605">
        <v>55613.66</v>
      </c>
      <c r="Q1605">
        <v>50.59</v>
      </c>
      <c r="R1605" t="s">
        <v>65</v>
      </c>
      <c r="S1605">
        <v>1</v>
      </c>
      <c r="T1605" t="b">
        <v>1</v>
      </c>
      <c r="U1605" t="s">
        <v>50</v>
      </c>
      <c r="V1605">
        <v>6</v>
      </c>
    </row>
    <row r="1606" spans="1:22" x14ac:dyDescent="0.25">
      <c r="A1606" t="s">
        <v>3706</v>
      </c>
      <c r="B1606" s="1">
        <v>44150</v>
      </c>
      <c r="C1606" t="s">
        <v>3707</v>
      </c>
      <c r="D1606" t="s">
        <v>449</v>
      </c>
      <c r="E1606">
        <v>27</v>
      </c>
      <c r="F1606" t="str">
        <f>IF(Table1[[#This Row],[age]]&lt;=25,"18-25",IF(Table1[[#This Row],[age]]&lt;=35,"26-35",IF(Table1[[#This Row],[age]]&lt;=50,"36-50","51+")))</f>
        <v>26-35</v>
      </c>
      <c r="G1606" t="s">
        <v>54</v>
      </c>
      <c r="H1606" t="s">
        <v>25</v>
      </c>
      <c r="I1606" t="s">
        <v>41</v>
      </c>
      <c r="J1606" t="s">
        <v>27</v>
      </c>
      <c r="K1606" t="s">
        <v>168</v>
      </c>
      <c r="L1606">
        <v>8</v>
      </c>
      <c r="M1606">
        <v>577.09</v>
      </c>
      <c r="N1606">
        <v>0.31</v>
      </c>
      <c r="O1606">
        <v>1937.2</v>
      </c>
      <c r="P1606">
        <v>752.28</v>
      </c>
      <c r="Q1606">
        <v>44.38</v>
      </c>
      <c r="R1606" t="s">
        <v>43</v>
      </c>
      <c r="S1606">
        <v>3</v>
      </c>
      <c r="T1606" t="b">
        <v>0</v>
      </c>
      <c r="U1606" t="s">
        <v>30</v>
      </c>
      <c r="V1606">
        <v>3</v>
      </c>
    </row>
    <row r="1607" spans="1:22" x14ac:dyDescent="0.25">
      <c r="A1607" t="s">
        <v>3708</v>
      </c>
      <c r="B1607" s="1">
        <v>44159</v>
      </c>
      <c r="C1607" t="s">
        <v>3709</v>
      </c>
      <c r="D1607" t="s">
        <v>1622</v>
      </c>
      <c r="E1607">
        <v>41</v>
      </c>
      <c r="F1607" t="str">
        <f>IF(Table1[[#This Row],[age]]&lt;=25,"18-25",IF(Table1[[#This Row],[age]]&lt;=35,"26-35",IF(Table1[[#This Row],[age]]&lt;=50,"36-50","51+")))</f>
        <v>36-50</v>
      </c>
      <c r="G1607" t="s">
        <v>54</v>
      </c>
      <c r="H1607" t="s">
        <v>61</v>
      </c>
      <c r="I1607" t="s">
        <v>91</v>
      </c>
      <c r="J1607" t="s">
        <v>36</v>
      </c>
      <c r="K1607" t="s">
        <v>76</v>
      </c>
      <c r="L1607">
        <v>5</v>
      </c>
      <c r="M1607">
        <v>13802.21</v>
      </c>
      <c r="N1607">
        <v>0.01</v>
      </c>
      <c r="O1607">
        <v>49453.99</v>
      </c>
      <c r="P1607">
        <v>11156.02</v>
      </c>
      <c r="Q1607">
        <v>53.42</v>
      </c>
      <c r="R1607" t="s">
        <v>92</v>
      </c>
      <c r="S1607">
        <v>4</v>
      </c>
      <c r="T1607" t="b">
        <v>0</v>
      </c>
      <c r="U1607" t="s">
        <v>30</v>
      </c>
      <c r="V1607">
        <v>2</v>
      </c>
    </row>
    <row r="1608" spans="1:22" x14ac:dyDescent="0.25">
      <c r="A1608" t="s">
        <v>3710</v>
      </c>
      <c r="B1608" s="1">
        <v>44998</v>
      </c>
      <c r="C1608" t="s">
        <v>3711</v>
      </c>
      <c r="D1608" t="s">
        <v>685</v>
      </c>
      <c r="E1608">
        <v>39</v>
      </c>
      <c r="F1608" t="str">
        <f>IF(Table1[[#This Row],[age]]&lt;=25,"18-25",IF(Table1[[#This Row],[age]]&lt;=35,"26-35",IF(Table1[[#This Row],[age]]&lt;=50,"36-50","51+")))</f>
        <v>36-50</v>
      </c>
      <c r="G1608" t="s">
        <v>54</v>
      </c>
      <c r="H1608" t="s">
        <v>25</v>
      </c>
      <c r="I1608" t="s">
        <v>41</v>
      </c>
      <c r="J1608" t="s">
        <v>101</v>
      </c>
      <c r="K1608" t="s">
        <v>318</v>
      </c>
      <c r="L1608">
        <v>5</v>
      </c>
      <c r="M1608">
        <v>7209.98</v>
      </c>
      <c r="N1608">
        <v>0.1</v>
      </c>
      <c r="O1608">
        <v>44585.53</v>
      </c>
      <c r="P1608">
        <v>6266.72</v>
      </c>
      <c r="Q1608">
        <v>101.5</v>
      </c>
      <c r="R1608" t="s">
        <v>92</v>
      </c>
      <c r="S1608">
        <v>3</v>
      </c>
      <c r="T1608" t="b">
        <v>0</v>
      </c>
      <c r="U1608" t="s">
        <v>30</v>
      </c>
      <c r="V1608">
        <v>8</v>
      </c>
    </row>
    <row r="1609" spans="1:22" x14ac:dyDescent="0.25">
      <c r="A1609" t="s">
        <v>3712</v>
      </c>
      <c r="B1609" s="1">
        <v>45159</v>
      </c>
      <c r="C1609" t="s">
        <v>3713</v>
      </c>
      <c r="D1609" t="s">
        <v>1178</v>
      </c>
      <c r="E1609">
        <v>37</v>
      </c>
      <c r="F1609" t="str">
        <f>IF(Table1[[#This Row],[age]]&lt;=25,"18-25",IF(Table1[[#This Row],[age]]&lt;=35,"26-35",IF(Table1[[#This Row],[age]]&lt;=50,"36-50","51+")))</f>
        <v>36-50</v>
      </c>
      <c r="G1609" t="s">
        <v>34</v>
      </c>
      <c r="H1609" t="s">
        <v>25</v>
      </c>
      <c r="I1609" t="s">
        <v>41</v>
      </c>
      <c r="J1609" t="s">
        <v>101</v>
      </c>
      <c r="K1609" t="s">
        <v>456</v>
      </c>
      <c r="L1609">
        <v>8</v>
      </c>
      <c r="M1609">
        <v>11625.18</v>
      </c>
      <c r="N1609">
        <v>0.01</v>
      </c>
      <c r="O1609">
        <v>129797.26</v>
      </c>
      <c r="P1609">
        <v>30345.040000000001</v>
      </c>
      <c r="Q1609">
        <v>35.4</v>
      </c>
      <c r="R1609" t="s">
        <v>49</v>
      </c>
      <c r="S1609">
        <v>1</v>
      </c>
      <c r="T1609" t="b">
        <v>1</v>
      </c>
      <c r="U1609" t="s">
        <v>50</v>
      </c>
      <c r="V1609">
        <v>10</v>
      </c>
    </row>
    <row r="1610" spans="1:22" x14ac:dyDescent="0.25">
      <c r="A1610" t="s">
        <v>3714</v>
      </c>
      <c r="B1610" s="1">
        <v>45080</v>
      </c>
      <c r="C1610" t="s">
        <v>3715</v>
      </c>
      <c r="D1610" t="s">
        <v>551</v>
      </c>
      <c r="E1610">
        <v>32</v>
      </c>
      <c r="F1610" t="str">
        <f>IF(Table1[[#This Row],[age]]&lt;=25,"18-25",IF(Table1[[#This Row],[age]]&lt;=35,"26-35",IF(Table1[[#This Row],[age]]&lt;=50,"36-50","51+")))</f>
        <v>26-35</v>
      </c>
      <c r="G1610" t="s">
        <v>24</v>
      </c>
      <c r="H1610" t="s">
        <v>55</v>
      </c>
      <c r="I1610" t="s">
        <v>114</v>
      </c>
      <c r="J1610" t="s">
        <v>27</v>
      </c>
      <c r="K1610" t="s">
        <v>192</v>
      </c>
      <c r="L1610">
        <v>6</v>
      </c>
      <c r="M1610">
        <v>458.32</v>
      </c>
      <c r="N1610">
        <v>0.39</v>
      </c>
      <c r="O1610">
        <v>2879.46</v>
      </c>
      <c r="P1610">
        <v>1655.48</v>
      </c>
      <c r="Q1610">
        <v>66.8</v>
      </c>
      <c r="R1610" t="s">
        <v>65</v>
      </c>
      <c r="S1610">
        <v>5</v>
      </c>
      <c r="T1610" t="b">
        <v>0</v>
      </c>
      <c r="U1610" t="s">
        <v>30</v>
      </c>
      <c r="V1610">
        <v>4</v>
      </c>
    </row>
    <row r="1611" spans="1:22" x14ac:dyDescent="0.25">
      <c r="A1611" t="s">
        <v>3716</v>
      </c>
      <c r="B1611" s="1">
        <v>45576</v>
      </c>
      <c r="C1611" t="s">
        <v>3717</v>
      </c>
      <c r="D1611" t="s">
        <v>1338</v>
      </c>
      <c r="E1611">
        <v>30</v>
      </c>
      <c r="F1611" t="str">
        <f>IF(Table1[[#This Row],[age]]&lt;=25,"18-25",IF(Table1[[#This Row],[age]]&lt;=35,"26-35",IF(Table1[[#This Row],[age]]&lt;=50,"36-50","51+")))</f>
        <v>26-35</v>
      </c>
      <c r="G1611" t="s">
        <v>34</v>
      </c>
      <c r="H1611" t="s">
        <v>80</v>
      </c>
      <c r="I1611" t="s">
        <v>242</v>
      </c>
      <c r="J1611" t="s">
        <v>115</v>
      </c>
      <c r="K1611" t="s">
        <v>137</v>
      </c>
      <c r="L1611">
        <v>9</v>
      </c>
      <c r="M1611">
        <v>59350.94</v>
      </c>
      <c r="N1611">
        <v>0.39</v>
      </c>
      <c r="O1611">
        <v>398128.01</v>
      </c>
      <c r="P1611">
        <v>49023.97</v>
      </c>
      <c r="Q1611">
        <v>67.319999999999993</v>
      </c>
      <c r="R1611" t="s">
        <v>57</v>
      </c>
      <c r="S1611">
        <v>2</v>
      </c>
      <c r="T1611" t="b">
        <v>0</v>
      </c>
      <c r="U1611" t="s">
        <v>193</v>
      </c>
      <c r="V1611">
        <v>3</v>
      </c>
    </row>
    <row r="1612" spans="1:22" x14ac:dyDescent="0.25">
      <c r="A1612" t="s">
        <v>3718</v>
      </c>
      <c r="B1612" s="1">
        <v>45538</v>
      </c>
      <c r="C1612" t="s">
        <v>3719</v>
      </c>
      <c r="D1612" t="s">
        <v>777</v>
      </c>
      <c r="E1612">
        <v>33</v>
      </c>
      <c r="F1612" t="str">
        <f>IF(Table1[[#This Row],[age]]&lt;=25,"18-25",IF(Table1[[#This Row],[age]]&lt;=35,"26-35",IF(Table1[[#This Row],[age]]&lt;=50,"36-50","51+")))</f>
        <v>26-35</v>
      </c>
      <c r="G1612" t="s">
        <v>34</v>
      </c>
      <c r="H1612" t="s">
        <v>55</v>
      </c>
      <c r="I1612" t="s">
        <v>56</v>
      </c>
      <c r="J1612" t="s">
        <v>106</v>
      </c>
      <c r="K1612" t="s">
        <v>331</v>
      </c>
      <c r="L1612">
        <v>3</v>
      </c>
      <c r="M1612">
        <v>428.57</v>
      </c>
      <c r="N1612">
        <v>0.38</v>
      </c>
      <c r="O1612">
        <v>1124.8</v>
      </c>
      <c r="P1612">
        <v>97.77</v>
      </c>
      <c r="Q1612">
        <v>52.97</v>
      </c>
      <c r="R1612" t="s">
        <v>43</v>
      </c>
      <c r="S1612">
        <v>4</v>
      </c>
      <c r="T1612" t="b">
        <v>0</v>
      </c>
      <c r="U1612" t="s">
        <v>71</v>
      </c>
      <c r="V1612">
        <v>6</v>
      </c>
    </row>
    <row r="1613" spans="1:22" x14ac:dyDescent="0.25">
      <c r="A1613" t="s">
        <v>3720</v>
      </c>
      <c r="B1613" s="1">
        <v>44275</v>
      </c>
      <c r="C1613" t="s">
        <v>3721</v>
      </c>
      <c r="D1613" t="s">
        <v>1341</v>
      </c>
      <c r="E1613">
        <v>34</v>
      </c>
      <c r="F1613" t="str">
        <f>IF(Table1[[#This Row],[age]]&lt;=25,"18-25",IF(Table1[[#This Row],[age]]&lt;=35,"26-35",IF(Table1[[#This Row],[age]]&lt;=50,"36-50","51+")))</f>
        <v>26-35</v>
      </c>
      <c r="G1613" t="s">
        <v>24</v>
      </c>
      <c r="H1613" t="s">
        <v>69</v>
      </c>
      <c r="I1613" t="s">
        <v>70</v>
      </c>
      <c r="J1613" t="s">
        <v>27</v>
      </c>
      <c r="K1613" t="s">
        <v>192</v>
      </c>
      <c r="L1613">
        <v>3</v>
      </c>
      <c r="M1613">
        <v>1728.65</v>
      </c>
      <c r="N1613">
        <v>0.09</v>
      </c>
      <c r="O1613">
        <v>5386.67</v>
      </c>
      <c r="P1613">
        <v>2960.24</v>
      </c>
      <c r="Q1613">
        <v>87</v>
      </c>
      <c r="R1613" t="s">
        <v>29</v>
      </c>
      <c r="S1613">
        <v>3</v>
      </c>
      <c r="T1613" t="b">
        <v>0</v>
      </c>
      <c r="U1613" t="s">
        <v>30</v>
      </c>
      <c r="V1613">
        <v>1</v>
      </c>
    </row>
    <row r="1614" spans="1:22" x14ac:dyDescent="0.25">
      <c r="A1614" t="s">
        <v>3722</v>
      </c>
      <c r="B1614" s="1">
        <v>45331</v>
      </c>
      <c r="C1614" t="s">
        <v>3723</v>
      </c>
      <c r="D1614" t="s">
        <v>1825</v>
      </c>
      <c r="E1614">
        <v>32</v>
      </c>
      <c r="F1614" t="str">
        <f>IF(Table1[[#This Row],[age]]&lt;=25,"18-25",IF(Table1[[#This Row],[age]]&lt;=35,"26-35",IF(Table1[[#This Row],[age]]&lt;=50,"36-50","51+")))</f>
        <v>26-35</v>
      </c>
      <c r="G1614" t="s">
        <v>34</v>
      </c>
      <c r="H1614" t="s">
        <v>55</v>
      </c>
      <c r="I1614" t="s">
        <v>114</v>
      </c>
      <c r="J1614" t="s">
        <v>63</v>
      </c>
      <c r="K1614" t="s">
        <v>434</v>
      </c>
      <c r="L1614">
        <v>7</v>
      </c>
      <c r="M1614">
        <v>1122.22</v>
      </c>
      <c r="N1614">
        <v>0.17</v>
      </c>
      <c r="O1614">
        <v>7195.72</v>
      </c>
      <c r="P1614">
        <v>2557.08</v>
      </c>
      <c r="Q1614">
        <v>47.28</v>
      </c>
      <c r="R1614" t="s">
        <v>49</v>
      </c>
      <c r="S1614">
        <v>5</v>
      </c>
      <c r="T1614" t="b">
        <v>0</v>
      </c>
      <c r="U1614" t="s">
        <v>30</v>
      </c>
      <c r="V1614">
        <v>8</v>
      </c>
    </row>
    <row r="1615" spans="1:22" x14ac:dyDescent="0.25">
      <c r="A1615" t="s">
        <v>3724</v>
      </c>
      <c r="B1615" s="1">
        <v>44787</v>
      </c>
      <c r="C1615" t="s">
        <v>3725</v>
      </c>
      <c r="D1615" t="s">
        <v>2420</v>
      </c>
      <c r="E1615">
        <v>39</v>
      </c>
      <c r="F1615" t="str">
        <f>IF(Table1[[#This Row],[age]]&lt;=25,"18-25",IF(Table1[[#This Row],[age]]&lt;=35,"26-35",IF(Table1[[#This Row],[age]]&lt;=50,"36-50","51+")))</f>
        <v>36-50</v>
      </c>
      <c r="G1615" t="s">
        <v>24</v>
      </c>
      <c r="H1615" t="s">
        <v>69</v>
      </c>
      <c r="I1615" t="s">
        <v>136</v>
      </c>
      <c r="J1615" t="s">
        <v>27</v>
      </c>
      <c r="K1615" t="s">
        <v>192</v>
      </c>
      <c r="L1615">
        <v>6</v>
      </c>
      <c r="M1615">
        <v>553.63</v>
      </c>
      <c r="N1615">
        <v>0.36</v>
      </c>
      <c r="O1615">
        <v>2469.37</v>
      </c>
      <c r="P1615">
        <v>684.81</v>
      </c>
      <c r="Q1615">
        <v>53.3</v>
      </c>
      <c r="R1615" t="s">
        <v>29</v>
      </c>
      <c r="S1615">
        <v>5</v>
      </c>
      <c r="T1615" t="b">
        <v>0</v>
      </c>
      <c r="U1615" t="s">
        <v>93</v>
      </c>
      <c r="V1615">
        <v>4</v>
      </c>
    </row>
    <row r="1616" spans="1:22" x14ac:dyDescent="0.25">
      <c r="A1616" t="s">
        <v>3726</v>
      </c>
      <c r="B1616" s="1">
        <v>43932</v>
      </c>
      <c r="C1616" t="s">
        <v>3727</v>
      </c>
      <c r="D1616" t="s">
        <v>611</v>
      </c>
      <c r="E1616">
        <v>29</v>
      </c>
      <c r="F1616" t="str">
        <f>IF(Table1[[#This Row],[age]]&lt;=25,"18-25",IF(Table1[[#This Row],[age]]&lt;=35,"26-35",IF(Table1[[#This Row],[age]]&lt;=50,"36-50","51+")))</f>
        <v>26-35</v>
      </c>
      <c r="G1616" t="s">
        <v>54</v>
      </c>
      <c r="H1616" t="s">
        <v>69</v>
      </c>
      <c r="I1616" t="s">
        <v>221</v>
      </c>
      <c r="J1616" t="s">
        <v>47</v>
      </c>
      <c r="K1616" t="s">
        <v>48</v>
      </c>
      <c r="L1616">
        <v>3</v>
      </c>
      <c r="M1616">
        <v>859.03</v>
      </c>
      <c r="N1616">
        <v>7.0000000000000007E-2</v>
      </c>
      <c r="O1616">
        <v>3048.93</v>
      </c>
      <c r="P1616">
        <v>1479.26</v>
      </c>
      <c r="Q1616">
        <v>81.27</v>
      </c>
      <c r="R1616" t="s">
        <v>65</v>
      </c>
      <c r="S1616">
        <v>4</v>
      </c>
      <c r="T1616" t="b">
        <v>0</v>
      </c>
      <c r="U1616" t="s">
        <v>30</v>
      </c>
      <c r="V1616">
        <v>7</v>
      </c>
    </row>
    <row r="1617" spans="1:22" x14ac:dyDescent="0.25">
      <c r="A1617" t="s">
        <v>3728</v>
      </c>
      <c r="B1617" s="1">
        <v>45392</v>
      </c>
      <c r="C1617" t="s">
        <v>3729</v>
      </c>
      <c r="D1617" t="s">
        <v>140</v>
      </c>
      <c r="E1617">
        <v>48</v>
      </c>
      <c r="F1617" t="str">
        <f>IF(Table1[[#This Row],[age]]&lt;=25,"18-25",IF(Table1[[#This Row],[age]]&lt;=35,"26-35",IF(Table1[[#This Row],[age]]&lt;=50,"36-50","51+")))</f>
        <v>36-50</v>
      </c>
      <c r="G1617" t="s">
        <v>34</v>
      </c>
      <c r="H1617" t="s">
        <v>61</v>
      </c>
      <c r="I1617" t="s">
        <v>163</v>
      </c>
      <c r="J1617" t="s">
        <v>106</v>
      </c>
      <c r="K1617" t="s">
        <v>107</v>
      </c>
      <c r="L1617">
        <v>4</v>
      </c>
      <c r="M1617">
        <v>266.5</v>
      </c>
      <c r="N1617">
        <v>0.2</v>
      </c>
      <c r="O1617">
        <v>1241.25</v>
      </c>
      <c r="P1617">
        <v>67.67</v>
      </c>
      <c r="Q1617">
        <v>73.91</v>
      </c>
      <c r="R1617" t="s">
        <v>92</v>
      </c>
      <c r="S1617">
        <v>4</v>
      </c>
      <c r="T1617" t="b">
        <v>1</v>
      </c>
      <c r="U1617" t="s">
        <v>50</v>
      </c>
      <c r="V1617">
        <v>8</v>
      </c>
    </row>
    <row r="1618" spans="1:22" x14ac:dyDescent="0.25">
      <c r="A1618" t="s">
        <v>3730</v>
      </c>
      <c r="B1618" s="1">
        <v>44265</v>
      </c>
      <c r="C1618" t="s">
        <v>3731</v>
      </c>
      <c r="D1618" t="s">
        <v>740</v>
      </c>
      <c r="E1618">
        <v>21</v>
      </c>
      <c r="F1618" t="str">
        <f>IF(Table1[[#This Row],[age]]&lt;=25,"18-25",IF(Table1[[#This Row],[age]]&lt;=35,"26-35",IF(Table1[[#This Row],[age]]&lt;=50,"36-50","51+")))</f>
        <v>18-25</v>
      </c>
      <c r="G1618" t="s">
        <v>24</v>
      </c>
      <c r="H1618" t="s">
        <v>80</v>
      </c>
      <c r="I1618" t="s">
        <v>242</v>
      </c>
      <c r="J1618" t="s">
        <v>36</v>
      </c>
      <c r="K1618" t="s">
        <v>243</v>
      </c>
      <c r="L1618">
        <v>5</v>
      </c>
      <c r="M1618">
        <v>10002.31</v>
      </c>
      <c r="N1618">
        <v>0.4</v>
      </c>
      <c r="O1618">
        <v>30147.32</v>
      </c>
      <c r="P1618">
        <v>7265.89</v>
      </c>
      <c r="Q1618">
        <v>45.96</v>
      </c>
      <c r="R1618" t="s">
        <v>49</v>
      </c>
      <c r="S1618">
        <v>1</v>
      </c>
      <c r="T1618" t="b">
        <v>0</v>
      </c>
      <c r="U1618" t="s">
        <v>193</v>
      </c>
      <c r="V1618">
        <v>6</v>
      </c>
    </row>
    <row r="1619" spans="1:22" x14ac:dyDescent="0.25">
      <c r="A1619" t="s">
        <v>3732</v>
      </c>
      <c r="B1619" s="1">
        <v>44808</v>
      </c>
      <c r="C1619" t="s">
        <v>3733</v>
      </c>
      <c r="D1619" t="s">
        <v>1348</v>
      </c>
      <c r="E1619">
        <v>20</v>
      </c>
      <c r="F1619" t="str">
        <f>IF(Table1[[#This Row],[age]]&lt;=25,"18-25",IF(Table1[[#This Row],[age]]&lt;=35,"26-35",IF(Table1[[#This Row],[age]]&lt;=50,"36-50","51+")))</f>
        <v>18-25</v>
      </c>
      <c r="G1619" t="s">
        <v>54</v>
      </c>
      <c r="H1619" t="s">
        <v>61</v>
      </c>
      <c r="I1619" t="s">
        <v>91</v>
      </c>
      <c r="J1619" t="s">
        <v>36</v>
      </c>
      <c r="K1619" t="s">
        <v>37</v>
      </c>
      <c r="L1619">
        <v>3</v>
      </c>
      <c r="M1619">
        <v>18846.39</v>
      </c>
      <c r="N1619">
        <v>0.36</v>
      </c>
      <c r="O1619">
        <v>38600</v>
      </c>
      <c r="P1619">
        <v>11313.95</v>
      </c>
      <c r="Q1619">
        <v>56.75</v>
      </c>
      <c r="R1619" t="s">
        <v>49</v>
      </c>
      <c r="S1619">
        <v>5</v>
      </c>
      <c r="T1619" t="b">
        <v>0</v>
      </c>
      <c r="U1619" t="s">
        <v>30</v>
      </c>
      <c r="V1619">
        <v>4</v>
      </c>
    </row>
    <row r="1620" spans="1:22" x14ac:dyDescent="0.25">
      <c r="A1620" t="s">
        <v>3734</v>
      </c>
      <c r="B1620" s="1">
        <v>45514</v>
      </c>
      <c r="C1620" t="s">
        <v>3735</v>
      </c>
      <c r="D1620" t="s">
        <v>959</v>
      </c>
      <c r="E1620">
        <v>25</v>
      </c>
      <c r="F1620" t="str">
        <f>IF(Table1[[#This Row],[age]]&lt;=25,"18-25",IF(Table1[[#This Row],[age]]&lt;=35,"26-35",IF(Table1[[#This Row],[age]]&lt;=50,"36-50","51+")))</f>
        <v>18-25</v>
      </c>
      <c r="G1620" t="s">
        <v>24</v>
      </c>
      <c r="H1620" t="s">
        <v>25</v>
      </c>
      <c r="I1620" t="s">
        <v>298</v>
      </c>
      <c r="J1620" t="s">
        <v>63</v>
      </c>
      <c r="K1620" t="s">
        <v>434</v>
      </c>
      <c r="L1620">
        <v>3</v>
      </c>
      <c r="M1620">
        <v>2244.17</v>
      </c>
      <c r="N1620">
        <v>0.28000000000000003</v>
      </c>
      <c r="O1620">
        <v>8279.0400000000009</v>
      </c>
      <c r="P1620">
        <v>2388.36</v>
      </c>
      <c r="Q1620">
        <v>62.4</v>
      </c>
      <c r="R1620" t="s">
        <v>57</v>
      </c>
      <c r="S1620">
        <v>2</v>
      </c>
      <c r="T1620" t="b">
        <v>0</v>
      </c>
      <c r="U1620" t="s">
        <v>30</v>
      </c>
      <c r="V1620">
        <v>3</v>
      </c>
    </row>
    <row r="1621" spans="1:22" x14ac:dyDescent="0.25">
      <c r="A1621" t="s">
        <v>3736</v>
      </c>
      <c r="B1621" s="1">
        <v>44522</v>
      </c>
      <c r="C1621" t="s">
        <v>3737</v>
      </c>
      <c r="D1621" t="s">
        <v>674</v>
      </c>
      <c r="E1621">
        <v>37</v>
      </c>
      <c r="F1621" t="str">
        <f>IF(Table1[[#This Row],[age]]&lt;=25,"18-25",IF(Table1[[#This Row],[age]]&lt;=35,"26-35",IF(Table1[[#This Row],[age]]&lt;=50,"36-50","51+")))</f>
        <v>36-50</v>
      </c>
      <c r="G1621" t="s">
        <v>54</v>
      </c>
      <c r="H1621" t="s">
        <v>55</v>
      </c>
      <c r="I1621" t="s">
        <v>114</v>
      </c>
      <c r="J1621" t="s">
        <v>63</v>
      </c>
      <c r="K1621" t="s">
        <v>111</v>
      </c>
      <c r="L1621">
        <v>2</v>
      </c>
      <c r="M1621">
        <v>2623.58</v>
      </c>
      <c r="N1621">
        <v>0.37</v>
      </c>
      <c r="O1621">
        <v>2762.31</v>
      </c>
      <c r="P1621">
        <v>713.47</v>
      </c>
      <c r="Q1621">
        <v>62.67</v>
      </c>
      <c r="R1621" t="s">
        <v>57</v>
      </c>
      <c r="S1621">
        <v>1</v>
      </c>
      <c r="T1621" t="b">
        <v>1</v>
      </c>
      <c r="U1621" t="s">
        <v>50</v>
      </c>
      <c r="V1621">
        <v>3</v>
      </c>
    </row>
    <row r="1622" spans="1:22" x14ac:dyDescent="0.25">
      <c r="A1622" t="s">
        <v>3738</v>
      </c>
      <c r="B1622" s="1">
        <v>44380</v>
      </c>
      <c r="C1622" t="s">
        <v>3739</v>
      </c>
      <c r="D1622" t="s">
        <v>3740</v>
      </c>
      <c r="E1622">
        <v>24</v>
      </c>
      <c r="F1622" t="str">
        <f>IF(Table1[[#This Row],[age]]&lt;=25,"18-25",IF(Table1[[#This Row],[age]]&lt;=35,"26-35",IF(Table1[[#This Row],[age]]&lt;=50,"36-50","51+")))</f>
        <v>18-25</v>
      </c>
      <c r="G1622" t="s">
        <v>34</v>
      </c>
      <c r="H1622" t="s">
        <v>61</v>
      </c>
      <c r="I1622" t="s">
        <v>163</v>
      </c>
      <c r="J1622" t="s">
        <v>47</v>
      </c>
      <c r="K1622" t="s">
        <v>272</v>
      </c>
      <c r="L1622">
        <v>7</v>
      </c>
      <c r="M1622">
        <v>902.94</v>
      </c>
      <c r="N1622">
        <v>7.0000000000000007E-2</v>
      </c>
      <c r="O1622">
        <v>8693.5300000000007</v>
      </c>
      <c r="P1622">
        <v>4021.37</v>
      </c>
      <c r="Q1622">
        <v>58.45</v>
      </c>
      <c r="R1622" t="s">
        <v>29</v>
      </c>
      <c r="S1622">
        <v>4</v>
      </c>
      <c r="T1622" t="b">
        <v>0</v>
      </c>
      <c r="U1622" t="s">
        <v>30</v>
      </c>
      <c r="V1622">
        <v>4</v>
      </c>
    </row>
    <row r="1623" spans="1:22" x14ac:dyDescent="0.25">
      <c r="A1623" t="s">
        <v>3741</v>
      </c>
      <c r="B1623" s="1">
        <v>44556</v>
      </c>
      <c r="C1623" t="s">
        <v>3742</v>
      </c>
      <c r="D1623" t="s">
        <v>1598</v>
      </c>
      <c r="E1623">
        <v>32</v>
      </c>
      <c r="F1623" t="str">
        <f>IF(Table1[[#This Row],[age]]&lt;=25,"18-25",IF(Table1[[#This Row],[age]]&lt;=35,"26-35",IF(Table1[[#This Row],[age]]&lt;=50,"36-50","51+")))</f>
        <v>26-35</v>
      </c>
      <c r="G1623" t="s">
        <v>54</v>
      </c>
      <c r="H1623" t="s">
        <v>80</v>
      </c>
      <c r="I1623" t="s">
        <v>81</v>
      </c>
      <c r="J1623" t="s">
        <v>47</v>
      </c>
      <c r="K1623" t="s">
        <v>48</v>
      </c>
      <c r="L1623">
        <v>8</v>
      </c>
      <c r="M1623">
        <v>1023.77</v>
      </c>
      <c r="N1623">
        <v>0.35</v>
      </c>
      <c r="O1623">
        <v>4221.3599999999997</v>
      </c>
      <c r="P1623">
        <v>1605.93</v>
      </c>
      <c r="Q1623">
        <v>33.93</v>
      </c>
      <c r="R1623" t="s">
        <v>57</v>
      </c>
      <c r="S1623">
        <v>2</v>
      </c>
      <c r="T1623" t="b">
        <v>0</v>
      </c>
      <c r="U1623" t="s">
        <v>71</v>
      </c>
      <c r="V1623">
        <v>4</v>
      </c>
    </row>
    <row r="1624" spans="1:22" x14ac:dyDescent="0.25">
      <c r="A1624" t="s">
        <v>3743</v>
      </c>
      <c r="B1624" s="1">
        <v>44207</v>
      </c>
      <c r="C1624" t="s">
        <v>3744</v>
      </c>
      <c r="D1624" t="s">
        <v>220</v>
      </c>
      <c r="E1624">
        <v>34</v>
      </c>
      <c r="F1624" t="str">
        <f>IF(Table1[[#This Row],[age]]&lt;=25,"18-25",IF(Table1[[#This Row],[age]]&lt;=35,"26-35",IF(Table1[[#This Row],[age]]&lt;=50,"36-50","51+")))</f>
        <v>26-35</v>
      </c>
      <c r="G1624" t="s">
        <v>34</v>
      </c>
      <c r="H1624" t="s">
        <v>61</v>
      </c>
      <c r="I1624" t="s">
        <v>141</v>
      </c>
      <c r="J1624" t="s">
        <v>106</v>
      </c>
      <c r="K1624" t="s">
        <v>331</v>
      </c>
      <c r="L1624">
        <v>4</v>
      </c>
      <c r="M1624">
        <v>249.86</v>
      </c>
      <c r="N1624">
        <v>0.17</v>
      </c>
      <c r="O1624">
        <v>572.04</v>
      </c>
      <c r="P1624">
        <v>50.92</v>
      </c>
      <c r="Q1624">
        <v>67.97</v>
      </c>
      <c r="R1624" t="s">
        <v>57</v>
      </c>
      <c r="S1624">
        <v>5</v>
      </c>
      <c r="T1624" t="b">
        <v>0</v>
      </c>
      <c r="U1624" t="s">
        <v>30</v>
      </c>
      <c r="V1624">
        <v>3</v>
      </c>
    </row>
    <row r="1625" spans="1:22" x14ac:dyDescent="0.25">
      <c r="A1625" t="s">
        <v>3745</v>
      </c>
      <c r="B1625" s="1">
        <v>43956</v>
      </c>
      <c r="C1625" t="s">
        <v>3746</v>
      </c>
      <c r="D1625" t="s">
        <v>1662</v>
      </c>
      <c r="E1625">
        <v>53</v>
      </c>
      <c r="F1625" t="str">
        <f>IF(Table1[[#This Row],[age]]&lt;=25,"18-25",IF(Table1[[#This Row],[age]]&lt;=35,"26-35",IF(Table1[[#This Row],[age]]&lt;=50,"36-50","51+")))</f>
        <v>51+</v>
      </c>
      <c r="G1625" t="s">
        <v>34</v>
      </c>
      <c r="H1625" t="s">
        <v>69</v>
      </c>
      <c r="I1625" t="s">
        <v>181</v>
      </c>
      <c r="J1625" t="s">
        <v>27</v>
      </c>
      <c r="K1625" t="s">
        <v>128</v>
      </c>
      <c r="L1625">
        <v>3</v>
      </c>
      <c r="M1625">
        <v>842.68</v>
      </c>
      <c r="N1625">
        <v>0.35</v>
      </c>
      <c r="O1625">
        <v>2239.4899999999998</v>
      </c>
      <c r="P1625">
        <v>716.54</v>
      </c>
      <c r="Q1625">
        <v>89.81</v>
      </c>
      <c r="R1625" t="s">
        <v>65</v>
      </c>
      <c r="S1625">
        <v>4</v>
      </c>
      <c r="T1625" t="b">
        <v>0</v>
      </c>
      <c r="U1625" t="s">
        <v>30</v>
      </c>
      <c r="V1625">
        <v>10</v>
      </c>
    </row>
    <row r="1626" spans="1:22" x14ac:dyDescent="0.25">
      <c r="A1626" t="s">
        <v>3747</v>
      </c>
      <c r="B1626" s="1">
        <v>44707</v>
      </c>
      <c r="C1626" t="s">
        <v>3748</v>
      </c>
      <c r="D1626" t="s">
        <v>1392</v>
      </c>
      <c r="E1626">
        <v>45</v>
      </c>
      <c r="F1626" t="str">
        <f>IF(Table1[[#This Row],[age]]&lt;=25,"18-25",IF(Table1[[#This Row],[age]]&lt;=35,"26-35",IF(Table1[[#This Row],[age]]&lt;=50,"36-50","51+")))</f>
        <v>36-50</v>
      </c>
      <c r="G1626" t="s">
        <v>34</v>
      </c>
      <c r="H1626" t="s">
        <v>80</v>
      </c>
      <c r="I1626" t="s">
        <v>242</v>
      </c>
      <c r="J1626" t="s">
        <v>47</v>
      </c>
      <c r="K1626" t="s">
        <v>156</v>
      </c>
      <c r="L1626">
        <v>2</v>
      </c>
      <c r="M1626">
        <v>567.24</v>
      </c>
      <c r="N1626">
        <v>0.14000000000000001</v>
      </c>
      <c r="O1626">
        <v>1366.97</v>
      </c>
      <c r="P1626">
        <v>547.22</v>
      </c>
      <c r="Q1626">
        <v>86.26</v>
      </c>
      <c r="R1626" t="s">
        <v>92</v>
      </c>
      <c r="S1626">
        <v>4</v>
      </c>
      <c r="T1626" t="b">
        <v>0</v>
      </c>
      <c r="U1626" t="s">
        <v>30</v>
      </c>
      <c r="V1626">
        <v>3</v>
      </c>
    </row>
    <row r="1627" spans="1:22" x14ac:dyDescent="0.25">
      <c r="A1627" t="s">
        <v>3749</v>
      </c>
      <c r="B1627" s="1">
        <v>44394</v>
      </c>
      <c r="C1627" t="s">
        <v>3750</v>
      </c>
      <c r="D1627" t="s">
        <v>423</v>
      </c>
      <c r="E1627">
        <v>58</v>
      </c>
      <c r="F1627" t="str">
        <f>IF(Table1[[#This Row],[age]]&lt;=25,"18-25",IF(Table1[[#This Row],[age]]&lt;=35,"26-35",IF(Table1[[#This Row],[age]]&lt;=50,"36-50","51+")))</f>
        <v>51+</v>
      </c>
      <c r="G1627" t="s">
        <v>54</v>
      </c>
      <c r="H1627" t="s">
        <v>61</v>
      </c>
      <c r="I1627" t="s">
        <v>163</v>
      </c>
      <c r="J1627" t="s">
        <v>101</v>
      </c>
      <c r="K1627" t="s">
        <v>318</v>
      </c>
      <c r="L1627">
        <v>10</v>
      </c>
      <c r="M1627">
        <v>4548.04</v>
      </c>
      <c r="N1627">
        <v>0.13</v>
      </c>
      <c r="O1627">
        <v>54271.82</v>
      </c>
      <c r="P1627">
        <v>14354.18</v>
      </c>
      <c r="Q1627">
        <v>56.47</v>
      </c>
      <c r="R1627" t="s">
        <v>65</v>
      </c>
      <c r="S1627">
        <v>2</v>
      </c>
      <c r="T1627" t="b">
        <v>0</v>
      </c>
      <c r="U1627" t="s">
        <v>30</v>
      </c>
      <c r="V1627">
        <v>10</v>
      </c>
    </row>
    <row r="1628" spans="1:22" x14ac:dyDescent="0.25">
      <c r="A1628" t="s">
        <v>3751</v>
      </c>
      <c r="B1628" s="1">
        <v>44502</v>
      </c>
      <c r="C1628" t="s">
        <v>3752</v>
      </c>
      <c r="D1628" t="s">
        <v>577</v>
      </c>
      <c r="E1628">
        <v>34</v>
      </c>
      <c r="F1628" t="str">
        <f>IF(Table1[[#This Row],[age]]&lt;=25,"18-25",IF(Table1[[#This Row],[age]]&lt;=35,"26-35",IF(Table1[[#This Row],[age]]&lt;=50,"36-50","51+")))</f>
        <v>26-35</v>
      </c>
      <c r="G1628" t="s">
        <v>34</v>
      </c>
      <c r="H1628" t="s">
        <v>61</v>
      </c>
      <c r="I1628" t="s">
        <v>62</v>
      </c>
      <c r="J1628" t="s">
        <v>101</v>
      </c>
      <c r="K1628" t="s">
        <v>214</v>
      </c>
      <c r="L1628">
        <v>6</v>
      </c>
      <c r="M1628">
        <v>4549.08</v>
      </c>
      <c r="N1628">
        <v>0.16</v>
      </c>
      <c r="O1628">
        <v>21213.25</v>
      </c>
      <c r="P1628">
        <v>2811.21</v>
      </c>
      <c r="Q1628">
        <v>61.26</v>
      </c>
      <c r="R1628" t="s">
        <v>49</v>
      </c>
      <c r="S1628">
        <v>2</v>
      </c>
      <c r="T1628" t="b">
        <v>0</v>
      </c>
      <c r="U1628" t="s">
        <v>93</v>
      </c>
      <c r="V1628">
        <v>9</v>
      </c>
    </row>
    <row r="1629" spans="1:22" x14ac:dyDescent="0.25">
      <c r="A1629" t="s">
        <v>3753</v>
      </c>
      <c r="B1629" s="1">
        <v>45236</v>
      </c>
      <c r="C1629" t="s">
        <v>3754</v>
      </c>
      <c r="D1629" t="s">
        <v>1478</v>
      </c>
      <c r="E1629">
        <v>38</v>
      </c>
      <c r="F1629" t="str">
        <f>IF(Table1[[#This Row],[age]]&lt;=25,"18-25",IF(Table1[[#This Row],[age]]&lt;=35,"26-35",IF(Table1[[#This Row],[age]]&lt;=50,"36-50","51+")))</f>
        <v>36-50</v>
      </c>
      <c r="G1629" t="s">
        <v>34</v>
      </c>
      <c r="H1629" t="s">
        <v>61</v>
      </c>
      <c r="I1629" t="s">
        <v>62</v>
      </c>
      <c r="J1629" t="s">
        <v>115</v>
      </c>
      <c r="K1629" t="s">
        <v>545</v>
      </c>
      <c r="L1629">
        <v>7</v>
      </c>
      <c r="M1629">
        <v>45852.67</v>
      </c>
      <c r="N1629">
        <v>0.17</v>
      </c>
      <c r="O1629">
        <v>273026.12</v>
      </c>
      <c r="P1629">
        <v>30112.39</v>
      </c>
      <c r="Q1629">
        <v>26.23</v>
      </c>
      <c r="R1629" t="s">
        <v>43</v>
      </c>
      <c r="S1629">
        <v>3</v>
      </c>
      <c r="T1629" t="b">
        <v>0</v>
      </c>
      <c r="U1629" t="s">
        <v>30</v>
      </c>
      <c r="V1629">
        <v>6</v>
      </c>
    </row>
    <row r="1630" spans="1:22" x14ac:dyDescent="0.25">
      <c r="A1630" t="s">
        <v>3755</v>
      </c>
      <c r="B1630" s="1">
        <v>44856</v>
      </c>
      <c r="C1630" t="s">
        <v>3756</v>
      </c>
      <c r="D1630" t="s">
        <v>3049</v>
      </c>
      <c r="E1630">
        <v>34</v>
      </c>
      <c r="F1630" t="str">
        <f>IF(Table1[[#This Row],[age]]&lt;=25,"18-25",IF(Table1[[#This Row],[age]]&lt;=35,"26-35",IF(Table1[[#This Row],[age]]&lt;=50,"36-50","51+")))</f>
        <v>26-35</v>
      </c>
      <c r="G1630" t="s">
        <v>54</v>
      </c>
      <c r="H1630" t="s">
        <v>55</v>
      </c>
      <c r="I1630" t="s">
        <v>56</v>
      </c>
      <c r="J1630" t="s">
        <v>101</v>
      </c>
      <c r="K1630" t="s">
        <v>456</v>
      </c>
      <c r="L1630">
        <v>6</v>
      </c>
      <c r="M1630">
        <v>9589.48</v>
      </c>
      <c r="N1630">
        <v>0.15</v>
      </c>
      <c r="O1630">
        <v>48651.38</v>
      </c>
      <c r="P1630">
        <v>11292.58</v>
      </c>
      <c r="Q1630">
        <v>25.65</v>
      </c>
      <c r="R1630" t="s">
        <v>43</v>
      </c>
      <c r="S1630">
        <v>3</v>
      </c>
      <c r="T1630" t="b">
        <v>1</v>
      </c>
      <c r="U1630" t="s">
        <v>50</v>
      </c>
      <c r="V1630">
        <v>2</v>
      </c>
    </row>
    <row r="1631" spans="1:22" x14ac:dyDescent="0.25">
      <c r="A1631" t="s">
        <v>3757</v>
      </c>
      <c r="B1631" s="1">
        <v>44377</v>
      </c>
      <c r="C1631" t="s">
        <v>3758</v>
      </c>
      <c r="D1631" t="s">
        <v>2159</v>
      </c>
      <c r="E1631">
        <v>35</v>
      </c>
      <c r="F1631" t="str">
        <f>IF(Table1[[#This Row],[age]]&lt;=25,"18-25",IF(Table1[[#This Row],[age]]&lt;=35,"26-35",IF(Table1[[#This Row],[age]]&lt;=50,"36-50","51+")))</f>
        <v>26-35</v>
      </c>
      <c r="G1631" t="s">
        <v>54</v>
      </c>
      <c r="H1631" t="s">
        <v>55</v>
      </c>
      <c r="I1631" t="s">
        <v>75</v>
      </c>
      <c r="J1631" t="s">
        <v>36</v>
      </c>
      <c r="K1631" t="s">
        <v>76</v>
      </c>
      <c r="L1631">
        <v>3</v>
      </c>
      <c r="M1631">
        <v>21424.67</v>
      </c>
      <c r="N1631">
        <v>0.06</v>
      </c>
      <c r="O1631">
        <v>89031.360000000001</v>
      </c>
      <c r="P1631">
        <v>26411.55</v>
      </c>
      <c r="Q1631">
        <v>50.15</v>
      </c>
      <c r="R1631" t="s">
        <v>29</v>
      </c>
      <c r="S1631">
        <v>4</v>
      </c>
      <c r="T1631" t="b">
        <v>0</v>
      </c>
      <c r="U1631" t="s">
        <v>30</v>
      </c>
      <c r="V1631">
        <v>100</v>
      </c>
    </row>
    <row r="1632" spans="1:22" x14ac:dyDescent="0.25">
      <c r="A1632" t="s">
        <v>3759</v>
      </c>
      <c r="B1632" s="1">
        <v>45538</v>
      </c>
      <c r="C1632" t="s">
        <v>3760</v>
      </c>
      <c r="D1632" t="s">
        <v>1785</v>
      </c>
      <c r="E1632">
        <v>36</v>
      </c>
      <c r="F1632" t="str">
        <f>IF(Table1[[#This Row],[age]]&lt;=25,"18-25",IF(Table1[[#This Row],[age]]&lt;=35,"26-35",IF(Table1[[#This Row],[age]]&lt;=50,"36-50","51+")))</f>
        <v>36-50</v>
      </c>
      <c r="G1632" t="s">
        <v>54</v>
      </c>
      <c r="H1632" t="s">
        <v>25</v>
      </c>
      <c r="I1632" t="s">
        <v>41</v>
      </c>
      <c r="J1632" t="s">
        <v>36</v>
      </c>
      <c r="K1632" t="s">
        <v>37</v>
      </c>
      <c r="L1632">
        <v>10</v>
      </c>
      <c r="M1632">
        <v>3353.32</v>
      </c>
      <c r="N1632">
        <v>0.24</v>
      </c>
      <c r="O1632">
        <v>34535.760000000002</v>
      </c>
      <c r="P1632">
        <v>8625.6200000000008</v>
      </c>
      <c r="Q1632">
        <v>64.38</v>
      </c>
      <c r="R1632" t="s">
        <v>57</v>
      </c>
      <c r="S1632">
        <v>4</v>
      </c>
      <c r="T1632" t="b">
        <v>0</v>
      </c>
      <c r="U1632" t="s">
        <v>30</v>
      </c>
      <c r="V1632">
        <v>1</v>
      </c>
    </row>
    <row r="1633" spans="1:22" x14ac:dyDescent="0.25">
      <c r="A1633" t="s">
        <v>3761</v>
      </c>
      <c r="B1633" s="1">
        <v>44343</v>
      </c>
      <c r="C1633" t="s">
        <v>3762</v>
      </c>
      <c r="D1633" t="s">
        <v>536</v>
      </c>
      <c r="E1633">
        <v>29</v>
      </c>
      <c r="F1633" t="str">
        <f>IF(Table1[[#This Row],[age]]&lt;=25,"18-25",IF(Table1[[#This Row],[age]]&lt;=35,"26-35",IF(Table1[[#This Row],[age]]&lt;=50,"36-50","51+")))</f>
        <v>26-35</v>
      </c>
      <c r="G1633" t="s">
        <v>54</v>
      </c>
      <c r="H1633" t="s">
        <v>25</v>
      </c>
      <c r="I1633" t="s">
        <v>26</v>
      </c>
      <c r="J1633" t="s">
        <v>27</v>
      </c>
      <c r="K1633" t="s">
        <v>28</v>
      </c>
      <c r="L1633">
        <v>4</v>
      </c>
      <c r="M1633">
        <v>801.79</v>
      </c>
      <c r="N1633">
        <v>0.15</v>
      </c>
      <c r="O1633">
        <v>3581.26</v>
      </c>
      <c r="P1633">
        <v>1505.99</v>
      </c>
      <c r="Q1633">
        <v>60.89</v>
      </c>
      <c r="R1633" t="s">
        <v>29</v>
      </c>
      <c r="S1633">
        <v>5</v>
      </c>
      <c r="T1633" t="b">
        <v>0</v>
      </c>
      <c r="U1633" t="s">
        <v>30</v>
      </c>
      <c r="V1633">
        <v>5</v>
      </c>
    </row>
    <row r="1634" spans="1:22" x14ac:dyDescent="0.25">
      <c r="A1634" t="s">
        <v>3763</v>
      </c>
      <c r="B1634" s="1">
        <v>45180</v>
      </c>
      <c r="C1634" t="s">
        <v>3764</v>
      </c>
      <c r="D1634" t="s">
        <v>297</v>
      </c>
      <c r="E1634">
        <v>37</v>
      </c>
      <c r="F1634" t="str">
        <f>IF(Table1[[#This Row],[age]]&lt;=25,"18-25",IF(Table1[[#This Row],[age]]&lt;=35,"26-35",IF(Table1[[#This Row],[age]]&lt;=50,"36-50","51+")))</f>
        <v>36-50</v>
      </c>
      <c r="G1634" t="s">
        <v>34</v>
      </c>
      <c r="H1634" t="s">
        <v>80</v>
      </c>
      <c r="I1634" t="s">
        <v>236</v>
      </c>
      <c r="J1634" t="s">
        <v>115</v>
      </c>
      <c r="K1634" t="s">
        <v>197</v>
      </c>
      <c r="L1634">
        <v>2</v>
      </c>
      <c r="M1634">
        <v>73717.77</v>
      </c>
      <c r="N1634">
        <v>0.14000000000000001</v>
      </c>
      <c r="O1634">
        <v>145540.46</v>
      </c>
      <c r="P1634">
        <v>16844.099999999999</v>
      </c>
      <c r="Q1634">
        <v>84.06</v>
      </c>
      <c r="R1634" t="s">
        <v>57</v>
      </c>
      <c r="S1634">
        <v>4</v>
      </c>
      <c r="T1634" t="b">
        <v>0</v>
      </c>
      <c r="U1634" t="s">
        <v>30</v>
      </c>
      <c r="V1634">
        <v>7</v>
      </c>
    </row>
    <row r="1635" spans="1:22" x14ac:dyDescent="0.25">
      <c r="A1635" t="s">
        <v>3765</v>
      </c>
      <c r="B1635" s="1">
        <v>45232</v>
      </c>
      <c r="C1635" t="s">
        <v>3766</v>
      </c>
      <c r="D1635" t="s">
        <v>1103</v>
      </c>
      <c r="E1635">
        <v>57</v>
      </c>
      <c r="F1635" t="str">
        <f>IF(Table1[[#This Row],[age]]&lt;=25,"18-25",IF(Table1[[#This Row],[age]]&lt;=35,"26-35",IF(Table1[[#This Row],[age]]&lt;=50,"36-50","51+")))</f>
        <v>51+</v>
      </c>
      <c r="G1635" t="s">
        <v>24</v>
      </c>
      <c r="H1635" t="s">
        <v>25</v>
      </c>
      <c r="I1635" t="s">
        <v>41</v>
      </c>
      <c r="J1635" t="s">
        <v>47</v>
      </c>
      <c r="K1635" t="s">
        <v>272</v>
      </c>
      <c r="L1635">
        <v>8</v>
      </c>
      <c r="M1635">
        <v>784.92</v>
      </c>
      <c r="N1635">
        <v>0.2</v>
      </c>
      <c r="O1635">
        <v>4517.75</v>
      </c>
      <c r="P1635">
        <v>1812.28</v>
      </c>
      <c r="Q1635">
        <v>66.510000000000005</v>
      </c>
      <c r="R1635" t="s">
        <v>92</v>
      </c>
      <c r="S1635">
        <v>2</v>
      </c>
      <c r="T1635" t="b">
        <v>0</v>
      </c>
      <c r="U1635" t="s">
        <v>93</v>
      </c>
      <c r="V1635">
        <v>5</v>
      </c>
    </row>
    <row r="1636" spans="1:22" x14ac:dyDescent="0.25">
      <c r="A1636" t="s">
        <v>3767</v>
      </c>
      <c r="B1636" s="1">
        <v>44815</v>
      </c>
      <c r="C1636" t="s">
        <v>3768</v>
      </c>
      <c r="D1636" t="s">
        <v>1659</v>
      </c>
      <c r="E1636">
        <v>37</v>
      </c>
      <c r="F1636" t="str">
        <f>IF(Table1[[#This Row],[age]]&lt;=25,"18-25",IF(Table1[[#This Row],[age]]&lt;=35,"26-35",IF(Table1[[#This Row],[age]]&lt;=50,"36-50","51+")))</f>
        <v>36-50</v>
      </c>
      <c r="G1636" t="s">
        <v>24</v>
      </c>
      <c r="H1636" t="s">
        <v>61</v>
      </c>
      <c r="I1636" t="s">
        <v>62</v>
      </c>
      <c r="J1636" t="s">
        <v>106</v>
      </c>
      <c r="K1636" t="s">
        <v>247</v>
      </c>
      <c r="L1636">
        <v>3</v>
      </c>
      <c r="M1636">
        <v>466.4</v>
      </c>
      <c r="N1636">
        <v>0.19</v>
      </c>
      <c r="O1636">
        <v>1143.9000000000001</v>
      </c>
      <c r="P1636">
        <v>83.86</v>
      </c>
      <c r="Q1636">
        <v>52.43</v>
      </c>
      <c r="R1636" t="s">
        <v>43</v>
      </c>
      <c r="S1636">
        <v>5</v>
      </c>
      <c r="T1636" t="b">
        <v>0</v>
      </c>
      <c r="U1636" t="s">
        <v>30</v>
      </c>
      <c r="V1636">
        <v>10</v>
      </c>
    </row>
    <row r="1637" spans="1:22" x14ac:dyDescent="0.25">
      <c r="A1637" t="s">
        <v>3769</v>
      </c>
      <c r="B1637" s="1">
        <v>44219</v>
      </c>
      <c r="C1637" t="s">
        <v>3770</v>
      </c>
      <c r="D1637" t="s">
        <v>1914</v>
      </c>
      <c r="E1637">
        <v>25</v>
      </c>
      <c r="F1637" t="str">
        <f>IF(Table1[[#This Row],[age]]&lt;=25,"18-25",IF(Table1[[#This Row],[age]]&lt;=35,"26-35",IF(Table1[[#This Row],[age]]&lt;=50,"36-50","51+")))</f>
        <v>18-25</v>
      </c>
      <c r="G1637" t="s">
        <v>34</v>
      </c>
      <c r="H1637" t="s">
        <v>25</v>
      </c>
      <c r="I1637" t="s">
        <v>41</v>
      </c>
      <c r="J1637" t="s">
        <v>63</v>
      </c>
      <c r="K1637" t="s">
        <v>82</v>
      </c>
      <c r="L1637">
        <v>2</v>
      </c>
      <c r="M1637">
        <v>1329.5</v>
      </c>
      <c r="N1637">
        <v>0.28000000000000003</v>
      </c>
      <c r="O1637">
        <v>1346.05</v>
      </c>
      <c r="P1637">
        <v>364.15</v>
      </c>
      <c r="Q1637">
        <v>72.34</v>
      </c>
      <c r="R1637" t="s">
        <v>49</v>
      </c>
      <c r="S1637">
        <v>4</v>
      </c>
      <c r="T1637" t="b">
        <v>0</v>
      </c>
      <c r="U1637" t="s">
        <v>193</v>
      </c>
      <c r="V1637">
        <v>9</v>
      </c>
    </row>
    <row r="1638" spans="1:22" x14ac:dyDescent="0.25">
      <c r="A1638" t="s">
        <v>3771</v>
      </c>
      <c r="B1638" s="1">
        <v>45579</v>
      </c>
      <c r="C1638" t="s">
        <v>3772</v>
      </c>
      <c r="D1638" t="s">
        <v>412</v>
      </c>
      <c r="E1638">
        <v>41</v>
      </c>
      <c r="F1638" t="str">
        <f>IF(Table1[[#This Row],[age]]&lt;=25,"18-25",IF(Table1[[#This Row],[age]]&lt;=35,"26-35",IF(Table1[[#This Row],[age]]&lt;=50,"36-50","51+")))</f>
        <v>36-50</v>
      </c>
      <c r="G1638" t="s">
        <v>54</v>
      </c>
      <c r="H1638" t="s">
        <v>61</v>
      </c>
      <c r="I1638" t="s">
        <v>141</v>
      </c>
      <c r="J1638" t="s">
        <v>63</v>
      </c>
      <c r="K1638" t="s">
        <v>434</v>
      </c>
      <c r="L1638">
        <v>5</v>
      </c>
      <c r="M1638">
        <v>720.42</v>
      </c>
      <c r="N1638">
        <v>0.21</v>
      </c>
      <c r="O1638">
        <v>3357.38</v>
      </c>
      <c r="P1638">
        <v>988.15</v>
      </c>
      <c r="Q1638">
        <v>51.08</v>
      </c>
      <c r="R1638" t="s">
        <v>65</v>
      </c>
      <c r="S1638">
        <v>1</v>
      </c>
      <c r="T1638" t="b">
        <v>1</v>
      </c>
      <c r="U1638" t="s">
        <v>50</v>
      </c>
      <c r="V1638">
        <v>8</v>
      </c>
    </row>
    <row r="1639" spans="1:22" x14ac:dyDescent="0.25">
      <c r="A1639" t="s">
        <v>3773</v>
      </c>
      <c r="B1639" s="1">
        <v>44230</v>
      </c>
      <c r="C1639" t="s">
        <v>3774</v>
      </c>
      <c r="D1639" t="s">
        <v>1420</v>
      </c>
      <c r="E1639">
        <v>54</v>
      </c>
      <c r="F1639" t="str">
        <f>IF(Table1[[#This Row],[age]]&lt;=25,"18-25",IF(Table1[[#This Row],[age]]&lt;=35,"26-35",IF(Table1[[#This Row],[age]]&lt;=50,"36-50","51+")))</f>
        <v>51+</v>
      </c>
      <c r="G1639" t="s">
        <v>34</v>
      </c>
      <c r="H1639" t="s">
        <v>61</v>
      </c>
      <c r="I1639" t="s">
        <v>91</v>
      </c>
      <c r="J1639" t="s">
        <v>36</v>
      </c>
      <c r="K1639" t="s">
        <v>42</v>
      </c>
      <c r="L1639">
        <v>6</v>
      </c>
      <c r="M1639">
        <v>32916.71</v>
      </c>
      <c r="N1639">
        <v>0.08</v>
      </c>
      <c r="O1639">
        <v>176331.64</v>
      </c>
      <c r="P1639">
        <v>48719.54</v>
      </c>
      <c r="Q1639">
        <v>48.18</v>
      </c>
      <c r="R1639" t="s">
        <v>29</v>
      </c>
      <c r="S1639">
        <v>5</v>
      </c>
      <c r="T1639" t="b">
        <v>0</v>
      </c>
      <c r="U1639" t="s">
        <v>30</v>
      </c>
      <c r="V1639">
        <v>3</v>
      </c>
    </row>
    <row r="1640" spans="1:22" x14ac:dyDescent="0.25">
      <c r="A1640" t="s">
        <v>3775</v>
      </c>
      <c r="B1640" s="1">
        <v>44697</v>
      </c>
      <c r="C1640" t="s">
        <v>3776</v>
      </c>
      <c r="D1640" t="s">
        <v>3195</v>
      </c>
      <c r="E1640">
        <v>53</v>
      </c>
      <c r="F1640" t="str">
        <f>IF(Table1[[#This Row],[age]]&lt;=25,"18-25",IF(Table1[[#This Row],[age]]&lt;=35,"26-35",IF(Table1[[#This Row],[age]]&lt;=50,"36-50","51+")))</f>
        <v>51+</v>
      </c>
      <c r="G1640" t="s">
        <v>54</v>
      </c>
      <c r="H1640" t="s">
        <v>61</v>
      </c>
      <c r="I1640" t="s">
        <v>163</v>
      </c>
      <c r="J1640" t="s">
        <v>47</v>
      </c>
      <c r="K1640" t="s">
        <v>156</v>
      </c>
      <c r="L1640">
        <v>6</v>
      </c>
      <c r="M1640">
        <v>308.33</v>
      </c>
      <c r="N1640">
        <v>0.17</v>
      </c>
      <c r="O1640">
        <v>2120.2800000000002</v>
      </c>
      <c r="P1640">
        <v>875.63</v>
      </c>
      <c r="Q1640">
        <v>48.94</v>
      </c>
      <c r="R1640" t="s">
        <v>57</v>
      </c>
      <c r="S1640">
        <v>4</v>
      </c>
      <c r="T1640" t="b">
        <v>0</v>
      </c>
      <c r="U1640" t="s">
        <v>30</v>
      </c>
      <c r="V1640">
        <v>5</v>
      </c>
    </row>
    <row r="1641" spans="1:22" x14ac:dyDescent="0.25">
      <c r="A1641" t="s">
        <v>3777</v>
      </c>
      <c r="B1641" s="1">
        <v>45261</v>
      </c>
      <c r="C1641" t="s">
        <v>3778</v>
      </c>
      <c r="D1641" t="s">
        <v>90</v>
      </c>
      <c r="E1641">
        <v>24</v>
      </c>
      <c r="F1641" t="str">
        <f>IF(Table1[[#This Row],[age]]&lt;=25,"18-25",IF(Table1[[#This Row],[age]]&lt;=35,"26-35",IF(Table1[[#This Row],[age]]&lt;=50,"36-50","51+")))</f>
        <v>18-25</v>
      </c>
      <c r="G1641" t="s">
        <v>34</v>
      </c>
      <c r="H1641" t="s">
        <v>55</v>
      </c>
      <c r="I1641" t="s">
        <v>75</v>
      </c>
      <c r="J1641" t="s">
        <v>36</v>
      </c>
      <c r="K1641" t="s">
        <v>243</v>
      </c>
      <c r="L1641">
        <v>10</v>
      </c>
      <c r="M1641">
        <v>23621.89</v>
      </c>
      <c r="N1641">
        <v>0.03</v>
      </c>
      <c r="O1641">
        <v>192313.69</v>
      </c>
      <c r="P1641">
        <v>56375.97</v>
      </c>
      <c r="Q1641">
        <v>73.91</v>
      </c>
      <c r="R1641" t="s">
        <v>65</v>
      </c>
      <c r="S1641">
        <v>2</v>
      </c>
      <c r="T1641" t="b">
        <v>0</v>
      </c>
      <c r="U1641" t="s">
        <v>30</v>
      </c>
      <c r="V1641">
        <v>2</v>
      </c>
    </row>
    <row r="1642" spans="1:22" x14ac:dyDescent="0.25">
      <c r="A1642" t="s">
        <v>3779</v>
      </c>
      <c r="B1642" s="1">
        <v>44277</v>
      </c>
      <c r="C1642" t="s">
        <v>3780</v>
      </c>
      <c r="D1642" t="s">
        <v>812</v>
      </c>
      <c r="E1642">
        <v>43</v>
      </c>
      <c r="F1642" t="str">
        <f>IF(Table1[[#This Row],[age]]&lt;=25,"18-25",IF(Table1[[#This Row],[age]]&lt;=35,"26-35",IF(Table1[[#This Row],[age]]&lt;=50,"36-50","51+")))</f>
        <v>36-50</v>
      </c>
      <c r="G1642" t="s">
        <v>54</v>
      </c>
      <c r="H1642" t="s">
        <v>69</v>
      </c>
      <c r="I1642" t="s">
        <v>136</v>
      </c>
      <c r="J1642" t="s">
        <v>101</v>
      </c>
      <c r="K1642" t="s">
        <v>456</v>
      </c>
      <c r="L1642">
        <v>4</v>
      </c>
      <c r="M1642">
        <v>9423.81</v>
      </c>
      <c r="N1642">
        <v>0.4</v>
      </c>
      <c r="O1642">
        <v>23341.98</v>
      </c>
      <c r="P1642">
        <v>3961.16</v>
      </c>
      <c r="Q1642">
        <v>92.67</v>
      </c>
      <c r="R1642" t="s">
        <v>43</v>
      </c>
      <c r="S1642">
        <v>5</v>
      </c>
      <c r="T1642" t="b">
        <v>0</v>
      </c>
      <c r="U1642" t="s">
        <v>30</v>
      </c>
      <c r="V1642">
        <v>1</v>
      </c>
    </row>
    <row r="1643" spans="1:22" x14ac:dyDescent="0.25">
      <c r="A1643" t="s">
        <v>3781</v>
      </c>
      <c r="B1643" s="1">
        <v>44971</v>
      </c>
      <c r="C1643" t="s">
        <v>3782</v>
      </c>
      <c r="D1643" t="s">
        <v>1223</v>
      </c>
      <c r="E1643">
        <v>29</v>
      </c>
      <c r="F1643" t="str">
        <f>IF(Table1[[#This Row],[age]]&lt;=25,"18-25",IF(Table1[[#This Row],[age]]&lt;=35,"26-35",IF(Table1[[#This Row],[age]]&lt;=50,"36-50","51+")))</f>
        <v>26-35</v>
      </c>
      <c r="G1643" t="s">
        <v>24</v>
      </c>
      <c r="H1643" t="s">
        <v>61</v>
      </c>
      <c r="I1643" t="s">
        <v>91</v>
      </c>
      <c r="J1643" t="s">
        <v>101</v>
      </c>
      <c r="K1643" t="s">
        <v>318</v>
      </c>
      <c r="L1643">
        <v>5</v>
      </c>
      <c r="M1643">
        <v>11924.73</v>
      </c>
      <c r="N1643">
        <v>0.28999999999999998</v>
      </c>
      <c r="O1643">
        <v>39073.019999999997</v>
      </c>
      <c r="P1643">
        <v>7762.52</v>
      </c>
      <c r="Q1643">
        <v>63.8</v>
      </c>
      <c r="R1643" t="s">
        <v>65</v>
      </c>
      <c r="S1643">
        <v>2</v>
      </c>
      <c r="T1643" t="b">
        <v>0</v>
      </c>
      <c r="U1643" t="s">
        <v>30</v>
      </c>
      <c r="V1643">
        <v>9</v>
      </c>
    </row>
    <row r="1644" spans="1:22" x14ac:dyDescent="0.25">
      <c r="A1644" t="s">
        <v>3783</v>
      </c>
      <c r="B1644" s="1">
        <v>44938</v>
      </c>
      <c r="C1644" t="s">
        <v>3784</v>
      </c>
      <c r="D1644" t="s">
        <v>884</v>
      </c>
      <c r="E1644">
        <v>53</v>
      </c>
      <c r="F1644" t="str">
        <f>IF(Table1[[#This Row],[age]]&lt;=25,"18-25",IF(Table1[[#This Row],[age]]&lt;=35,"26-35",IF(Table1[[#This Row],[age]]&lt;=50,"36-50","51+")))</f>
        <v>51+</v>
      </c>
      <c r="G1644" t="s">
        <v>54</v>
      </c>
      <c r="H1644" t="s">
        <v>61</v>
      </c>
      <c r="I1644" t="s">
        <v>62</v>
      </c>
      <c r="J1644" t="s">
        <v>106</v>
      </c>
      <c r="K1644" t="s">
        <v>314</v>
      </c>
      <c r="L1644">
        <v>1</v>
      </c>
      <c r="M1644">
        <v>114.17</v>
      </c>
      <c r="N1644">
        <v>0.1</v>
      </c>
      <c r="O1644">
        <v>90.79</v>
      </c>
      <c r="P1644">
        <v>8.1</v>
      </c>
      <c r="Q1644">
        <v>44.85</v>
      </c>
      <c r="R1644" t="s">
        <v>43</v>
      </c>
      <c r="S1644">
        <v>4</v>
      </c>
      <c r="T1644" t="b">
        <v>0</v>
      </c>
      <c r="U1644" t="s">
        <v>30</v>
      </c>
      <c r="V1644">
        <v>9</v>
      </c>
    </row>
    <row r="1645" spans="1:22" x14ac:dyDescent="0.25">
      <c r="A1645" t="s">
        <v>3785</v>
      </c>
      <c r="B1645" s="1">
        <v>43925</v>
      </c>
      <c r="C1645" t="s">
        <v>3786</v>
      </c>
      <c r="D1645" t="s">
        <v>572</v>
      </c>
      <c r="E1645">
        <v>44</v>
      </c>
      <c r="F1645" t="str">
        <f>IF(Table1[[#This Row],[age]]&lt;=25,"18-25",IF(Table1[[#This Row],[age]]&lt;=35,"26-35",IF(Table1[[#This Row],[age]]&lt;=50,"36-50","51+")))</f>
        <v>36-50</v>
      </c>
      <c r="G1645" t="s">
        <v>24</v>
      </c>
      <c r="H1645" t="s">
        <v>25</v>
      </c>
      <c r="I1645" t="s">
        <v>35</v>
      </c>
      <c r="J1645" t="s">
        <v>63</v>
      </c>
      <c r="K1645" t="s">
        <v>87</v>
      </c>
      <c r="L1645">
        <v>1</v>
      </c>
      <c r="M1645">
        <v>1784.28</v>
      </c>
      <c r="N1645">
        <v>7.0000000000000007E-2</v>
      </c>
      <c r="O1645">
        <v>2034.49</v>
      </c>
      <c r="P1645">
        <v>543.72</v>
      </c>
      <c r="Q1645">
        <v>26.17</v>
      </c>
      <c r="R1645" t="s">
        <v>29</v>
      </c>
      <c r="S1645">
        <v>3</v>
      </c>
      <c r="T1645" t="b">
        <v>0</v>
      </c>
      <c r="U1645" t="s">
        <v>30</v>
      </c>
      <c r="V1645">
        <v>10</v>
      </c>
    </row>
    <row r="1646" spans="1:22" x14ac:dyDescent="0.25">
      <c r="A1646" t="s">
        <v>3787</v>
      </c>
      <c r="B1646" s="1">
        <v>45234</v>
      </c>
      <c r="C1646" t="s">
        <v>3788</v>
      </c>
      <c r="D1646" t="s">
        <v>313</v>
      </c>
      <c r="E1646">
        <v>36</v>
      </c>
      <c r="F1646" t="str">
        <f>IF(Table1[[#This Row],[age]]&lt;=25,"18-25",IF(Table1[[#This Row],[age]]&lt;=35,"26-35",IF(Table1[[#This Row],[age]]&lt;=50,"36-50","51+")))</f>
        <v>36-50</v>
      </c>
      <c r="G1646" t="s">
        <v>34</v>
      </c>
      <c r="H1646" t="s">
        <v>61</v>
      </c>
      <c r="I1646" t="s">
        <v>91</v>
      </c>
      <c r="J1646" t="s">
        <v>27</v>
      </c>
      <c r="K1646" t="s">
        <v>335</v>
      </c>
      <c r="L1646">
        <v>7</v>
      </c>
      <c r="M1646">
        <v>2068.81</v>
      </c>
      <c r="N1646">
        <v>0.28000000000000003</v>
      </c>
      <c r="O1646">
        <v>7932.49</v>
      </c>
      <c r="P1646">
        <v>3524.81</v>
      </c>
      <c r="Q1646">
        <v>40.22</v>
      </c>
      <c r="R1646" t="s">
        <v>57</v>
      </c>
      <c r="S1646">
        <v>2</v>
      </c>
      <c r="T1646" t="b">
        <v>0</v>
      </c>
      <c r="U1646" t="s">
        <v>93</v>
      </c>
      <c r="V1646">
        <v>5</v>
      </c>
    </row>
    <row r="1647" spans="1:22" x14ac:dyDescent="0.25">
      <c r="A1647" t="s">
        <v>3789</v>
      </c>
      <c r="B1647" s="1">
        <v>44215</v>
      </c>
      <c r="C1647" t="s">
        <v>3790</v>
      </c>
      <c r="D1647" t="s">
        <v>2514</v>
      </c>
      <c r="E1647">
        <v>31</v>
      </c>
      <c r="F1647" t="str">
        <f>IF(Table1[[#This Row],[age]]&lt;=25,"18-25",IF(Table1[[#This Row],[age]]&lt;=35,"26-35",IF(Table1[[#This Row],[age]]&lt;=50,"36-50","51+")))</f>
        <v>26-35</v>
      </c>
      <c r="G1647" t="s">
        <v>24</v>
      </c>
      <c r="H1647" t="s">
        <v>80</v>
      </c>
      <c r="I1647" t="s">
        <v>242</v>
      </c>
      <c r="J1647" t="s">
        <v>36</v>
      </c>
      <c r="K1647" t="s">
        <v>132</v>
      </c>
      <c r="L1647">
        <v>6</v>
      </c>
      <c r="M1647">
        <v>2676.31</v>
      </c>
      <c r="N1647">
        <v>0.08</v>
      </c>
      <c r="O1647">
        <v>10381.040000000001</v>
      </c>
      <c r="P1647">
        <v>3229.7</v>
      </c>
      <c r="Q1647">
        <v>70.150000000000006</v>
      </c>
      <c r="R1647" t="s">
        <v>92</v>
      </c>
      <c r="S1647">
        <v>1</v>
      </c>
      <c r="T1647" t="b">
        <v>0</v>
      </c>
      <c r="U1647" t="s">
        <v>93</v>
      </c>
      <c r="V1647">
        <v>10</v>
      </c>
    </row>
    <row r="1648" spans="1:22" x14ac:dyDescent="0.25">
      <c r="A1648" t="s">
        <v>3791</v>
      </c>
      <c r="B1648" s="1">
        <v>45549</v>
      </c>
      <c r="C1648" t="s">
        <v>3792</v>
      </c>
      <c r="D1648" t="s">
        <v>536</v>
      </c>
      <c r="E1648">
        <v>41</v>
      </c>
      <c r="F1648" t="str">
        <f>IF(Table1[[#This Row],[age]]&lt;=25,"18-25",IF(Table1[[#This Row],[age]]&lt;=35,"26-35",IF(Table1[[#This Row],[age]]&lt;=50,"36-50","51+")))</f>
        <v>36-50</v>
      </c>
      <c r="G1648" t="s">
        <v>34</v>
      </c>
      <c r="H1648" t="s">
        <v>80</v>
      </c>
      <c r="I1648" t="s">
        <v>236</v>
      </c>
      <c r="J1648" t="s">
        <v>115</v>
      </c>
      <c r="K1648" t="s">
        <v>145</v>
      </c>
      <c r="L1648">
        <v>1</v>
      </c>
      <c r="M1648">
        <v>39155.85</v>
      </c>
      <c r="N1648">
        <v>0.34</v>
      </c>
      <c r="O1648">
        <v>30626</v>
      </c>
      <c r="P1648">
        <v>4110.3500000000004</v>
      </c>
      <c r="Q1648">
        <v>83.36</v>
      </c>
      <c r="R1648" t="s">
        <v>57</v>
      </c>
      <c r="S1648">
        <v>4</v>
      </c>
      <c r="T1648" t="b">
        <v>1</v>
      </c>
      <c r="U1648" t="s">
        <v>50</v>
      </c>
      <c r="V1648">
        <v>9</v>
      </c>
    </row>
    <row r="1649" spans="1:22" x14ac:dyDescent="0.25">
      <c r="A1649" t="s">
        <v>3793</v>
      </c>
      <c r="B1649" s="1">
        <v>44678</v>
      </c>
      <c r="C1649" t="s">
        <v>3794</v>
      </c>
      <c r="D1649" t="s">
        <v>119</v>
      </c>
      <c r="E1649">
        <v>35</v>
      </c>
      <c r="F1649" t="str">
        <f>IF(Table1[[#This Row],[age]]&lt;=25,"18-25",IF(Table1[[#This Row],[age]]&lt;=35,"26-35",IF(Table1[[#This Row],[age]]&lt;=50,"36-50","51+")))</f>
        <v>26-35</v>
      </c>
      <c r="G1649" t="s">
        <v>24</v>
      </c>
      <c r="H1649" t="s">
        <v>61</v>
      </c>
      <c r="I1649" t="s">
        <v>141</v>
      </c>
      <c r="J1649" t="s">
        <v>101</v>
      </c>
      <c r="K1649" t="s">
        <v>318</v>
      </c>
      <c r="L1649">
        <v>8</v>
      </c>
      <c r="M1649">
        <v>13974.28</v>
      </c>
      <c r="N1649">
        <v>0.21</v>
      </c>
      <c r="O1649">
        <v>125535.27</v>
      </c>
      <c r="P1649">
        <v>26988.18</v>
      </c>
      <c r="Q1649">
        <v>63.87</v>
      </c>
      <c r="R1649" t="s">
        <v>65</v>
      </c>
      <c r="S1649">
        <v>4</v>
      </c>
      <c r="T1649" t="b">
        <v>0</v>
      </c>
      <c r="U1649" t="s">
        <v>193</v>
      </c>
      <c r="V1649">
        <v>3</v>
      </c>
    </row>
    <row r="1650" spans="1:22" x14ac:dyDescent="0.25">
      <c r="A1650" t="s">
        <v>3795</v>
      </c>
      <c r="B1650" s="1">
        <v>45002</v>
      </c>
      <c r="C1650" t="s">
        <v>3796</v>
      </c>
      <c r="D1650" t="s">
        <v>657</v>
      </c>
      <c r="E1650">
        <v>25</v>
      </c>
      <c r="F1650" t="str">
        <f>IF(Table1[[#This Row],[age]]&lt;=25,"18-25",IF(Table1[[#This Row],[age]]&lt;=35,"26-35",IF(Table1[[#This Row],[age]]&lt;=50,"36-50","51+")))</f>
        <v>18-25</v>
      </c>
      <c r="G1650" t="s">
        <v>34</v>
      </c>
      <c r="H1650" t="s">
        <v>69</v>
      </c>
      <c r="I1650" t="s">
        <v>221</v>
      </c>
      <c r="J1650" t="s">
        <v>63</v>
      </c>
      <c r="K1650" t="s">
        <v>111</v>
      </c>
      <c r="L1650">
        <v>3</v>
      </c>
      <c r="M1650">
        <v>3828.11</v>
      </c>
      <c r="N1650">
        <v>0.2</v>
      </c>
      <c r="O1650">
        <v>10968.02</v>
      </c>
      <c r="P1650">
        <v>3716.33</v>
      </c>
      <c r="Q1650">
        <v>90.35</v>
      </c>
      <c r="R1650" t="s">
        <v>49</v>
      </c>
      <c r="S1650">
        <v>4</v>
      </c>
      <c r="T1650" t="b">
        <v>0</v>
      </c>
      <c r="U1650" t="s">
        <v>30</v>
      </c>
      <c r="V1650">
        <v>7</v>
      </c>
    </row>
    <row r="1651" spans="1:22" x14ac:dyDescent="0.25">
      <c r="A1651" t="s">
        <v>3797</v>
      </c>
      <c r="B1651" s="1">
        <v>44583</v>
      </c>
      <c r="C1651" t="s">
        <v>3798</v>
      </c>
      <c r="D1651" t="s">
        <v>751</v>
      </c>
      <c r="E1651">
        <v>48</v>
      </c>
      <c r="F1651" t="str">
        <f>IF(Table1[[#This Row],[age]]&lt;=25,"18-25",IF(Table1[[#This Row],[age]]&lt;=35,"26-35",IF(Table1[[#This Row],[age]]&lt;=50,"36-50","51+")))</f>
        <v>36-50</v>
      </c>
      <c r="G1651" t="s">
        <v>24</v>
      </c>
      <c r="H1651" t="s">
        <v>25</v>
      </c>
      <c r="I1651" t="s">
        <v>26</v>
      </c>
      <c r="J1651" t="s">
        <v>27</v>
      </c>
      <c r="K1651" t="s">
        <v>168</v>
      </c>
      <c r="L1651">
        <v>9</v>
      </c>
      <c r="M1651">
        <v>2217.86</v>
      </c>
      <c r="N1651">
        <v>0.24</v>
      </c>
      <c r="O1651">
        <v>11510.54</v>
      </c>
      <c r="P1651">
        <v>6314.77</v>
      </c>
      <c r="Q1651">
        <v>50.57</v>
      </c>
      <c r="R1651" t="s">
        <v>92</v>
      </c>
      <c r="S1651">
        <v>3</v>
      </c>
      <c r="T1651" t="b">
        <v>0</v>
      </c>
      <c r="U1651" t="s">
        <v>30</v>
      </c>
      <c r="V1651">
        <v>3</v>
      </c>
    </row>
    <row r="1652" spans="1:22" x14ac:dyDescent="0.25">
      <c r="A1652" t="s">
        <v>3799</v>
      </c>
      <c r="B1652" s="1">
        <v>45378</v>
      </c>
      <c r="C1652" t="s">
        <v>3800</v>
      </c>
      <c r="D1652" t="s">
        <v>1589</v>
      </c>
      <c r="E1652">
        <v>26</v>
      </c>
      <c r="F1652" t="str">
        <f>IF(Table1[[#This Row],[age]]&lt;=25,"18-25",IF(Table1[[#This Row],[age]]&lt;=35,"26-35",IF(Table1[[#This Row],[age]]&lt;=50,"36-50","51+")))</f>
        <v>26-35</v>
      </c>
      <c r="G1652" t="s">
        <v>54</v>
      </c>
      <c r="H1652" t="s">
        <v>25</v>
      </c>
      <c r="I1652" t="s">
        <v>298</v>
      </c>
      <c r="J1652" t="s">
        <v>101</v>
      </c>
      <c r="K1652" t="s">
        <v>164</v>
      </c>
      <c r="L1652">
        <v>1</v>
      </c>
      <c r="M1652">
        <v>13730.08</v>
      </c>
      <c r="N1652">
        <v>0.33</v>
      </c>
      <c r="O1652">
        <v>11658.53</v>
      </c>
      <c r="P1652">
        <v>2595.3000000000002</v>
      </c>
      <c r="Q1652">
        <v>49.66</v>
      </c>
      <c r="R1652" t="s">
        <v>65</v>
      </c>
      <c r="S1652">
        <v>2</v>
      </c>
      <c r="T1652" t="b">
        <v>1</v>
      </c>
      <c r="U1652" t="s">
        <v>50</v>
      </c>
      <c r="V1652">
        <v>5</v>
      </c>
    </row>
    <row r="1653" spans="1:22" x14ac:dyDescent="0.25">
      <c r="A1653" t="s">
        <v>3801</v>
      </c>
      <c r="B1653" s="1">
        <v>45339</v>
      </c>
      <c r="C1653" t="s">
        <v>3802</v>
      </c>
      <c r="D1653" t="s">
        <v>343</v>
      </c>
      <c r="E1653">
        <v>51</v>
      </c>
      <c r="F1653" t="str">
        <f>IF(Table1[[#This Row],[age]]&lt;=25,"18-25",IF(Table1[[#This Row],[age]]&lt;=35,"26-35",IF(Table1[[#This Row],[age]]&lt;=50,"36-50","51+")))</f>
        <v>51+</v>
      </c>
      <c r="G1653" t="s">
        <v>34</v>
      </c>
      <c r="H1653" t="s">
        <v>55</v>
      </c>
      <c r="I1653" t="s">
        <v>97</v>
      </c>
      <c r="J1653" t="s">
        <v>115</v>
      </c>
      <c r="K1653" t="s">
        <v>145</v>
      </c>
      <c r="L1653">
        <v>3</v>
      </c>
      <c r="M1653">
        <v>18251.7</v>
      </c>
      <c r="N1653">
        <v>0.04</v>
      </c>
      <c r="O1653">
        <v>57280.67</v>
      </c>
      <c r="P1653">
        <v>7183.26</v>
      </c>
      <c r="Q1653">
        <v>47.7</v>
      </c>
      <c r="R1653" t="s">
        <v>43</v>
      </c>
      <c r="S1653">
        <v>3</v>
      </c>
      <c r="T1653" t="b">
        <v>0</v>
      </c>
      <c r="U1653" t="s">
        <v>30</v>
      </c>
      <c r="V1653">
        <v>10</v>
      </c>
    </row>
    <row r="1654" spans="1:22" x14ac:dyDescent="0.25">
      <c r="A1654" t="s">
        <v>3803</v>
      </c>
      <c r="B1654" s="1">
        <v>45412</v>
      </c>
      <c r="C1654" t="s">
        <v>3804</v>
      </c>
      <c r="D1654" t="s">
        <v>874</v>
      </c>
      <c r="E1654">
        <v>44</v>
      </c>
      <c r="F1654" t="str">
        <f>IF(Table1[[#This Row],[age]]&lt;=25,"18-25",IF(Table1[[#This Row],[age]]&lt;=35,"26-35",IF(Table1[[#This Row],[age]]&lt;=50,"36-50","51+")))</f>
        <v>36-50</v>
      </c>
      <c r="G1654" t="s">
        <v>24</v>
      </c>
      <c r="H1654" t="s">
        <v>25</v>
      </c>
      <c r="I1654" t="s">
        <v>26</v>
      </c>
      <c r="J1654" t="s">
        <v>27</v>
      </c>
      <c r="K1654" t="s">
        <v>480</v>
      </c>
      <c r="L1654">
        <v>1</v>
      </c>
      <c r="M1654">
        <v>1276.8900000000001</v>
      </c>
      <c r="N1654">
        <v>0.14000000000000001</v>
      </c>
      <c r="O1654">
        <v>1679.21</v>
      </c>
      <c r="P1654">
        <v>753.07</v>
      </c>
      <c r="Q1654">
        <v>91.51</v>
      </c>
      <c r="R1654" t="s">
        <v>65</v>
      </c>
      <c r="S1654">
        <v>2</v>
      </c>
      <c r="T1654" t="b">
        <v>0</v>
      </c>
      <c r="U1654" t="s">
        <v>30</v>
      </c>
      <c r="V1654">
        <v>1</v>
      </c>
    </row>
    <row r="1655" spans="1:22" x14ac:dyDescent="0.25">
      <c r="A1655" t="s">
        <v>3805</v>
      </c>
      <c r="B1655" s="1">
        <v>45594</v>
      </c>
      <c r="C1655" t="s">
        <v>3806</v>
      </c>
      <c r="D1655" t="s">
        <v>1516</v>
      </c>
      <c r="E1655">
        <v>43</v>
      </c>
      <c r="F1655" t="str">
        <f>IF(Table1[[#This Row],[age]]&lt;=25,"18-25",IF(Table1[[#This Row],[age]]&lt;=35,"26-35",IF(Table1[[#This Row],[age]]&lt;=50,"36-50","51+")))</f>
        <v>36-50</v>
      </c>
      <c r="G1655" t="s">
        <v>54</v>
      </c>
      <c r="H1655" t="s">
        <v>61</v>
      </c>
      <c r="I1655" t="s">
        <v>62</v>
      </c>
      <c r="J1655" t="s">
        <v>63</v>
      </c>
      <c r="K1655" t="s">
        <v>87</v>
      </c>
      <c r="L1655">
        <v>2</v>
      </c>
      <c r="M1655">
        <v>899.53</v>
      </c>
      <c r="N1655">
        <v>0.23</v>
      </c>
      <c r="O1655">
        <v>1788.88</v>
      </c>
      <c r="P1655">
        <v>523.65</v>
      </c>
      <c r="Q1655">
        <v>68.44</v>
      </c>
      <c r="R1655" t="s">
        <v>49</v>
      </c>
      <c r="S1655">
        <v>5</v>
      </c>
      <c r="T1655" t="b">
        <v>0</v>
      </c>
      <c r="U1655" t="s">
        <v>93</v>
      </c>
      <c r="V1655">
        <v>10</v>
      </c>
    </row>
    <row r="1656" spans="1:22" x14ac:dyDescent="0.25">
      <c r="A1656" t="s">
        <v>3807</v>
      </c>
      <c r="B1656" s="1">
        <v>44520</v>
      </c>
      <c r="C1656" t="s">
        <v>3808</v>
      </c>
      <c r="D1656" t="s">
        <v>527</v>
      </c>
      <c r="E1656">
        <v>52</v>
      </c>
      <c r="F1656" t="str">
        <f>IF(Table1[[#This Row],[age]]&lt;=25,"18-25",IF(Table1[[#This Row],[age]]&lt;=35,"26-35",IF(Table1[[#This Row],[age]]&lt;=50,"36-50","51+")))</f>
        <v>51+</v>
      </c>
      <c r="G1656" t="s">
        <v>24</v>
      </c>
      <c r="H1656" t="s">
        <v>80</v>
      </c>
      <c r="I1656" t="s">
        <v>236</v>
      </c>
      <c r="J1656" t="s">
        <v>47</v>
      </c>
      <c r="K1656" t="s">
        <v>120</v>
      </c>
      <c r="L1656">
        <v>2</v>
      </c>
      <c r="M1656">
        <v>1067.1300000000001</v>
      </c>
      <c r="N1656">
        <v>0.35</v>
      </c>
      <c r="O1656">
        <v>1180.6099999999999</v>
      </c>
      <c r="P1656">
        <v>481.98</v>
      </c>
      <c r="Q1656">
        <v>91.57</v>
      </c>
      <c r="R1656" t="s">
        <v>29</v>
      </c>
      <c r="S1656">
        <v>2</v>
      </c>
      <c r="T1656" t="b">
        <v>0</v>
      </c>
      <c r="U1656" t="s">
        <v>30</v>
      </c>
      <c r="V1656">
        <v>10</v>
      </c>
    </row>
    <row r="1657" spans="1:22" x14ac:dyDescent="0.25">
      <c r="A1657" t="s">
        <v>3809</v>
      </c>
      <c r="B1657" s="1">
        <v>44396</v>
      </c>
      <c r="C1657" t="s">
        <v>3810</v>
      </c>
      <c r="D1657" t="s">
        <v>1977</v>
      </c>
      <c r="E1657">
        <v>38</v>
      </c>
      <c r="F1657" t="str">
        <f>IF(Table1[[#This Row],[age]]&lt;=25,"18-25",IF(Table1[[#This Row],[age]]&lt;=35,"26-35",IF(Table1[[#This Row],[age]]&lt;=50,"36-50","51+")))</f>
        <v>36-50</v>
      </c>
      <c r="G1657" t="s">
        <v>54</v>
      </c>
      <c r="H1657" t="s">
        <v>69</v>
      </c>
      <c r="I1657" t="s">
        <v>136</v>
      </c>
      <c r="J1657" t="s">
        <v>115</v>
      </c>
      <c r="K1657" t="s">
        <v>145</v>
      </c>
      <c r="L1657">
        <v>10</v>
      </c>
      <c r="M1657">
        <v>14508.42</v>
      </c>
      <c r="N1657">
        <v>0.2</v>
      </c>
      <c r="O1657">
        <v>157988.20000000001</v>
      </c>
      <c r="P1657">
        <v>19642.09</v>
      </c>
      <c r="Q1657">
        <v>83.47</v>
      </c>
      <c r="R1657" t="s">
        <v>49</v>
      </c>
      <c r="S1657">
        <v>1</v>
      </c>
      <c r="T1657" t="b">
        <v>0</v>
      </c>
      <c r="U1657" t="s">
        <v>30</v>
      </c>
      <c r="V1657">
        <v>8</v>
      </c>
    </row>
    <row r="1658" spans="1:22" x14ac:dyDescent="0.25">
      <c r="A1658" t="s">
        <v>3811</v>
      </c>
      <c r="B1658" s="1">
        <v>44020</v>
      </c>
      <c r="C1658" t="s">
        <v>3812</v>
      </c>
      <c r="D1658" t="s">
        <v>3049</v>
      </c>
      <c r="E1658">
        <v>29</v>
      </c>
      <c r="F1658" t="str">
        <f>IF(Table1[[#This Row],[age]]&lt;=25,"18-25",IF(Table1[[#This Row],[age]]&lt;=35,"26-35",IF(Table1[[#This Row],[age]]&lt;=50,"36-50","51+")))</f>
        <v>26-35</v>
      </c>
      <c r="G1658" t="s">
        <v>24</v>
      </c>
      <c r="H1658" t="s">
        <v>55</v>
      </c>
      <c r="I1658" t="s">
        <v>56</v>
      </c>
      <c r="J1658" t="s">
        <v>27</v>
      </c>
      <c r="K1658" t="s">
        <v>28</v>
      </c>
      <c r="L1658">
        <v>9</v>
      </c>
      <c r="M1658">
        <v>267.99</v>
      </c>
      <c r="N1658">
        <v>0.08</v>
      </c>
      <c r="O1658">
        <v>2666.59</v>
      </c>
      <c r="P1658">
        <v>1181.3699999999999</v>
      </c>
      <c r="Q1658">
        <v>39.67</v>
      </c>
      <c r="R1658" t="s">
        <v>92</v>
      </c>
      <c r="S1658">
        <v>1</v>
      </c>
      <c r="T1658" t="b">
        <v>0</v>
      </c>
      <c r="U1658" t="s">
        <v>71</v>
      </c>
      <c r="V1658">
        <v>4</v>
      </c>
    </row>
    <row r="1659" spans="1:22" x14ac:dyDescent="0.25">
      <c r="A1659" t="s">
        <v>3813</v>
      </c>
      <c r="B1659" s="1">
        <v>45130</v>
      </c>
      <c r="C1659" t="s">
        <v>3814</v>
      </c>
      <c r="D1659" t="s">
        <v>2024</v>
      </c>
      <c r="E1659">
        <v>32</v>
      </c>
      <c r="F1659" t="str">
        <f>IF(Table1[[#This Row],[age]]&lt;=25,"18-25",IF(Table1[[#This Row],[age]]&lt;=35,"26-35",IF(Table1[[#This Row],[age]]&lt;=50,"36-50","51+")))</f>
        <v>26-35</v>
      </c>
      <c r="G1659" t="s">
        <v>34</v>
      </c>
      <c r="H1659" t="s">
        <v>80</v>
      </c>
      <c r="I1659" t="s">
        <v>242</v>
      </c>
      <c r="J1659" t="s">
        <v>101</v>
      </c>
      <c r="K1659" t="s">
        <v>214</v>
      </c>
      <c r="L1659">
        <v>7</v>
      </c>
      <c r="M1659">
        <v>12914.01</v>
      </c>
      <c r="N1659">
        <v>0.22</v>
      </c>
      <c r="O1659">
        <v>122070.77</v>
      </c>
      <c r="P1659">
        <v>24152.84</v>
      </c>
      <c r="Q1659">
        <v>53.5</v>
      </c>
      <c r="R1659" t="s">
        <v>43</v>
      </c>
      <c r="S1659">
        <v>4</v>
      </c>
      <c r="T1659" t="b">
        <v>0</v>
      </c>
      <c r="U1659" t="s">
        <v>30</v>
      </c>
      <c r="V1659">
        <v>7</v>
      </c>
    </row>
    <row r="1660" spans="1:22" x14ac:dyDescent="0.25">
      <c r="A1660" t="s">
        <v>3815</v>
      </c>
      <c r="B1660" s="1">
        <v>43931</v>
      </c>
      <c r="C1660" t="s">
        <v>3816</v>
      </c>
      <c r="D1660" t="s">
        <v>174</v>
      </c>
      <c r="E1660">
        <v>31</v>
      </c>
      <c r="F1660" t="str">
        <f>IF(Table1[[#This Row],[age]]&lt;=25,"18-25",IF(Table1[[#This Row],[age]]&lt;=35,"26-35",IF(Table1[[#This Row],[age]]&lt;=50,"36-50","51+")))</f>
        <v>26-35</v>
      </c>
      <c r="G1660" t="s">
        <v>54</v>
      </c>
      <c r="H1660" t="s">
        <v>61</v>
      </c>
      <c r="I1660" t="s">
        <v>91</v>
      </c>
      <c r="J1660" t="s">
        <v>101</v>
      </c>
      <c r="K1660" t="s">
        <v>102</v>
      </c>
      <c r="L1660">
        <v>6</v>
      </c>
      <c r="M1660">
        <v>13425.83</v>
      </c>
      <c r="N1660">
        <v>0.09</v>
      </c>
      <c r="O1660">
        <v>83316.58</v>
      </c>
      <c r="P1660">
        <v>14180.23</v>
      </c>
      <c r="Q1660">
        <v>54.3</v>
      </c>
      <c r="R1660" t="s">
        <v>92</v>
      </c>
      <c r="S1660">
        <v>5</v>
      </c>
      <c r="T1660" t="b">
        <v>0</v>
      </c>
      <c r="U1660" t="s">
        <v>30</v>
      </c>
      <c r="V1660">
        <v>8</v>
      </c>
    </row>
    <row r="1661" spans="1:22" x14ac:dyDescent="0.25">
      <c r="A1661" t="s">
        <v>3817</v>
      </c>
      <c r="B1661" s="1">
        <v>44838</v>
      </c>
      <c r="C1661" t="s">
        <v>3818</v>
      </c>
      <c r="D1661" t="s">
        <v>140</v>
      </c>
      <c r="E1661">
        <v>32</v>
      </c>
      <c r="F1661" t="str">
        <f>IF(Table1[[#This Row],[age]]&lt;=25,"18-25",IF(Table1[[#This Row],[age]]&lt;=35,"26-35",IF(Table1[[#This Row],[age]]&lt;=50,"36-50","51+")))</f>
        <v>26-35</v>
      </c>
      <c r="G1661" t="s">
        <v>24</v>
      </c>
      <c r="H1661" t="s">
        <v>80</v>
      </c>
      <c r="I1661" t="s">
        <v>236</v>
      </c>
      <c r="J1661" t="s">
        <v>36</v>
      </c>
      <c r="K1661" t="s">
        <v>42</v>
      </c>
      <c r="L1661">
        <v>3</v>
      </c>
      <c r="M1661">
        <v>18611.53</v>
      </c>
      <c r="N1661">
        <v>0.04</v>
      </c>
      <c r="O1661">
        <v>52590.42</v>
      </c>
      <c r="P1661">
        <v>13887.81</v>
      </c>
      <c r="Q1661">
        <v>99.49</v>
      </c>
      <c r="R1661" t="s">
        <v>29</v>
      </c>
      <c r="S1661">
        <v>3</v>
      </c>
      <c r="T1661" t="b">
        <v>0</v>
      </c>
      <c r="U1661" t="s">
        <v>30</v>
      </c>
      <c r="V1661">
        <v>4</v>
      </c>
    </row>
    <row r="1662" spans="1:22" x14ac:dyDescent="0.25">
      <c r="A1662" t="s">
        <v>3819</v>
      </c>
      <c r="B1662" s="1">
        <v>44426</v>
      </c>
      <c r="C1662" t="s">
        <v>3820</v>
      </c>
      <c r="D1662" t="s">
        <v>1719</v>
      </c>
      <c r="E1662">
        <v>25</v>
      </c>
      <c r="F1662" t="str">
        <f>IF(Table1[[#This Row],[age]]&lt;=25,"18-25",IF(Table1[[#This Row],[age]]&lt;=35,"26-35",IF(Table1[[#This Row],[age]]&lt;=50,"36-50","51+")))</f>
        <v>18-25</v>
      </c>
      <c r="G1662" t="s">
        <v>54</v>
      </c>
      <c r="H1662" t="s">
        <v>69</v>
      </c>
      <c r="I1662" t="s">
        <v>136</v>
      </c>
      <c r="J1662" t="s">
        <v>47</v>
      </c>
      <c r="K1662" t="s">
        <v>272</v>
      </c>
      <c r="L1662">
        <v>6</v>
      </c>
      <c r="M1662">
        <v>729.34</v>
      </c>
      <c r="N1662">
        <v>0.04</v>
      </c>
      <c r="O1662">
        <v>5901.9</v>
      </c>
      <c r="P1662">
        <v>2786.64</v>
      </c>
      <c r="Q1662">
        <v>104.25</v>
      </c>
      <c r="R1662" t="s">
        <v>92</v>
      </c>
      <c r="S1662">
        <v>5</v>
      </c>
      <c r="T1662" t="b">
        <v>0</v>
      </c>
      <c r="U1662" t="s">
        <v>30</v>
      </c>
      <c r="V1662">
        <v>3</v>
      </c>
    </row>
    <row r="1663" spans="1:22" x14ac:dyDescent="0.25">
      <c r="A1663" t="s">
        <v>3821</v>
      </c>
      <c r="B1663" s="1">
        <v>45380</v>
      </c>
      <c r="C1663" t="s">
        <v>3822</v>
      </c>
      <c r="D1663" t="s">
        <v>536</v>
      </c>
      <c r="E1663">
        <v>38</v>
      </c>
      <c r="F1663" t="str">
        <f>IF(Table1[[#This Row],[age]]&lt;=25,"18-25",IF(Table1[[#This Row],[age]]&lt;=35,"26-35",IF(Table1[[#This Row],[age]]&lt;=50,"36-50","51+")))</f>
        <v>36-50</v>
      </c>
      <c r="G1663" t="s">
        <v>24</v>
      </c>
      <c r="H1663" t="s">
        <v>80</v>
      </c>
      <c r="I1663" t="s">
        <v>86</v>
      </c>
      <c r="J1663" t="s">
        <v>115</v>
      </c>
      <c r="K1663" t="s">
        <v>145</v>
      </c>
      <c r="L1663">
        <v>3</v>
      </c>
      <c r="M1663">
        <v>12872.17</v>
      </c>
      <c r="N1663">
        <v>7.0000000000000007E-2</v>
      </c>
      <c r="O1663">
        <v>43511.94</v>
      </c>
      <c r="P1663">
        <v>5535.12</v>
      </c>
      <c r="Q1663">
        <v>64.47</v>
      </c>
      <c r="R1663" t="s">
        <v>29</v>
      </c>
      <c r="S1663">
        <v>2</v>
      </c>
      <c r="T1663" t="b">
        <v>1</v>
      </c>
      <c r="U1663" t="s">
        <v>50</v>
      </c>
      <c r="V1663">
        <v>1</v>
      </c>
    </row>
    <row r="1664" spans="1:22" x14ac:dyDescent="0.25">
      <c r="A1664" t="s">
        <v>3823</v>
      </c>
      <c r="B1664" s="1">
        <v>44228</v>
      </c>
      <c r="C1664" t="s">
        <v>3824</v>
      </c>
      <c r="D1664" t="s">
        <v>2848</v>
      </c>
      <c r="E1664">
        <v>32</v>
      </c>
      <c r="F1664" t="str">
        <f>IF(Table1[[#This Row],[age]]&lt;=25,"18-25",IF(Table1[[#This Row],[age]]&lt;=35,"26-35",IF(Table1[[#This Row],[age]]&lt;=50,"36-50","51+")))</f>
        <v>26-35</v>
      </c>
      <c r="G1664" t="s">
        <v>24</v>
      </c>
      <c r="H1664" t="s">
        <v>25</v>
      </c>
      <c r="I1664" t="s">
        <v>26</v>
      </c>
      <c r="J1664" t="s">
        <v>106</v>
      </c>
      <c r="K1664" t="s">
        <v>247</v>
      </c>
      <c r="L1664">
        <v>1</v>
      </c>
      <c r="M1664">
        <v>50.26</v>
      </c>
      <c r="N1664">
        <v>0.13</v>
      </c>
      <c r="O1664">
        <v>39.450000000000003</v>
      </c>
      <c r="P1664">
        <v>1.56</v>
      </c>
      <c r="Q1664">
        <v>76.23</v>
      </c>
      <c r="R1664" t="s">
        <v>29</v>
      </c>
      <c r="S1664">
        <v>1</v>
      </c>
      <c r="T1664" t="b">
        <v>0</v>
      </c>
      <c r="U1664" t="s">
        <v>30</v>
      </c>
      <c r="V1664">
        <v>7</v>
      </c>
    </row>
    <row r="1665" spans="1:22" x14ac:dyDescent="0.25">
      <c r="A1665" t="s">
        <v>3825</v>
      </c>
      <c r="B1665" s="1">
        <v>44040</v>
      </c>
      <c r="C1665" t="s">
        <v>3826</v>
      </c>
      <c r="D1665" t="s">
        <v>634</v>
      </c>
      <c r="E1665">
        <v>48</v>
      </c>
      <c r="F1665" t="str">
        <f>IF(Table1[[#This Row],[age]]&lt;=25,"18-25",IF(Table1[[#This Row],[age]]&lt;=35,"26-35",IF(Table1[[#This Row],[age]]&lt;=50,"36-50","51+")))</f>
        <v>36-50</v>
      </c>
      <c r="G1665" t="s">
        <v>34</v>
      </c>
      <c r="H1665" t="s">
        <v>69</v>
      </c>
      <c r="I1665" t="s">
        <v>70</v>
      </c>
      <c r="J1665" t="s">
        <v>63</v>
      </c>
      <c r="K1665" t="s">
        <v>64</v>
      </c>
      <c r="L1665">
        <v>6</v>
      </c>
      <c r="M1665">
        <v>3799.36</v>
      </c>
      <c r="N1665">
        <v>0.28000000000000003</v>
      </c>
      <c r="O1665">
        <v>19572.07</v>
      </c>
      <c r="P1665">
        <v>5911.72</v>
      </c>
      <c r="Q1665">
        <v>88.51</v>
      </c>
      <c r="R1665" t="s">
        <v>92</v>
      </c>
      <c r="S1665">
        <v>3</v>
      </c>
      <c r="T1665" t="b">
        <v>0</v>
      </c>
      <c r="U1665" t="s">
        <v>93</v>
      </c>
      <c r="V1665">
        <v>5</v>
      </c>
    </row>
    <row r="1666" spans="1:22" x14ac:dyDescent="0.25">
      <c r="A1666" t="s">
        <v>3827</v>
      </c>
      <c r="B1666" s="1">
        <v>44495</v>
      </c>
      <c r="C1666" t="s">
        <v>3828</v>
      </c>
      <c r="D1666" t="s">
        <v>874</v>
      </c>
      <c r="E1666">
        <v>47</v>
      </c>
      <c r="F1666" t="str">
        <f>IF(Table1[[#This Row],[age]]&lt;=25,"18-25",IF(Table1[[#This Row],[age]]&lt;=35,"26-35",IF(Table1[[#This Row],[age]]&lt;=50,"36-50","51+")))</f>
        <v>36-50</v>
      </c>
      <c r="G1666" t="s">
        <v>24</v>
      </c>
      <c r="H1666" t="s">
        <v>61</v>
      </c>
      <c r="I1666" t="s">
        <v>163</v>
      </c>
      <c r="J1666" t="s">
        <v>63</v>
      </c>
      <c r="K1666" t="s">
        <v>87</v>
      </c>
      <c r="L1666">
        <v>7</v>
      </c>
      <c r="M1666">
        <v>1774.08</v>
      </c>
      <c r="N1666">
        <v>0.21</v>
      </c>
      <c r="O1666">
        <v>8124.61</v>
      </c>
      <c r="P1666">
        <v>3210.86</v>
      </c>
      <c r="Q1666">
        <v>46.79</v>
      </c>
      <c r="R1666" t="s">
        <v>92</v>
      </c>
      <c r="S1666">
        <v>1</v>
      </c>
      <c r="T1666" t="b">
        <v>0</v>
      </c>
      <c r="U1666" t="s">
        <v>30</v>
      </c>
      <c r="V1666">
        <v>3</v>
      </c>
    </row>
    <row r="1667" spans="1:22" x14ac:dyDescent="0.25">
      <c r="A1667" t="s">
        <v>3829</v>
      </c>
      <c r="B1667" s="1">
        <v>44307</v>
      </c>
      <c r="C1667" t="s">
        <v>3830</v>
      </c>
      <c r="D1667" t="s">
        <v>123</v>
      </c>
      <c r="E1667">
        <v>58</v>
      </c>
      <c r="F1667" t="str">
        <f>IF(Table1[[#This Row],[age]]&lt;=25,"18-25",IF(Table1[[#This Row],[age]]&lt;=35,"26-35",IF(Table1[[#This Row],[age]]&lt;=50,"36-50","51+")))</f>
        <v>51+</v>
      </c>
      <c r="G1667" t="s">
        <v>34</v>
      </c>
      <c r="H1667" t="s">
        <v>25</v>
      </c>
      <c r="I1667" t="s">
        <v>26</v>
      </c>
      <c r="J1667" t="s">
        <v>36</v>
      </c>
      <c r="K1667" t="s">
        <v>76</v>
      </c>
      <c r="L1667">
        <v>3</v>
      </c>
      <c r="M1667">
        <v>10104.68</v>
      </c>
      <c r="N1667">
        <v>0.39</v>
      </c>
      <c r="O1667">
        <v>21793.75</v>
      </c>
      <c r="P1667">
        <v>6667.44</v>
      </c>
      <c r="Q1667">
        <v>61.07</v>
      </c>
      <c r="R1667" t="s">
        <v>92</v>
      </c>
      <c r="S1667">
        <v>5</v>
      </c>
      <c r="T1667" t="b">
        <v>1</v>
      </c>
      <c r="U1667" t="s">
        <v>50</v>
      </c>
      <c r="V1667">
        <v>10</v>
      </c>
    </row>
    <row r="1668" spans="1:22" x14ac:dyDescent="0.25">
      <c r="A1668" t="s">
        <v>3831</v>
      </c>
      <c r="B1668" s="1">
        <v>44084</v>
      </c>
      <c r="C1668" t="s">
        <v>3832</v>
      </c>
      <c r="D1668" t="s">
        <v>637</v>
      </c>
      <c r="E1668">
        <v>47</v>
      </c>
      <c r="F1668" t="str">
        <f>IF(Table1[[#This Row],[age]]&lt;=25,"18-25",IF(Table1[[#This Row],[age]]&lt;=35,"26-35",IF(Table1[[#This Row],[age]]&lt;=50,"36-50","51+")))</f>
        <v>36-50</v>
      </c>
      <c r="G1668" t="s">
        <v>34</v>
      </c>
      <c r="H1668" t="s">
        <v>80</v>
      </c>
      <c r="I1668" t="s">
        <v>242</v>
      </c>
      <c r="J1668" t="s">
        <v>101</v>
      </c>
      <c r="K1668" t="s">
        <v>124</v>
      </c>
      <c r="L1668">
        <v>1</v>
      </c>
      <c r="M1668">
        <v>13770.41</v>
      </c>
      <c r="N1668">
        <v>7.0000000000000007E-2</v>
      </c>
      <c r="O1668">
        <v>14059.26</v>
      </c>
      <c r="P1668">
        <v>2621.88</v>
      </c>
      <c r="Q1668">
        <v>56.12</v>
      </c>
      <c r="R1668" t="s">
        <v>65</v>
      </c>
      <c r="S1668">
        <v>1</v>
      </c>
      <c r="T1668" t="b">
        <v>0</v>
      </c>
      <c r="U1668" t="s">
        <v>71</v>
      </c>
      <c r="V1668">
        <v>7</v>
      </c>
    </row>
    <row r="1669" spans="1:22" x14ac:dyDescent="0.25">
      <c r="A1669" t="s">
        <v>3833</v>
      </c>
      <c r="B1669" s="1">
        <v>43871</v>
      </c>
      <c r="C1669" t="s">
        <v>3834</v>
      </c>
      <c r="D1669" t="s">
        <v>2598</v>
      </c>
      <c r="E1669">
        <v>24</v>
      </c>
      <c r="F1669" t="str">
        <f>IF(Table1[[#This Row],[age]]&lt;=25,"18-25",IF(Table1[[#This Row],[age]]&lt;=35,"26-35",IF(Table1[[#This Row],[age]]&lt;=50,"36-50","51+")))</f>
        <v>18-25</v>
      </c>
      <c r="G1669" t="s">
        <v>34</v>
      </c>
      <c r="H1669" t="s">
        <v>25</v>
      </c>
      <c r="I1669" t="s">
        <v>298</v>
      </c>
      <c r="J1669" t="s">
        <v>47</v>
      </c>
      <c r="K1669" t="s">
        <v>120</v>
      </c>
      <c r="L1669">
        <v>1</v>
      </c>
      <c r="M1669">
        <v>747.6</v>
      </c>
      <c r="N1669">
        <v>0.35</v>
      </c>
      <c r="O1669">
        <v>467.87</v>
      </c>
      <c r="P1669">
        <v>188.11</v>
      </c>
      <c r="Q1669">
        <v>49.6</v>
      </c>
      <c r="R1669" t="s">
        <v>29</v>
      </c>
      <c r="S1669">
        <v>1</v>
      </c>
      <c r="T1669" t="b">
        <v>0</v>
      </c>
      <c r="U1669" t="s">
        <v>30</v>
      </c>
      <c r="V1669">
        <v>9</v>
      </c>
    </row>
    <row r="1670" spans="1:22" x14ac:dyDescent="0.25">
      <c r="A1670" t="s">
        <v>3835</v>
      </c>
      <c r="B1670" s="1">
        <v>44790</v>
      </c>
      <c r="C1670" t="s">
        <v>3836</v>
      </c>
      <c r="D1670" t="s">
        <v>1659</v>
      </c>
      <c r="E1670">
        <v>25</v>
      </c>
      <c r="F1670" t="str">
        <f>IF(Table1[[#This Row],[age]]&lt;=25,"18-25",IF(Table1[[#This Row],[age]]&lt;=35,"26-35",IF(Table1[[#This Row],[age]]&lt;=50,"36-50","51+")))</f>
        <v>18-25</v>
      </c>
      <c r="G1670" t="s">
        <v>24</v>
      </c>
      <c r="H1670" t="s">
        <v>69</v>
      </c>
      <c r="I1670" t="s">
        <v>70</v>
      </c>
      <c r="J1670" t="s">
        <v>106</v>
      </c>
      <c r="K1670" t="s">
        <v>247</v>
      </c>
      <c r="L1670">
        <v>5</v>
      </c>
      <c r="M1670">
        <v>51.58</v>
      </c>
      <c r="N1670">
        <v>0.3</v>
      </c>
      <c r="O1670">
        <v>237.06</v>
      </c>
      <c r="P1670">
        <v>24.71</v>
      </c>
      <c r="Q1670">
        <v>82.67</v>
      </c>
      <c r="R1670" t="s">
        <v>57</v>
      </c>
      <c r="S1670">
        <v>2</v>
      </c>
      <c r="T1670" t="b">
        <v>1</v>
      </c>
      <c r="U1670" t="s">
        <v>50</v>
      </c>
      <c r="V1670">
        <v>6</v>
      </c>
    </row>
    <row r="1671" spans="1:22" x14ac:dyDescent="0.25">
      <c r="A1671" t="s">
        <v>3837</v>
      </c>
      <c r="B1671" s="1">
        <v>43943</v>
      </c>
      <c r="C1671" t="s">
        <v>3838</v>
      </c>
      <c r="D1671" t="s">
        <v>100</v>
      </c>
      <c r="E1671">
        <v>44</v>
      </c>
      <c r="F1671" t="str">
        <f>IF(Table1[[#This Row],[age]]&lt;=25,"18-25",IF(Table1[[#This Row],[age]]&lt;=35,"26-35",IF(Table1[[#This Row],[age]]&lt;=50,"36-50","51+")))</f>
        <v>36-50</v>
      </c>
      <c r="G1671" t="s">
        <v>34</v>
      </c>
      <c r="H1671" t="s">
        <v>25</v>
      </c>
      <c r="I1671" t="s">
        <v>35</v>
      </c>
      <c r="J1671" t="s">
        <v>106</v>
      </c>
      <c r="K1671" t="s">
        <v>718</v>
      </c>
      <c r="L1671">
        <v>4</v>
      </c>
      <c r="M1671">
        <v>270.70999999999998</v>
      </c>
      <c r="N1671">
        <v>7.0000000000000007E-2</v>
      </c>
      <c r="O1671">
        <v>1316.63</v>
      </c>
      <c r="P1671">
        <v>117.56</v>
      </c>
      <c r="Q1671">
        <v>77.760000000000005</v>
      </c>
      <c r="R1671" t="s">
        <v>92</v>
      </c>
      <c r="S1671">
        <v>2</v>
      </c>
      <c r="T1671" t="b">
        <v>0</v>
      </c>
      <c r="U1671" t="s">
        <v>93</v>
      </c>
      <c r="V1671">
        <v>3</v>
      </c>
    </row>
    <row r="1672" spans="1:22" x14ac:dyDescent="0.25">
      <c r="A1672" t="s">
        <v>3839</v>
      </c>
      <c r="B1672" s="1">
        <v>44702</v>
      </c>
      <c r="C1672" t="s">
        <v>3840</v>
      </c>
      <c r="D1672" t="s">
        <v>338</v>
      </c>
      <c r="E1672">
        <v>47</v>
      </c>
      <c r="F1672" t="str">
        <f>IF(Table1[[#This Row],[age]]&lt;=25,"18-25",IF(Table1[[#This Row],[age]]&lt;=35,"26-35",IF(Table1[[#This Row],[age]]&lt;=50,"36-50","51+")))</f>
        <v>36-50</v>
      </c>
      <c r="G1672" t="s">
        <v>54</v>
      </c>
      <c r="H1672" t="s">
        <v>25</v>
      </c>
      <c r="I1672" t="s">
        <v>298</v>
      </c>
      <c r="J1672" t="s">
        <v>106</v>
      </c>
      <c r="K1672" t="s">
        <v>718</v>
      </c>
      <c r="L1672">
        <v>2</v>
      </c>
      <c r="M1672">
        <v>209.57</v>
      </c>
      <c r="N1672">
        <v>0.4</v>
      </c>
      <c r="O1672">
        <v>406.36</v>
      </c>
      <c r="P1672">
        <v>24.52</v>
      </c>
      <c r="Q1672">
        <v>47.01</v>
      </c>
      <c r="R1672" t="s">
        <v>43</v>
      </c>
      <c r="S1672">
        <v>3</v>
      </c>
      <c r="T1672" t="b">
        <v>0</v>
      </c>
      <c r="U1672" t="s">
        <v>30</v>
      </c>
      <c r="V1672">
        <v>8</v>
      </c>
    </row>
    <row r="1673" spans="1:22" x14ac:dyDescent="0.25">
      <c r="A1673" t="s">
        <v>3841</v>
      </c>
      <c r="B1673" s="1">
        <v>44472</v>
      </c>
      <c r="C1673" t="s">
        <v>3842</v>
      </c>
      <c r="D1673" t="s">
        <v>3692</v>
      </c>
      <c r="E1673">
        <v>35</v>
      </c>
      <c r="F1673" t="str">
        <f>IF(Table1[[#This Row],[age]]&lt;=25,"18-25",IF(Table1[[#This Row],[age]]&lt;=35,"26-35",IF(Table1[[#This Row],[age]]&lt;=50,"36-50","51+")))</f>
        <v>26-35</v>
      </c>
      <c r="G1673" t="s">
        <v>24</v>
      </c>
      <c r="H1673" t="s">
        <v>61</v>
      </c>
      <c r="I1673" t="s">
        <v>163</v>
      </c>
      <c r="J1673" t="s">
        <v>106</v>
      </c>
      <c r="K1673" t="s">
        <v>247</v>
      </c>
      <c r="L1673">
        <v>6</v>
      </c>
      <c r="M1673">
        <v>204.17</v>
      </c>
      <c r="N1673">
        <v>0.32</v>
      </c>
      <c r="O1673">
        <v>703.05</v>
      </c>
      <c r="P1673">
        <v>59.99</v>
      </c>
      <c r="Q1673">
        <v>27.12</v>
      </c>
      <c r="R1673" t="s">
        <v>29</v>
      </c>
      <c r="S1673">
        <v>4</v>
      </c>
      <c r="T1673" t="b">
        <v>0</v>
      </c>
      <c r="U1673" t="s">
        <v>30</v>
      </c>
      <c r="V1673">
        <v>1</v>
      </c>
    </row>
    <row r="1674" spans="1:22" x14ac:dyDescent="0.25">
      <c r="A1674" t="s">
        <v>3843</v>
      </c>
      <c r="B1674" s="1">
        <v>44411</v>
      </c>
      <c r="C1674" t="s">
        <v>3844</v>
      </c>
      <c r="D1674" t="s">
        <v>871</v>
      </c>
      <c r="E1674">
        <v>52</v>
      </c>
      <c r="F1674" t="str">
        <f>IF(Table1[[#This Row],[age]]&lt;=25,"18-25",IF(Table1[[#This Row],[age]]&lt;=35,"26-35",IF(Table1[[#This Row],[age]]&lt;=50,"36-50","51+")))</f>
        <v>51+</v>
      </c>
      <c r="G1674" t="s">
        <v>24</v>
      </c>
      <c r="H1674" t="s">
        <v>55</v>
      </c>
      <c r="I1674" t="s">
        <v>114</v>
      </c>
      <c r="J1674" t="s">
        <v>27</v>
      </c>
      <c r="K1674" t="s">
        <v>192</v>
      </c>
      <c r="L1674">
        <v>2</v>
      </c>
      <c r="M1674">
        <v>725.19</v>
      </c>
      <c r="N1674">
        <v>0.38</v>
      </c>
      <c r="O1674">
        <v>1066.1600000000001</v>
      </c>
      <c r="P1674">
        <v>607.29999999999995</v>
      </c>
      <c r="Q1674">
        <v>27.53</v>
      </c>
      <c r="R1674" t="s">
        <v>65</v>
      </c>
      <c r="S1674">
        <v>2</v>
      </c>
      <c r="T1674" t="b">
        <v>0</v>
      </c>
      <c r="U1674" t="s">
        <v>93</v>
      </c>
      <c r="V1674">
        <v>10</v>
      </c>
    </row>
    <row r="1675" spans="1:22" x14ac:dyDescent="0.25">
      <c r="A1675" t="s">
        <v>3845</v>
      </c>
      <c r="B1675" s="1">
        <v>44788</v>
      </c>
      <c r="C1675" t="s">
        <v>3846</v>
      </c>
      <c r="D1675" t="s">
        <v>854</v>
      </c>
      <c r="E1675">
        <v>18</v>
      </c>
      <c r="F1675" t="str">
        <f>IF(Table1[[#This Row],[age]]&lt;=25,"18-25",IF(Table1[[#This Row],[age]]&lt;=35,"26-35",IF(Table1[[#This Row],[age]]&lt;=50,"36-50","51+")))</f>
        <v>18-25</v>
      </c>
      <c r="G1675" t="s">
        <v>34</v>
      </c>
      <c r="H1675" t="s">
        <v>61</v>
      </c>
      <c r="I1675" t="s">
        <v>62</v>
      </c>
      <c r="J1675" t="s">
        <v>27</v>
      </c>
      <c r="K1675" t="s">
        <v>28</v>
      </c>
      <c r="L1675">
        <v>1</v>
      </c>
      <c r="M1675">
        <v>1639.28</v>
      </c>
      <c r="N1675">
        <v>0.06</v>
      </c>
      <c r="O1675">
        <v>1994.57</v>
      </c>
      <c r="P1675">
        <v>1129.1600000000001</v>
      </c>
      <c r="Q1675">
        <v>33.72</v>
      </c>
      <c r="R1675" t="s">
        <v>57</v>
      </c>
      <c r="S1675">
        <v>5</v>
      </c>
      <c r="T1675" t="b">
        <v>0</v>
      </c>
      <c r="U1675" t="s">
        <v>30</v>
      </c>
      <c r="V1675">
        <v>7</v>
      </c>
    </row>
    <row r="1676" spans="1:22" x14ac:dyDescent="0.25">
      <c r="A1676" t="s">
        <v>3847</v>
      </c>
      <c r="B1676" s="1">
        <v>45537</v>
      </c>
      <c r="C1676" t="s">
        <v>3848</v>
      </c>
      <c r="D1676" t="s">
        <v>213</v>
      </c>
      <c r="E1676">
        <v>24</v>
      </c>
      <c r="F1676" t="str">
        <f>IF(Table1[[#This Row],[age]]&lt;=25,"18-25",IF(Table1[[#This Row],[age]]&lt;=35,"26-35",IF(Table1[[#This Row],[age]]&lt;=50,"36-50","51+")))</f>
        <v>18-25</v>
      </c>
      <c r="G1676" t="s">
        <v>34</v>
      </c>
      <c r="H1676" t="s">
        <v>55</v>
      </c>
      <c r="I1676" t="s">
        <v>56</v>
      </c>
      <c r="J1676" t="s">
        <v>36</v>
      </c>
      <c r="K1676" t="s">
        <v>243</v>
      </c>
      <c r="L1676">
        <v>8</v>
      </c>
      <c r="M1676">
        <v>6926.63</v>
      </c>
      <c r="N1676">
        <v>0.2</v>
      </c>
      <c r="O1676">
        <v>48142.68</v>
      </c>
      <c r="P1676">
        <v>9087.93</v>
      </c>
      <c r="Q1676">
        <v>44.2</v>
      </c>
      <c r="R1676" t="s">
        <v>92</v>
      </c>
      <c r="S1676">
        <v>5</v>
      </c>
      <c r="T1676" t="b">
        <v>0</v>
      </c>
      <c r="U1676" t="s">
        <v>30</v>
      </c>
      <c r="V1676">
        <v>6</v>
      </c>
    </row>
    <row r="1677" spans="1:22" x14ac:dyDescent="0.25">
      <c r="A1677" t="s">
        <v>3849</v>
      </c>
      <c r="B1677" s="1">
        <v>44611</v>
      </c>
      <c r="C1677" t="s">
        <v>3850</v>
      </c>
      <c r="D1677" t="s">
        <v>477</v>
      </c>
      <c r="E1677">
        <v>34</v>
      </c>
      <c r="F1677" t="str">
        <f>IF(Table1[[#This Row],[age]]&lt;=25,"18-25",IF(Table1[[#This Row],[age]]&lt;=35,"26-35",IF(Table1[[#This Row],[age]]&lt;=50,"36-50","51+")))</f>
        <v>26-35</v>
      </c>
      <c r="G1677" t="s">
        <v>24</v>
      </c>
      <c r="H1677" t="s">
        <v>61</v>
      </c>
      <c r="I1677" t="s">
        <v>91</v>
      </c>
      <c r="J1677" t="s">
        <v>106</v>
      </c>
      <c r="K1677" t="s">
        <v>314</v>
      </c>
      <c r="L1677">
        <v>10</v>
      </c>
      <c r="M1677">
        <v>459.8</v>
      </c>
      <c r="N1677">
        <v>0.32</v>
      </c>
      <c r="O1677">
        <v>3495.22</v>
      </c>
      <c r="P1677">
        <v>314</v>
      </c>
      <c r="Q1677">
        <v>45.01</v>
      </c>
      <c r="R1677" t="s">
        <v>65</v>
      </c>
      <c r="S1677">
        <v>1</v>
      </c>
      <c r="T1677" t="b">
        <v>0</v>
      </c>
      <c r="U1677" t="s">
        <v>30</v>
      </c>
      <c r="V1677">
        <v>6</v>
      </c>
    </row>
    <row r="1678" spans="1:22" x14ac:dyDescent="0.25">
      <c r="A1678" t="s">
        <v>3851</v>
      </c>
      <c r="B1678" s="1">
        <v>44887</v>
      </c>
      <c r="C1678" t="s">
        <v>3852</v>
      </c>
      <c r="D1678" t="s">
        <v>499</v>
      </c>
      <c r="E1678">
        <v>31</v>
      </c>
      <c r="F1678" t="str">
        <f>IF(Table1[[#This Row],[age]]&lt;=25,"18-25",IF(Table1[[#This Row],[age]]&lt;=35,"26-35",IF(Table1[[#This Row],[age]]&lt;=50,"36-50","51+")))</f>
        <v>26-35</v>
      </c>
      <c r="G1678" t="s">
        <v>34</v>
      </c>
      <c r="H1678" t="s">
        <v>80</v>
      </c>
      <c r="I1678" t="s">
        <v>81</v>
      </c>
      <c r="J1678" t="s">
        <v>106</v>
      </c>
      <c r="K1678" t="s">
        <v>331</v>
      </c>
      <c r="L1678">
        <v>9</v>
      </c>
      <c r="M1678">
        <v>51.92</v>
      </c>
      <c r="N1678">
        <v>0.31</v>
      </c>
      <c r="O1678">
        <v>278.98</v>
      </c>
      <c r="P1678">
        <v>26.11</v>
      </c>
      <c r="Q1678">
        <v>58.05</v>
      </c>
      <c r="R1678" t="s">
        <v>29</v>
      </c>
      <c r="S1678">
        <v>2</v>
      </c>
      <c r="T1678" t="b">
        <v>0</v>
      </c>
      <c r="U1678" t="s">
        <v>30</v>
      </c>
      <c r="V1678">
        <v>8</v>
      </c>
    </row>
    <row r="1679" spans="1:22" x14ac:dyDescent="0.25">
      <c r="A1679" t="s">
        <v>3853</v>
      </c>
      <c r="B1679" s="1">
        <v>44421</v>
      </c>
      <c r="C1679" t="s">
        <v>3854</v>
      </c>
      <c r="D1679" t="s">
        <v>1183</v>
      </c>
      <c r="E1679">
        <v>46</v>
      </c>
      <c r="F1679" t="str">
        <f>IF(Table1[[#This Row],[age]]&lt;=25,"18-25",IF(Table1[[#This Row],[age]]&lt;=35,"26-35",IF(Table1[[#This Row],[age]]&lt;=50,"36-50","51+")))</f>
        <v>36-50</v>
      </c>
      <c r="G1679" t="s">
        <v>24</v>
      </c>
      <c r="H1679" t="s">
        <v>55</v>
      </c>
      <c r="I1679" t="s">
        <v>56</v>
      </c>
      <c r="J1679" t="s">
        <v>115</v>
      </c>
      <c r="K1679" t="s">
        <v>116</v>
      </c>
      <c r="L1679">
        <v>10</v>
      </c>
      <c r="M1679">
        <v>25085.8</v>
      </c>
      <c r="N1679">
        <v>0.25</v>
      </c>
      <c r="O1679">
        <v>207921.9</v>
      </c>
      <c r="P1679">
        <v>24463.52</v>
      </c>
      <c r="Q1679">
        <v>67.239999999999995</v>
      </c>
      <c r="R1679" t="s">
        <v>65</v>
      </c>
      <c r="S1679">
        <v>3</v>
      </c>
      <c r="T1679" t="b">
        <v>0</v>
      </c>
      <c r="U1679" t="s">
        <v>193</v>
      </c>
      <c r="V1679">
        <v>4</v>
      </c>
    </row>
    <row r="1680" spans="1:22" x14ac:dyDescent="0.25">
      <c r="A1680" t="s">
        <v>3855</v>
      </c>
      <c r="B1680" s="1">
        <v>45429</v>
      </c>
      <c r="C1680" t="s">
        <v>3856</v>
      </c>
      <c r="D1680" t="s">
        <v>879</v>
      </c>
      <c r="E1680">
        <v>35</v>
      </c>
      <c r="F1680" t="str">
        <f>IF(Table1[[#This Row],[age]]&lt;=25,"18-25",IF(Table1[[#This Row],[age]]&lt;=35,"26-35",IF(Table1[[#This Row],[age]]&lt;=50,"36-50","51+")))</f>
        <v>26-35</v>
      </c>
      <c r="G1680" t="s">
        <v>34</v>
      </c>
      <c r="H1680" t="s">
        <v>80</v>
      </c>
      <c r="I1680" t="s">
        <v>81</v>
      </c>
      <c r="J1680" t="s">
        <v>63</v>
      </c>
      <c r="K1680" t="s">
        <v>87</v>
      </c>
      <c r="L1680">
        <v>2</v>
      </c>
      <c r="M1680">
        <v>2532.85</v>
      </c>
      <c r="N1680">
        <v>0.05</v>
      </c>
      <c r="O1680">
        <v>6919.55</v>
      </c>
      <c r="P1680">
        <v>2112.7800000000002</v>
      </c>
      <c r="Q1680">
        <v>67.930000000000007</v>
      </c>
      <c r="R1680" t="s">
        <v>65</v>
      </c>
      <c r="S1680">
        <v>5</v>
      </c>
      <c r="T1680" t="b">
        <v>0</v>
      </c>
      <c r="U1680" t="s">
        <v>30</v>
      </c>
      <c r="V1680">
        <v>2</v>
      </c>
    </row>
    <row r="1681" spans="1:22" x14ac:dyDescent="0.25">
      <c r="A1681" t="s">
        <v>3857</v>
      </c>
      <c r="B1681" s="1">
        <v>45426</v>
      </c>
      <c r="C1681" t="s">
        <v>3858</v>
      </c>
      <c r="D1681" t="s">
        <v>490</v>
      </c>
      <c r="E1681">
        <v>40</v>
      </c>
      <c r="F1681" t="str">
        <f>IF(Table1[[#This Row],[age]]&lt;=25,"18-25",IF(Table1[[#This Row],[age]]&lt;=35,"26-35",IF(Table1[[#This Row],[age]]&lt;=50,"36-50","51+")))</f>
        <v>36-50</v>
      </c>
      <c r="G1681" t="s">
        <v>34</v>
      </c>
      <c r="H1681" t="s">
        <v>61</v>
      </c>
      <c r="I1681" t="s">
        <v>62</v>
      </c>
      <c r="J1681" t="s">
        <v>27</v>
      </c>
      <c r="K1681" t="s">
        <v>335</v>
      </c>
      <c r="L1681">
        <v>9</v>
      </c>
      <c r="M1681">
        <v>1744.29</v>
      </c>
      <c r="N1681">
        <v>0.18</v>
      </c>
      <c r="O1681">
        <v>21619.82</v>
      </c>
      <c r="P1681">
        <v>8141.08</v>
      </c>
      <c r="Q1681">
        <v>64.2</v>
      </c>
      <c r="R1681" t="s">
        <v>29</v>
      </c>
      <c r="S1681">
        <v>5</v>
      </c>
      <c r="T1681" t="b">
        <v>0</v>
      </c>
      <c r="U1681" t="s">
        <v>71</v>
      </c>
      <c r="V1681">
        <v>4</v>
      </c>
    </row>
    <row r="1682" spans="1:22" x14ac:dyDescent="0.25">
      <c r="A1682" t="s">
        <v>3859</v>
      </c>
      <c r="B1682" s="1">
        <v>44942</v>
      </c>
      <c r="C1682" t="s">
        <v>3860</v>
      </c>
      <c r="D1682" t="s">
        <v>278</v>
      </c>
      <c r="E1682">
        <v>34</v>
      </c>
      <c r="F1682" t="str">
        <f>IF(Table1[[#This Row],[age]]&lt;=25,"18-25",IF(Table1[[#This Row],[age]]&lt;=35,"26-35",IF(Table1[[#This Row],[age]]&lt;=50,"36-50","51+")))</f>
        <v>26-35</v>
      </c>
      <c r="G1682" t="s">
        <v>34</v>
      </c>
      <c r="H1682" t="s">
        <v>69</v>
      </c>
      <c r="I1682" t="s">
        <v>70</v>
      </c>
      <c r="J1682" t="s">
        <v>63</v>
      </c>
      <c r="K1682" t="s">
        <v>82</v>
      </c>
      <c r="L1682">
        <v>1</v>
      </c>
      <c r="M1682">
        <v>3320.34</v>
      </c>
      <c r="N1682">
        <v>0.13</v>
      </c>
      <c r="O1682">
        <v>2592.3000000000002</v>
      </c>
      <c r="P1682">
        <v>1110.93</v>
      </c>
      <c r="Q1682">
        <v>91.86</v>
      </c>
      <c r="R1682" t="s">
        <v>57</v>
      </c>
      <c r="S1682">
        <v>4</v>
      </c>
      <c r="T1682" t="b">
        <v>0</v>
      </c>
      <c r="U1682" t="s">
        <v>30</v>
      </c>
      <c r="V1682">
        <v>6</v>
      </c>
    </row>
    <row r="1683" spans="1:22" x14ac:dyDescent="0.25">
      <c r="A1683" t="s">
        <v>3861</v>
      </c>
      <c r="B1683" s="1">
        <v>44870</v>
      </c>
      <c r="C1683" t="s">
        <v>3862</v>
      </c>
      <c r="D1683" t="s">
        <v>364</v>
      </c>
      <c r="E1683">
        <v>46</v>
      </c>
      <c r="F1683" t="str">
        <f>IF(Table1[[#This Row],[age]]&lt;=25,"18-25",IF(Table1[[#This Row],[age]]&lt;=35,"26-35",IF(Table1[[#This Row],[age]]&lt;=50,"36-50","51+")))</f>
        <v>36-50</v>
      </c>
      <c r="G1683" t="s">
        <v>54</v>
      </c>
      <c r="H1683" t="s">
        <v>55</v>
      </c>
      <c r="I1683" t="s">
        <v>75</v>
      </c>
      <c r="J1683" t="s">
        <v>27</v>
      </c>
      <c r="K1683" t="s">
        <v>168</v>
      </c>
      <c r="L1683">
        <v>10</v>
      </c>
      <c r="M1683">
        <v>1470.73</v>
      </c>
      <c r="N1683">
        <v>0.21</v>
      </c>
      <c r="O1683">
        <v>9648.06</v>
      </c>
      <c r="P1683">
        <v>5328.61</v>
      </c>
      <c r="Q1683">
        <v>34.42</v>
      </c>
      <c r="R1683" t="s">
        <v>65</v>
      </c>
      <c r="S1683">
        <v>5</v>
      </c>
      <c r="T1683" t="b">
        <v>0</v>
      </c>
      <c r="U1683" t="s">
        <v>30</v>
      </c>
      <c r="V1683">
        <v>8</v>
      </c>
    </row>
    <row r="1684" spans="1:22" x14ac:dyDescent="0.25">
      <c r="A1684" t="s">
        <v>3863</v>
      </c>
      <c r="B1684" s="1">
        <v>43997</v>
      </c>
      <c r="C1684" t="s">
        <v>3864</v>
      </c>
      <c r="D1684" t="s">
        <v>119</v>
      </c>
      <c r="E1684">
        <v>42</v>
      </c>
      <c r="F1684" t="str">
        <f>IF(Table1[[#This Row],[age]]&lt;=25,"18-25",IF(Table1[[#This Row],[age]]&lt;=35,"26-35",IF(Table1[[#This Row],[age]]&lt;=50,"36-50","51+")))</f>
        <v>36-50</v>
      </c>
      <c r="G1684" t="s">
        <v>54</v>
      </c>
      <c r="H1684" t="s">
        <v>55</v>
      </c>
      <c r="I1684" t="s">
        <v>56</v>
      </c>
      <c r="J1684" t="s">
        <v>101</v>
      </c>
      <c r="K1684" t="s">
        <v>456</v>
      </c>
      <c r="L1684">
        <v>3</v>
      </c>
      <c r="M1684">
        <v>13341.26</v>
      </c>
      <c r="N1684">
        <v>0.15</v>
      </c>
      <c r="O1684">
        <v>48831.45</v>
      </c>
      <c r="P1684">
        <v>11505.37</v>
      </c>
      <c r="Q1684">
        <v>59.51</v>
      </c>
      <c r="R1684" t="s">
        <v>92</v>
      </c>
      <c r="S1684">
        <v>5</v>
      </c>
      <c r="T1684" t="b">
        <v>0</v>
      </c>
      <c r="U1684" t="s">
        <v>30</v>
      </c>
      <c r="V1684">
        <v>1</v>
      </c>
    </row>
    <row r="1685" spans="1:22" x14ac:dyDescent="0.25">
      <c r="A1685" t="s">
        <v>3865</v>
      </c>
      <c r="B1685" s="1">
        <v>45498</v>
      </c>
      <c r="C1685" t="s">
        <v>3866</v>
      </c>
      <c r="D1685" t="s">
        <v>177</v>
      </c>
      <c r="E1685">
        <v>59</v>
      </c>
      <c r="F1685" t="str">
        <f>IF(Table1[[#This Row],[age]]&lt;=25,"18-25",IF(Table1[[#This Row],[age]]&lt;=35,"26-35",IF(Table1[[#This Row],[age]]&lt;=50,"36-50","51+")))</f>
        <v>51+</v>
      </c>
      <c r="G1685" t="s">
        <v>34</v>
      </c>
      <c r="H1685" t="s">
        <v>55</v>
      </c>
      <c r="I1685" t="s">
        <v>114</v>
      </c>
      <c r="J1685" t="s">
        <v>27</v>
      </c>
      <c r="K1685" t="s">
        <v>28</v>
      </c>
      <c r="L1685">
        <v>4</v>
      </c>
      <c r="M1685">
        <v>575.05999999999995</v>
      </c>
      <c r="N1685">
        <v>0.02</v>
      </c>
      <c r="O1685">
        <v>3788.19</v>
      </c>
      <c r="P1685">
        <v>1608.33</v>
      </c>
      <c r="Q1685">
        <v>74.42</v>
      </c>
      <c r="R1685" t="s">
        <v>29</v>
      </c>
      <c r="S1685">
        <v>2</v>
      </c>
      <c r="T1685" t="b">
        <v>0</v>
      </c>
      <c r="U1685" t="s">
        <v>71</v>
      </c>
      <c r="V1685">
        <v>7</v>
      </c>
    </row>
    <row r="1686" spans="1:22" x14ac:dyDescent="0.25">
      <c r="A1686" t="s">
        <v>3867</v>
      </c>
      <c r="B1686" s="1">
        <v>43832</v>
      </c>
      <c r="C1686" t="s">
        <v>3868</v>
      </c>
      <c r="D1686" t="s">
        <v>1478</v>
      </c>
      <c r="E1686">
        <v>40</v>
      </c>
      <c r="F1686" t="str">
        <f>IF(Table1[[#This Row],[age]]&lt;=25,"18-25",IF(Table1[[#This Row],[age]]&lt;=35,"26-35",IF(Table1[[#This Row],[age]]&lt;=50,"36-50","51+")))</f>
        <v>36-50</v>
      </c>
      <c r="G1686" t="s">
        <v>24</v>
      </c>
      <c r="H1686" t="s">
        <v>25</v>
      </c>
      <c r="I1686" t="s">
        <v>26</v>
      </c>
      <c r="J1686" t="s">
        <v>63</v>
      </c>
      <c r="K1686" t="s">
        <v>64</v>
      </c>
      <c r="L1686">
        <v>8</v>
      </c>
      <c r="M1686">
        <v>3870.61</v>
      </c>
      <c r="N1686">
        <v>0.06</v>
      </c>
      <c r="O1686">
        <v>21825.83</v>
      </c>
      <c r="P1686">
        <v>9142</v>
      </c>
      <c r="Q1686">
        <v>72.61</v>
      </c>
      <c r="R1686" t="s">
        <v>92</v>
      </c>
      <c r="S1686">
        <v>1</v>
      </c>
      <c r="T1686" t="b">
        <v>1</v>
      </c>
      <c r="U1686" t="s">
        <v>50</v>
      </c>
      <c r="V1686">
        <v>2</v>
      </c>
    </row>
    <row r="1687" spans="1:22" x14ac:dyDescent="0.25">
      <c r="A1687" t="s">
        <v>3869</v>
      </c>
      <c r="B1687" s="1">
        <v>44828</v>
      </c>
      <c r="C1687" t="s">
        <v>3870</v>
      </c>
      <c r="D1687" t="s">
        <v>196</v>
      </c>
      <c r="E1687">
        <v>31</v>
      </c>
      <c r="F1687" t="str">
        <f>IF(Table1[[#This Row],[age]]&lt;=25,"18-25",IF(Table1[[#This Row],[age]]&lt;=35,"26-35",IF(Table1[[#This Row],[age]]&lt;=50,"36-50","51+")))</f>
        <v>26-35</v>
      </c>
      <c r="G1687" t="s">
        <v>34</v>
      </c>
      <c r="H1687" t="s">
        <v>69</v>
      </c>
      <c r="I1687" t="s">
        <v>136</v>
      </c>
      <c r="J1687" t="s">
        <v>101</v>
      </c>
      <c r="K1687" t="s">
        <v>456</v>
      </c>
      <c r="L1687">
        <v>10</v>
      </c>
      <c r="M1687">
        <v>4545.91</v>
      </c>
      <c r="N1687">
        <v>0.01</v>
      </c>
      <c r="O1687">
        <v>55303.33</v>
      </c>
      <c r="P1687">
        <v>13195.84</v>
      </c>
      <c r="Q1687">
        <v>71.77</v>
      </c>
      <c r="R1687" t="s">
        <v>43</v>
      </c>
      <c r="S1687">
        <v>3</v>
      </c>
      <c r="T1687" t="b">
        <v>0</v>
      </c>
      <c r="U1687" t="s">
        <v>30</v>
      </c>
      <c r="V1687">
        <v>9</v>
      </c>
    </row>
    <row r="1688" spans="1:22" x14ac:dyDescent="0.25">
      <c r="A1688" t="s">
        <v>3871</v>
      </c>
      <c r="B1688" s="1">
        <v>45374</v>
      </c>
      <c r="C1688" t="s">
        <v>3872</v>
      </c>
      <c r="D1688" t="s">
        <v>3675</v>
      </c>
      <c r="E1688">
        <v>38</v>
      </c>
      <c r="F1688" t="str">
        <f>IF(Table1[[#This Row],[age]]&lt;=25,"18-25",IF(Table1[[#This Row],[age]]&lt;=35,"26-35",IF(Table1[[#This Row],[age]]&lt;=50,"36-50","51+")))</f>
        <v>36-50</v>
      </c>
      <c r="G1688" t="s">
        <v>54</v>
      </c>
      <c r="H1688" t="s">
        <v>25</v>
      </c>
      <c r="I1688" t="s">
        <v>26</v>
      </c>
      <c r="J1688" t="s">
        <v>115</v>
      </c>
      <c r="K1688" t="s">
        <v>197</v>
      </c>
      <c r="L1688">
        <v>2</v>
      </c>
      <c r="M1688">
        <v>50847.56</v>
      </c>
      <c r="N1688">
        <v>0.28999999999999998</v>
      </c>
      <c r="O1688">
        <v>99290.01</v>
      </c>
      <c r="P1688">
        <v>11766.04</v>
      </c>
      <c r="Q1688">
        <v>62.35</v>
      </c>
      <c r="R1688" t="s">
        <v>29</v>
      </c>
      <c r="S1688">
        <v>5</v>
      </c>
      <c r="T1688" t="b">
        <v>0</v>
      </c>
      <c r="U1688" t="s">
        <v>30</v>
      </c>
      <c r="V1688">
        <v>3</v>
      </c>
    </row>
    <row r="1689" spans="1:22" x14ac:dyDescent="0.25">
      <c r="A1689" t="s">
        <v>3873</v>
      </c>
      <c r="B1689" s="1">
        <v>45535</v>
      </c>
      <c r="C1689" t="s">
        <v>3874</v>
      </c>
      <c r="D1689" t="s">
        <v>2008</v>
      </c>
      <c r="E1689">
        <v>59</v>
      </c>
      <c r="F1689" t="str">
        <f>IF(Table1[[#This Row],[age]]&lt;=25,"18-25",IF(Table1[[#This Row],[age]]&lt;=35,"26-35",IF(Table1[[#This Row],[age]]&lt;=50,"36-50","51+")))</f>
        <v>51+</v>
      </c>
      <c r="G1689" t="s">
        <v>54</v>
      </c>
      <c r="H1689" t="s">
        <v>55</v>
      </c>
      <c r="I1689" t="s">
        <v>114</v>
      </c>
      <c r="J1689" t="s">
        <v>36</v>
      </c>
      <c r="K1689" t="s">
        <v>76</v>
      </c>
      <c r="L1689">
        <v>10</v>
      </c>
      <c r="M1689">
        <v>4875.22</v>
      </c>
      <c r="N1689">
        <v>0.39</v>
      </c>
      <c r="O1689">
        <v>49256.25</v>
      </c>
      <c r="P1689">
        <v>15655.19</v>
      </c>
      <c r="Q1689">
        <v>54.49</v>
      </c>
      <c r="R1689" t="s">
        <v>65</v>
      </c>
      <c r="S1689">
        <v>1</v>
      </c>
      <c r="T1689" t="b">
        <v>0</v>
      </c>
      <c r="U1689" t="s">
        <v>30</v>
      </c>
      <c r="V1689">
        <v>10</v>
      </c>
    </row>
    <row r="1690" spans="1:22" x14ac:dyDescent="0.25">
      <c r="A1690" t="s">
        <v>3875</v>
      </c>
      <c r="B1690" s="1">
        <v>44847</v>
      </c>
      <c r="C1690" t="s">
        <v>3876</v>
      </c>
      <c r="D1690" t="s">
        <v>671</v>
      </c>
      <c r="E1690">
        <v>36</v>
      </c>
      <c r="F1690" t="str">
        <f>IF(Table1[[#This Row],[age]]&lt;=25,"18-25",IF(Table1[[#This Row],[age]]&lt;=35,"26-35",IF(Table1[[#This Row],[age]]&lt;=50,"36-50","51+")))</f>
        <v>36-50</v>
      </c>
      <c r="G1690" t="s">
        <v>54</v>
      </c>
      <c r="H1690" t="s">
        <v>55</v>
      </c>
      <c r="I1690" t="s">
        <v>97</v>
      </c>
      <c r="J1690" t="s">
        <v>36</v>
      </c>
      <c r="K1690" t="s">
        <v>76</v>
      </c>
      <c r="L1690">
        <v>2</v>
      </c>
      <c r="M1690">
        <v>24650.720000000001</v>
      </c>
      <c r="N1690">
        <v>0.23</v>
      </c>
      <c r="O1690">
        <v>33579.519999999997</v>
      </c>
      <c r="P1690">
        <v>8642.75</v>
      </c>
      <c r="Q1690">
        <v>35.1</v>
      </c>
      <c r="R1690" t="s">
        <v>29</v>
      </c>
      <c r="S1690">
        <v>5</v>
      </c>
      <c r="T1690" t="b">
        <v>0</v>
      </c>
      <c r="U1690" t="s">
        <v>30</v>
      </c>
      <c r="V1690">
        <v>2</v>
      </c>
    </row>
    <row r="1691" spans="1:22" x14ac:dyDescent="0.25">
      <c r="A1691" t="s">
        <v>3877</v>
      </c>
      <c r="B1691" s="1">
        <v>43913</v>
      </c>
      <c r="C1691" t="s">
        <v>3878</v>
      </c>
      <c r="D1691" t="s">
        <v>100</v>
      </c>
      <c r="E1691">
        <v>37</v>
      </c>
      <c r="F1691" t="str">
        <f>IF(Table1[[#This Row],[age]]&lt;=25,"18-25",IF(Table1[[#This Row],[age]]&lt;=35,"26-35",IF(Table1[[#This Row],[age]]&lt;=50,"36-50","51+")))</f>
        <v>36-50</v>
      </c>
      <c r="G1691" t="s">
        <v>54</v>
      </c>
      <c r="H1691" t="s">
        <v>55</v>
      </c>
      <c r="I1691" t="s">
        <v>97</v>
      </c>
      <c r="J1691" t="s">
        <v>101</v>
      </c>
      <c r="K1691" t="s">
        <v>102</v>
      </c>
      <c r="L1691">
        <v>8</v>
      </c>
      <c r="M1691">
        <v>7246.65</v>
      </c>
      <c r="N1691">
        <v>0.34</v>
      </c>
      <c r="O1691">
        <v>43301.82</v>
      </c>
      <c r="P1691">
        <v>7525.66</v>
      </c>
      <c r="Q1691">
        <v>68.12</v>
      </c>
      <c r="R1691" t="s">
        <v>92</v>
      </c>
      <c r="S1691">
        <v>2</v>
      </c>
      <c r="T1691" t="b">
        <v>1</v>
      </c>
      <c r="U1691" t="s">
        <v>50</v>
      </c>
      <c r="V1691">
        <v>1</v>
      </c>
    </row>
    <row r="1692" spans="1:22" x14ac:dyDescent="0.25">
      <c r="A1692" t="s">
        <v>3879</v>
      </c>
      <c r="B1692" s="1">
        <v>44938</v>
      </c>
      <c r="C1692" t="s">
        <v>3880</v>
      </c>
      <c r="D1692" t="s">
        <v>1538</v>
      </c>
      <c r="E1692">
        <v>48</v>
      </c>
      <c r="F1692" t="str">
        <f>IF(Table1[[#This Row],[age]]&lt;=25,"18-25",IF(Table1[[#This Row],[age]]&lt;=35,"26-35",IF(Table1[[#This Row],[age]]&lt;=50,"36-50","51+")))</f>
        <v>36-50</v>
      </c>
      <c r="G1692" t="s">
        <v>54</v>
      </c>
      <c r="H1692" t="s">
        <v>80</v>
      </c>
      <c r="I1692" t="s">
        <v>81</v>
      </c>
      <c r="J1692" t="s">
        <v>101</v>
      </c>
      <c r="K1692" t="s">
        <v>214</v>
      </c>
      <c r="L1692">
        <v>4</v>
      </c>
      <c r="M1692">
        <v>13669.75</v>
      </c>
      <c r="N1692">
        <v>0.17</v>
      </c>
      <c r="O1692">
        <v>43819.54</v>
      </c>
      <c r="P1692">
        <v>8792.51</v>
      </c>
      <c r="Q1692">
        <v>72.709999999999994</v>
      </c>
      <c r="R1692" t="s">
        <v>92</v>
      </c>
      <c r="S1692">
        <v>3</v>
      </c>
      <c r="T1692" t="b">
        <v>1</v>
      </c>
      <c r="U1692" t="s">
        <v>50</v>
      </c>
      <c r="V1692">
        <v>10</v>
      </c>
    </row>
    <row r="1693" spans="1:22" x14ac:dyDescent="0.25">
      <c r="A1693" t="s">
        <v>3881</v>
      </c>
      <c r="B1693" s="1">
        <v>44847</v>
      </c>
      <c r="C1693" t="s">
        <v>3882</v>
      </c>
      <c r="D1693" t="s">
        <v>838</v>
      </c>
      <c r="E1693">
        <v>55</v>
      </c>
      <c r="F1693" t="str">
        <f>IF(Table1[[#This Row],[age]]&lt;=25,"18-25",IF(Table1[[#This Row],[age]]&lt;=35,"26-35",IF(Table1[[#This Row],[age]]&lt;=50,"36-50","51+")))</f>
        <v>51+</v>
      </c>
      <c r="G1693" t="s">
        <v>34</v>
      </c>
      <c r="H1693" t="s">
        <v>55</v>
      </c>
      <c r="I1693" t="s">
        <v>56</v>
      </c>
      <c r="J1693" t="s">
        <v>115</v>
      </c>
      <c r="K1693" t="s">
        <v>197</v>
      </c>
      <c r="L1693">
        <v>10</v>
      </c>
      <c r="M1693">
        <v>13324.53</v>
      </c>
      <c r="N1693">
        <v>0.06</v>
      </c>
      <c r="O1693">
        <v>123315.72</v>
      </c>
      <c r="P1693">
        <v>14023.48</v>
      </c>
      <c r="Q1693">
        <v>55.67</v>
      </c>
      <c r="R1693" t="s">
        <v>65</v>
      </c>
      <c r="S1693">
        <v>5</v>
      </c>
      <c r="T1693" t="b">
        <v>0</v>
      </c>
      <c r="U1693" t="s">
        <v>30</v>
      </c>
      <c r="V1693">
        <v>4</v>
      </c>
    </row>
    <row r="1694" spans="1:22" x14ac:dyDescent="0.25">
      <c r="A1694" t="s">
        <v>3883</v>
      </c>
      <c r="B1694" s="1">
        <v>44373</v>
      </c>
      <c r="C1694" t="s">
        <v>3884</v>
      </c>
      <c r="D1694" t="s">
        <v>378</v>
      </c>
      <c r="E1694">
        <v>39</v>
      </c>
      <c r="F1694" t="str">
        <f>IF(Table1[[#This Row],[age]]&lt;=25,"18-25",IF(Table1[[#This Row],[age]]&lt;=35,"26-35",IF(Table1[[#This Row],[age]]&lt;=50,"36-50","51+")))</f>
        <v>36-50</v>
      </c>
      <c r="G1694" t="s">
        <v>54</v>
      </c>
      <c r="H1694" t="s">
        <v>69</v>
      </c>
      <c r="I1694" t="s">
        <v>70</v>
      </c>
      <c r="J1694" t="s">
        <v>115</v>
      </c>
      <c r="K1694" t="s">
        <v>398</v>
      </c>
      <c r="L1694">
        <v>9</v>
      </c>
      <c r="M1694">
        <v>72194.399999999994</v>
      </c>
      <c r="N1694">
        <v>0.15</v>
      </c>
      <c r="O1694">
        <v>787787.19</v>
      </c>
      <c r="P1694">
        <v>113907.22</v>
      </c>
      <c r="Q1694">
        <v>83.94</v>
      </c>
      <c r="R1694" t="s">
        <v>57</v>
      </c>
      <c r="S1694">
        <v>3</v>
      </c>
      <c r="T1694" t="b">
        <v>0</v>
      </c>
      <c r="U1694" t="s">
        <v>30</v>
      </c>
      <c r="V1694">
        <v>5</v>
      </c>
    </row>
    <row r="1695" spans="1:22" x14ac:dyDescent="0.25">
      <c r="A1695" t="s">
        <v>3885</v>
      </c>
      <c r="B1695" s="1">
        <v>45293</v>
      </c>
      <c r="C1695" t="s">
        <v>3886</v>
      </c>
      <c r="D1695" t="s">
        <v>90</v>
      </c>
      <c r="E1695">
        <v>35</v>
      </c>
      <c r="F1695" t="str">
        <f>IF(Table1[[#This Row],[age]]&lt;=25,"18-25",IF(Table1[[#This Row],[age]]&lt;=35,"26-35",IF(Table1[[#This Row],[age]]&lt;=50,"36-50","51+")))</f>
        <v>26-35</v>
      </c>
      <c r="G1695" t="s">
        <v>34</v>
      </c>
      <c r="H1695" t="s">
        <v>69</v>
      </c>
      <c r="I1695" t="s">
        <v>221</v>
      </c>
      <c r="J1695" t="s">
        <v>115</v>
      </c>
      <c r="K1695" t="s">
        <v>545</v>
      </c>
      <c r="L1695">
        <v>2</v>
      </c>
      <c r="M1695">
        <v>12932.65</v>
      </c>
      <c r="N1695">
        <v>0.1</v>
      </c>
      <c r="O1695">
        <v>23560.5</v>
      </c>
      <c r="P1695">
        <v>2257.37</v>
      </c>
      <c r="Q1695">
        <v>92.17</v>
      </c>
      <c r="R1695" t="s">
        <v>43</v>
      </c>
      <c r="S1695">
        <v>3</v>
      </c>
      <c r="T1695" t="b">
        <v>1</v>
      </c>
      <c r="U1695" t="s">
        <v>50</v>
      </c>
      <c r="V1695">
        <v>2</v>
      </c>
    </row>
    <row r="1696" spans="1:22" x14ac:dyDescent="0.25">
      <c r="A1696" t="s">
        <v>3887</v>
      </c>
      <c r="B1696" s="1">
        <v>43952</v>
      </c>
      <c r="C1696" t="s">
        <v>3888</v>
      </c>
      <c r="D1696" t="s">
        <v>3889</v>
      </c>
      <c r="E1696">
        <v>35</v>
      </c>
      <c r="F1696" t="str">
        <f>IF(Table1[[#This Row],[age]]&lt;=25,"18-25",IF(Table1[[#This Row],[age]]&lt;=35,"26-35",IF(Table1[[#This Row],[age]]&lt;=50,"36-50","51+")))</f>
        <v>26-35</v>
      </c>
      <c r="G1696" t="s">
        <v>24</v>
      </c>
      <c r="H1696" t="s">
        <v>25</v>
      </c>
      <c r="I1696" t="s">
        <v>35</v>
      </c>
      <c r="J1696" t="s">
        <v>63</v>
      </c>
      <c r="K1696" t="s">
        <v>434</v>
      </c>
      <c r="L1696">
        <v>4</v>
      </c>
      <c r="M1696">
        <v>729.42</v>
      </c>
      <c r="N1696">
        <v>7.0000000000000007E-2</v>
      </c>
      <c r="O1696">
        <v>3601.48</v>
      </c>
      <c r="P1696">
        <v>1162.92</v>
      </c>
      <c r="Q1696">
        <v>76.61</v>
      </c>
      <c r="R1696" t="s">
        <v>43</v>
      </c>
      <c r="S1696">
        <v>4</v>
      </c>
      <c r="T1696" t="b">
        <v>0</v>
      </c>
      <c r="U1696" t="s">
        <v>30</v>
      </c>
      <c r="V1696">
        <v>3</v>
      </c>
    </row>
    <row r="1697" spans="1:22" x14ac:dyDescent="0.25">
      <c r="A1697" t="s">
        <v>3890</v>
      </c>
      <c r="B1697" s="1">
        <v>44584</v>
      </c>
      <c r="C1697" t="s">
        <v>3891</v>
      </c>
      <c r="D1697" t="s">
        <v>167</v>
      </c>
      <c r="E1697">
        <v>28</v>
      </c>
      <c r="F1697" t="str">
        <f>IF(Table1[[#This Row],[age]]&lt;=25,"18-25",IF(Table1[[#This Row],[age]]&lt;=35,"26-35",IF(Table1[[#This Row],[age]]&lt;=50,"36-50","51+")))</f>
        <v>26-35</v>
      </c>
      <c r="G1697" t="s">
        <v>54</v>
      </c>
      <c r="H1697" t="s">
        <v>25</v>
      </c>
      <c r="I1697" t="s">
        <v>26</v>
      </c>
      <c r="J1697" t="s">
        <v>36</v>
      </c>
      <c r="K1697" t="s">
        <v>76</v>
      </c>
      <c r="L1697">
        <v>4</v>
      </c>
      <c r="M1697">
        <v>9575.92</v>
      </c>
      <c r="N1697">
        <v>0.13</v>
      </c>
      <c r="O1697">
        <v>30650.77</v>
      </c>
      <c r="P1697">
        <v>8465.15</v>
      </c>
      <c r="Q1697">
        <v>71.900000000000006</v>
      </c>
      <c r="R1697" t="s">
        <v>65</v>
      </c>
      <c r="S1697">
        <v>1</v>
      </c>
      <c r="T1697" t="b">
        <v>0</v>
      </c>
      <c r="U1697" t="s">
        <v>30</v>
      </c>
      <c r="V1697">
        <v>5</v>
      </c>
    </row>
    <row r="1698" spans="1:22" x14ac:dyDescent="0.25">
      <c r="A1698" t="s">
        <v>3892</v>
      </c>
      <c r="B1698" s="1">
        <v>44472</v>
      </c>
      <c r="C1698" t="s">
        <v>3893</v>
      </c>
      <c r="D1698" t="s">
        <v>1644</v>
      </c>
      <c r="E1698">
        <v>54</v>
      </c>
      <c r="F1698" t="str">
        <f>IF(Table1[[#This Row],[age]]&lt;=25,"18-25",IF(Table1[[#This Row],[age]]&lt;=35,"26-35",IF(Table1[[#This Row],[age]]&lt;=50,"36-50","51+")))</f>
        <v>51+</v>
      </c>
      <c r="G1698" t="s">
        <v>34</v>
      </c>
      <c r="H1698" t="s">
        <v>55</v>
      </c>
      <c r="I1698" t="s">
        <v>56</v>
      </c>
      <c r="J1698" t="s">
        <v>63</v>
      </c>
      <c r="K1698" t="s">
        <v>82</v>
      </c>
      <c r="L1698">
        <v>2</v>
      </c>
      <c r="M1698">
        <v>3491.48</v>
      </c>
      <c r="N1698">
        <v>0.16</v>
      </c>
      <c r="O1698">
        <v>4903.58</v>
      </c>
      <c r="P1698">
        <v>1061.0899999999999</v>
      </c>
      <c r="Q1698">
        <v>82.05</v>
      </c>
      <c r="R1698" t="s">
        <v>29</v>
      </c>
      <c r="S1698">
        <v>2</v>
      </c>
      <c r="T1698" t="b">
        <v>0</v>
      </c>
      <c r="U1698" t="s">
        <v>30</v>
      </c>
      <c r="V1698">
        <v>9</v>
      </c>
    </row>
    <row r="1699" spans="1:22" x14ac:dyDescent="0.25">
      <c r="A1699" t="s">
        <v>3894</v>
      </c>
      <c r="B1699" s="1">
        <v>44779</v>
      </c>
      <c r="C1699" t="s">
        <v>3895</v>
      </c>
      <c r="D1699" t="s">
        <v>174</v>
      </c>
      <c r="E1699">
        <v>41</v>
      </c>
      <c r="F1699" t="str">
        <f>IF(Table1[[#This Row],[age]]&lt;=25,"18-25",IF(Table1[[#This Row],[age]]&lt;=35,"26-35",IF(Table1[[#This Row],[age]]&lt;=50,"36-50","51+")))</f>
        <v>36-50</v>
      </c>
      <c r="G1699" t="s">
        <v>34</v>
      </c>
      <c r="H1699" t="s">
        <v>80</v>
      </c>
      <c r="I1699" t="s">
        <v>86</v>
      </c>
      <c r="J1699" t="s">
        <v>63</v>
      </c>
      <c r="K1699" t="s">
        <v>111</v>
      </c>
      <c r="L1699">
        <v>3</v>
      </c>
      <c r="M1699">
        <v>3296.83</v>
      </c>
      <c r="N1699">
        <v>0.21</v>
      </c>
      <c r="O1699">
        <v>11607.78</v>
      </c>
      <c r="P1699">
        <v>3249.52</v>
      </c>
      <c r="Q1699">
        <v>63.52</v>
      </c>
      <c r="R1699" t="s">
        <v>49</v>
      </c>
      <c r="S1699">
        <v>3</v>
      </c>
      <c r="T1699" t="b">
        <v>0</v>
      </c>
      <c r="U1699" t="s">
        <v>193</v>
      </c>
      <c r="V1699">
        <v>8</v>
      </c>
    </row>
    <row r="1700" spans="1:22" x14ac:dyDescent="0.25">
      <c r="A1700" t="s">
        <v>3896</v>
      </c>
      <c r="B1700" s="1">
        <v>44409</v>
      </c>
      <c r="C1700" t="s">
        <v>3897</v>
      </c>
      <c r="D1700" t="s">
        <v>985</v>
      </c>
      <c r="E1700">
        <v>50</v>
      </c>
      <c r="F1700" t="str">
        <f>IF(Table1[[#This Row],[age]]&lt;=25,"18-25",IF(Table1[[#This Row],[age]]&lt;=35,"26-35",IF(Table1[[#This Row],[age]]&lt;=50,"36-50","51+")))</f>
        <v>36-50</v>
      </c>
      <c r="G1700" t="s">
        <v>34</v>
      </c>
      <c r="H1700" t="s">
        <v>80</v>
      </c>
      <c r="I1700" t="s">
        <v>236</v>
      </c>
      <c r="J1700" t="s">
        <v>101</v>
      </c>
      <c r="K1700" t="s">
        <v>124</v>
      </c>
      <c r="L1700">
        <v>9</v>
      </c>
      <c r="M1700">
        <v>10928.77</v>
      </c>
      <c r="N1700">
        <v>0.26</v>
      </c>
      <c r="O1700">
        <v>93398.29</v>
      </c>
      <c r="P1700">
        <v>13807.62</v>
      </c>
      <c r="Q1700">
        <v>73.25</v>
      </c>
      <c r="R1700" t="s">
        <v>43</v>
      </c>
      <c r="S1700">
        <v>3</v>
      </c>
      <c r="T1700" t="b">
        <v>0</v>
      </c>
      <c r="U1700" t="s">
        <v>30</v>
      </c>
      <c r="V1700">
        <v>2</v>
      </c>
    </row>
    <row r="1701" spans="1:22" x14ac:dyDescent="0.25">
      <c r="A1701" t="s">
        <v>3898</v>
      </c>
      <c r="B1701" s="1">
        <v>44614</v>
      </c>
      <c r="C1701" t="s">
        <v>3899</v>
      </c>
      <c r="D1701" t="s">
        <v>743</v>
      </c>
      <c r="E1701">
        <v>50</v>
      </c>
      <c r="F1701" t="str">
        <f>IF(Table1[[#This Row],[age]]&lt;=25,"18-25",IF(Table1[[#This Row],[age]]&lt;=35,"26-35",IF(Table1[[#This Row],[age]]&lt;=50,"36-50","51+")))</f>
        <v>36-50</v>
      </c>
      <c r="G1701" t="s">
        <v>24</v>
      </c>
      <c r="H1701" t="s">
        <v>55</v>
      </c>
      <c r="I1701" t="s">
        <v>114</v>
      </c>
      <c r="J1701" t="s">
        <v>63</v>
      </c>
      <c r="K1701" t="s">
        <v>111</v>
      </c>
      <c r="L1701">
        <v>7</v>
      </c>
      <c r="M1701">
        <v>3304.59</v>
      </c>
      <c r="N1701">
        <v>0.12</v>
      </c>
      <c r="O1701">
        <v>18587.240000000002</v>
      </c>
      <c r="P1701">
        <v>8409.65</v>
      </c>
      <c r="Q1701">
        <v>54.71</v>
      </c>
      <c r="R1701" t="s">
        <v>29</v>
      </c>
      <c r="S1701">
        <v>2</v>
      </c>
      <c r="T1701" t="b">
        <v>0</v>
      </c>
      <c r="U1701" t="s">
        <v>30</v>
      </c>
      <c r="V1701">
        <v>9</v>
      </c>
    </row>
    <row r="1702" spans="1:22" x14ac:dyDescent="0.25">
      <c r="A1702" t="s">
        <v>3900</v>
      </c>
      <c r="B1702" s="1">
        <v>45105</v>
      </c>
      <c r="C1702" t="s">
        <v>3901</v>
      </c>
      <c r="D1702" t="s">
        <v>895</v>
      </c>
      <c r="E1702">
        <v>30</v>
      </c>
      <c r="F1702" t="str">
        <f>IF(Table1[[#This Row],[age]]&lt;=25,"18-25",IF(Table1[[#This Row],[age]]&lt;=35,"26-35",IF(Table1[[#This Row],[age]]&lt;=50,"36-50","51+")))</f>
        <v>26-35</v>
      </c>
      <c r="G1702" t="s">
        <v>54</v>
      </c>
      <c r="H1702" t="s">
        <v>80</v>
      </c>
      <c r="I1702" t="s">
        <v>242</v>
      </c>
      <c r="J1702" t="s">
        <v>106</v>
      </c>
      <c r="K1702" t="s">
        <v>107</v>
      </c>
      <c r="L1702">
        <v>9</v>
      </c>
      <c r="M1702">
        <v>452.13</v>
      </c>
      <c r="N1702">
        <v>0.25</v>
      </c>
      <c r="O1702">
        <v>4808.83</v>
      </c>
      <c r="P1702">
        <v>248.08</v>
      </c>
      <c r="Q1702">
        <v>97.53</v>
      </c>
      <c r="R1702" t="s">
        <v>29</v>
      </c>
      <c r="S1702">
        <v>1</v>
      </c>
      <c r="T1702" t="b">
        <v>1</v>
      </c>
      <c r="U1702" t="s">
        <v>50</v>
      </c>
      <c r="V1702">
        <v>9</v>
      </c>
    </row>
    <row r="1703" spans="1:22" x14ac:dyDescent="0.25">
      <c r="A1703" t="s">
        <v>3902</v>
      </c>
      <c r="B1703" s="1">
        <v>45492</v>
      </c>
      <c r="C1703" t="s">
        <v>3903</v>
      </c>
      <c r="D1703" t="s">
        <v>367</v>
      </c>
      <c r="E1703">
        <v>55</v>
      </c>
      <c r="F1703" t="str">
        <f>IF(Table1[[#This Row],[age]]&lt;=25,"18-25",IF(Table1[[#This Row],[age]]&lt;=35,"26-35",IF(Table1[[#This Row],[age]]&lt;=50,"36-50","51+")))</f>
        <v>51+</v>
      </c>
      <c r="G1703" t="s">
        <v>24</v>
      </c>
      <c r="H1703" t="s">
        <v>25</v>
      </c>
      <c r="I1703" t="s">
        <v>26</v>
      </c>
      <c r="J1703" t="s">
        <v>115</v>
      </c>
      <c r="K1703" t="s">
        <v>197</v>
      </c>
      <c r="L1703">
        <v>3</v>
      </c>
      <c r="M1703">
        <v>56831.24</v>
      </c>
      <c r="N1703">
        <v>0.19</v>
      </c>
      <c r="O1703">
        <v>238477.33</v>
      </c>
      <c r="P1703">
        <v>35537.620000000003</v>
      </c>
      <c r="Q1703">
        <v>65.069999999999993</v>
      </c>
      <c r="R1703" t="s">
        <v>92</v>
      </c>
      <c r="S1703">
        <v>1</v>
      </c>
      <c r="T1703" t="b">
        <v>0</v>
      </c>
      <c r="U1703" t="s">
        <v>30</v>
      </c>
      <c r="V1703">
        <v>6</v>
      </c>
    </row>
    <row r="1704" spans="1:22" x14ac:dyDescent="0.25">
      <c r="A1704" t="s">
        <v>3904</v>
      </c>
      <c r="B1704" s="1">
        <v>44782</v>
      </c>
      <c r="C1704" t="s">
        <v>3905</v>
      </c>
      <c r="D1704" t="s">
        <v>556</v>
      </c>
      <c r="E1704">
        <v>45</v>
      </c>
      <c r="F1704" t="str">
        <f>IF(Table1[[#This Row],[age]]&lt;=25,"18-25",IF(Table1[[#This Row],[age]]&lt;=35,"26-35",IF(Table1[[#This Row],[age]]&lt;=50,"36-50","51+")))</f>
        <v>36-50</v>
      </c>
      <c r="G1704" t="s">
        <v>24</v>
      </c>
      <c r="H1704" t="s">
        <v>25</v>
      </c>
      <c r="I1704" t="s">
        <v>41</v>
      </c>
      <c r="J1704" t="s">
        <v>63</v>
      </c>
      <c r="K1704" t="s">
        <v>152</v>
      </c>
      <c r="L1704">
        <v>3</v>
      </c>
      <c r="M1704">
        <v>3376.07</v>
      </c>
      <c r="N1704">
        <v>7.0000000000000007E-2</v>
      </c>
      <c r="O1704">
        <v>13544.47</v>
      </c>
      <c r="P1704">
        <v>5495.51</v>
      </c>
      <c r="Q1704">
        <v>69.599999999999994</v>
      </c>
      <c r="R1704" t="s">
        <v>43</v>
      </c>
      <c r="S1704">
        <v>5</v>
      </c>
      <c r="T1704" t="b">
        <v>0</v>
      </c>
      <c r="U1704" t="s">
        <v>30</v>
      </c>
      <c r="V1704">
        <v>3</v>
      </c>
    </row>
    <row r="1705" spans="1:22" x14ac:dyDescent="0.25">
      <c r="A1705" t="s">
        <v>3906</v>
      </c>
      <c r="B1705" s="1">
        <v>44834</v>
      </c>
      <c r="C1705" t="s">
        <v>3907</v>
      </c>
      <c r="D1705" t="s">
        <v>443</v>
      </c>
      <c r="E1705">
        <v>24</v>
      </c>
      <c r="F1705" t="str">
        <f>IF(Table1[[#This Row],[age]]&lt;=25,"18-25",IF(Table1[[#This Row],[age]]&lt;=35,"26-35",IF(Table1[[#This Row],[age]]&lt;=50,"36-50","51+")))</f>
        <v>18-25</v>
      </c>
      <c r="G1705" t="s">
        <v>34</v>
      </c>
      <c r="H1705" t="s">
        <v>55</v>
      </c>
      <c r="I1705" t="s">
        <v>75</v>
      </c>
      <c r="J1705" t="s">
        <v>36</v>
      </c>
      <c r="K1705" t="s">
        <v>230</v>
      </c>
      <c r="L1705">
        <v>3</v>
      </c>
      <c r="M1705">
        <v>34037.07</v>
      </c>
      <c r="N1705">
        <v>0.1</v>
      </c>
      <c r="O1705">
        <v>115980.74</v>
      </c>
      <c r="P1705">
        <v>26885.75</v>
      </c>
      <c r="Q1705">
        <v>49.16</v>
      </c>
      <c r="R1705" t="s">
        <v>65</v>
      </c>
      <c r="S1705">
        <v>2</v>
      </c>
      <c r="T1705" t="b">
        <v>0</v>
      </c>
      <c r="U1705" t="s">
        <v>30</v>
      </c>
      <c r="V1705">
        <v>8</v>
      </c>
    </row>
    <row r="1706" spans="1:22" x14ac:dyDescent="0.25">
      <c r="A1706" t="s">
        <v>3908</v>
      </c>
      <c r="B1706" s="1">
        <v>44308</v>
      </c>
      <c r="C1706" t="s">
        <v>3909</v>
      </c>
      <c r="D1706" t="s">
        <v>324</v>
      </c>
      <c r="E1706">
        <v>30</v>
      </c>
      <c r="F1706" t="str">
        <f>IF(Table1[[#This Row],[age]]&lt;=25,"18-25",IF(Table1[[#This Row],[age]]&lt;=35,"26-35",IF(Table1[[#This Row],[age]]&lt;=50,"36-50","51+")))</f>
        <v>26-35</v>
      </c>
      <c r="G1706" t="s">
        <v>34</v>
      </c>
      <c r="H1706" t="s">
        <v>61</v>
      </c>
      <c r="I1706" t="s">
        <v>91</v>
      </c>
      <c r="J1706" t="s">
        <v>47</v>
      </c>
      <c r="K1706" t="s">
        <v>272</v>
      </c>
      <c r="L1706">
        <v>6</v>
      </c>
      <c r="M1706">
        <v>1073.03</v>
      </c>
      <c r="N1706">
        <v>0.26</v>
      </c>
      <c r="O1706">
        <v>5286.85</v>
      </c>
      <c r="P1706">
        <v>1947.67</v>
      </c>
      <c r="Q1706">
        <v>45.82</v>
      </c>
      <c r="R1706" t="s">
        <v>57</v>
      </c>
      <c r="S1706">
        <v>3</v>
      </c>
      <c r="T1706" t="b">
        <v>1</v>
      </c>
      <c r="U1706" t="s">
        <v>50</v>
      </c>
      <c r="V1706">
        <v>3</v>
      </c>
    </row>
    <row r="1707" spans="1:22" x14ac:dyDescent="0.25">
      <c r="A1707" t="s">
        <v>3910</v>
      </c>
      <c r="B1707" s="1">
        <v>44277</v>
      </c>
      <c r="C1707" t="s">
        <v>3911</v>
      </c>
      <c r="D1707" t="s">
        <v>548</v>
      </c>
      <c r="E1707">
        <v>30</v>
      </c>
      <c r="F1707" t="str">
        <f>IF(Table1[[#This Row],[age]]&lt;=25,"18-25",IF(Table1[[#This Row],[age]]&lt;=35,"26-35",IF(Table1[[#This Row],[age]]&lt;=50,"36-50","51+")))</f>
        <v>26-35</v>
      </c>
      <c r="G1707" t="s">
        <v>24</v>
      </c>
      <c r="H1707" t="s">
        <v>55</v>
      </c>
      <c r="I1707" t="s">
        <v>114</v>
      </c>
      <c r="J1707" t="s">
        <v>101</v>
      </c>
      <c r="K1707" t="s">
        <v>124</v>
      </c>
      <c r="L1707">
        <v>1</v>
      </c>
      <c r="M1707">
        <v>12561.13</v>
      </c>
      <c r="N1707">
        <v>0.13</v>
      </c>
      <c r="O1707">
        <v>10989.14</v>
      </c>
      <c r="P1707">
        <v>2498.7800000000002</v>
      </c>
      <c r="Q1707">
        <v>68.19</v>
      </c>
      <c r="R1707" t="s">
        <v>29</v>
      </c>
      <c r="S1707">
        <v>3</v>
      </c>
      <c r="T1707" t="b">
        <v>0</v>
      </c>
      <c r="U1707" t="s">
        <v>30</v>
      </c>
      <c r="V1707">
        <v>7</v>
      </c>
    </row>
    <row r="1708" spans="1:22" x14ac:dyDescent="0.25">
      <c r="A1708" t="s">
        <v>3912</v>
      </c>
      <c r="B1708" s="1">
        <v>45475</v>
      </c>
      <c r="C1708" t="s">
        <v>3913</v>
      </c>
      <c r="D1708" t="s">
        <v>797</v>
      </c>
      <c r="E1708">
        <v>25</v>
      </c>
      <c r="F1708" t="str">
        <f>IF(Table1[[#This Row],[age]]&lt;=25,"18-25",IF(Table1[[#This Row],[age]]&lt;=35,"26-35",IF(Table1[[#This Row],[age]]&lt;=50,"36-50","51+")))</f>
        <v>18-25</v>
      </c>
      <c r="G1708" t="s">
        <v>34</v>
      </c>
      <c r="H1708" t="s">
        <v>80</v>
      </c>
      <c r="I1708" t="s">
        <v>236</v>
      </c>
      <c r="J1708" t="s">
        <v>36</v>
      </c>
      <c r="K1708" t="s">
        <v>37</v>
      </c>
      <c r="L1708">
        <v>4</v>
      </c>
      <c r="M1708">
        <v>28275.08</v>
      </c>
      <c r="N1708">
        <v>0.24</v>
      </c>
      <c r="O1708">
        <v>147352.35</v>
      </c>
      <c r="P1708">
        <v>53042.720000000001</v>
      </c>
      <c r="Q1708">
        <v>97.32</v>
      </c>
      <c r="R1708" t="s">
        <v>49</v>
      </c>
      <c r="S1708">
        <v>2</v>
      </c>
      <c r="T1708" t="b">
        <v>0</v>
      </c>
      <c r="U1708" t="s">
        <v>30</v>
      </c>
      <c r="V1708">
        <v>2</v>
      </c>
    </row>
    <row r="1709" spans="1:22" x14ac:dyDescent="0.25">
      <c r="A1709" t="s">
        <v>3914</v>
      </c>
      <c r="B1709" s="1">
        <v>45651</v>
      </c>
      <c r="C1709" t="s">
        <v>3915</v>
      </c>
      <c r="D1709" t="s">
        <v>660</v>
      </c>
      <c r="E1709">
        <v>26</v>
      </c>
      <c r="F1709" t="str">
        <f>IF(Table1[[#This Row],[age]]&lt;=25,"18-25",IF(Table1[[#This Row],[age]]&lt;=35,"26-35",IF(Table1[[#This Row],[age]]&lt;=50,"36-50","51+")))</f>
        <v>26-35</v>
      </c>
      <c r="G1709" t="s">
        <v>34</v>
      </c>
      <c r="H1709" t="s">
        <v>61</v>
      </c>
      <c r="I1709" t="s">
        <v>62</v>
      </c>
      <c r="J1709" t="s">
        <v>101</v>
      </c>
      <c r="K1709" t="s">
        <v>164</v>
      </c>
      <c r="L1709">
        <v>1</v>
      </c>
      <c r="M1709">
        <v>5533.14</v>
      </c>
      <c r="N1709">
        <v>0.17</v>
      </c>
      <c r="O1709">
        <v>4162.6899999999996</v>
      </c>
      <c r="P1709">
        <v>628.33000000000004</v>
      </c>
      <c r="Q1709">
        <v>62.44</v>
      </c>
      <c r="R1709" t="s">
        <v>43</v>
      </c>
      <c r="S1709">
        <v>4</v>
      </c>
      <c r="T1709" t="b">
        <v>0</v>
      </c>
      <c r="U1709" t="s">
        <v>71</v>
      </c>
      <c r="V1709">
        <v>6</v>
      </c>
    </row>
    <row r="1710" spans="1:22" x14ac:dyDescent="0.25">
      <c r="A1710" t="s">
        <v>3916</v>
      </c>
      <c r="B1710" s="1">
        <v>45115</v>
      </c>
      <c r="C1710" t="s">
        <v>3917</v>
      </c>
      <c r="D1710" t="s">
        <v>1439</v>
      </c>
      <c r="E1710">
        <v>33</v>
      </c>
      <c r="F1710" t="str">
        <f>IF(Table1[[#This Row],[age]]&lt;=25,"18-25",IF(Table1[[#This Row],[age]]&lt;=35,"26-35",IF(Table1[[#This Row],[age]]&lt;=50,"36-50","51+")))</f>
        <v>26-35</v>
      </c>
      <c r="G1710" t="s">
        <v>24</v>
      </c>
      <c r="H1710" t="s">
        <v>80</v>
      </c>
      <c r="I1710" t="s">
        <v>236</v>
      </c>
      <c r="J1710" t="s">
        <v>115</v>
      </c>
      <c r="K1710" t="s">
        <v>145</v>
      </c>
      <c r="L1710">
        <v>2</v>
      </c>
      <c r="M1710">
        <v>56614.17</v>
      </c>
      <c r="N1710">
        <v>0.28000000000000003</v>
      </c>
      <c r="O1710">
        <v>144440.74</v>
      </c>
      <c r="P1710">
        <v>23219.18</v>
      </c>
      <c r="Q1710">
        <v>57.08</v>
      </c>
      <c r="R1710" t="s">
        <v>57</v>
      </c>
      <c r="S1710">
        <v>1</v>
      </c>
      <c r="T1710" t="b">
        <v>0</v>
      </c>
      <c r="U1710" t="s">
        <v>71</v>
      </c>
      <c r="V1710">
        <v>10</v>
      </c>
    </row>
    <row r="1711" spans="1:22" x14ac:dyDescent="0.25">
      <c r="A1711" t="s">
        <v>3918</v>
      </c>
      <c r="B1711" s="1">
        <v>45038</v>
      </c>
      <c r="C1711" t="s">
        <v>3919</v>
      </c>
      <c r="D1711" t="s">
        <v>1914</v>
      </c>
      <c r="E1711">
        <v>54</v>
      </c>
      <c r="F1711" t="str">
        <f>IF(Table1[[#This Row],[age]]&lt;=25,"18-25",IF(Table1[[#This Row],[age]]&lt;=35,"26-35",IF(Table1[[#This Row],[age]]&lt;=50,"36-50","51+")))</f>
        <v>51+</v>
      </c>
      <c r="G1711" t="s">
        <v>54</v>
      </c>
      <c r="H1711" t="s">
        <v>25</v>
      </c>
      <c r="I1711" t="s">
        <v>26</v>
      </c>
      <c r="J1711" t="s">
        <v>63</v>
      </c>
      <c r="K1711" t="s">
        <v>111</v>
      </c>
      <c r="L1711">
        <v>8</v>
      </c>
      <c r="M1711">
        <v>567.16999999999996</v>
      </c>
      <c r="N1711">
        <v>0.08</v>
      </c>
      <c r="O1711">
        <v>6261.36</v>
      </c>
      <c r="P1711">
        <v>1397.16</v>
      </c>
      <c r="Q1711">
        <v>86.75</v>
      </c>
      <c r="R1711" t="s">
        <v>65</v>
      </c>
      <c r="S1711">
        <v>4</v>
      </c>
      <c r="T1711" t="b">
        <v>0</v>
      </c>
      <c r="U1711" t="s">
        <v>93</v>
      </c>
      <c r="V1711">
        <v>9</v>
      </c>
    </row>
    <row r="1712" spans="1:22" x14ac:dyDescent="0.25">
      <c r="A1712" t="s">
        <v>3920</v>
      </c>
      <c r="B1712" s="1">
        <v>44160</v>
      </c>
      <c r="C1712" t="s">
        <v>3921</v>
      </c>
      <c r="D1712" t="s">
        <v>2481</v>
      </c>
      <c r="E1712">
        <v>38</v>
      </c>
      <c r="F1712" t="str">
        <f>IF(Table1[[#This Row],[age]]&lt;=25,"18-25",IF(Table1[[#This Row],[age]]&lt;=35,"26-35",IF(Table1[[#This Row],[age]]&lt;=50,"36-50","51+")))</f>
        <v>36-50</v>
      </c>
      <c r="G1712" t="s">
        <v>54</v>
      </c>
      <c r="H1712" t="s">
        <v>55</v>
      </c>
      <c r="I1712" t="s">
        <v>114</v>
      </c>
      <c r="J1712" t="s">
        <v>63</v>
      </c>
      <c r="K1712" t="s">
        <v>111</v>
      </c>
      <c r="L1712">
        <v>3</v>
      </c>
      <c r="M1712">
        <v>388.2</v>
      </c>
      <c r="N1712">
        <v>0.11</v>
      </c>
      <c r="O1712">
        <v>726</v>
      </c>
      <c r="P1712">
        <v>291.01</v>
      </c>
      <c r="Q1712">
        <v>45.27</v>
      </c>
      <c r="R1712" t="s">
        <v>65</v>
      </c>
      <c r="S1712">
        <v>4</v>
      </c>
      <c r="T1712" t="b">
        <v>0</v>
      </c>
      <c r="U1712" t="s">
        <v>30</v>
      </c>
      <c r="V1712">
        <v>10</v>
      </c>
    </row>
    <row r="1713" spans="1:22" x14ac:dyDescent="0.25">
      <c r="A1713" t="s">
        <v>3922</v>
      </c>
      <c r="B1713" s="1">
        <v>44038</v>
      </c>
      <c r="C1713" t="s">
        <v>3923</v>
      </c>
      <c r="D1713" t="s">
        <v>1223</v>
      </c>
      <c r="E1713">
        <v>36</v>
      </c>
      <c r="F1713" t="str">
        <f>IF(Table1[[#This Row],[age]]&lt;=25,"18-25",IF(Table1[[#This Row],[age]]&lt;=35,"26-35",IF(Table1[[#This Row],[age]]&lt;=50,"36-50","51+")))</f>
        <v>36-50</v>
      </c>
      <c r="G1713" t="s">
        <v>24</v>
      </c>
      <c r="H1713" t="s">
        <v>61</v>
      </c>
      <c r="I1713" t="s">
        <v>62</v>
      </c>
      <c r="J1713" t="s">
        <v>106</v>
      </c>
      <c r="K1713" t="s">
        <v>188</v>
      </c>
      <c r="L1713">
        <v>7</v>
      </c>
      <c r="M1713">
        <v>118.71</v>
      </c>
      <c r="N1713">
        <v>0.24</v>
      </c>
      <c r="O1713">
        <v>795.47</v>
      </c>
      <c r="P1713">
        <v>48.6</v>
      </c>
      <c r="Q1713">
        <v>62.14</v>
      </c>
      <c r="R1713" t="s">
        <v>65</v>
      </c>
      <c r="S1713">
        <v>5</v>
      </c>
      <c r="T1713" t="b">
        <v>0</v>
      </c>
      <c r="U1713" t="s">
        <v>30</v>
      </c>
      <c r="V1713">
        <v>1</v>
      </c>
    </row>
    <row r="1714" spans="1:22" x14ac:dyDescent="0.25">
      <c r="A1714" t="s">
        <v>3924</v>
      </c>
      <c r="B1714" s="1">
        <v>44652</v>
      </c>
      <c r="C1714" t="s">
        <v>3925</v>
      </c>
      <c r="D1714" t="s">
        <v>440</v>
      </c>
      <c r="E1714">
        <v>46</v>
      </c>
      <c r="F1714" t="str">
        <f>IF(Table1[[#This Row],[age]]&lt;=25,"18-25",IF(Table1[[#This Row],[age]]&lt;=35,"26-35",IF(Table1[[#This Row],[age]]&lt;=50,"36-50","51+")))</f>
        <v>36-50</v>
      </c>
      <c r="G1714" t="s">
        <v>54</v>
      </c>
      <c r="H1714" t="s">
        <v>25</v>
      </c>
      <c r="I1714" t="s">
        <v>41</v>
      </c>
      <c r="J1714" t="s">
        <v>106</v>
      </c>
      <c r="K1714" t="s">
        <v>107</v>
      </c>
      <c r="L1714">
        <v>4</v>
      </c>
      <c r="M1714">
        <v>330.31</v>
      </c>
      <c r="N1714">
        <v>0.23</v>
      </c>
      <c r="O1714">
        <v>1343.96</v>
      </c>
      <c r="P1714">
        <v>143.62</v>
      </c>
      <c r="Q1714">
        <v>54.53</v>
      </c>
      <c r="R1714" t="s">
        <v>65</v>
      </c>
      <c r="S1714">
        <v>2</v>
      </c>
      <c r="T1714" t="b">
        <v>0</v>
      </c>
      <c r="U1714" t="s">
        <v>30</v>
      </c>
      <c r="V1714">
        <v>9</v>
      </c>
    </row>
    <row r="1715" spans="1:22" x14ac:dyDescent="0.25">
      <c r="A1715" t="s">
        <v>3926</v>
      </c>
      <c r="B1715" s="1">
        <v>44751</v>
      </c>
      <c r="C1715" t="s">
        <v>3927</v>
      </c>
      <c r="D1715" t="s">
        <v>2368</v>
      </c>
      <c r="E1715">
        <v>33</v>
      </c>
      <c r="F1715" t="str">
        <f>IF(Table1[[#This Row],[age]]&lt;=25,"18-25",IF(Table1[[#This Row],[age]]&lt;=35,"26-35",IF(Table1[[#This Row],[age]]&lt;=50,"36-50","51+")))</f>
        <v>26-35</v>
      </c>
      <c r="G1715" t="s">
        <v>24</v>
      </c>
      <c r="H1715" t="s">
        <v>55</v>
      </c>
      <c r="I1715" t="s">
        <v>75</v>
      </c>
      <c r="J1715" t="s">
        <v>106</v>
      </c>
      <c r="K1715" t="s">
        <v>188</v>
      </c>
      <c r="L1715">
        <v>8</v>
      </c>
      <c r="M1715">
        <v>369.94</v>
      </c>
      <c r="N1715">
        <v>0.26</v>
      </c>
      <c r="O1715">
        <v>3428.74</v>
      </c>
      <c r="P1715">
        <v>224.86</v>
      </c>
      <c r="Q1715">
        <v>71.66</v>
      </c>
      <c r="R1715" t="s">
        <v>43</v>
      </c>
      <c r="S1715">
        <v>2</v>
      </c>
      <c r="T1715" t="b">
        <v>0</v>
      </c>
      <c r="U1715" t="s">
        <v>30</v>
      </c>
      <c r="V1715">
        <v>5</v>
      </c>
    </row>
    <row r="1716" spans="1:22" x14ac:dyDescent="0.25">
      <c r="A1716" t="s">
        <v>3928</v>
      </c>
      <c r="B1716" s="1">
        <v>44620</v>
      </c>
      <c r="C1716" t="s">
        <v>3929</v>
      </c>
      <c r="D1716" t="s">
        <v>387</v>
      </c>
      <c r="E1716">
        <v>41</v>
      </c>
      <c r="F1716" t="str">
        <f>IF(Table1[[#This Row],[age]]&lt;=25,"18-25",IF(Table1[[#This Row],[age]]&lt;=35,"26-35",IF(Table1[[#This Row],[age]]&lt;=50,"36-50","51+")))</f>
        <v>36-50</v>
      </c>
      <c r="G1716" t="s">
        <v>34</v>
      </c>
      <c r="H1716" t="s">
        <v>69</v>
      </c>
      <c r="I1716" t="s">
        <v>70</v>
      </c>
      <c r="J1716" t="s">
        <v>47</v>
      </c>
      <c r="K1716" t="s">
        <v>272</v>
      </c>
      <c r="L1716">
        <v>8</v>
      </c>
      <c r="M1716">
        <v>1067.22</v>
      </c>
      <c r="N1716">
        <v>0.26</v>
      </c>
      <c r="O1716">
        <v>5458.98</v>
      </c>
      <c r="P1716">
        <v>2138.94</v>
      </c>
      <c r="Q1716">
        <v>104.44</v>
      </c>
      <c r="R1716" t="s">
        <v>29</v>
      </c>
      <c r="S1716">
        <v>4</v>
      </c>
      <c r="T1716" t="b">
        <v>0</v>
      </c>
      <c r="U1716" t="s">
        <v>71</v>
      </c>
      <c r="V1716">
        <v>4</v>
      </c>
    </row>
    <row r="1717" spans="1:22" x14ac:dyDescent="0.25">
      <c r="A1717" t="s">
        <v>3930</v>
      </c>
      <c r="B1717" s="1">
        <v>45148</v>
      </c>
      <c r="C1717" t="s">
        <v>3931</v>
      </c>
      <c r="D1717" t="s">
        <v>346</v>
      </c>
      <c r="E1717">
        <v>23</v>
      </c>
      <c r="F1717" t="str">
        <f>IF(Table1[[#This Row],[age]]&lt;=25,"18-25",IF(Table1[[#This Row],[age]]&lt;=35,"26-35",IF(Table1[[#This Row],[age]]&lt;=50,"36-50","51+")))</f>
        <v>18-25</v>
      </c>
      <c r="G1717" t="s">
        <v>24</v>
      </c>
      <c r="H1717" t="s">
        <v>69</v>
      </c>
      <c r="I1717" t="s">
        <v>136</v>
      </c>
      <c r="J1717" t="s">
        <v>36</v>
      </c>
      <c r="K1717" t="s">
        <v>230</v>
      </c>
      <c r="L1717">
        <v>7</v>
      </c>
      <c r="M1717">
        <v>15156.04</v>
      </c>
      <c r="N1717">
        <v>0.15</v>
      </c>
      <c r="O1717">
        <v>114775.93</v>
      </c>
      <c r="P1717">
        <v>33669.82</v>
      </c>
      <c r="Q1717">
        <v>85.32</v>
      </c>
      <c r="R1717" t="s">
        <v>29</v>
      </c>
      <c r="S1717">
        <v>5</v>
      </c>
      <c r="T1717" t="b">
        <v>0</v>
      </c>
      <c r="U1717" t="s">
        <v>30</v>
      </c>
      <c r="V1717">
        <v>5</v>
      </c>
    </row>
    <row r="1718" spans="1:22" x14ac:dyDescent="0.25">
      <c r="A1718" t="s">
        <v>3932</v>
      </c>
      <c r="B1718" s="1">
        <v>43879</v>
      </c>
      <c r="C1718" t="s">
        <v>3933</v>
      </c>
      <c r="D1718" t="s">
        <v>455</v>
      </c>
      <c r="E1718">
        <v>30</v>
      </c>
      <c r="F1718" t="str">
        <f>IF(Table1[[#This Row],[age]]&lt;=25,"18-25",IF(Table1[[#This Row],[age]]&lt;=35,"26-35",IF(Table1[[#This Row],[age]]&lt;=50,"36-50","51+")))</f>
        <v>26-35</v>
      </c>
      <c r="G1718" t="s">
        <v>34</v>
      </c>
      <c r="H1718" t="s">
        <v>69</v>
      </c>
      <c r="I1718" t="s">
        <v>136</v>
      </c>
      <c r="J1718" t="s">
        <v>27</v>
      </c>
      <c r="K1718" t="s">
        <v>128</v>
      </c>
      <c r="L1718">
        <v>3</v>
      </c>
      <c r="M1718">
        <v>1886.27</v>
      </c>
      <c r="N1718">
        <v>0.33</v>
      </c>
      <c r="O1718">
        <v>3436.09</v>
      </c>
      <c r="P1718">
        <v>1565.04</v>
      </c>
      <c r="Q1718">
        <v>95.79</v>
      </c>
      <c r="R1718" t="s">
        <v>92</v>
      </c>
      <c r="S1718">
        <v>2</v>
      </c>
      <c r="T1718" t="b">
        <v>0</v>
      </c>
      <c r="U1718" t="s">
        <v>30</v>
      </c>
      <c r="V1718">
        <v>3</v>
      </c>
    </row>
    <row r="1719" spans="1:22" x14ac:dyDescent="0.25">
      <c r="A1719" t="s">
        <v>3934</v>
      </c>
      <c r="B1719" s="1">
        <v>44709</v>
      </c>
      <c r="C1719" t="s">
        <v>3935</v>
      </c>
      <c r="D1719" t="s">
        <v>324</v>
      </c>
      <c r="E1719">
        <v>23</v>
      </c>
      <c r="F1719" t="str">
        <f>IF(Table1[[#This Row],[age]]&lt;=25,"18-25",IF(Table1[[#This Row],[age]]&lt;=35,"26-35",IF(Table1[[#This Row],[age]]&lt;=50,"36-50","51+")))</f>
        <v>18-25</v>
      </c>
      <c r="G1719" t="s">
        <v>24</v>
      </c>
      <c r="H1719" t="s">
        <v>25</v>
      </c>
      <c r="I1719" t="s">
        <v>26</v>
      </c>
      <c r="J1719" t="s">
        <v>115</v>
      </c>
      <c r="K1719" t="s">
        <v>137</v>
      </c>
      <c r="L1719">
        <v>6</v>
      </c>
      <c r="M1719">
        <v>5871.14</v>
      </c>
      <c r="N1719">
        <v>0.18</v>
      </c>
      <c r="O1719">
        <v>43719.56</v>
      </c>
      <c r="P1719">
        <v>4755.5</v>
      </c>
      <c r="Q1719">
        <v>68.010000000000005</v>
      </c>
      <c r="R1719" t="s">
        <v>29</v>
      </c>
      <c r="S1719">
        <v>2</v>
      </c>
      <c r="T1719" t="b">
        <v>0</v>
      </c>
      <c r="U1719" t="s">
        <v>30</v>
      </c>
      <c r="V1719">
        <v>5</v>
      </c>
    </row>
    <row r="1720" spans="1:22" x14ac:dyDescent="0.25">
      <c r="A1720" t="s">
        <v>3936</v>
      </c>
      <c r="B1720" s="1">
        <v>44123</v>
      </c>
      <c r="C1720" t="s">
        <v>3937</v>
      </c>
      <c r="D1720" t="s">
        <v>708</v>
      </c>
      <c r="E1720">
        <v>41</v>
      </c>
      <c r="F1720" t="str">
        <f>IF(Table1[[#This Row],[age]]&lt;=25,"18-25",IF(Table1[[#This Row],[age]]&lt;=35,"26-35",IF(Table1[[#This Row],[age]]&lt;=50,"36-50","51+")))</f>
        <v>36-50</v>
      </c>
      <c r="G1720" t="s">
        <v>24</v>
      </c>
      <c r="H1720" t="s">
        <v>61</v>
      </c>
      <c r="I1720" t="s">
        <v>91</v>
      </c>
      <c r="J1720" t="s">
        <v>63</v>
      </c>
      <c r="K1720" t="s">
        <v>434</v>
      </c>
      <c r="L1720">
        <v>8</v>
      </c>
      <c r="M1720">
        <v>1138.0899999999999</v>
      </c>
      <c r="N1720">
        <v>0.36</v>
      </c>
      <c r="O1720">
        <v>5187.76</v>
      </c>
      <c r="P1720">
        <v>1423.15</v>
      </c>
      <c r="Q1720">
        <v>52.7</v>
      </c>
      <c r="R1720" t="s">
        <v>92</v>
      </c>
      <c r="S1720">
        <v>4</v>
      </c>
      <c r="T1720" t="b">
        <v>0</v>
      </c>
      <c r="U1720" t="s">
        <v>30</v>
      </c>
      <c r="V1720">
        <v>9</v>
      </c>
    </row>
    <row r="1721" spans="1:22" x14ac:dyDescent="0.25">
      <c r="A1721" t="s">
        <v>3938</v>
      </c>
      <c r="B1721" s="1">
        <v>44464</v>
      </c>
      <c r="C1721" t="s">
        <v>3939</v>
      </c>
      <c r="D1721" t="s">
        <v>734</v>
      </c>
      <c r="E1721">
        <v>43</v>
      </c>
      <c r="F1721" t="str">
        <f>IF(Table1[[#This Row],[age]]&lt;=25,"18-25",IF(Table1[[#This Row],[age]]&lt;=35,"26-35",IF(Table1[[#This Row],[age]]&lt;=50,"36-50","51+")))</f>
        <v>36-50</v>
      </c>
      <c r="G1721" t="s">
        <v>34</v>
      </c>
      <c r="H1721" t="s">
        <v>55</v>
      </c>
      <c r="I1721" t="s">
        <v>56</v>
      </c>
      <c r="J1721" t="s">
        <v>63</v>
      </c>
      <c r="K1721" t="s">
        <v>82</v>
      </c>
      <c r="L1721">
        <v>10</v>
      </c>
      <c r="M1721">
        <v>3186.14</v>
      </c>
      <c r="N1721">
        <v>0.28000000000000003</v>
      </c>
      <c r="O1721">
        <v>22148.240000000002</v>
      </c>
      <c r="P1721">
        <v>6072.78</v>
      </c>
      <c r="Q1721">
        <v>50.45</v>
      </c>
      <c r="R1721" t="s">
        <v>65</v>
      </c>
      <c r="S1721">
        <v>1</v>
      </c>
      <c r="T1721" t="b">
        <v>0</v>
      </c>
      <c r="U1721" t="s">
        <v>71</v>
      </c>
      <c r="V1721">
        <v>9</v>
      </c>
    </row>
    <row r="1722" spans="1:22" x14ac:dyDescent="0.25">
      <c r="A1722" t="s">
        <v>3940</v>
      </c>
      <c r="B1722" s="1">
        <v>45307</v>
      </c>
      <c r="C1722" t="s">
        <v>3941</v>
      </c>
      <c r="D1722" t="s">
        <v>265</v>
      </c>
      <c r="E1722">
        <v>40</v>
      </c>
      <c r="F1722" t="str">
        <f>IF(Table1[[#This Row],[age]]&lt;=25,"18-25",IF(Table1[[#This Row],[age]]&lt;=35,"26-35",IF(Table1[[#This Row],[age]]&lt;=50,"36-50","51+")))</f>
        <v>36-50</v>
      </c>
      <c r="G1722" t="s">
        <v>54</v>
      </c>
      <c r="H1722" t="s">
        <v>25</v>
      </c>
      <c r="I1722" t="s">
        <v>41</v>
      </c>
      <c r="J1722" t="s">
        <v>106</v>
      </c>
      <c r="K1722" t="s">
        <v>107</v>
      </c>
      <c r="L1722">
        <v>7</v>
      </c>
      <c r="M1722">
        <v>173.44</v>
      </c>
      <c r="N1722">
        <v>0.05</v>
      </c>
      <c r="O1722">
        <v>1132.82</v>
      </c>
      <c r="P1722">
        <v>55.67</v>
      </c>
      <c r="Q1722">
        <v>58.19</v>
      </c>
      <c r="R1722" t="s">
        <v>43</v>
      </c>
      <c r="S1722">
        <v>3</v>
      </c>
      <c r="T1722" t="b">
        <v>0</v>
      </c>
      <c r="U1722" t="s">
        <v>30</v>
      </c>
      <c r="V1722">
        <v>9</v>
      </c>
    </row>
    <row r="1723" spans="1:22" x14ac:dyDescent="0.25">
      <c r="A1723" t="s">
        <v>3942</v>
      </c>
      <c r="B1723" s="1">
        <v>45502</v>
      </c>
      <c r="C1723" t="s">
        <v>3943</v>
      </c>
      <c r="D1723" t="s">
        <v>1341</v>
      </c>
      <c r="E1723">
        <v>38</v>
      </c>
      <c r="F1723" t="str">
        <f>IF(Table1[[#This Row],[age]]&lt;=25,"18-25",IF(Table1[[#This Row],[age]]&lt;=35,"26-35",IF(Table1[[#This Row],[age]]&lt;=50,"36-50","51+")))</f>
        <v>36-50</v>
      </c>
      <c r="G1723" t="s">
        <v>54</v>
      </c>
      <c r="H1723" t="s">
        <v>69</v>
      </c>
      <c r="I1723" t="s">
        <v>70</v>
      </c>
      <c r="J1723" t="s">
        <v>101</v>
      </c>
      <c r="K1723" t="s">
        <v>456</v>
      </c>
      <c r="L1723">
        <v>3</v>
      </c>
      <c r="M1723">
        <v>6269.53</v>
      </c>
      <c r="N1723">
        <v>0.24</v>
      </c>
      <c r="O1723">
        <v>23681.14</v>
      </c>
      <c r="P1723">
        <v>4768.1099999999997</v>
      </c>
      <c r="Q1723">
        <v>85.33</v>
      </c>
      <c r="R1723" t="s">
        <v>92</v>
      </c>
      <c r="S1723">
        <v>4</v>
      </c>
      <c r="T1723" t="b">
        <v>0</v>
      </c>
      <c r="U1723" t="s">
        <v>30</v>
      </c>
      <c r="V1723">
        <v>9</v>
      </c>
    </row>
    <row r="1724" spans="1:22" x14ac:dyDescent="0.25">
      <c r="A1724" t="s">
        <v>3944</v>
      </c>
      <c r="B1724" s="1">
        <v>45509</v>
      </c>
      <c r="C1724" t="s">
        <v>3945</v>
      </c>
      <c r="D1724" t="s">
        <v>854</v>
      </c>
      <c r="E1724">
        <v>30</v>
      </c>
      <c r="F1724" t="str">
        <f>IF(Table1[[#This Row],[age]]&lt;=25,"18-25",IF(Table1[[#This Row],[age]]&lt;=35,"26-35",IF(Table1[[#This Row],[age]]&lt;=50,"36-50","51+")))</f>
        <v>26-35</v>
      </c>
      <c r="G1724" t="s">
        <v>24</v>
      </c>
      <c r="H1724" t="s">
        <v>61</v>
      </c>
      <c r="I1724" t="s">
        <v>62</v>
      </c>
      <c r="J1724" t="s">
        <v>63</v>
      </c>
      <c r="K1724" t="s">
        <v>87</v>
      </c>
      <c r="L1724">
        <v>8</v>
      </c>
      <c r="M1724">
        <v>621.6</v>
      </c>
      <c r="N1724">
        <v>0.38</v>
      </c>
      <c r="O1724">
        <v>4928.83</v>
      </c>
      <c r="P1724">
        <v>1949.33</v>
      </c>
      <c r="Q1724">
        <v>65.22</v>
      </c>
      <c r="R1724" t="s">
        <v>29</v>
      </c>
      <c r="S1724">
        <v>5</v>
      </c>
      <c r="T1724" t="b">
        <v>0</v>
      </c>
      <c r="U1724" t="s">
        <v>30</v>
      </c>
      <c r="V1724">
        <v>3</v>
      </c>
    </row>
    <row r="1725" spans="1:22" x14ac:dyDescent="0.25">
      <c r="A1725" t="s">
        <v>3946</v>
      </c>
      <c r="B1725" s="1">
        <v>45487</v>
      </c>
      <c r="C1725" t="s">
        <v>3947</v>
      </c>
      <c r="D1725" t="s">
        <v>1069</v>
      </c>
      <c r="E1725">
        <v>23</v>
      </c>
      <c r="F1725" t="str">
        <f>IF(Table1[[#This Row],[age]]&lt;=25,"18-25",IF(Table1[[#This Row],[age]]&lt;=35,"26-35",IF(Table1[[#This Row],[age]]&lt;=50,"36-50","51+")))</f>
        <v>18-25</v>
      </c>
      <c r="G1725" t="s">
        <v>54</v>
      </c>
      <c r="H1725" t="s">
        <v>25</v>
      </c>
      <c r="I1725" t="s">
        <v>26</v>
      </c>
      <c r="J1725" t="s">
        <v>115</v>
      </c>
      <c r="K1725" t="s">
        <v>545</v>
      </c>
      <c r="L1725">
        <v>10</v>
      </c>
      <c r="M1725">
        <v>57591.46</v>
      </c>
      <c r="N1725">
        <v>0.13</v>
      </c>
      <c r="O1725">
        <v>797146.87</v>
      </c>
      <c r="P1725">
        <v>88464.11</v>
      </c>
      <c r="Q1725">
        <v>76.680000000000007</v>
      </c>
      <c r="R1725" t="s">
        <v>43</v>
      </c>
      <c r="S1725">
        <v>2</v>
      </c>
      <c r="T1725" t="b">
        <v>1</v>
      </c>
      <c r="U1725" t="s">
        <v>50</v>
      </c>
      <c r="V1725">
        <v>6</v>
      </c>
    </row>
    <row r="1726" spans="1:22" x14ac:dyDescent="0.25">
      <c r="A1726" t="s">
        <v>3948</v>
      </c>
      <c r="B1726" s="1">
        <v>44327</v>
      </c>
      <c r="C1726" t="s">
        <v>3949</v>
      </c>
      <c r="D1726" t="s">
        <v>536</v>
      </c>
      <c r="E1726">
        <v>38</v>
      </c>
      <c r="F1726" t="str">
        <f>IF(Table1[[#This Row],[age]]&lt;=25,"18-25",IF(Table1[[#This Row],[age]]&lt;=35,"26-35",IF(Table1[[#This Row],[age]]&lt;=50,"36-50","51+")))</f>
        <v>36-50</v>
      </c>
      <c r="G1726" t="s">
        <v>34</v>
      </c>
      <c r="H1726" t="s">
        <v>55</v>
      </c>
      <c r="I1726" t="s">
        <v>56</v>
      </c>
      <c r="J1726" t="s">
        <v>115</v>
      </c>
      <c r="K1726" t="s">
        <v>197</v>
      </c>
      <c r="L1726">
        <v>3</v>
      </c>
      <c r="M1726">
        <v>54861.77</v>
      </c>
      <c r="N1726">
        <v>0.25</v>
      </c>
      <c r="O1726">
        <v>147965.94</v>
      </c>
      <c r="P1726">
        <v>19461.73</v>
      </c>
      <c r="Q1726">
        <v>30.94</v>
      </c>
      <c r="R1726" t="s">
        <v>49</v>
      </c>
      <c r="S1726">
        <v>5</v>
      </c>
      <c r="T1726" t="b">
        <v>0</v>
      </c>
      <c r="U1726" t="s">
        <v>71</v>
      </c>
      <c r="V1726">
        <v>2</v>
      </c>
    </row>
    <row r="1727" spans="1:22" x14ac:dyDescent="0.25">
      <c r="A1727" t="s">
        <v>3950</v>
      </c>
      <c r="B1727" s="1">
        <v>44787</v>
      </c>
      <c r="C1727" t="s">
        <v>3951</v>
      </c>
      <c r="D1727" t="s">
        <v>1126</v>
      </c>
      <c r="E1727">
        <v>35</v>
      </c>
      <c r="F1727" t="str">
        <f>IF(Table1[[#This Row],[age]]&lt;=25,"18-25",IF(Table1[[#This Row],[age]]&lt;=35,"26-35",IF(Table1[[#This Row],[age]]&lt;=50,"36-50","51+")))</f>
        <v>26-35</v>
      </c>
      <c r="G1727" t="s">
        <v>34</v>
      </c>
      <c r="H1727" t="s">
        <v>55</v>
      </c>
      <c r="I1727" t="s">
        <v>75</v>
      </c>
      <c r="J1727" t="s">
        <v>27</v>
      </c>
      <c r="K1727" t="s">
        <v>28</v>
      </c>
      <c r="L1727">
        <v>1</v>
      </c>
      <c r="M1727">
        <v>2306.84</v>
      </c>
      <c r="N1727">
        <v>7.0000000000000007E-2</v>
      </c>
      <c r="O1727">
        <v>3142.24</v>
      </c>
      <c r="P1727">
        <v>1403.38</v>
      </c>
      <c r="Q1727">
        <v>57.67</v>
      </c>
      <c r="R1727" t="s">
        <v>57</v>
      </c>
      <c r="S1727">
        <v>5</v>
      </c>
      <c r="T1727" t="b">
        <v>0</v>
      </c>
      <c r="U1727" t="s">
        <v>30</v>
      </c>
      <c r="V1727">
        <v>10</v>
      </c>
    </row>
    <row r="1728" spans="1:22" x14ac:dyDescent="0.25">
      <c r="A1728" t="s">
        <v>3952</v>
      </c>
      <c r="B1728" s="1">
        <v>44895</v>
      </c>
      <c r="C1728" t="s">
        <v>3953</v>
      </c>
      <c r="D1728" t="s">
        <v>241</v>
      </c>
      <c r="E1728">
        <v>30</v>
      </c>
      <c r="F1728" t="str">
        <f>IF(Table1[[#This Row],[age]]&lt;=25,"18-25",IF(Table1[[#This Row],[age]]&lt;=35,"26-35",IF(Table1[[#This Row],[age]]&lt;=50,"36-50","51+")))</f>
        <v>26-35</v>
      </c>
      <c r="G1728" t="s">
        <v>24</v>
      </c>
      <c r="H1728" t="s">
        <v>61</v>
      </c>
      <c r="I1728" t="s">
        <v>91</v>
      </c>
      <c r="J1728" t="s">
        <v>27</v>
      </c>
      <c r="K1728" t="s">
        <v>335</v>
      </c>
      <c r="L1728">
        <v>9</v>
      </c>
      <c r="M1728">
        <v>489.2</v>
      </c>
      <c r="N1728">
        <v>0.11</v>
      </c>
      <c r="O1728">
        <v>3465.11</v>
      </c>
      <c r="P1728">
        <v>1799.02</v>
      </c>
      <c r="Q1728">
        <v>53.71</v>
      </c>
      <c r="R1728" t="s">
        <v>43</v>
      </c>
      <c r="S1728">
        <v>5</v>
      </c>
      <c r="T1728" t="b">
        <v>0</v>
      </c>
      <c r="U1728" t="s">
        <v>30</v>
      </c>
      <c r="V1728">
        <v>1</v>
      </c>
    </row>
    <row r="1729" spans="1:22" x14ac:dyDescent="0.25">
      <c r="A1729" t="s">
        <v>3954</v>
      </c>
      <c r="B1729" s="1">
        <v>44444</v>
      </c>
      <c r="C1729" t="s">
        <v>3955</v>
      </c>
      <c r="D1729" t="s">
        <v>748</v>
      </c>
      <c r="E1729">
        <v>26</v>
      </c>
      <c r="F1729" t="str">
        <f>IF(Table1[[#This Row],[age]]&lt;=25,"18-25",IF(Table1[[#This Row],[age]]&lt;=35,"26-35",IF(Table1[[#This Row],[age]]&lt;=50,"36-50","51+")))</f>
        <v>26-35</v>
      </c>
      <c r="G1729" t="s">
        <v>54</v>
      </c>
      <c r="H1729" t="s">
        <v>61</v>
      </c>
      <c r="I1729" t="s">
        <v>91</v>
      </c>
      <c r="J1729" t="s">
        <v>106</v>
      </c>
      <c r="K1729" t="s">
        <v>247</v>
      </c>
      <c r="L1729">
        <v>1</v>
      </c>
      <c r="M1729">
        <v>110.62</v>
      </c>
      <c r="N1729">
        <v>0.3</v>
      </c>
      <c r="O1729">
        <v>75.53</v>
      </c>
      <c r="P1729">
        <v>6.99</v>
      </c>
      <c r="Q1729">
        <v>52.75</v>
      </c>
      <c r="R1729" t="s">
        <v>43</v>
      </c>
      <c r="S1729">
        <v>3</v>
      </c>
      <c r="T1729" t="b">
        <v>1</v>
      </c>
      <c r="U1729" t="s">
        <v>50</v>
      </c>
      <c r="V1729">
        <v>9</v>
      </c>
    </row>
    <row r="1730" spans="1:22" x14ac:dyDescent="0.25">
      <c r="A1730" t="s">
        <v>3956</v>
      </c>
      <c r="B1730" s="1">
        <v>44145</v>
      </c>
      <c r="C1730" t="s">
        <v>3957</v>
      </c>
      <c r="D1730" t="s">
        <v>2034</v>
      </c>
      <c r="E1730">
        <v>40</v>
      </c>
      <c r="F1730" t="str">
        <f>IF(Table1[[#This Row],[age]]&lt;=25,"18-25",IF(Table1[[#This Row],[age]]&lt;=35,"26-35",IF(Table1[[#This Row],[age]]&lt;=50,"36-50","51+")))</f>
        <v>36-50</v>
      </c>
      <c r="G1730" t="s">
        <v>34</v>
      </c>
      <c r="H1730" t="s">
        <v>55</v>
      </c>
      <c r="I1730" t="s">
        <v>56</v>
      </c>
      <c r="J1730" t="s">
        <v>101</v>
      </c>
      <c r="K1730" t="s">
        <v>318</v>
      </c>
      <c r="L1730">
        <v>3</v>
      </c>
      <c r="M1730">
        <v>1501.94</v>
      </c>
      <c r="N1730">
        <v>0.1</v>
      </c>
      <c r="O1730">
        <v>3166.64</v>
      </c>
      <c r="P1730">
        <v>579.91999999999996</v>
      </c>
      <c r="Q1730">
        <v>43.07</v>
      </c>
      <c r="R1730" t="s">
        <v>92</v>
      </c>
      <c r="S1730">
        <v>4</v>
      </c>
      <c r="T1730" t="b">
        <v>0</v>
      </c>
      <c r="U1730" t="s">
        <v>30</v>
      </c>
      <c r="V1730">
        <v>5</v>
      </c>
    </row>
    <row r="1731" spans="1:22" x14ac:dyDescent="0.25">
      <c r="A1731" t="s">
        <v>3958</v>
      </c>
      <c r="B1731" s="1">
        <v>45152</v>
      </c>
      <c r="C1731" t="s">
        <v>3959</v>
      </c>
      <c r="D1731" t="s">
        <v>2571</v>
      </c>
      <c r="E1731">
        <v>30</v>
      </c>
      <c r="F1731" t="str">
        <f>IF(Table1[[#This Row],[age]]&lt;=25,"18-25",IF(Table1[[#This Row],[age]]&lt;=35,"26-35",IF(Table1[[#This Row],[age]]&lt;=50,"36-50","51+")))</f>
        <v>26-35</v>
      </c>
      <c r="G1731" t="s">
        <v>24</v>
      </c>
      <c r="H1731" t="s">
        <v>69</v>
      </c>
      <c r="I1731" t="s">
        <v>136</v>
      </c>
      <c r="J1731" t="s">
        <v>106</v>
      </c>
      <c r="K1731" t="s">
        <v>718</v>
      </c>
      <c r="L1731">
        <v>1</v>
      </c>
      <c r="M1731">
        <v>228.52</v>
      </c>
      <c r="N1731">
        <v>0.09</v>
      </c>
      <c r="O1731">
        <v>307.76</v>
      </c>
      <c r="P1731">
        <v>24.8</v>
      </c>
      <c r="Q1731">
        <v>61.3</v>
      </c>
      <c r="R1731" t="s">
        <v>49</v>
      </c>
      <c r="S1731">
        <v>1</v>
      </c>
      <c r="T1731" t="b">
        <v>0</v>
      </c>
      <c r="U1731" t="s">
        <v>30</v>
      </c>
      <c r="V1731">
        <v>6</v>
      </c>
    </row>
    <row r="1732" spans="1:22" x14ac:dyDescent="0.25">
      <c r="A1732" t="s">
        <v>3960</v>
      </c>
      <c r="B1732" s="1">
        <v>43847</v>
      </c>
      <c r="C1732" t="s">
        <v>3961</v>
      </c>
      <c r="D1732" t="s">
        <v>2008</v>
      </c>
      <c r="E1732">
        <v>34</v>
      </c>
      <c r="F1732" t="str">
        <f>IF(Table1[[#This Row],[age]]&lt;=25,"18-25",IF(Table1[[#This Row],[age]]&lt;=35,"26-35",IF(Table1[[#This Row],[age]]&lt;=50,"36-50","51+")))</f>
        <v>26-35</v>
      </c>
      <c r="G1732" t="s">
        <v>34</v>
      </c>
      <c r="H1732" t="s">
        <v>69</v>
      </c>
      <c r="I1732" t="s">
        <v>136</v>
      </c>
      <c r="J1732" t="s">
        <v>36</v>
      </c>
      <c r="K1732" t="s">
        <v>243</v>
      </c>
      <c r="L1732">
        <v>9</v>
      </c>
      <c r="M1732">
        <v>20878.86</v>
      </c>
      <c r="N1732">
        <v>0</v>
      </c>
      <c r="O1732">
        <v>146912.47</v>
      </c>
      <c r="P1732">
        <v>46428.4</v>
      </c>
      <c r="Q1732">
        <v>74.599999999999994</v>
      </c>
      <c r="R1732" t="s">
        <v>57</v>
      </c>
      <c r="S1732">
        <v>2</v>
      </c>
      <c r="T1732" t="b">
        <v>0</v>
      </c>
      <c r="U1732" t="s">
        <v>71</v>
      </c>
      <c r="V1732">
        <v>4</v>
      </c>
    </row>
    <row r="1733" spans="1:22" x14ac:dyDescent="0.25">
      <c r="A1733" t="s">
        <v>3962</v>
      </c>
      <c r="B1733" s="1">
        <v>45150</v>
      </c>
      <c r="C1733" t="s">
        <v>3963</v>
      </c>
      <c r="D1733" t="s">
        <v>1351</v>
      </c>
      <c r="E1733">
        <v>18</v>
      </c>
      <c r="F1733" t="str">
        <f>IF(Table1[[#This Row],[age]]&lt;=25,"18-25",IF(Table1[[#This Row],[age]]&lt;=35,"26-35",IF(Table1[[#This Row],[age]]&lt;=50,"36-50","51+")))</f>
        <v>18-25</v>
      </c>
      <c r="G1733" t="s">
        <v>54</v>
      </c>
      <c r="H1733" t="s">
        <v>25</v>
      </c>
      <c r="I1733" t="s">
        <v>26</v>
      </c>
      <c r="J1733" t="s">
        <v>101</v>
      </c>
      <c r="K1733" t="s">
        <v>102</v>
      </c>
      <c r="L1733">
        <v>9</v>
      </c>
      <c r="M1733">
        <v>10111.780000000001</v>
      </c>
      <c r="N1733">
        <v>0.32</v>
      </c>
      <c r="O1733">
        <v>83964.06</v>
      </c>
      <c r="P1733">
        <v>20724.63</v>
      </c>
      <c r="Q1733">
        <v>28.35</v>
      </c>
      <c r="R1733" t="s">
        <v>57</v>
      </c>
      <c r="S1733">
        <v>4</v>
      </c>
      <c r="T1733" t="b">
        <v>1</v>
      </c>
      <c r="U1733" t="s">
        <v>50</v>
      </c>
      <c r="V1733">
        <v>1</v>
      </c>
    </row>
    <row r="1734" spans="1:22" x14ac:dyDescent="0.25">
      <c r="A1734" t="s">
        <v>3964</v>
      </c>
      <c r="B1734" s="1">
        <v>43941</v>
      </c>
      <c r="C1734" t="s">
        <v>3965</v>
      </c>
      <c r="D1734" t="s">
        <v>2460</v>
      </c>
      <c r="E1734">
        <v>46</v>
      </c>
      <c r="F1734" t="str">
        <f>IF(Table1[[#This Row],[age]]&lt;=25,"18-25",IF(Table1[[#This Row],[age]]&lt;=35,"26-35",IF(Table1[[#This Row],[age]]&lt;=50,"36-50","51+")))</f>
        <v>36-50</v>
      </c>
      <c r="G1734" t="s">
        <v>54</v>
      </c>
      <c r="H1734" t="s">
        <v>25</v>
      </c>
      <c r="I1734" t="s">
        <v>26</v>
      </c>
      <c r="J1734" t="s">
        <v>47</v>
      </c>
      <c r="K1734" t="s">
        <v>600</v>
      </c>
      <c r="L1734">
        <v>6</v>
      </c>
      <c r="M1734">
        <v>877.7</v>
      </c>
      <c r="N1734">
        <v>0.34</v>
      </c>
      <c r="O1734">
        <v>3376.89</v>
      </c>
      <c r="P1734">
        <v>1107.53</v>
      </c>
      <c r="Q1734">
        <v>53.93</v>
      </c>
      <c r="R1734" t="s">
        <v>57</v>
      </c>
      <c r="S1734">
        <v>4</v>
      </c>
      <c r="T1734" t="b">
        <v>0</v>
      </c>
      <c r="U1734" t="s">
        <v>71</v>
      </c>
      <c r="V1734">
        <v>1</v>
      </c>
    </row>
    <row r="1735" spans="1:22" x14ac:dyDescent="0.25">
      <c r="A1735" t="s">
        <v>3966</v>
      </c>
      <c r="B1735" s="1">
        <v>44361</v>
      </c>
      <c r="C1735" t="s">
        <v>1065</v>
      </c>
      <c r="D1735" t="s">
        <v>767</v>
      </c>
      <c r="E1735">
        <v>47</v>
      </c>
      <c r="F1735" t="str">
        <f>IF(Table1[[#This Row],[age]]&lt;=25,"18-25",IF(Table1[[#This Row],[age]]&lt;=35,"26-35",IF(Table1[[#This Row],[age]]&lt;=50,"36-50","51+")))</f>
        <v>36-50</v>
      </c>
      <c r="G1735" t="s">
        <v>24</v>
      </c>
      <c r="H1735" t="s">
        <v>69</v>
      </c>
      <c r="I1735" t="s">
        <v>221</v>
      </c>
      <c r="J1735" t="s">
        <v>101</v>
      </c>
      <c r="K1735" t="s">
        <v>456</v>
      </c>
      <c r="L1735">
        <v>10</v>
      </c>
      <c r="M1735">
        <v>11322.84</v>
      </c>
      <c r="N1735">
        <v>0.32</v>
      </c>
      <c r="O1735">
        <v>101284.81</v>
      </c>
      <c r="P1735">
        <v>16342.96</v>
      </c>
      <c r="Q1735">
        <v>65.25</v>
      </c>
      <c r="R1735" t="s">
        <v>92</v>
      </c>
      <c r="S1735">
        <v>5</v>
      </c>
      <c r="T1735" t="b">
        <v>0</v>
      </c>
      <c r="U1735" t="s">
        <v>30</v>
      </c>
      <c r="V1735">
        <v>8</v>
      </c>
    </row>
    <row r="1736" spans="1:22" x14ac:dyDescent="0.25">
      <c r="A1736" t="s">
        <v>3967</v>
      </c>
      <c r="B1736" s="1">
        <v>45327</v>
      </c>
      <c r="C1736" t="s">
        <v>3968</v>
      </c>
      <c r="D1736" t="s">
        <v>692</v>
      </c>
      <c r="E1736">
        <v>25</v>
      </c>
      <c r="F1736" t="str">
        <f>IF(Table1[[#This Row],[age]]&lt;=25,"18-25",IF(Table1[[#This Row],[age]]&lt;=35,"26-35",IF(Table1[[#This Row],[age]]&lt;=50,"36-50","51+")))</f>
        <v>18-25</v>
      </c>
      <c r="G1736" t="s">
        <v>34</v>
      </c>
      <c r="H1736" t="s">
        <v>25</v>
      </c>
      <c r="I1736" t="s">
        <v>41</v>
      </c>
      <c r="J1736" t="s">
        <v>115</v>
      </c>
      <c r="K1736" t="s">
        <v>137</v>
      </c>
      <c r="L1736">
        <v>6</v>
      </c>
      <c r="M1736">
        <v>29123.87</v>
      </c>
      <c r="N1736">
        <v>0.27</v>
      </c>
      <c r="O1736">
        <v>151990.82999999999</v>
      </c>
      <c r="P1736">
        <v>18816.93</v>
      </c>
      <c r="Q1736">
        <v>65.28</v>
      </c>
      <c r="R1736" t="s">
        <v>57</v>
      </c>
      <c r="S1736">
        <v>1</v>
      </c>
      <c r="T1736" t="b">
        <v>1</v>
      </c>
      <c r="U1736" t="s">
        <v>50</v>
      </c>
      <c r="V1736">
        <v>3</v>
      </c>
    </row>
    <row r="1737" spans="1:22" x14ac:dyDescent="0.25">
      <c r="A1737" t="s">
        <v>3969</v>
      </c>
      <c r="B1737" s="1">
        <v>44766</v>
      </c>
      <c r="C1737" t="s">
        <v>3970</v>
      </c>
      <c r="D1737" t="s">
        <v>246</v>
      </c>
      <c r="E1737">
        <v>24</v>
      </c>
      <c r="F1737" t="str">
        <f>IF(Table1[[#This Row],[age]]&lt;=25,"18-25",IF(Table1[[#This Row],[age]]&lt;=35,"26-35",IF(Table1[[#This Row],[age]]&lt;=50,"36-50","51+")))</f>
        <v>18-25</v>
      </c>
      <c r="G1737" t="s">
        <v>54</v>
      </c>
      <c r="H1737" t="s">
        <v>80</v>
      </c>
      <c r="I1737" t="s">
        <v>81</v>
      </c>
      <c r="J1737" t="s">
        <v>47</v>
      </c>
      <c r="K1737" t="s">
        <v>48</v>
      </c>
      <c r="L1737">
        <v>5</v>
      </c>
      <c r="M1737">
        <v>1265.3599999999999</v>
      </c>
      <c r="N1737">
        <v>0.03</v>
      </c>
      <c r="O1737">
        <v>8924.6299999999992</v>
      </c>
      <c r="P1737">
        <v>3374.31</v>
      </c>
      <c r="Q1737">
        <v>72.97</v>
      </c>
      <c r="R1737" t="s">
        <v>49</v>
      </c>
      <c r="S1737">
        <v>2</v>
      </c>
      <c r="T1737" t="b">
        <v>0</v>
      </c>
      <c r="U1737" t="s">
        <v>30</v>
      </c>
      <c r="V1737">
        <v>5</v>
      </c>
    </row>
    <row r="1738" spans="1:22" x14ac:dyDescent="0.25">
      <c r="A1738" t="s">
        <v>3971</v>
      </c>
      <c r="B1738" s="1">
        <v>44487</v>
      </c>
      <c r="C1738" t="s">
        <v>3972</v>
      </c>
      <c r="D1738" t="s">
        <v>2420</v>
      </c>
      <c r="E1738">
        <v>55</v>
      </c>
      <c r="F1738" t="str">
        <f>IF(Table1[[#This Row],[age]]&lt;=25,"18-25",IF(Table1[[#This Row],[age]]&lt;=35,"26-35",IF(Table1[[#This Row],[age]]&lt;=50,"36-50","51+")))</f>
        <v>51+</v>
      </c>
      <c r="G1738" t="s">
        <v>34</v>
      </c>
      <c r="H1738" t="s">
        <v>61</v>
      </c>
      <c r="I1738" t="s">
        <v>62</v>
      </c>
      <c r="J1738" t="s">
        <v>27</v>
      </c>
      <c r="K1738" t="s">
        <v>480</v>
      </c>
      <c r="L1738">
        <v>8</v>
      </c>
      <c r="M1738">
        <v>2387.85</v>
      </c>
      <c r="N1738">
        <v>0.03</v>
      </c>
      <c r="O1738">
        <v>16986.77</v>
      </c>
      <c r="P1738">
        <v>9892.56</v>
      </c>
      <c r="Q1738">
        <v>51.89</v>
      </c>
      <c r="R1738" t="s">
        <v>49</v>
      </c>
      <c r="S1738">
        <v>4</v>
      </c>
      <c r="T1738" t="b">
        <v>0</v>
      </c>
      <c r="U1738" t="s">
        <v>71</v>
      </c>
      <c r="V1738">
        <v>1</v>
      </c>
    </row>
    <row r="1739" spans="1:22" x14ac:dyDescent="0.25">
      <c r="A1739" t="s">
        <v>3973</v>
      </c>
      <c r="B1739" s="1">
        <v>45408</v>
      </c>
      <c r="C1739" t="s">
        <v>3974</v>
      </c>
      <c r="D1739" t="s">
        <v>437</v>
      </c>
      <c r="E1739">
        <v>30</v>
      </c>
      <c r="F1739" t="str">
        <f>IF(Table1[[#This Row],[age]]&lt;=25,"18-25",IF(Table1[[#This Row],[age]]&lt;=35,"26-35",IF(Table1[[#This Row],[age]]&lt;=50,"36-50","51+")))</f>
        <v>26-35</v>
      </c>
      <c r="G1739" t="s">
        <v>24</v>
      </c>
      <c r="H1739" t="s">
        <v>61</v>
      </c>
      <c r="I1739" t="s">
        <v>141</v>
      </c>
      <c r="J1739" t="s">
        <v>36</v>
      </c>
      <c r="K1739" t="s">
        <v>230</v>
      </c>
      <c r="L1739">
        <v>7</v>
      </c>
      <c r="M1739">
        <v>3546.07</v>
      </c>
      <c r="N1739">
        <v>0.36</v>
      </c>
      <c r="O1739">
        <v>24765.72</v>
      </c>
      <c r="P1739">
        <v>7503.38</v>
      </c>
      <c r="Q1739">
        <v>51.04</v>
      </c>
      <c r="R1739" t="s">
        <v>29</v>
      </c>
      <c r="S1739">
        <v>4</v>
      </c>
      <c r="T1739" t="b">
        <v>0</v>
      </c>
      <c r="U1739" t="s">
        <v>30</v>
      </c>
      <c r="V1739">
        <v>9</v>
      </c>
    </row>
    <row r="1740" spans="1:22" x14ac:dyDescent="0.25">
      <c r="A1740" t="s">
        <v>3975</v>
      </c>
      <c r="B1740" s="1">
        <v>44893</v>
      </c>
      <c r="C1740" t="s">
        <v>3976</v>
      </c>
      <c r="D1740" t="s">
        <v>990</v>
      </c>
      <c r="E1740">
        <v>37</v>
      </c>
      <c r="F1740" t="str">
        <f>IF(Table1[[#This Row],[age]]&lt;=25,"18-25",IF(Table1[[#This Row],[age]]&lt;=35,"26-35",IF(Table1[[#This Row],[age]]&lt;=50,"36-50","51+")))</f>
        <v>36-50</v>
      </c>
      <c r="G1740" t="s">
        <v>34</v>
      </c>
      <c r="H1740" t="s">
        <v>80</v>
      </c>
      <c r="I1740" t="s">
        <v>236</v>
      </c>
      <c r="J1740" t="s">
        <v>47</v>
      </c>
      <c r="K1740" t="s">
        <v>600</v>
      </c>
      <c r="L1740">
        <v>1</v>
      </c>
      <c r="M1740">
        <v>1315.36</v>
      </c>
      <c r="N1740">
        <v>0.14000000000000001</v>
      </c>
      <c r="O1740">
        <v>962.09</v>
      </c>
      <c r="P1740">
        <v>365.81</v>
      </c>
      <c r="Q1740">
        <v>67.33</v>
      </c>
      <c r="R1740" t="s">
        <v>49</v>
      </c>
      <c r="S1740">
        <v>4</v>
      </c>
      <c r="T1740" t="b">
        <v>1</v>
      </c>
      <c r="U1740" t="s">
        <v>50</v>
      </c>
      <c r="V1740">
        <v>2</v>
      </c>
    </row>
    <row r="1741" spans="1:22" x14ac:dyDescent="0.25">
      <c r="A1741" t="s">
        <v>3977</v>
      </c>
      <c r="B1741" s="1">
        <v>43928</v>
      </c>
      <c r="C1741" t="s">
        <v>333</v>
      </c>
      <c r="D1741" t="s">
        <v>3740</v>
      </c>
      <c r="E1741">
        <v>25</v>
      </c>
      <c r="F1741" t="str">
        <f>IF(Table1[[#This Row],[age]]&lt;=25,"18-25",IF(Table1[[#This Row],[age]]&lt;=35,"26-35",IF(Table1[[#This Row],[age]]&lt;=50,"36-50","51+")))</f>
        <v>18-25</v>
      </c>
      <c r="G1741" t="s">
        <v>54</v>
      </c>
      <c r="H1741" t="s">
        <v>25</v>
      </c>
      <c r="I1741" t="s">
        <v>41</v>
      </c>
      <c r="J1741" t="s">
        <v>106</v>
      </c>
      <c r="K1741" t="s">
        <v>107</v>
      </c>
      <c r="L1741">
        <v>2</v>
      </c>
      <c r="M1741">
        <v>62.44</v>
      </c>
      <c r="N1741">
        <v>0.3</v>
      </c>
      <c r="O1741">
        <v>90.55</v>
      </c>
      <c r="P1741">
        <v>8.3699999999999992</v>
      </c>
      <c r="Q1741">
        <v>56.9</v>
      </c>
      <c r="R1741" t="s">
        <v>57</v>
      </c>
      <c r="S1741">
        <v>5</v>
      </c>
      <c r="T1741" t="b">
        <v>1</v>
      </c>
      <c r="U1741" t="s">
        <v>50</v>
      </c>
      <c r="V1741">
        <v>7</v>
      </c>
    </row>
    <row r="1742" spans="1:22" x14ac:dyDescent="0.25">
      <c r="A1742" t="s">
        <v>3978</v>
      </c>
      <c r="B1742" s="1">
        <v>44132</v>
      </c>
      <c r="C1742" t="s">
        <v>3979</v>
      </c>
      <c r="D1742" t="s">
        <v>1977</v>
      </c>
      <c r="E1742">
        <v>29</v>
      </c>
      <c r="F1742" t="str">
        <f>IF(Table1[[#This Row],[age]]&lt;=25,"18-25",IF(Table1[[#This Row],[age]]&lt;=35,"26-35",IF(Table1[[#This Row],[age]]&lt;=50,"36-50","51+")))</f>
        <v>26-35</v>
      </c>
      <c r="G1742" t="s">
        <v>54</v>
      </c>
      <c r="H1742" t="s">
        <v>61</v>
      </c>
      <c r="I1742" t="s">
        <v>62</v>
      </c>
      <c r="J1742" t="s">
        <v>106</v>
      </c>
      <c r="K1742" t="s">
        <v>107</v>
      </c>
      <c r="L1742">
        <v>8</v>
      </c>
      <c r="M1742">
        <v>421.35</v>
      </c>
      <c r="N1742">
        <v>0.33</v>
      </c>
      <c r="O1742">
        <v>1863.59</v>
      </c>
      <c r="P1742">
        <v>143.5</v>
      </c>
      <c r="Q1742">
        <v>62.73</v>
      </c>
      <c r="R1742" t="s">
        <v>65</v>
      </c>
      <c r="S1742">
        <v>1</v>
      </c>
      <c r="T1742" t="b">
        <v>1</v>
      </c>
      <c r="U1742" t="s">
        <v>50</v>
      </c>
      <c r="V1742">
        <v>7</v>
      </c>
    </row>
    <row r="1743" spans="1:22" x14ac:dyDescent="0.25">
      <c r="A1743" t="s">
        <v>3980</v>
      </c>
      <c r="B1743" s="1">
        <v>44658</v>
      </c>
      <c r="C1743" t="s">
        <v>3981</v>
      </c>
      <c r="D1743" t="s">
        <v>731</v>
      </c>
      <c r="E1743">
        <v>39</v>
      </c>
      <c r="F1743" t="str">
        <f>IF(Table1[[#This Row],[age]]&lt;=25,"18-25",IF(Table1[[#This Row],[age]]&lt;=35,"26-35",IF(Table1[[#This Row],[age]]&lt;=50,"36-50","51+")))</f>
        <v>36-50</v>
      </c>
      <c r="G1743" t="s">
        <v>24</v>
      </c>
      <c r="H1743" t="s">
        <v>80</v>
      </c>
      <c r="I1743" t="s">
        <v>81</v>
      </c>
      <c r="J1743" t="s">
        <v>47</v>
      </c>
      <c r="K1743" t="s">
        <v>204</v>
      </c>
      <c r="L1743">
        <v>1</v>
      </c>
      <c r="M1743">
        <v>801.96</v>
      </c>
      <c r="N1743">
        <v>0.04</v>
      </c>
      <c r="O1743">
        <v>1115.18</v>
      </c>
      <c r="P1743">
        <v>461.7</v>
      </c>
      <c r="Q1743">
        <v>65.930000000000007</v>
      </c>
      <c r="R1743" t="s">
        <v>49</v>
      </c>
      <c r="S1743">
        <v>5</v>
      </c>
      <c r="T1743" t="b">
        <v>0</v>
      </c>
      <c r="U1743" t="s">
        <v>30</v>
      </c>
      <c r="V1743">
        <v>2</v>
      </c>
    </row>
    <row r="1744" spans="1:22" x14ac:dyDescent="0.25">
      <c r="A1744" t="s">
        <v>3982</v>
      </c>
      <c r="B1744" s="1">
        <v>45210</v>
      </c>
      <c r="C1744" t="s">
        <v>3983</v>
      </c>
      <c r="D1744" t="s">
        <v>2024</v>
      </c>
      <c r="E1744">
        <v>31</v>
      </c>
      <c r="F1744" t="str">
        <f>IF(Table1[[#This Row],[age]]&lt;=25,"18-25",IF(Table1[[#This Row],[age]]&lt;=35,"26-35",IF(Table1[[#This Row],[age]]&lt;=50,"36-50","51+")))</f>
        <v>26-35</v>
      </c>
      <c r="G1744" t="s">
        <v>24</v>
      </c>
      <c r="H1744" t="s">
        <v>61</v>
      </c>
      <c r="I1744" t="s">
        <v>163</v>
      </c>
      <c r="J1744" t="s">
        <v>47</v>
      </c>
      <c r="K1744" t="s">
        <v>600</v>
      </c>
      <c r="L1744">
        <v>9</v>
      </c>
      <c r="M1744">
        <v>991.57</v>
      </c>
      <c r="N1744">
        <v>0.36</v>
      </c>
      <c r="O1744">
        <v>6481.41</v>
      </c>
      <c r="P1744">
        <v>2354.0500000000002</v>
      </c>
      <c r="Q1744">
        <v>85.05</v>
      </c>
      <c r="R1744" t="s">
        <v>29</v>
      </c>
      <c r="S1744">
        <v>1</v>
      </c>
      <c r="T1744" t="b">
        <v>0</v>
      </c>
      <c r="U1744" t="s">
        <v>30</v>
      </c>
      <c r="V1744">
        <v>4</v>
      </c>
    </row>
    <row r="1745" spans="1:22" x14ac:dyDescent="0.25">
      <c r="A1745" t="s">
        <v>3984</v>
      </c>
      <c r="B1745" s="1">
        <v>45278</v>
      </c>
      <c r="C1745" t="s">
        <v>3985</v>
      </c>
      <c r="D1745" t="s">
        <v>1030</v>
      </c>
      <c r="E1745">
        <v>53</v>
      </c>
      <c r="F1745" t="str">
        <f>IF(Table1[[#This Row],[age]]&lt;=25,"18-25",IF(Table1[[#This Row],[age]]&lt;=35,"26-35",IF(Table1[[#This Row],[age]]&lt;=50,"36-50","51+")))</f>
        <v>51+</v>
      </c>
      <c r="G1745" t="s">
        <v>54</v>
      </c>
      <c r="H1745" t="s">
        <v>61</v>
      </c>
      <c r="I1745" t="s">
        <v>62</v>
      </c>
      <c r="J1745" t="s">
        <v>115</v>
      </c>
      <c r="K1745" t="s">
        <v>137</v>
      </c>
      <c r="L1745">
        <v>1</v>
      </c>
      <c r="M1745">
        <v>23254.63</v>
      </c>
      <c r="N1745">
        <v>0.01</v>
      </c>
      <c r="O1745">
        <v>20122.419999999998</v>
      </c>
      <c r="P1745">
        <v>2165.17</v>
      </c>
      <c r="Q1745">
        <v>35.380000000000003</v>
      </c>
      <c r="R1745" t="s">
        <v>29</v>
      </c>
      <c r="S1745">
        <v>5</v>
      </c>
      <c r="T1745" t="b">
        <v>0</v>
      </c>
      <c r="U1745" t="s">
        <v>30</v>
      </c>
      <c r="V1745">
        <v>7</v>
      </c>
    </row>
    <row r="1746" spans="1:22" x14ac:dyDescent="0.25">
      <c r="A1746" t="s">
        <v>3986</v>
      </c>
      <c r="B1746" s="1">
        <v>45203</v>
      </c>
      <c r="C1746" t="s">
        <v>3987</v>
      </c>
      <c r="D1746" t="s">
        <v>455</v>
      </c>
      <c r="E1746">
        <v>44</v>
      </c>
      <c r="F1746" t="str">
        <f>IF(Table1[[#This Row],[age]]&lt;=25,"18-25",IF(Table1[[#This Row],[age]]&lt;=35,"26-35",IF(Table1[[#This Row],[age]]&lt;=50,"36-50","51+")))</f>
        <v>36-50</v>
      </c>
      <c r="G1746" t="s">
        <v>54</v>
      </c>
      <c r="H1746" t="s">
        <v>25</v>
      </c>
      <c r="I1746" t="s">
        <v>298</v>
      </c>
      <c r="J1746" t="s">
        <v>101</v>
      </c>
      <c r="K1746" t="s">
        <v>102</v>
      </c>
      <c r="L1746">
        <v>4</v>
      </c>
      <c r="M1746">
        <v>12573.57</v>
      </c>
      <c r="N1746">
        <v>0.38</v>
      </c>
      <c r="O1746">
        <v>32140.85</v>
      </c>
      <c r="P1746">
        <v>8492.7199999999993</v>
      </c>
      <c r="Q1746">
        <v>47</v>
      </c>
      <c r="R1746" t="s">
        <v>57</v>
      </c>
      <c r="S1746">
        <v>3</v>
      </c>
      <c r="T1746" t="b">
        <v>0</v>
      </c>
      <c r="U1746" t="s">
        <v>30</v>
      </c>
      <c r="V1746">
        <v>4</v>
      </c>
    </row>
    <row r="1747" spans="1:22" x14ac:dyDescent="0.25">
      <c r="A1747" t="s">
        <v>3988</v>
      </c>
      <c r="B1747" s="1">
        <v>44746</v>
      </c>
      <c r="C1747" t="s">
        <v>3989</v>
      </c>
      <c r="D1747" t="s">
        <v>2639</v>
      </c>
      <c r="E1747">
        <v>53</v>
      </c>
      <c r="F1747" t="str">
        <f>IF(Table1[[#This Row],[age]]&lt;=25,"18-25",IF(Table1[[#This Row],[age]]&lt;=35,"26-35",IF(Table1[[#This Row],[age]]&lt;=50,"36-50","51+")))</f>
        <v>51+</v>
      </c>
      <c r="G1747" t="s">
        <v>34</v>
      </c>
      <c r="H1747" t="s">
        <v>69</v>
      </c>
      <c r="I1747" t="s">
        <v>136</v>
      </c>
      <c r="J1747" t="s">
        <v>106</v>
      </c>
      <c r="K1747" t="s">
        <v>107</v>
      </c>
      <c r="L1747">
        <v>1</v>
      </c>
      <c r="M1747">
        <v>365.27</v>
      </c>
      <c r="N1747">
        <v>0.16</v>
      </c>
      <c r="O1747">
        <v>496.1</v>
      </c>
      <c r="P1747">
        <v>27.14</v>
      </c>
      <c r="Q1747">
        <v>70.650000000000006</v>
      </c>
      <c r="R1747" t="s">
        <v>92</v>
      </c>
      <c r="S1747">
        <v>4</v>
      </c>
      <c r="T1747" t="b">
        <v>0</v>
      </c>
      <c r="U1747" t="s">
        <v>71</v>
      </c>
      <c r="V1747">
        <v>2</v>
      </c>
    </row>
    <row r="1748" spans="1:22" x14ac:dyDescent="0.25">
      <c r="A1748" t="s">
        <v>3990</v>
      </c>
      <c r="B1748" s="1">
        <v>44969</v>
      </c>
      <c r="C1748" t="s">
        <v>3991</v>
      </c>
      <c r="D1748" t="s">
        <v>1274</v>
      </c>
      <c r="E1748">
        <v>24</v>
      </c>
      <c r="F1748" t="str">
        <f>IF(Table1[[#This Row],[age]]&lt;=25,"18-25",IF(Table1[[#This Row],[age]]&lt;=35,"26-35",IF(Table1[[#This Row],[age]]&lt;=50,"36-50","51+")))</f>
        <v>18-25</v>
      </c>
      <c r="G1748" t="s">
        <v>54</v>
      </c>
      <c r="H1748" t="s">
        <v>25</v>
      </c>
      <c r="I1748" t="s">
        <v>35</v>
      </c>
      <c r="J1748" t="s">
        <v>106</v>
      </c>
      <c r="K1748" t="s">
        <v>718</v>
      </c>
      <c r="L1748">
        <v>9</v>
      </c>
      <c r="M1748">
        <v>278.27</v>
      </c>
      <c r="N1748">
        <v>0.36</v>
      </c>
      <c r="O1748">
        <v>1742.13</v>
      </c>
      <c r="P1748">
        <v>147.02000000000001</v>
      </c>
      <c r="Q1748">
        <v>66.790000000000006</v>
      </c>
      <c r="R1748" t="s">
        <v>65</v>
      </c>
      <c r="S1748">
        <v>4</v>
      </c>
      <c r="T1748" t="b">
        <v>1</v>
      </c>
      <c r="U1748" t="s">
        <v>50</v>
      </c>
      <c r="V1748">
        <v>3</v>
      </c>
    </row>
    <row r="1749" spans="1:22" x14ac:dyDescent="0.25">
      <c r="A1749" t="s">
        <v>3992</v>
      </c>
      <c r="B1749" s="1">
        <v>44697</v>
      </c>
      <c r="C1749" t="s">
        <v>3993</v>
      </c>
      <c r="D1749" t="s">
        <v>1100</v>
      </c>
      <c r="E1749">
        <v>34</v>
      </c>
      <c r="F1749" t="str">
        <f>IF(Table1[[#This Row],[age]]&lt;=25,"18-25",IF(Table1[[#This Row],[age]]&lt;=35,"26-35",IF(Table1[[#This Row],[age]]&lt;=50,"36-50","51+")))</f>
        <v>26-35</v>
      </c>
      <c r="G1749" t="s">
        <v>54</v>
      </c>
      <c r="H1749" t="s">
        <v>25</v>
      </c>
      <c r="I1749" t="s">
        <v>41</v>
      </c>
      <c r="J1749" t="s">
        <v>63</v>
      </c>
      <c r="K1749" t="s">
        <v>64</v>
      </c>
      <c r="L1749">
        <v>6</v>
      </c>
      <c r="M1749">
        <v>3595.66</v>
      </c>
      <c r="N1749">
        <v>0.08</v>
      </c>
      <c r="O1749">
        <v>28857.83</v>
      </c>
      <c r="P1749">
        <v>14157.85</v>
      </c>
      <c r="Q1749">
        <v>33.61</v>
      </c>
      <c r="R1749" t="s">
        <v>92</v>
      </c>
      <c r="S1749">
        <v>3</v>
      </c>
      <c r="T1749" t="b">
        <v>0</v>
      </c>
      <c r="U1749" t="s">
        <v>30</v>
      </c>
      <c r="V1749">
        <v>5</v>
      </c>
    </row>
    <row r="1750" spans="1:22" x14ac:dyDescent="0.25">
      <c r="A1750" t="s">
        <v>3994</v>
      </c>
      <c r="B1750" s="1">
        <v>44770</v>
      </c>
      <c r="C1750" t="s">
        <v>3995</v>
      </c>
      <c r="D1750" t="s">
        <v>833</v>
      </c>
      <c r="E1750">
        <v>26</v>
      </c>
      <c r="F1750" t="str">
        <f>IF(Table1[[#This Row],[age]]&lt;=25,"18-25",IF(Table1[[#This Row],[age]]&lt;=35,"26-35",IF(Table1[[#This Row],[age]]&lt;=50,"36-50","51+")))</f>
        <v>26-35</v>
      </c>
      <c r="G1750" t="s">
        <v>54</v>
      </c>
      <c r="H1750" t="s">
        <v>61</v>
      </c>
      <c r="I1750" t="s">
        <v>62</v>
      </c>
      <c r="J1750" t="s">
        <v>47</v>
      </c>
      <c r="K1750" t="s">
        <v>204</v>
      </c>
      <c r="L1750">
        <v>6</v>
      </c>
      <c r="M1750">
        <v>868.63</v>
      </c>
      <c r="N1750">
        <v>0.18</v>
      </c>
      <c r="O1750">
        <v>5798</v>
      </c>
      <c r="P1750">
        <v>3070</v>
      </c>
      <c r="Q1750">
        <v>44.25</v>
      </c>
      <c r="R1750" t="s">
        <v>92</v>
      </c>
      <c r="S1750">
        <v>4</v>
      </c>
      <c r="T1750" t="b">
        <v>0</v>
      </c>
      <c r="U1750" t="s">
        <v>93</v>
      </c>
      <c r="V1750">
        <v>7</v>
      </c>
    </row>
    <row r="1751" spans="1:22" x14ac:dyDescent="0.25">
      <c r="A1751" t="s">
        <v>3996</v>
      </c>
      <c r="B1751" s="1">
        <v>44290</v>
      </c>
      <c r="C1751" t="s">
        <v>3997</v>
      </c>
      <c r="D1751" t="s">
        <v>74</v>
      </c>
      <c r="E1751">
        <v>39</v>
      </c>
      <c r="F1751" t="str">
        <f>IF(Table1[[#This Row],[age]]&lt;=25,"18-25",IF(Table1[[#This Row],[age]]&lt;=35,"26-35",IF(Table1[[#This Row],[age]]&lt;=50,"36-50","51+")))</f>
        <v>36-50</v>
      </c>
      <c r="G1751" t="s">
        <v>54</v>
      </c>
      <c r="H1751" t="s">
        <v>69</v>
      </c>
      <c r="I1751" t="s">
        <v>70</v>
      </c>
      <c r="J1751" t="s">
        <v>47</v>
      </c>
      <c r="K1751" t="s">
        <v>48</v>
      </c>
      <c r="L1751">
        <v>2</v>
      </c>
      <c r="M1751">
        <v>742.65</v>
      </c>
      <c r="N1751">
        <v>0.39</v>
      </c>
      <c r="O1751">
        <v>1191.31</v>
      </c>
      <c r="P1751">
        <v>548.78</v>
      </c>
      <c r="Q1751">
        <v>71.69</v>
      </c>
      <c r="R1751" t="s">
        <v>65</v>
      </c>
      <c r="S1751">
        <v>4</v>
      </c>
      <c r="T1751" t="b">
        <v>0</v>
      </c>
      <c r="U1751" t="s">
        <v>30</v>
      </c>
      <c r="V1751">
        <v>7</v>
      </c>
    </row>
    <row r="1752" spans="1:22" x14ac:dyDescent="0.25">
      <c r="A1752" t="s">
        <v>3998</v>
      </c>
      <c r="B1752" s="1">
        <v>44820</v>
      </c>
      <c r="C1752" t="s">
        <v>3999</v>
      </c>
      <c r="D1752" t="s">
        <v>513</v>
      </c>
      <c r="E1752">
        <v>22</v>
      </c>
      <c r="F1752" t="str">
        <f>IF(Table1[[#This Row],[age]]&lt;=25,"18-25",IF(Table1[[#This Row],[age]]&lt;=35,"26-35",IF(Table1[[#This Row],[age]]&lt;=50,"36-50","51+")))</f>
        <v>18-25</v>
      </c>
      <c r="G1752" t="s">
        <v>54</v>
      </c>
      <c r="H1752" t="s">
        <v>61</v>
      </c>
      <c r="I1752" t="s">
        <v>62</v>
      </c>
      <c r="J1752" t="s">
        <v>115</v>
      </c>
      <c r="K1752" t="s">
        <v>116</v>
      </c>
      <c r="L1752">
        <v>4</v>
      </c>
      <c r="M1752">
        <v>63972.59</v>
      </c>
      <c r="N1752">
        <v>0.28000000000000003</v>
      </c>
      <c r="O1752">
        <v>208355.63</v>
      </c>
      <c r="P1752">
        <v>16914.36</v>
      </c>
      <c r="Q1752">
        <v>37.35</v>
      </c>
      <c r="R1752" t="s">
        <v>65</v>
      </c>
      <c r="S1752">
        <v>1</v>
      </c>
      <c r="T1752" t="b">
        <v>0</v>
      </c>
      <c r="U1752" t="s">
        <v>71</v>
      </c>
      <c r="V1752">
        <v>7</v>
      </c>
    </row>
    <row r="1753" spans="1:22" x14ac:dyDescent="0.25">
      <c r="A1753" t="s">
        <v>4000</v>
      </c>
      <c r="B1753" s="1">
        <v>44987</v>
      </c>
      <c r="C1753" t="s">
        <v>4001</v>
      </c>
      <c r="D1753" t="s">
        <v>2213</v>
      </c>
      <c r="E1753">
        <v>36</v>
      </c>
      <c r="F1753" t="str">
        <f>IF(Table1[[#This Row],[age]]&lt;=25,"18-25",IF(Table1[[#This Row],[age]]&lt;=35,"26-35",IF(Table1[[#This Row],[age]]&lt;=50,"36-50","51+")))</f>
        <v>36-50</v>
      </c>
      <c r="G1753" t="s">
        <v>34</v>
      </c>
      <c r="H1753" t="s">
        <v>80</v>
      </c>
      <c r="I1753" t="s">
        <v>81</v>
      </c>
      <c r="J1753" t="s">
        <v>106</v>
      </c>
      <c r="K1753" t="s">
        <v>107</v>
      </c>
      <c r="L1753">
        <v>9</v>
      </c>
      <c r="M1753">
        <v>57.61</v>
      </c>
      <c r="N1753">
        <v>0.28999999999999998</v>
      </c>
      <c r="O1753">
        <v>449.35</v>
      </c>
      <c r="P1753">
        <v>35.51</v>
      </c>
      <c r="Q1753">
        <v>88.76</v>
      </c>
      <c r="R1753" t="s">
        <v>43</v>
      </c>
      <c r="S1753">
        <v>1</v>
      </c>
      <c r="T1753" t="b">
        <v>0</v>
      </c>
      <c r="U1753" t="s">
        <v>30</v>
      </c>
      <c r="V1753">
        <v>4</v>
      </c>
    </row>
    <row r="1754" spans="1:22" x14ac:dyDescent="0.25">
      <c r="A1754" t="s">
        <v>4002</v>
      </c>
      <c r="B1754" s="1">
        <v>45093</v>
      </c>
      <c r="C1754" t="s">
        <v>4003</v>
      </c>
      <c r="D1754" t="s">
        <v>220</v>
      </c>
      <c r="E1754">
        <v>26</v>
      </c>
      <c r="F1754" t="str">
        <f>IF(Table1[[#This Row],[age]]&lt;=25,"18-25",IF(Table1[[#This Row],[age]]&lt;=35,"26-35",IF(Table1[[#This Row],[age]]&lt;=50,"36-50","51+")))</f>
        <v>26-35</v>
      </c>
      <c r="G1754" t="s">
        <v>34</v>
      </c>
      <c r="H1754" t="s">
        <v>80</v>
      </c>
      <c r="I1754" t="s">
        <v>86</v>
      </c>
      <c r="J1754" t="s">
        <v>47</v>
      </c>
      <c r="K1754" t="s">
        <v>48</v>
      </c>
      <c r="L1754">
        <v>6</v>
      </c>
      <c r="M1754">
        <v>254.61</v>
      </c>
      <c r="N1754">
        <v>0.35</v>
      </c>
      <c r="O1754">
        <v>1558.67</v>
      </c>
      <c r="P1754">
        <v>563.70000000000005</v>
      </c>
      <c r="Q1754">
        <v>74.55</v>
      </c>
      <c r="R1754" t="s">
        <v>65</v>
      </c>
      <c r="S1754">
        <v>4</v>
      </c>
      <c r="T1754" t="b">
        <v>0</v>
      </c>
      <c r="U1754" t="s">
        <v>71</v>
      </c>
      <c r="V1754">
        <v>7</v>
      </c>
    </row>
    <row r="1755" spans="1:22" x14ac:dyDescent="0.25">
      <c r="A1755" t="s">
        <v>4004</v>
      </c>
      <c r="B1755" s="1">
        <v>44599</v>
      </c>
      <c r="C1755" t="s">
        <v>4005</v>
      </c>
      <c r="D1755" t="s">
        <v>370</v>
      </c>
      <c r="E1755">
        <v>28</v>
      </c>
      <c r="F1755" t="str">
        <f>IF(Table1[[#This Row],[age]]&lt;=25,"18-25",IF(Table1[[#This Row],[age]]&lt;=35,"26-35",IF(Table1[[#This Row],[age]]&lt;=50,"36-50","51+")))</f>
        <v>26-35</v>
      </c>
      <c r="G1755" t="s">
        <v>54</v>
      </c>
      <c r="H1755" t="s">
        <v>69</v>
      </c>
      <c r="I1755" t="s">
        <v>221</v>
      </c>
      <c r="J1755" t="s">
        <v>36</v>
      </c>
      <c r="K1755" t="s">
        <v>42</v>
      </c>
      <c r="L1755">
        <v>3</v>
      </c>
      <c r="M1755">
        <v>22715.24</v>
      </c>
      <c r="N1755">
        <v>0.26</v>
      </c>
      <c r="O1755">
        <v>47070.16</v>
      </c>
      <c r="P1755">
        <v>14935.41</v>
      </c>
      <c r="Q1755">
        <v>83.56</v>
      </c>
      <c r="R1755" t="s">
        <v>65</v>
      </c>
      <c r="S1755">
        <v>4</v>
      </c>
      <c r="T1755" t="b">
        <v>0</v>
      </c>
      <c r="U1755" t="s">
        <v>30</v>
      </c>
      <c r="V1755">
        <v>8</v>
      </c>
    </row>
    <row r="1756" spans="1:22" x14ac:dyDescent="0.25">
      <c r="A1756" t="s">
        <v>4006</v>
      </c>
      <c r="B1756" s="1">
        <v>45351</v>
      </c>
      <c r="C1756" t="s">
        <v>4007</v>
      </c>
      <c r="D1756" t="s">
        <v>275</v>
      </c>
      <c r="E1756">
        <v>55</v>
      </c>
      <c r="F1756" t="str">
        <f>IF(Table1[[#This Row],[age]]&lt;=25,"18-25",IF(Table1[[#This Row],[age]]&lt;=35,"26-35",IF(Table1[[#This Row],[age]]&lt;=50,"36-50","51+")))</f>
        <v>51+</v>
      </c>
      <c r="G1756" t="s">
        <v>24</v>
      </c>
      <c r="H1756" t="s">
        <v>25</v>
      </c>
      <c r="I1756" t="s">
        <v>298</v>
      </c>
      <c r="J1756" t="s">
        <v>27</v>
      </c>
      <c r="K1756" t="s">
        <v>168</v>
      </c>
      <c r="L1756">
        <v>1</v>
      </c>
      <c r="M1756">
        <v>356.08</v>
      </c>
      <c r="N1756">
        <v>0.16</v>
      </c>
      <c r="O1756">
        <v>293.48</v>
      </c>
      <c r="P1756">
        <v>113.23</v>
      </c>
      <c r="Q1756">
        <v>49.34</v>
      </c>
      <c r="R1756" t="s">
        <v>65</v>
      </c>
      <c r="S1756">
        <v>3</v>
      </c>
      <c r="T1756" t="b">
        <v>0</v>
      </c>
      <c r="U1756" t="s">
        <v>30</v>
      </c>
      <c r="V1756">
        <v>8</v>
      </c>
    </row>
    <row r="1757" spans="1:22" x14ac:dyDescent="0.25">
      <c r="A1757" t="s">
        <v>4008</v>
      </c>
      <c r="B1757" s="1">
        <v>44093</v>
      </c>
      <c r="C1757" t="s">
        <v>4009</v>
      </c>
      <c r="D1757" t="s">
        <v>777</v>
      </c>
      <c r="E1757">
        <v>40</v>
      </c>
      <c r="F1757" t="str">
        <f>IF(Table1[[#This Row],[age]]&lt;=25,"18-25",IF(Table1[[#This Row],[age]]&lt;=35,"26-35",IF(Table1[[#This Row],[age]]&lt;=50,"36-50","51+")))</f>
        <v>36-50</v>
      </c>
      <c r="G1757" t="s">
        <v>24</v>
      </c>
      <c r="H1757" t="s">
        <v>25</v>
      </c>
      <c r="I1757" t="s">
        <v>41</v>
      </c>
      <c r="J1757" t="s">
        <v>27</v>
      </c>
      <c r="K1757" t="s">
        <v>480</v>
      </c>
      <c r="L1757">
        <v>3</v>
      </c>
      <c r="M1757">
        <v>2164.7199999999998</v>
      </c>
      <c r="N1757">
        <v>0.31</v>
      </c>
      <c r="O1757">
        <v>3914.75</v>
      </c>
      <c r="P1757">
        <v>2019.53</v>
      </c>
      <c r="Q1757">
        <v>42.56</v>
      </c>
      <c r="R1757" t="s">
        <v>49</v>
      </c>
      <c r="S1757">
        <v>1</v>
      </c>
      <c r="T1757" t="b">
        <v>0</v>
      </c>
      <c r="U1757" t="s">
        <v>93</v>
      </c>
      <c r="V1757">
        <v>7</v>
      </c>
    </row>
    <row r="1758" spans="1:22" x14ac:dyDescent="0.25">
      <c r="A1758" t="s">
        <v>4010</v>
      </c>
      <c r="B1758" s="1">
        <v>44133</v>
      </c>
      <c r="C1758" t="s">
        <v>4011</v>
      </c>
      <c r="D1758" t="s">
        <v>823</v>
      </c>
      <c r="E1758">
        <v>47</v>
      </c>
      <c r="F1758" t="str">
        <f>IF(Table1[[#This Row],[age]]&lt;=25,"18-25",IF(Table1[[#This Row],[age]]&lt;=35,"26-35",IF(Table1[[#This Row],[age]]&lt;=50,"36-50","51+")))</f>
        <v>36-50</v>
      </c>
      <c r="G1758" t="s">
        <v>54</v>
      </c>
      <c r="H1758" t="s">
        <v>80</v>
      </c>
      <c r="I1758" t="s">
        <v>86</v>
      </c>
      <c r="J1758" t="s">
        <v>27</v>
      </c>
      <c r="K1758" t="s">
        <v>480</v>
      </c>
      <c r="L1758">
        <v>8</v>
      </c>
      <c r="M1758">
        <v>155.44</v>
      </c>
      <c r="N1758">
        <v>0.23</v>
      </c>
      <c r="O1758">
        <v>882.09</v>
      </c>
      <c r="P1758">
        <v>419.32</v>
      </c>
      <c r="Q1758">
        <v>56.84</v>
      </c>
      <c r="R1758" t="s">
        <v>29</v>
      </c>
      <c r="S1758">
        <v>4</v>
      </c>
      <c r="T1758" t="b">
        <v>0</v>
      </c>
      <c r="U1758" t="s">
        <v>30</v>
      </c>
      <c r="V1758">
        <v>7</v>
      </c>
    </row>
    <row r="1759" spans="1:22" x14ac:dyDescent="0.25">
      <c r="A1759" t="s">
        <v>4012</v>
      </c>
      <c r="B1759" s="1">
        <v>45005</v>
      </c>
      <c r="C1759" t="s">
        <v>4013</v>
      </c>
      <c r="D1759" t="s">
        <v>1327</v>
      </c>
      <c r="E1759">
        <v>27</v>
      </c>
      <c r="F1759" t="str">
        <f>IF(Table1[[#This Row],[age]]&lt;=25,"18-25",IF(Table1[[#This Row],[age]]&lt;=35,"26-35",IF(Table1[[#This Row],[age]]&lt;=50,"36-50","51+")))</f>
        <v>26-35</v>
      </c>
      <c r="G1759" t="s">
        <v>24</v>
      </c>
      <c r="H1759" t="s">
        <v>80</v>
      </c>
      <c r="I1759" t="s">
        <v>242</v>
      </c>
      <c r="J1759" t="s">
        <v>47</v>
      </c>
      <c r="K1759" t="s">
        <v>272</v>
      </c>
      <c r="L1759">
        <v>3</v>
      </c>
      <c r="M1759">
        <v>435.38</v>
      </c>
      <c r="N1759">
        <v>0.27</v>
      </c>
      <c r="O1759">
        <v>1015.42</v>
      </c>
      <c r="P1759">
        <v>374.01</v>
      </c>
      <c r="Q1759">
        <v>46.53</v>
      </c>
      <c r="R1759" t="s">
        <v>92</v>
      </c>
      <c r="S1759">
        <v>1</v>
      </c>
      <c r="T1759" t="b">
        <v>0</v>
      </c>
      <c r="U1759" t="s">
        <v>30</v>
      </c>
      <c r="V1759">
        <v>10</v>
      </c>
    </row>
    <row r="1760" spans="1:22" x14ac:dyDescent="0.25">
      <c r="A1760" t="s">
        <v>4014</v>
      </c>
      <c r="B1760" s="1">
        <v>44696</v>
      </c>
      <c r="C1760" t="s">
        <v>4015</v>
      </c>
      <c r="D1760" t="s">
        <v>1439</v>
      </c>
      <c r="E1760">
        <v>48</v>
      </c>
      <c r="F1760" t="str">
        <f>IF(Table1[[#This Row],[age]]&lt;=25,"18-25",IF(Table1[[#This Row],[age]]&lt;=35,"26-35",IF(Table1[[#This Row],[age]]&lt;=50,"36-50","51+")))</f>
        <v>36-50</v>
      </c>
      <c r="G1760" t="s">
        <v>34</v>
      </c>
      <c r="H1760" t="s">
        <v>69</v>
      </c>
      <c r="I1760" t="s">
        <v>221</v>
      </c>
      <c r="J1760" t="s">
        <v>27</v>
      </c>
      <c r="K1760" t="s">
        <v>168</v>
      </c>
      <c r="L1760">
        <v>2</v>
      </c>
      <c r="M1760">
        <v>722.06</v>
      </c>
      <c r="N1760">
        <v>0.2</v>
      </c>
      <c r="O1760">
        <v>2091.67</v>
      </c>
      <c r="P1760">
        <v>471.88</v>
      </c>
      <c r="Q1760">
        <v>87.98</v>
      </c>
      <c r="R1760" t="s">
        <v>92</v>
      </c>
      <c r="S1760">
        <v>5</v>
      </c>
      <c r="T1760" t="b">
        <v>0</v>
      </c>
      <c r="U1760" t="s">
        <v>93</v>
      </c>
      <c r="V1760">
        <v>3</v>
      </c>
    </row>
    <row r="1761" spans="1:22" x14ac:dyDescent="0.25">
      <c r="A1761" t="s">
        <v>4016</v>
      </c>
      <c r="B1761" s="1">
        <v>44761</v>
      </c>
      <c r="C1761" t="s">
        <v>4017</v>
      </c>
      <c r="D1761" t="s">
        <v>3692</v>
      </c>
      <c r="E1761">
        <v>28</v>
      </c>
      <c r="F1761" t="str">
        <f>IF(Table1[[#This Row],[age]]&lt;=25,"18-25",IF(Table1[[#This Row],[age]]&lt;=35,"26-35",IF(Table1[[#This Row],[age]]&lt;=50,"36-50","51+")))</f>
        <v>26-35</v>
      </c>
      <c r="G1761" t="s">
        <v>54</v>
      </c>
      <c r="H1761" t="s">
        <v>80</v>
      </c>
      <c r="I1761" t="s">
        <v>236</v>
      </c>
      <c r="J1761" t="s">
        <v>106</v>
      </c>
      <c r="K1761" t="s">
        <v>107</v>
      </c>
      <c r="L1761">
        <v>3</v>
      </c>
      <c r="M1761">
        <v>187.48</v>
      </c>
      <c r="N1761">
        <v>0.13</v>
      </c>
      <c r="O1761">
        <v>717.47</v>
      </c>
      <c r="P1761">
        <v>70.37</v>
      </c>
      <c r="Q1761">
        <v>77.819999999999993</v>
      </c>
      <c r="R1761" t="s">
        <v>43</v>
      </c>
      <c r="S1761">
        <v>1</v>
      </c>
      <c r="T1761" t="b">
        <v>0</v>
      </c>
      <c r="U1761" t="s">
        <v>30</v>
      </c>
      <c r="V1761">
        <v>10</v>
      </c>
    </row>
    <row r="1762" spans="1:22" x14ac:dyDescent="0.25">
      <c r="A1762" t="s">
        <v>4018</v>
      </c>
      <c r="B1762" s="1">
        <v>44396</v>
      </c>
      <c r="C1762" t="s">
        <v>4019</v>
      </c>
      <c r="D1762" t="s">
        <v>127</v>
      </c>
      <c r="E1762">
        <v>36</v>
      </c>
      <c r="F1762" t="str">
        <f>IF(Table1[[#This Row],[age]]&lt;=25,"18-25",IF(Table1[[#This Row],[age]]&lt;=35,"26-35",IF(Table1[[#This Row],[age]]&lt;=50,"36-50","51+")))</f>
        <v>36-50</v>
      </c>
      <c r="G1762" t="s">
        <v>24</v>
      </c>
      <c r="H1762" t="s">
        <v>61</v>
      </c>
      <c r="I1762" t="s">
        <v>62</v>
      </c>
      <c r="J1762" t="s">
        <v>115</v>
      </c>
      <c r="K1762" t="s">
        <v>545</v>
      </c>
      <c r="L1762">
        <v>1</v>
      </c>
      <c r="M1762">
        <v>60275.27</v>
      </c>
      <c r="N1762">
        <v>0.06</v>
      </c>
      <c r="O1762">
        <v>74194.61</v>
      </c>
      <c r="P1762">
        <v>8194.66</v>
      </c>
      <c r="Q1762">
        <v>64.8</v>
      </c>
      <c r="R1762" t="s">
        <v>92</v>
      </c>
      <c r="S1762">
        <v>4</v>
      </c>
      <c r="T1762" t="b">
        <v>0</v>
      </c>
      <c r="U1762" t="s">
        <v>193</v>
      </c>
      <c r="V1762">
        <v>1</v>
      </c>
    </row>
    <row r="1763" spans="1:22" x14ac:dyDescent="0.25">
      <c r="A1763" t="s">
        <v>4020</v>
      </c>
      <c r="B1763" s="1">
        <v>45384</v>
      </c>
      <c r="C1763" t="s">
        <v>4021</v>
      </c>
      <c r="D1763" t="s">
        <v>1074</v>
      </c>
      <c r="E1763">
        <v>46</v>
      </c>
      <c r="F1763" t="str">
        <f>IF(Table1[[#This Row],[age]]&lt;=25,"18-25",IF(Table1[[#This Row],[age]]&lt;=35,"26-35",IF(Table1[[#This Row],[age]]&lt;=50,"36-50","51+")))</f>
        <v>36-50</v>
      </c>
      <c r="G1763" t="s">
        <v>54</v>
      </c>
      <c r="H1763" t="s">
        <v>69</v>
      </c>
      <c r="I1763" t="s">
        <v>136</v>
      </c>
      <c r="J1763" t="s">
        <v>101</v>
      </c>
      <c r="K1763" t="s">
        <v>456</v>
      </c>
      <c r="L1763">
        <v>7</v>
      </c>
      <c r="M1763">
        <v>13076.37</v>
      </c>
      <c r="N1763">
        <v>0.06</v>
      </c>
      <c r="O1763">
        <v>136693.89000000001</v>
      </c>
      <c r="P1763">
        <v>34072.35</v>
      </c>
      <c r="Q1763">
        <v>89.88</v>
      </c>
      <c r="R1763" t="s">
        <v>57</v>
      </c>
      <c r="S1763">
        <v>5</v>
      </c>
      <c r="T1763" t="b">
        <v>0</v>
      </c>
      <c r="U1763" t="s">
        <v>30</v>
      </c>
      <c r="V1763">
        <v>8</v>
      </c>
    </row>
    <row r="1764" spans="1:22" x14ac:dyDescent="0.25">
      <c r="A1764" t="s">
        <v>4022</v>
      </c>
      <c r="B1764" s="1">
        <v>45499</v>
      </c>
      <c r="C1764" t="s">
        <v>4023</v>
      </c>
      <c r="D1764" t="s">
        <v>1100</v>
      </c>
      <c r="E1764">
        <v>29</v>
      </c>
      <c r="F1764" t="str">
        <f>IF(Table1[[#This Row],[age]]&lt;=25,"18-25",IF(Table1[[#This Row],[age]]&lt;=35,"26-35",IF(Table1[[#This Row],[age]]&lt;=50,"36-50","51+")))</f>
        <v>26-35</v>
      </c>
      <c r="G1764" t="s">
        <v>54</v>
      </c>
      <c r="H1764" t="s">
        <v>69</v>
      </c>
      <c r="I1764" t="s">
        <v>70</v>
      </c>
      <c r="J1764" t="s">
        <v>101</v>
      </c>
      <c r="K1764" t="s">
        <v>164</v>
      </c>
      <c r="L1764">
        <v>1</v>
      </c>
      <c r="M1764">
        <v>14799.57</v>
      </c>
      <c r="N1764">
        <v>0.31</v>
      </c>
      <c r="O1764">
        <v>18615.04</v>
      </c>
      <c r="P1764">
        <v>2577.83</v>
      </c>
      <c r="Q1764">
        <v>93.94</v>
      </c>
      <c r="R1764" t="s">
        <v>92</v>
      </c>
      <c r="S1764">
        <v>1</v>
      </c>
      <c r="T1764" t="b">
        <v>0</v>
      </c>
      <c r="U1764" t="s">
        <v>71</v>
      </c>
      <c r="V1764">
        <v>4</v>
      </c>
    </row>
    <row r="1765" spans="1:22" x14ac:dyDescent="0.25">
      <c r="A1765" t="s">
        <v>4024</v>
      </c>
      <c r="B1765" s="1">
        <v>44503</v>
      </c>
      <c r="C1765" t="s">
        <v>4025</v>
      </c>
      <c r="D1765" t="s">
        <v>705</v>
      </c>
      <c r="E1765">
        <v>29</v>
      </c>
      <c r="F1765" t="str">
        <f>IF(Table1[[#This Row],[age]]&lt;=25,"18-25",IF(Table1[[#This Row],[age]]&lt;=35,"26-35",IF(Table1[[#This Row],[age]]&lt;=50,"36-50","51+")))</f>
        <v>26-35</v>
      </c>
      <c r="G1765" t="s">
        <v>24</v>
      </c>
      <c r="H1765" t="s">
        <v>61</v>
      </c>
      <c r="I1765" t="s">
        <v>91</v>
      </c>
      <c r="J1765" t="s">
        <v>27</v>
      </c>
      <c r="K1765" t="s">
        <v>128</v>
      </c>
      <c r="L1765">
        <v>1</v>
      </c>
      <c r="M1765">
        <v>1351.86</v>
      </c>
      <c r="N1765">
        <v>0.02</v>
      </c>
      <c r="O1765">
        <v>984.4</v>
      </c>
      <c r="P1765">
        <v>308.39</v>
      </c>
      <c r="Q1765">
        <v>59.52</v>
      </c>
      <c r="R1765" t="s">
        <v>57</v>
      </c>
      <c r="S1765">
        <v>4</v>
      </c>
      <c r="T1765" t="b">
        <v>0</v>
      </c>
      <c r="U1765" t="s">
        <v>30</v>
      </c>
      <c r="V1765">
        <v>8</v>
      </c>
    </row>
    <row r="1766" spans="1:22" x14ac:dyDescent="0.25">
      <c r="A1766" t="s">
        <v>4026</v>
      </c>
      <c r="B1766" s="1">
        <v>44435</v>
      </c>
      <c r="C1766" t="s">
        <v>4027</v>
      </c>
      <c r="D1766" t="s">
        <v>60</v>
      </c>
      <c r="E1766">
        <v>24</v>
      </c>
      <c r="F1766" t="str">
        <f>IF(Table1[[#This Row],[age]]&lt;=25,"18-25",IF(Table1[[#This Row],[age]]&lt;=35,"26-35",IF(Table1[[#This Row],[age]]&lt;=50,"36-50","51+")))</f>
        <v>18-25</v>
      </c>
      <c r="G1766" t="s">
        <v>24</v>
      </c>
      <c r="H1766" t="s">
        <v>25</v>
      </c>
      <c r="I1766" t="s">
        <v>35</v>
      </c>
      <c r="J1766" t="s">
        <v>101</v>
      </c>
      <c r="K1766" t="s">
        <v>164</v>
      </c>
      <c r="L1766">
        <v>3</v>
      </c>
      <c r="M1766">
        <v>13785.98</v>
      </c>
      <c r="N1766">
        <v>0.06</v>
      </c>
      <c r="O1766">
        <v>45600.79</v>
      </c>
      <c r="P1766">
        <v>9994.7800000000007</v>
      </c>
      <c r="Q1766">
        <v>77.7</v>
      </c>
      <c r="R1766" t="s">
        <v>49</v>
      </c>
      <c r="S1766">
        <v>5</v>
      </c>
      <c r="T1766" t="b">
        <v>0</v>
      </c>
      <c r="U1766" t="s">
        <v>30</v>
      </c>
      <c r="V1766">
        <v>8</v>
      </c>
    </row>
    <row r="1767" spans="1:22" x14ac:dyDescent="0.25">
      <c r="A1767" t="s">
        <v>4028</v>
      </c>
      <c r="B1767" s="1">
        <v>44874</v>
      </c>
      <c r="C1767" t="s">
        <v>4029</v>
      </c>
      <c r="D1767" t="s">
        <v>977</v>
      </c>
      <c r="E1767">
        <v>43</v>
      </c>
      <c r="F1767" t="str">
        <f>IF(Table1[[#This Row],[age]]&lt;=25,"18-25",IF(Table1[[#This Row],[age]]&lt;=35,"26-35",IF(Table1[[#This Row],[age]]&lt;=50,"36-50","51+")))</f>
        <v>36-50</v>
      </c>
      <c r="G1767" t="s">
        <v>34</v>
      </c>
      <c r="H1767" t="s">
        <v>55</v>
      </c>
      <c r="I1767" t="s">
        <v>56</v>
      </c>
      <c r="J1767" t="s">
        <v>47</v>
      </c>
      <c r="K1767" t="s">
        <v>272</v>
      </c>
      <c r="L1767">
        <v>6</v>
      </c>
      <c r="M1767">
        <v>1444.95</v>
      </c>
      <c r="N1767">
        <v>0.19</v>
      </c>
      <c r="O1767">
        <v>6041.34</v>
      </c>
      <c r="P1767">
        <v>2352.1999999999998</v>
      </c>
      <c r="Q1767">
        <v>58.8</v>
      </c>
      <c r="R1767" t="s">
        <v>65</v>
      </c>
      <c r="S1767">
        <v>3</v>
      </c>
      <c r="T1767" t="b">
        <v>0</v>
      </c>
      <c r="U1767" t="s">
        <v>30</v>
      </c>
      <c r="V1767">
        <v>4</v>
      </c>
    </row>
    <row r="1768" spans="1:22" x14ac:dyDescent="0.25">
      <c r="A1768" t="s">
        <v>4030</v>
      </c>
      <c r="B1768" s="1">
        <v>44119</v>
      </c>
      <c r="C1768" t="s">
        <v>4031</v>
      </c>
      <c r="D1768" t="s">
        <v>397</v>
      </c>
      <c r="E1768">
        <v>30</v>
      </c>
      <c r="F1768" t="str">
        <f>IF(Table1[[#This Row],[age]]&lt;=25,"18-25",IF(Table1[[#This Row],[age]]&lt;=35,"26-35",IF(Table1[[#This Row],[age]]&lt;=50,"36-50","51+")))</f>
        <v>26-35</v>
      </c>
      <c r="G1768" t="s">
        <v>24</v>
      </c>
      <c r="H1768" t="s">
        <v>69</v>
      </c>
      <c r="I1768" t="s">
        <v>136</v>
      </c>
      <c r="J1768" t="s">
        <v>101</v>
      </c>
      <c r="K1768" t="s">
        <v>102</v>
      </c>
      <c r="L1768">
        <v>7</v>
      </c>
      <c r="M1768">
        <v>14669.86</v>
      </c>
      <c r="N1768">
        <v>0.03</v>
      </c>
      <c r="O1768">
        <v>88163.95</v>
      </c>
      <c r="P1768">
        <v>19639.12</v>
      </c>
      <c r="Q1768">
        <v>61</v>
      </c>
      <c r="R1768" t="s">
        <v>43</v>
      </c>
      <c r="S1768">
        <v>5</v>
      </c>
      <c r="T1768" t="b">
        <v>0</v>
      </c>
      <c r="U1768" t="s">
        <v>30</v>
      </c>
      <c r="V1768">
        <v>2</v>
      </c>
    </row>
    <row r="1769" spans="1:22" x14ac:dyDescent="0.25">
      <c r="A1769" t="s">
        <v>4032</v>
      </c>
      <c r="B1769" s="1">
        <v>44032</v>
      </c>
      <c r="C1769" t="s">
        <v>4033</v>
      </c>
      <c r="D1769" t="s">
        <v>324</v>
      </c>
      <c r="E1769">
        <v>39</v>
      </c>
      <c r="F1769" t="str">
        <f>IF(Table1[[#This Row],[age]]&lt;=25,"18-25",IF(Table1[[#This Row],[age]]&lt;=35,"26-35",IF(Table1[[#This Row],[age]]&lt;=50,"36-50","51+")))</f>
        <v>36-50</v>
      </c>
      <c r="G1769" t="s">
        <v>24</v>
      </c>
      <c r="H1769" t="s">
        <v>25</v>
      </c>
      <c r="I1769" t="s">
        <v>298</v>
      </c>
      <c r="J1769" t="s">
        <v>47</v>
      </c>
      <c r="K1769" t="s">
        <v>120</v>
      </c>
      <c r="L1769">
        <v>6</v>
      </c>
      <c r="M1769">
        <v>214.61</v>
      </c>
      <c r="N1769">
        <v>0.1</v>
      </c>
      <c r="O1769">
        <v>1705.11</v>
      </c>
      <c r="P1769">
        <v>803.75</v>
      </c>
      <c r="Q1769">
        <v>59.79</v>
      </c>
      <c r="R1769" t="s">
        <v>92</v>
      </c>
      <c r="S1769">
        <v>1</v>
      </c>
      <c r="T1769" t="b">
        <v>1</v>
      </c>
      <c r="U1769" t="s">
        <v>50</v>
      </c>
      <c r="V1769">
        <v>5</v>
      </c>
    </row>
    <row r="1770" spans="1:22" x14ac:dyDescent="0.25">
      <c r="A1770" t="s">
        <v>4034</v>
      </c>
      <c r="B1770" s="1">
        <v>44727</v>
      </c>
      <c r="C1770" t="s">
        <v>4035</v>
      </c>
      <c r="D1770" t="s">
        <v>737</v>
      </c>
      <c r="E1770">
        <v>45</v>
      </c>
      <c r="F1770" t="str">
        <f>IF(Table1[[#This Row],[age]]&lt;=25,"18-25",IF(Table1[[#This Row],[age]]&lt;=35,"26-35",IF(Table1[[#This Row],[age]]&lt;=50,"36-50","51+")))</f>
        <v>36-50</v>
      </c>
      <c r="G1770" t="s">
        <v>24</v>
      </c>
      <c r="H1770" t="s">
        <v>69</v>
      </c>
      <c r="I1770" t="s">
        <v>181</v>
      </c>
      <c r="J1770" t="s">
        <v>63</v>
      </c>
      <c r="K1770" t="s">
        <v>434</v>
      </c>
      <c r="L1770">
        <v>3</v>
      </c>
      <c r="M1770">
        <v>3907.45</v>
      </c>
      <c r="N1770">
        <v>7.0000000000000007E-2</v>
      </c>
      <c r="O1770">
        <v>16325.84</v>
      </c>
      <c r="P1770">
        <v>7720.27</v>
      </c>
      <c r="Q1770">
        <v>94.28</v>
      </c>
      <c r="R1770" t="s">
        <v>43</v>
      </c>
      <c r="S1770">
        <v>4</v>
      </c>
      <c r="T1770" t="b">
        <v>0</v>
      </c>
      <c r="U1770" t="s">
        <v>30</v>
      </c>
      <c r="V1770">
        <v>5</v>
      </c>
    </row>
    <row r="1771" spans="1:22" x14ac:dyDescent="0.25">
      <c r="A1771" t="s">
        <v>4036</v>
      </c>
      <c r="B1771" s="1">
        <v>44423</v>
      </c>
      <c r="C1771" t="s">
        <v>4037</v>
      </c>
      <c r="D1771" t="s">
        <v>2514</v>
      </c>
      <c r="E1771">
        <v>31</v>
      </c>
      <c r="F1771" t="str">
        <f>IF(Table1[[#This Row],[age]]&lt;=25,"18-25",IF(Table1[[#This Row],[age]]&lt;=35,"26-35",IF(Table1[[#This Row],[age]]&lt;=50,"36-50","51+")))</f>
        <v>26-35</v>
      </c>
      <c r="G1771" t="s">
        <v>34</v>
      </c>
      <c r="H1771" t="s">
        <v>69</v>
      </c>
      <c r="I1771" t="s">
        <v>136</v>
      </c>
      <c r="J1771" t="s">
        <v>106</v>
      </c>
      <c r="K1771" t="s">
        <v>188</v>
      </c>
      <c r="L1771">
        <v>1</v>
      </c>
      <c r="M1771">
        <v>446.2</v>
      </c>
      <c r="N1771">
        <v>0.12</v>
      </c>
      <c r="O1771">
        <v>424.33</v>
      </c>
      <c r="P1771">
        <v>36.33</v>
      </c>
      <c r="Q1771">
        <v>85.34</v>
      </c>
      <c r="R1771" t="s">
        <v>49</v>
      </c>
      <c r="S1771">
        <v>4</v>
      </c>
      <c r="T1771" t="b">
        <v>0</v>
      </c>
      <c r="U1771" t="s">
        <v>30</v>
      </c>
      <c r="V1771">
        <v>7</v>
      </c>
    </row>
    <row r="1772" spans="1:22" x14ac:dyDescent="0.25">
      <c r="A1772" t="s">
        <v>4038</v>
      </c>
      <c r="B1772" s="1">
        <v>45293</v>
      </c>
      <c r="C1772" t="s">
        <v>4039</v>
      </c>
      <c r="D1772" t="s">
        <v>2500</v>
      </c>
      <c r="E1772">
        <v>44</v>
      </c>
      <c r="F1772" t="str">
        <f>IF(Table1[[#This Row],[age]]&lt;=25,"18-25",IF(Table1[[#This Row],[age]]&lt;=35,"26-35",IF(Table1[[#This Row],[age]]&lt;=50,"36-50","51+")))</f>
        <v>36-50</v>
      </c>
      <c r="G1772" t="s">
        <v>34</v>
      </c>
      <c r="H1772" t="s">
        <v>80</v>
      </c>
      <c r="I1772" t="s">
        <v>86</v>
      </c>
      <c r="J1772" t="s">
        <v>101</v>
      </c>
      <c r="K1772" t="s">
        <v>214</v>
      </c>
      <c r="L1772">
        <v>2</v>
      </c>
      <c r="M1772">
        <v>2101.38</v>
      </c>
      <c r="N1772">
        <v>0.37</v>
      </c>
      <c r="O1772">
        <v>2358.4299999999998</v>
      </c>
      <c r="P1772">
        <v>543.20000000000005</v>
      </c>
      <c r="Q1772">
        <v>90.14</v>
      </c>
      <c r="R1772" t="s">
        <v>57</v>
      </c>
      <c r="S1772">
        <v>1</v>
      </c>
      <c r="T1772" t="b">
        <v>1</v>
      </c>
      <c r="U1772" t="s">
        <v>50</v>
      </c>
      <c r="V1772">
        <v>6</v>
      </c>
    </row>
    <row r="1773" spans="1:22" x14ac:dyDescent="0.25">
      <c r="A1773" t="s">
        <v>4040</v>
      </c>
      <c r="B1773" s="1">
        <v>44204</v>
      </c>
      <c r="C1773" t="s">
        <v>4041</v>
      </c>
      <c r="D1773" t="s">
        <v>310</v>
      </c>
      <c r="E1773">
        <v>29</v>
      </c>
      <c r="F1773" t="str">
        <f>IF(Table1[[#This Row],[age]]&lt;=25,"18-25",IF(Table1[[#This Row],[age]]&lt;=35,"26-35",IF(Table1[[#This Row],[age]]&lt;=50,"36-50","51+")))</f>
        <v>26-35</v>
      </c>
      <c r="G1773" t="s">
        <v>54</v>
      </c>
      <c r="H1773" t="s">
        <v>61</v>
      </c>
      <c r="I1773" t="s">
        <v>62</v>
      </c>
      <c r="J1773" t="s">
        <v>36</v>
      </c>
      <c r="K1773" t="s">
        <v>132</v>
      </c>
      <c r="L1773">
        <v>3</v>
      </c>
      <c r="M1773">
        <v>6110.59</v>
      </c>
      <c r="N1773">
        <v>0.37</v>
      </c>
      <c r="O1773">
        <v>8446.52</v>
      </c>
      <c r="P1773">
        <v>2197.3000000000002</v>
      </c>
      <c r="Q1773">
        <v>23.22</v>
      </c>
      <c r="R1773" t="s">
        <v>92</v>
      </c>
      <c r="S1773">
        <v>3</v>
      </c>
      <c r="T1773" t="b">
        <v>0</v>
      </c>
      <c r="U1773" t="s">
        <v>30</v>
      </c>
      <c r="V1773">
        <v>9</v>
      </c>
    </row>
    <row r="1774" spans="1:22" x14ac:dyDescent="0.25">
      <c r="A1774" t="s">
        <v>4042</v>
      </c>
      <c r="B1774" s="1">
        <v>43965</v>
      </c>
      <c r="C1774" t="s">
        <v>4043</v>
      </c>
      <c r="D1774" t="s">
        <v>317</v>
      </c>
      <c r="E1774">
        <v>27</v>
      </c>
      <c r="F1774" t="str">
        <f>IF(Table1[[#This Row],[age]]&lt;=25,"18-25",IF(Table1[[#This Row],[age]]&lt;=35,"26-35",IF(Table1[[#This Row],[age]]&lt;=50,"36-50","51+")))</f>
        <v>26-35</v>
      </c>
      <c r="G1774" t="s">
        <v>54</v>
      </c>
      <c r="H1774" t="s">
        <v>61</v>
      </c>
      <c r="I1774" t="s">
        <v>91</v>
      </c>
      <c r="J1774" t="s">
        <v>47</v>
      </c>
      <c r="K1774" t="s">
        <v>272</v>
      </c>
      <c r="L1774">
        <v>1</v>
      </c>
      <c r="M1774">
        <v>255.93</v>
      </c>
      <c r="N1774">
        <v>0.37</v>
      </c>
      <c r="O1774">
        <v>191.35</v>
      </c>
      <c r="P1774">
        <v>73.83</v>
      </c>
      <c r="Q1774">
        <v>46.7</v>
      </c>
      <c r="R1774" t="s">
        <v>49</v>
      </c>
      <c r="S1774">
        <v>5</v>
      </c>
      <c r="T1774" t="b">
        <v>0</v>
      </c>
      <c r="U1774" t="s">
        <v>71</v>
      </c>
      <c r="V1774">
        <v>10</v>
      </c>
    </row>
    <row r="1775" spans="1:22" x14ac:dyDescent="0.25">
      <c r="A1775" t="s">
        <v>4044</v>
      </c>
      <c r="B1775" s="1">
        <v>45245</v>
      </c>
      <c r="C1775" t="s">
        <v>4045</v>
      </c>
      <c r="D1775" t="s">
        <v>1303</v>
      </c>
      <c r="E1775">
        <v>38</v>
      </c>
      <c r="F1775" t="str">
        <f>IF(Table1[[#This Row],[age]]&lt;=25,"18-25",IF(Table1[[#This Row],[age]]&lt;=35,"26-35",IF(Table1[[#This Row],[age]]&lt;=50,"36-50","51+")))</f>
        <v>36-50</v>
      </c>
      <c r="G1775" t="s">
        <v>54</v>
      </c>
      <c r="H1775" t="s">
        <v>61</v>
      </c>
      <c r="I1775" t="s">
        <v>91</v>
      </c>
      <c r="J1775" t="s">
        <v>36</v>
      </c>
      <c r="K1775" t="s">
        <v>76</v>
      </c>
      <c r="L1775">
        <v>5</v>
      </c>
      <c r="M1775">
        <v>10929.41</v>
      </c>
      <c r="N1775">
        <v>0.11</v>
      </c>
      <c r="O1775">
        <v>46559.15</v>
      </c>
      <c r="P1775">
        <v>13560.07</v>
      </c>
      <c r="Q1775">
        <v>34.1</v>
      </c>
      <c r="R1775" t="s">
        <v>65</v>
      </c>
      <c r="S1775">
        <v>4</v>
      </c>
      <c r="T1775" t="b">
        <v>0</v>
      </c>
      <c r="U1775" t="s">
        <v>71</v>
      </c>
      <c r="V1775">
        <v>10</v>
      </c>
    </row>
    <row r="1776" spans="1:22" x14ac:dyDescent="0.25">
      <c r="A1776" t="s">
        <v>4046</v>
      </c>
      <c r="B1776" s="1">
        <v>45593</v>
      </c>
      <c r="C1776" t="s">
        <v>4047</v>
      </c>
      <c r="D1776" t="s">
        <v>301</v>
      </c>
      <c r="E1776">
        <v>19</v>
      </c>
      <c r="F1776" t="str">
        <f>IF(Table1[[#This Row],[age]]&lt;=25,"18-25",IF(Table1[[#This Row],[age]]&lt;=35,"26-35",IF(Table1[[#This Row],[age]]&lt;=50,"36-50","51+")))</f>
        <v>18-25</v>
      </c>
      <c r="G1776" t="s">
        <v>54</v>
      </c>
      <c r="H1776" t="s">
        <v>69</v>
      </c>
      <c r="I1776" t="s">
        <v>136</v>
      </c>
      <c r="J1776" t="s">
        <v>27</v>
      </c>
      <c r="K1776" t="s">
        <v>128</v>
      </c>
      <c r="L1776">
        <v>4</v>
      </c>
      <c r="M1776">
        <v>2333</v>
      </c>
      <c r="N1776">
        <v>0.37</v>
      </c>
      <c r="O1776">
        <v>6101.49</v>
      </c>
      <c r="P1776">
        <v>1874.65</v>
      </c>
      <c r="Q1776">
        <v>119.62</v>
      </c>
      <c r="R1776" t="s">
        <v>57</v>
      </c>
      <c r="S1776">
        <v>3</v>
      </c>
      <c r="T1776" t="b">
        <v>0</v>
      </c>
      <c r="U1776" t="s">
        <v>30</v>
      </c>
      <c r="V1776">
        <v>3</v>
      </c>
    </row>
    <row r="1777" spans="1:22" x14ac:dyDescent="0.25">
      <c r="A1777" t="s">
        <v>4048</v>
      </c>
      <c r="B1777" s="1">
        <v>45565</v>
      </c>
      <c r="C1777" t="s">
        <v>4049</v>
      </c>
      <c r="D1777" t="s">
        <v>3701</v>
      </c>
      <c r="E1777">
        <v>18</v>
      </c>
      <c r="F1777" t="str">
        <f>IF(Table1[[#This Row],[age]]&lt;=25,"18-25",IF(Table1[[#This Row],[age]]&lt;=35,"26-35",IF(Table1[[#This Row],[age]]&lt;=50,"36-50","51+")))</f>
        <v>18-25</v>
      </c>
      <c r="G1777" t="s">
        <v>24</v>
      </c>
      <c r="H1777" t="s">
        <v>80</v>
      </c>
      <c r="I1777" t="s">
        <v>236</v>
      </c>
      <c r="J1777" t="s">
        <v>106</v>
      </c>
      <c r="K1777" t="s">
        <v>718</v>
      </c>
      <c r="L1777">
        <v>4</v>
      </c>
      <c r="M1777">
        <v>497.25</v>
      </c>
      <c r="N1777">
        <v>0.32</v>
      </c>
      <c r="O1777">
        <v>1775.14</v>
      </c>
      <c r="P1777">
        <v>168.64</v>
      </c>
      <c r="Q1777">
        <v>81.5</v>
      </c>
      <c r="R1777" t="s">
        <v>57</v>
      </c>
      <c r="S1777">
        <v>1</v>
      </c>
      <c r="T1777" t="b">
        <v>0</v>
      </c>
      <c r="U1777" t="s">
        <v>193</v>
      </c>
      <c r="V1777">
        <v>3</v>
      </c>
    </row>
    <row r="1778" spans="1:22" x14ac:dyDescent="0.25">
      <c r="A1778" t="s">
        <v>4050</v>
      </c>
      <c r="B1778" s="1">
        <v>44381</v>
      </c>
      <c r="C1778" t="s">
        <v>4051</v>
      </c>
      <c r="D1778" t="s">
        <v>2034</v>
      </c>
      <c r="E1778">
        <v>40</v>
      </c>
      <c r="F1778" t="str">
        <f>IF(Table1[[#This Row],[age]]&lt;=25,"18-25",IF(Table1[[#This Row],[age]]&lt;=35,"26-35",IF(Table1[[#This Row],[age]]&lt;=50,"36-50","51+")))</f>
        <v>36-50</v>
      </c>
      <c r="G1778" t="s">
        <v>24</v>
      </c>
      <c r="H1778" t="s">
        <v>61</v>
      </c>
      <c r="I1778" t="s">
        <v>62</v>
      </c>
      <c r="J1778" t="s">
        <v>27</v>
      </c>
      <c r="K1778" t="s">
        <v>335</v>
      </c>
      <c r="L1778">
        <v>2</v>
      </c>
      <c r="M1778">
        <v>2060.77</v>
      </c>
      <c r="N1778">
        <v>0.24</v>
      </c>
      <c r="O1778">
        <v>3603.29</v>
      </c>
      <c r="P1778">
        <v>1268.67</v>
      </c>
      <c r="Q1778">
        <v>69.45</v>
      </c>
      <c r="R1778" t="s">
        <v>43</v>
      </c>
      <c r="S1778">
        <v>2</v>
      </c>
      <c r="T1778" t="b">
        <v>0</v>
      </c>
      <c r="U1778" t="s">
        <v>30</v>
      </c>
      <c r="V1778">
        <v>2</v>
      </c>
    </row>
    <row r="1779" spans="1:22" x14ac:dyDescent="0.25">
      <c r="A1779" t="s">
        <v>4052</v>
      </c>
      <c r="B1779" s="1">
        <v>45215</v>
      </c>
      <c r="C1779" t="s">
        <v>4053</v>
      </c>
      <c r="D1779" t="s">
        <v>2432</v>
      </c>
      <c r="E1779">
        <v>61</v>
      </c>
      <c r="F1779" t="str">
        <f>IF(Table1[[#This Row],[age]]&lt;=25,"18-25",IF(Table1[[#This Row],[age]]&lt;=35,"26-35",IF(Table1[[#This Row],[age]]&lt;=50,"36-50","51+")))</f>
        <v>51+</v>
      </c>
      <c r="G1779" t="s">
        <v>54</v>
      </c>
      <c r="H1779" t="s">
        <v>25</v>
      </c>
      <c r="I1779" t="s">
        <v>298</v>
      </c>
      <c r="J1779" t="s">
        <v>27</v>
      </c>
      <c r="K1779" t="s">
        <v>480</v>
      </c>
      <c r="L1779">
        <v>8</v>
      </c>
      <c r="M1779">
        <v>1354.9</v>
      </c>
      <c r="N1779">
        <v>0.31</v>
      </c>
      <c r="O1779">
        <v>8717.93</v>
      </c>
      <c r="P1779">
        <v>4918.95</v>
      </c>
      <c r="Q1779">
        <v>41.01</v>
      </c>
      <c r="R1779" t="s">
        <v>65</v>
      </c>
      <c r="S1779">
        <v>3</v>
      </c>
      <c r="T1779" t="b">
        <v>0</v>
      </c>
      <c r="U1779" t="s">
        <v>30</v>
      </c>
      <c r="V1779">
        <v>1</v>
      </c>
    </row>
    <row r="1780" spans="1:22" x14ac:dyDescent="0.25">
      <c r="A1780" t="s">
        <v>4054</v>
      </c>
      <c r="B1780" s="1">
        <v>45325</v>
      </c>
      <c r="C1780" t="s">
        <v>4055</v>
      </c>
      <c r="D1780" t="s">
        <v>187</v>
      </c>
      <c r="E1780">
        <v>48</v>
      </c>
      <c r="F1780" t="str">
        <f>IF(Table1[[#This Row],[age]]&lt;=25,"18-25",IF(Table1[[#This Row],[age]]&lt;=35,"26-35",IF(Table1[[#This Row],[age]]&lt;=50,"36-50","51+")))</f>
        <v>36-50</v>
      </c>
      <c r="G1780" t="s">
        <v>24</v>
      </c>
      <c r="H1780" t="s">
        <v>61</v>
      </c>
      <c r="I1780" t="s">
        <v>163</v>
      </c>
      <c r="J1780" t="s">
        <v>36</v>
      </c>
      <c r="K1780" t="s">
        <v>230</v>
      </c>
      <c r="L1780">
        <v>7</v>
      </c>
      <c r="M1780">
        <v>34101.69</v>
      </c>
      <c r="N1780">
        <v>0.16</v>
      </c>
      <c r="O1780">
        <v>221777.76</v>
      </c>
      <c r="P1780">
        <v>50413.18</v>
      </c>
      <c r="Q1780">
        <v>63.76</v>
      </c>
      <c r="R1780" t="s">
        <v>57</v>
      </c>
      <c r="S1780">
        <v>1</v>
      </c>
      <c r="T1780" t="b">
        <v>0</v>
      </c>
      <c r="U1780" t="s">
        <v>30</v>
      </c>
      <c r="V1780">
        <v>5</v>
      </c>
    </row>
    <row r="1781" spans="1:22" x14ac:dyDescent="0.25">
      <c r="A1781" t="s">
        <v>4056</v>
      </c>
      <c r="B1781" s="1">
        <v>44663</v>
      </c>
      <c r="C1781" t="s">
        <v>4057</v>
      </c>
      <c r="D1781" t="s">
        <v>33</v>
      </c>
      <c r="E1781">
        <v>39</v>
      </c>
      <c r="F1781" t="str">
        <f>IF(Table1[[#This Row],[age]]&lt;=25,"18-25",IF(Table1[[#This Row],[age]]&lt;=35,"26-35",IF(Table1[[#This Row],[age]]&lt;=50,"36-50","51+")))</f>
        <v>36-50</v>
      </c>
      <c r="G1781" t="s">
        <v>34</v>
      </c>
      <c r="H1781" t="s">
        <v>25</v>
      </c>
      <c r="I1781" t="s">
        <v>298</v>
      </c>
      <c r="J1781" t="s">
        <v>101</v>
      </c>
      <c r="K1781" t="s">
        <v>318</v>
      </c>
      <c r="L1781">
        <v>3</v>
      </c>
      <c r="M1781">
        <v>3135.03</v>
      </c>
      <c r="N1781">
        <v>0.09</v>
      </c>
      <c r="O1781">
        <v>11451.49</v>
      </c>
      <c r="P1781">
        <v>2694.43</v>
      </c>
      <c r="Q1781">
        <v>82.19</v>
      </c>
      <c r="R1781" t="s">
        <v>29</v>
      </c>
      <c r="S1781">
        <v>1</v>
      </c>
      <c r="T1781" t="b">
        <v>1</v>
      </c>
      <c r="U1781" t="s">
        <v>50</v>
      </c>
      <c r="V1781">
        <v>3</v>
      </c>
    </row>
    <row r="1782" spans="1:22" x14ac:dyDescent="0.25">
      <c r="A1782" t="s">
        <v>4058</v>
      </c>
      <c r="B1782" s="1">
        <v>45142</v>
      </c>
      <c r="C1782" t="s">
        <v>4059</v>
      </c>
      <c r="D1782" t="s">
        <v>361</v>
      </c>
      <c r="E1782">
        <v>52</v>
      </c>
      <c r="F1782" t="str">
        <f>IF(Table1[[#This Row],[age]]&lt;=25,"18-25",IF(Table1[[#This Row],[age]]&lt;=35,"26-35",IF(Table1[[#This Row],[age]]&lt;=50,"36-50","51+")))</f>
        <v>51+</v>
      </c>
      <c r="G1782" t="s">
        <v>24</v>
      </c>
      <c r="H1782" t="s">
        <v>25</v>
      </c>
      <c r="I1782" t="s">
        <v>26</v>
      </c>
      <c r="J1782" t="s">
        <v>63</v>
      </c>
      <c r="K1782" t="s">
        <v>87</v>
      </c>
      <c r="L1782">
        <v>5</v>
      </c>
      <c r="M1782">
        <v>1505.76</v>
      </c>
      <c r="N1782">
        <v>0.17</v>
      </c>
      <c r="O1782">
        <v>9211.7199999999993</v>
      </c>
      <c r="P1782">
        <v>3763.52</v>
      </c>
      <c r="Q1782">
        <v>52.62</v>
      </c>
      <c r="R1782" t="s">
        <v>49</v>
      </c>
      <c r="S1782">
        <v>3</v>
      </c>
      <c r="T1782" t="b">
        <v>0</v>
      </c>
      <c r="U1782" t="s">
        <v>193</v>
      </c>
      <c r="V1782">
        <v>6</v>
      </c>
    </row>
    <row r="1783" spans="1:22" x14ac:dyDescent="0.25">
      <c r="A1783" t="s">
        <v>4060</v>
      </c>
      <c r="B1783" s="1">
        <v>45111</v>
      </c>
      <c r="C1783" t="s">
        <v>4061</v>
      </c>
      <c r="D1783" t="s">
        <v>990</v>
      </c>
      <c r="E1783">
        <v>60</v>
      </c>
      <c r="F1783" t="str">
        <f>IF(Table1[[#This Row],[age]]&lt;=25,"18-25",IF(Table1[[#This Row],[age]]&lt;=35,"26-35",IF(Table1[[#This Row],[age]]&lt;=50,"36-50","51+")))</f>
        <v>51+</v>
      </c>
      <c r="G1783" t="s">
        <v>54</v>
      </c>
      <c r="H1783" t="s">
        <v>69</v>
      </c>
      <c r="I1783" t="s">
        <v>70</v>
      </c>
      <c r="J1783" t="s">
        <v>106</v>
      </c>
      <c r="K1783" t="s">
        <v>314</v>
      </c>
      <c r="L1783">
        <v>9</v>
      </c>
      <c r="M1783">
        <v>462.67</v>
      </c>
      <c r="N1783">
        <v>0.04</v>
      </c>
      <c r="O1783">
        <v>6520.25</v>
      </c>
      <c r="P1783">
        <v>574.64</v>
      </c>
      <c r="Q1783">
        <v>60.51</v>
      </c>
      <c r="R1783" t="s">
        <v>29</v>
      </c>
      <c r="S1783">
        <v>2</v>
      </c>
      <c r="T1783" t="b">
        <v>0</v>
      </c>
      <c r="U1783" t="s">
        <v>30</v>
      </c>
      <c r="V1783">
        <v>8</v>
      </c>
    </row>
    <row r="1784" spans="1:22" x14ac:dyDescent="0.25">
      <c r="A1784" t="s">
        <v>4062</v>
      </c>
      <c r="B1784" s="1">
        <v>45432</v>
      </c>
      <c r="C1784" t="s">
        <v>4063</v>
      </c>
      <c r="D1784" t="s">
        <v>443</v>
      </c>
      <c r="E1784">
        <v>30</v>
      </c>
      <c r="F1784" t="str">
        <f>IF(Table1[[#This Row],[age]]&lt;=25,"18-25",IF(Table1[[#This Row],[age]]&lt;=35,"26-35",IF(Table1[[#This Row],[age]]&lt;=50,"36-50","51+")))</f>
        <v>26-35</v>
      </c>
      <c r="G1784" t="s">
        <v>34</v>
      </c>
      <c r="H1784" t="s">
        <v>80</v>
      </c>
      <c r="I1784" t="s">
        <v>242</v>
      </c>
      <c r="J1784" t="s">
        <v>63</v>
      </c>
      <c r="K1784" t="s">
        <v>152</v>
      </c>
      <c r="L1784">
        <v>2</v>
      </c>
      <c r="M1784">
        <v>511.88</v>
      </c>
      <c r="N1784">
        <v>0.33</v>
      </c>
      <c r="O1784">
        <v>1034.06</v>
      </c>
      <c r="P1784">
        <v>311.79000000000002</v>
      </c>
      <c r="Q1784">
        <v>75.89</v>
      </c>
      <c r="R1784" t="s">
        <v>92</v>
      </c>
      <c r="S1784">
        <v>1</v>
      </c>
      <c r="T1784" t="b">
        <v>0</v>
      </c>
      <c r="U1784" t="s">
        <v>30</v>
      </c>
      <c r="V1784">
        <v>7</v>
      </c>
    </row>
    <row r="1785" spans="1:22" x14ac:dyDescent="0.25">
      <c r="A1785" t="s">
        <v>4064</v>
      </c>
      <c r="B1785" s="1">
        <v>44384</v>
      </c>
      <c r="C1785" t="s">
        <v>4065</v>
      </c>
      <c r="D1785" t="s">
        <v>1291</v>
      </c>
      <c r="E1785">
        <v>51</v>
      </c>
      <c r="F1785" t="str">
        <f>IF(Table1[[#This Row],[age]]&lt;=25,"18-25",IF(Table1[[#This Row],[age]]&lt;=35,"26-35",IF(Table1[[#This Row],[age]]&lt;=50,"36-50","51+")))</f>
        <v>51+</v>
      </c>
      <c r="G1785" t="s">
        <v>54</v>
      </c>
      <c r="H1785" t="s">
        <v>25</v>
      </c>
      <c r="I1785" t="s">
        <v>26</v>
      </c>
      <c r="J1785" t="s">
        <v>36</v>
      </c>
      <c r="K1785" t="s">
        <v>230</v>
      </c>
      <c r="L1785">
        <v>3</v>
      </c>
      <c r="M1785">
        <v>7678.25</v>
      </c>
      <c r="N1785">
        <v>0.06</v>
      </c>
      <c r="O1785">
        <v>32400.33</v>
      </c>
      <c r="P1785">
        <v>9162.5400000000009</v>
      </c>
      <c r="Q1785">
        <v>49.32</v>
      </c>
      <c r="R1785" t="s">
        <v>57</v>
      </c>
      <c r="S1785">
        <v>3</v>
      </c>
      <c r="T1785" t="b">
        <v>0</v>
      </c>
      <c r="U1785" t="s">
        <v>193</v>
      </c>
      <c r="V1785">
        <v>4</v>
      </c>
    </row>
    <row r="1786" spans="1:22" x14ac:dyDescent="0.25">
      <c r="A1786" t="s">
        <v>4066</v>
      </c>
      <c r="B1786" s="1">
        <v>44862</v>
      </c>
      <c r="C1786" t="s">
        <v>4067</v>
      </c>
      <c r="D1786" t="s">
        <v>110</v>
      </c>
      <c r="E1786">
        <v>27</v>
      </c>
      <c r="F1786" t="str">
        <f>IF(Table1[[#This Row],[age]]&lt;=25,"18-25",IF(Table1[[#This Row],[age]]&lt;=35,"26-35",IF(Table1[[#This Row],[age]]&lt;=50,"36-50","51+")))</f>
        <v>26-35</v>
      </c>
      <c r="G1786" t="s">
        <v>34</v>
      </c>
      <c r="H1786" t="s">
        <v>25</v>
      </c>
      <c r="I1786" t="s">
        <v>26</v>
      </c>
      <c r="J1786" t="s">
        <v>106</v>
      </c>
      <c r="K1786" t="s">
        <v>107</v>
      </c>
      <c r="L1786">
        <v>5</v>
      </c>
      <c r="M1786">
        <v>69.84</v>
      </c>
      <c r="N1786">
        <v>0.3</v>
      </c>
      <c r="O1786">
        <v>256.11</v>
      </c>
      <c r="P1786">
        <v>21.93</v>
      </c>
      <c r="Q1786">
        <v>48.03</v>
      </c>
      <c r="R1786" t="s">
        <v>29</v>
      </c>
      <c r="S1786">
        <v>1</v>
      </c>
      <c r="T1786" t="b">
        <v>0</v>
      </c>
      <c r="U1786" t="s">
        <v>30</v>
      </c>
      <c r="V1786">
        <v>5</v>
      </c>
    </row>
    <row r="1787" spans="1:22" x14ac:dyDescent="0.25">
      <c r="A1787" t="s">
        <v>4068</v>
      </c>
      <c r="B1787" s="1">
        <v>43864</v>
      </c>
      <c r="C1787" t="s">
        <v>4069</v>
      </c>
      <c r="D1787" t="s">
        <v>1430</v>
      </c>
      <c r="E1787">
        <v>48</v>
      </c>
      <c r="F1787" t="str">
        <f>IF(Table1[[#This Row],[age]]&lt;=25,"18-25",IF(Table1[[#This Row],[age]]&lt;=35,"26-35",IF(Table1[[#This Row],[age]]&lt;=50,"36-50","51+")))</f>
        <v>36-50</v>
      </c>
      <c r="G1787" t="s">
        <v>34</v>
      </c>
      <c r="H1787" t="s">
        <v>69</v>
      </c>
      <c r="I1787" t="s">
        <v>70</v>
      </c>
      <c r="J1787" t="s">
        <v>101</v>
      </c>
      <c r="K1787" t="s">
        <v>102</v>
      </c>
      <c r="L1787">
        <v>2</v>
      </c>
      <c r="M1787">
        <v>4104.3100000000004</v>
      </c>
      <c r="N1787">
        <v>0.08</v>
      </c>
      <c r="O1787">
        <v>5892.6</v>
      </c>
      <c r="P1787">
        <v>1384.77</v>
      </c>
      <c r="Q1787">
        <v>72.459999999999994</v>
      </c>
      <c r="R1787" t="s">
        <v>43</v>
      </c>
      <c r="S1787">
        <v>1</v>
      </c>
      <c r="T1787" t="b">
        <v>0</v>
      </c>
      <c r="U1787" t="s">
        <v>30</v>
      </c>
      <c r="V1787">
        <v>6</v>
      </c>
    </row>
    <row r="1788" spans="1:22" x14ac:dyDescent="0.25">
      <c r="A1788" t="s">
        <v>4070</v>
      </c>
      <c r="B1788" s="1">
        <v>45058</v>
      </c>
      <c r="C1788" t="s">
        <v>4071</v>
      </c>
      <c r="D1788" t="s">
        <v>895</v>
      </c>
      <c r="E1788">
        <v>41</v>
      </c>
      <c r="F1788" t="str">
        <f>IF(Table1[[#This Row],[age]]&lt;=25,"18-25",IF(Table1[[#This Row],[age]]&lt;=35,"26-35",IF(Table1[[#This Row],[age]]&lt;=50,"36-50","51+")))</f>
        <v>36-50</v>
      </c>
      <c r="G1788" t="s">
        <v>34</v>
      </c>
      <c r="H1788" t="s">
        <v>61</v>
      </c>
      <c r="I1788" t="s">
        <v>91</v>
      </c>
      <c r="J1788" t="s">
        <v>63</v>
      </c>
      <c r="K1788" t="s">
        <v>87</v>
      </c>
      <c r="L1788">
        <v>6</v>
      </c>
      <c r="M1788">
        <v>1809.68</v>
      </c>
      <c r="N1788">
        <v>0.31</v>
      </c>
      <c r="O1788">
        <v>12448.65</v>
      </c>
      <c r="P1788">
        <v>4684.8500000000004</v>
      </c>
      <c r="Q1788">
        <v>37.159999999999997</v>
      </c>
      <c r="R1788" t="s">
        <v>49</v>
      </c>
      <c r="S1788">
        <v>1</v>
      </c>
      <c r="T1788" t="b">
        <v>0</v>
      </c>
      <c r="U1788" t="s">
        <v>30</v>
      </c>
      <c r="V1788">
        <v>4</v>
      </c>
    </row>
    <row r="1789" spans="1:22" x14ac:dyDescent="0.25">
      <c r="A1789" t="s">
        <v>4072</v>
      </c>
      <c r="B1789" s="1">
        <v>45274</v>
      </c>
      <c r="C1789" t="s">
        <v>4073</v>
      </c>
      <c r="D1789" t="s">
        <v>2262</v>
      </c>
      <c r="E1789">
        <v>34</v>
      </c>
      <c r="F1789" t="str">
        <f>IF(Table1[[#This Row],[age]]&lt;=25,"18-25",IF(Table1[[#This Row],[age]]&lt;=35,"26-35",IF(Table1[[#This Row],[age]]&lt;=50,"36-50","51+")))</f>
        <v>26-35</v>
      </c>
      <c r="G1789" t="s">
        <v>24</v>
      </c>
      <c r="H1789" t="s">
        <v>80</v>
      </c>
      <c r="I1789" t="s">
        <v>81</v>
      </c>
      <c r="J1789" t="s">
        <v>63</v>
      </c>
      <c r="K1789" t="s">
        <v>111</v>
      </c>
      <c r="L1789">
        <v>5</v>
      </c>
      <c r="M1789">
        <v>416.65</v>
      </c>
      <c r="N1789">
        <v>0.01</v>
      </c>
      <c r="O1789">
        <v>1999.94</v>
      </c>
      <c r="P1789">
        <v>825.09</v>
      </c>
      <c r="Q1789">
        <v>59.89</v>
      </c>
      <c r="R1789" t="s">
        <v>43</v>
      </c>
      <c r="S1789">
        <v>5</v>
      </c>
      <c r="T1789" t="b">
        <v>0</v>
      </c>
      <c r="U1789" t="s">
        <v>30</v>
      </c>
      <c r="V1789">
        <v>5</v>
      </c>
    </row>
    <row r="1790" spans="1:22" x14ac:dyDescent="0.25">
      <c r="A1790" t="s">
        <v>4074</v>
      </c>
      <c r="B1790" s="1">
        <v>45603</v>
      </c>
      <c r="C1790" t="s">
        <v>4075</v>
      </c>
      <c r="D1790" t="s">
        <v>1103</v>
      </c>
      <c r="E1790">
        <v>39</v>
      </c>
      <c r="F1790" t="str">
        <f>IF(Table1[[#This Row],[age]]&lt;=25,"18-25",IF(Table1[[#This Row],[age]]&lt;=35,"26-35",IF(Table1[[#This Row],[age]]&lt;=50,"36-50","51+")))</f>
        <v>36-50</v>
      </c>
      <c r="G1790" t="s">
        <v>54</v>
      </c>
      <c r="H1790" t="s">
        <v>25</v>
      </c>
      <c r="I1790" t="s">
        <v>26</v>
      </c>
      <c r="J1790" t="s">
        <v>63</v>
      </c>
      <c r="K1790" t="s">
        <v>82</v>
      </c>
      <c r="L1790">
        <v>9</v>
      </c>
      <c r="M1790">
        <v>3359.16</v>
      </c>
      <c r="N1790">
        <v>0.06</v>
      </c>
      <c r="O1790">
        <v>30905.25</v>
      </c>
      <c r="P1790">
        <v>7947.77</v>
      </c>
      <c r="Q1790">
        <v>64.84</v>
      </c>
      <c r="R1790" t="s">
        <v>65</v>
      </c>
      <c r="S1790">
        <v>5</v>
      </c>
      <c r="T1790" t="b">
        <v>0</v>
      </c>
      <c r="U1790" t="s">
        <v>30</v>
      </c>
      <c r="V1790">
        <v>6</v>
      </c>
    </row>
    <row r="1791" spans="1:22" x14ac:dyDescent="0.25">
      <c r="A1791" t="s">
        <v>4076</v>
      </c>
      <c r="B1791" s="1">
        <v>45015</v>
      </c>
      <c r="C1791" t="s">
        <v>4077</v>
      </c>
      <c r="D1791" t="s">
        <v>259</v>
      </c>
      <c r="E1791">
        <v>40</v>
      </c>
      <c r="F1791" t="str">
        <f>IF(Table1[[#This Row],[age]]&lt;=25,"18-25",IF(Table1[[#This Row],[age]]&lt;=35,"26-35",IF(Table1[[#This Row],[age]]&lt;=50,"36-50","51+")))</f>
        <v>36-50</v>
      </c>
      <c r="G1791" t="s">
        <v>54</v>
      </c>
      <c r="H1791" t="s">
        <v>25</v>
      </c>
      <c r="I1791" t="s">
        <v>35</v>
      </c>
      <c r="J1791" t="s">
        <v>47</v>
      </c>
      <c r="K1791" t="s">
        <v>272</v>
      </c>
      <c r="L1791">
        <v>5</v>
      </c>
      <c r="M1791">
        <v>971.23</v>
      </c>
      <c r="N1791">
        <v>0.35</v>
      </c>
      <c r="O1791">
        <v>3832.92</v>
      </c>
      <c r="P1791">
        <v>1442.59</v>
      </c>
      <c r="Q1791">
        <v>59.73</v>
      </c>
      <c r="R1791" t="s">
        <v>49</v>
      </c>
      <c r="S1791">
        <v>1</v>
      </c>
      <c r="T1791" t="b">
        <v>0</v>
      </c>
      <c r="U1791" t="s">
        <v>30</v>
      </c>
      <c r="V1791">
        <v>4</v>
      </c>
    </row>
    <row r="1792" spans="1:22" x14ac:dyDescent="0.25">
      <c r="A1792" t="s">
        <v>4078</v>
      </c>
      <c r="B1792" s="1">
        <v>45362</v>
      </c>
      <c r="C1792" t="s">
        <v>4079</v>
      </c>
      <c r="D1792" t="s">
        <v>530</v>
      </c>
      <c r="E1792">
        <v>34</v>
      </c>
      <c r="F1792" t="str">
        <f>IF(Table1[[#This Row],[age]]&lt;=25,"18-25",IF(Table1[[#This Row],[age]]&lt;=35,"26-35",IF(Table1[[#This Row],[age]]&lt;=50,"36-50","51+")))</f>
        <v>26-35</v>
      </c>
      <c r="G1792" t="s">
        <v>34</v>
      </c>
      <c r="H1792" t="s">
        <v>69</v>
      </c>
      <c r="I1792" t="s">
        <v>70</v>
      </c>
      <c r="J1792" t="s">
        <v>106</v>
      </c>
      <c r="K1792" t="s">
        <v>107</v>
      </c>
      <c r="L1792">
        <v>2</v>
      </c>
      <c r="M1792">
        <v>275.55</v>
      </c>
      <c r="N1792">
        <v>0.02</v>
      </c>
      <c r="O1792">
        <v>545.95000000000005</v>
      </c>
      <c r="P1792">
        <v>40.630000000000003</v>
      </c>
      <c r="Q1792">
        <v>75.84</v>
      </c>
      <c r="R1792" t="s">
        <v>29</v>
      </c>
      <c r="S1792">
        <v>4</v>
      </c>
      <c r="T1792" t="b">
        <v>0</v>
      </c>
      <c r="U1792" t="s">
        <v>30</v>
      </c>
      <c r="V1792">
        <v>3</v>
      </c>
    </row>
    <row r="1793" spans="1:22" x14ac:dyDescent="0.25">
      <c r="A1793" t="s">
        <v>4080</v>
      </c>
      <c r="B1793" s="1">
        <v>44323</v>
      </c>
      <c r="C1793" t="s">
        <v>4081</v>
      </c>
      <c r="D1793" t="s">
        <v>910</v>
      </c>
      <c r="E1793">
        <v>36</v>
      </c>
      <c r="F1793" t="str">
        <f>IF(Table1[[#This Row],[age]]&lt;=25,"18-25",IF(Table1[[#This Row],[age]]&lt;=35,"26-35",IF(Table1[[#This Row],[age]]&lt;=50,"36-50","51+")))</f>
        <v>36-50</v>
      </c>
      <c r="G1793" t="s">
        <v>54</v>
      </c>
      <c r="H1793" t="s">
        <v>69</v>
      </c>
      <c r="I1793" t="s">
        <v>136</v>
      </c>
      <c r="J1793" t="s">
        <v>36</v>
      </c>
      <c r="K1793" t="s">
        <v>132</v>
      </c>
      <c r="L1793">
        <v>5</v>
      </c>
      <c r="M1793">
        <v>4812.43</v>
      </c>
      <c r="N1793">
        <v>0.27</v>
      </c>
      <c r="O1793">
        <v>22526.71</v>
      </c>
      <c r="P1793">
        <v>6783.1</v>
      </c>
      <c r="Q1793">
        <v>109.38</v>
      </c>
      <c r="R1793" t="s">
        <v>49</v>
      </c>
      <c r="S1793">
        <v>4</v>
      </c>
      <c r="T1793" t="b">
        <v>0</v>
      </c>
      <c r="U1793" t="s">
        <v>30</v>
      </c>
      <c r="V1793">
        <v>4</v>
      </c>
    </row>
    <row r="1794" spans="1:22" x14ac:dyDescent="0.25">
      <c r="A1794" t="s">
        <v>4082</v>
      </c>
      <c r="B1794" s="1">
        <v>44108</v>
      </c>
      <c r="C1794" t="s">
        <v>2863</v>
      </c>
      <c r="D1794" t="s">
        <v>327</v>
      </c>
      <c r="E1794">
        <v>55</v>
      </c>
      <c r="F1794" t="str">
        <f>IF(Table1[[#This Row],[age]]&lt;=25,"18-25",IF(Table1[[#This Row],[age]]&lt;=35,"26-35",IF(Table1[[#This Row],[age]]&lt;=50,"36-50","51+")))</f>
        <v>51+</v>
      </c>
      <c r="G1794" t="s">
        <v>24</v>
      </c>
      <c r="H1794" t="s">
        <v>80</v>
      </c>
      <c r="I1794" t="s">
        <v>236</v>
      </c>
      <c r="J1794" t="s">
        <v>106</v>
      </c>
      <c r="K1794" t="s">
        <v>247</v>
      </c>
      <c r="L1794">
        <v>9</v>
      </c>
      <c r="M1794">
        <v>410.87</v>
      </c>
      <c r="N1794">
        <v>0.09</v>
      </c>
      <c r="O1794">
        <v>3133.82</v>
      </c>
      <c r="P1794">
        <v>346.09</v>
      </c>
      <c r="Q1794">
        <v>74.58</v>
      </c>
      <c r="R1794" t="s">
        <v>29</v>
      </c>
      <c r="S1794">
        <v>5</v>
      </c>
      <c r="T1794" t="b">
        <v>1</v>
      </c>
      <c r="U1794" t="s">
        <v>50</v>
      </c>
      <c r="V1794">
        <v>6</v>
      </c>
    </row>
    <row r="1795" spans="1:22" x14ac:dyDescent="0.25">
      <c r="A1795" t="s">
        <v>4083</v>
      </c>
      <c r="B1795" s="1">
        <v>45113</v>
      </c>
      <c r="C1795" t="s">
        <v>4084</v>
      </c>
      <c r="D1795" t="s">
        <v>2104</v>
      </c>
      <c r="E1795">
        <v>35</v>
      </c>
      <c r="F1795" t="str">
        <f>IF(Table1[[#This Row],[age]]&lt;=25,"18-25",IF(Table1[[#This Row],[age]]&lt;=35,"26-35",IF(Table1[[#This Row],[age]]&lt;=50,"36-50","51+")))</f>
        <v>26-35</v>
      </c>
      <c r="G1795" t="s">
        <v>54</v>
      </c>
      <c r="H1795" t="s">
        <v>80</v>
      </c>
      <c r="I1795" t="s">
        <v>242</v>
      </c>
      <c r="J1795" t="s">
        <v>106</v>
      </c>
      <c r="K1795" t="s">
        <v>247</v>
      </c>
      <c r="L1795">
        <v>8</v>
      </c>
      <c r="M1795">
        <v>421.42</v>
      </c>
      <c r="N1795">
        <v>0.14000000000000001</v>
      </c>
      <c r="O1795">
        <v>4774.2700000000004</v>
      </c>
      <c r="P1795">
        <v>467.76</v>
      </c>
      <c r="Q1795">
        <v>84.51</v>
      </c>
      <c r="R1795" t="s">
        <v>49</v>
      </c>
      <c r="S1795">
        <v>3</v>
      </c>
      <c r="T1795" t="b">
        <v>0</v>
      </c>
      <c r="U1795" t="s">
        <v>93</v>
      </c>
      <c r="V1795">
        <v>8</v>
      </c>
    </row>
    <row r="1796" spans="1:22" x14ac:dyDescent="0.25">
      <c r="A1796" t="s">
        <v>4085</v>
      </c>
      <c r="B1796" s="1">
        <v>44380</v>
      </c>
      <c r="C1796" t="s">
        <v>4086</v>
      </c>
      <c r="D1796" t="s">
        <v>437</v>
      </c>
      <c r="E1796">
        <v>38</v>
      </c>
      <c r="F1796" t="str">
        <f>IF(Table1[[#This Row],[age]]&lt;=25,"18-25",IF(Table1[[#This Row],[age]]&lt;=35,"26-35",IF(Table1[[#This Row],[age]]&lt;=50,"36-50","51+")))</f>
        <v>36-50</v>
      </c>
      <c r="G1796" t="s">
        <v>24</v>
      </c>
      <c r="H1796" t="s">
        <v>69</v>
      </c>
      <c r="I1796" t="s">
        <v>181</v>
      </c>
      <c r="J1796" t="s">
        <v>27</v>
      </c>
      <c r="K1796" t="s">
        <v>480</v>
      </c>
      <c r="L1796">
        <v>5</v>
      </c>
      <c r="M1796">
        <v>205.05</v>
      </c>
      <c r="N1796">
        <v>0.37</v>
      </c>
      <c r="O1796">
        <v>875.73</v>
      </c>
      <c r="P1796">
        <v>336.22</v>
      </c>
      <c r="Q1796">
        <v>58.05</v>
      </c>
      <c r="R1796" t="s">
        <v>29</v>
      </c>
      <c r="S1796">
        <v>1</v>
      </c>
      <c r="T1796" t="b">
        <v>1</v>
      </c>
      <c r="U1796" t="s">
        <v>50</v>
      </c>
      <c r="V1796">
        <v>10</v>
      </c>
    </row>
    <row r="1797" spans="1:22" x14ac:dyDescent="0.25">
      <c r="A1797" t="s">
        <v>4087</v>
      </c>
      <c r="B1797" s="1">
        <v>44591</v>
      </c>
      <c r="C1797" t="s">
        <v>4088</v>
      </c>
      <c r="D1797" t="s">
        <v>496</v>
      </c>
      <c r="E1797">
        <v>47</v>
      </c>
      <c r="F1797" t="str">
        <f>IF(Table1[[#This Row],[age]]&lt;=25,"18-25",IF(Table1[[#This Row],[age]]&lt;=35,"26-35",IF(Table1[[#This Row],[age]]&lt;=50,"36-50","51+")))</f>
        <v>36-50</v>
      </c>
      <c r="G1797" t="s">
        <v>54</v>
      </c>
      <c r="H1797" t="s">
        <v>25</v>
      </c>
      <c r="I1797" t="s">
        <v>298</v>
      </c>
      <c r="J1797" t="s">
        <v>63</v>
      </c>
      <c r="K1797" t="s">
        <v>82</v>
      </c>
      <c r="L1797">
        <v>4</v>
      </c>
      <c r="M1797">
        <v>1960.32</v>
      </c>
      <c r="N1797">
        <v>0.03</v>
      </c>
      <c r="O1797">
        <v>7027.87</v>
      </c>
      <c r="P1797">
        <v>2732.62</v>
      </c>
      <c r="Q1797">
        <v>65.849999999999994</v>
      </c>
      <c r="R1797" t="s">
        <v>29</v>
      </c>
      <c r="S1797">
        <v>2</v>
      </c>
      <c r="T1797" t="b">
        <v>0</v>
      </c>
      <c r="U1797" t="s">
        <v>30</v>
      </c>
      <c r="V1797">
        <v>1</v>
      </c>
    </row>
    <row r="1798" spans="1:22" x14ac:dyDescent="0.25">
      <c r="A1798" t="s">
        <v>4089</v>
      </c>
      <c r="B1798" s="1">
        <v>44742</v>
      </c>
      <c r="C1798" t="s">
        <v>4090</v>
      </c>
      <c r="D1798" t="s">
        <v>2514</v>
      </c>
      <c r="E1798">
        <v>22</v>
      </c>
      <c r="F1798" t="str">
        <f>IF(Table1[[#This Row],[age]]&lt;=25,"18-25",IF(Table1[[#This Row],[age]]&lt;=35,"26-35",IF(Table1[[#This Row],[age]]&lt;=50,"36-50","51+")))</f>
        <v>18-25</v>
      </c>
      <c r="G1798" t="s">
        <v>24</v>
      </c>
      <c r="H1798" t="s">
        <v>25</v>
      </c>
      <c r="I1798" t="s">
        <v>298</v>
      </c>
      <c r="J1798" t="s">
        <v>106</v>
      </c>
      <c r="K1798" t="s">
        <v>107</v>
      </c>
      <c r="L1798">
        <v>4</v>
      </c>
      <c r="M1798">
        <v>291.88</v>
      </c>
      <c r="N1798">
        <v>0.37</v>
      </c>
      <c r="O1798">
        <v>1107.6199999999999</v>
      </c>
      <c r="P1798">
        <v>79.28</v>
      </c>
      <c r="Q1798">
        <v>60.21</v>
      </c>
      <c r="R1798" t="s">
        <v>43</v>
      </c>
      <c r="S1798">
        <v>2</v>
      </c>
      <c r="T1798" t="b">
        <v>1</v>
      </c>
      <c r="U1798" t="s">
        <v>50</v>
      </c>
      <c r="V1798">
        <v>1</v>
      </c>
    </row>
    <row r="1799" spans="1:22" x14ac:dyDescent="0.25">
      <c r="A1799" t="s">
        <v>4091</v>
      </c>
      <c r="B1799" s="1">
        <v>45247</v>
      </c>
      <c r="C1799" t="s">
        <v>4092</v>
      </c>
      <c r="D1799" t="s">
        <v>789</v>
      </c>
      <c r="E1799">
        <v>36</v>
      </c>
      <c r="F1799" t="str">
        <f>IF(Table1[[#This Row],[age]]&lt;=25,"18-25",IF(Table1[[#This Row],[age]]&lt;=35,"26-35",IF(Table1[[#This Row],[age]]&lt;=50,"36-50","51+")))</f>
        <v>36-50</v>
      </c>
      <c r="G1799" t="s">
        <v>34</v>
      </c>
      <c r="H1799" t="s">
        <v>55</v>
      </c>
      <c r="I1799" t="s">
        <v>114</v>
      </c>
      <c r="J1799" t="s">
        <v>106</v>
      </c>
      <c r="K1799" t="s">
        <v>107</v>
      </c>
      <c r="L1799">
        <v>3</v>
      </c>
      <c r="M1799">
        <v>362.83</v>
      </c>
      <c r="N1799">
        <v>0.33</v>
      </c>
      <c r="O1799">
        <v>704.3</v>
      </c>
      <c r="P1799">
        <v>51.58</v>
      </c>
      <c r="Q1799">
        <v>40.17</v>
      </c>
      <c r="R1799" t="s">
        <v>57</v>
      </c>
      <c r="S1799">
        <v>2</v>
      </c>
      <c r="T1799" t="b">
        <v>0</v>
      </c>
      <c r="U1799" t="s">
        <v>30</v>
      </c>
      <c r="V1799">
        <v>3</v>
      </c>
    </row>
    <row r="1800" spans="1:22" x14ac:dyDescent="0.25">
      <c r="A1800" t="s">
        <v>4093</v>
      </c>
      <c r="B1800" s="1">
        <v>44999</v>
      </c>
      <c r="C1800" t="s">
        <v>4094</v>
      </c>
      <c r="D1800" t="s">
        <v>530</v>
      </c>
      <c r="E1800">
        <v>57</v>
      </c>
      <c r="F1800" t="str">
        <f>IF(Table1[[#This Row],[age]]&lt;=25,"18-25",IF(Table1[[#This Row],[age]]&lt;=35,"26-35",IF(Table1[[#This Row],[age]]&lt;=50,"36-50","51+")))</f>
        <v>51+</v>
      </c>
      <c r="G1800" t="s">
        <v>54</v>
      </c>
      <c r="H1800" t="s">
        <v>69</v>
      </c>
      <c r="I1800" t="s">
        <v>221</v>
      </c>
      <c r="J1800" t="s">
        <v>106</v>
      </c>
      <c r="K1800" t="s">
        <v>188</v>
      </c>
      <c r="L1800">
        <v>3</v>
      </c>
      <c r="M1800">
        <v>451.94</v>
      </c>
      <c r="N1800">
        <v>7.0000000000000007E-2</v>
      </c>
      <c r="O1800">
        <v>1470.9</v>
      </c>
      <c r="P1800">
        <v>132.82</v>
      </c>
      <c r="Q1800">
        <v>72.180000000000007</v>
      </c>
      <c r="R1800" t="s">
        <v>29</v>
      </c>
      <c r="S1800">
        <v>2</v>
      </c>
      <c r="T1800" t="b">
        <v>0</v>
      </c>
      <c r="U1800" t="s">
        <v>93</v>
      </c>
      <c r="V1800">
        <v>8</v>
      </c>
    </row>
    <row r="1801" spans="1:22" x14ac:dyDescent="0.25">
      <c r="A1801" t="s">
        <v>4095</v>
      </c>
      <c r="B1801" s="1">
        <v>45128</v>
      </c>
      <c r="C1801" t="s">
        <v>4096</v>
      </c>
      <c r="D1801" t="s">
        <v>637</v>
      </c>
      <c r="E1801">
        <v>44</v>
      </c>
      <c r="F1801" t="str">
        <f>IF(Table1[[#This Row],[age]]&lt;=25,"18-25",IF(Table1[[#This Row],[age]]&lt;=35,"26-35",IF(Table1[[#This Row],[age]]&lt;=50,"36-50","51+")))</f>
        <v>36-50</v>
      </c>
      <c r="G1801" t="s">
        <v>34</v>
      </c>
      <c r="H1801" t="s">
        <v>55</v>
      </c>
      <c r="I1801" t="s">
        <v>75</v>
      </c>
      <c r="J1801" t="s">
        <v>63</v>
      </c>
      <c r="K1801" t="s">
        <v>434</v>
      </c>
      <c r="L1801">
        <v>6</v>
      </c>
      <c r="M1801">
        <v>2551.46</v>
      </c>
      <c r="N1801">
        <v>0.28000000000000003</v>
      </c>
      <c r="O1801">
        <v>16184.75</v>
      </c>
      <c r="P1801">
        <v>5763.29</v>
      </c>
      <c r="Q1801">
        <v>52.45</v>
      </c>
      <c r="R1801" t="s">
        <v>57</v>
      </c>
      <c r="S1801">
        <v>1</v>
      </c>
      <c r="T1801" t="b">
        <v>0</v>
      </c>
      <c r="U1801" t="s">
        <v>30</v>
      </c>
      <c r="V1801">
        <v>8</v>
      </c>
    </row>
    <row r="1802" spans="1:22" x14ac:dyDescent="0.25">
      <c r="A1802" t="s">
        <v>4097</v>
      </c>
      <c r="B1802" s="1">
        <v>44537</v>
      </c>
      <c r="C1802" t="s">
        <v>4098</v>
      </c>
      <c r="D1802" t="s">
        <v>90</v>
      </c>
      <c r="E1802">
        <v>46</v>
      </c>
      <c r="F1802" t="str">
        <f>IF(Table1[[#This Row],[age]]&lt;=25,"18-25",IF(Table1[[#This Row],[age]]&lt;=35,"26-35",IF(Table1[[#This Row],[age]]&lt;=50,"36-50","51+")))</f>
        <v>36-50</v>
      </c>
      <c r="G1802" t="s">
        <v>54</v>
      </c>
      <c r="H1802" t="s">
        <v>80</v>
      </c>
      <c r="I1802" t="s">
        <v>86</v>
      </c>
      <c r="J1802" t="s">
        <v>101</v>
      </c>
      <c r="K1802" t="s">
        <v>214</v>
      </c>
      <c r="L1802">
        <v>3</v>
      </c>
      <c r="M1802">
        <v>11079.73</v>
      </c>
      <c r="N1802">
        <v>0.28000000000000003</v>
      </c>
      <c r="O1802">
        <v>19386.16</v>
      </c>
      <c r="P1802">
        <v>3946.3</v>
      </c>
      <c r="Q1802">
        <v>44.65</v>
      </c>
      <c r="R1802" t="s">
        <v>29</v>
      </c>
      <c r="S1802">
        <v>1</v>
      </c>
      <c r="T1802" t="b">
        <v>0</v>
      </c>
      <c r="U1802" t="s">
        <v>30</v>
      </c>
      <c r="V1802">
        <v>5</v>
      </c>
    </row>
    <row r="1803" spans="1:22" x14ac:dyDescent="0.25">
      <c r="A1803" t="s">
        <v>4099</v>
      </c>
      <c r="B1803" s="1">
        <v>45217</v>
      </c>
      <c r="C1803" t="s">
        <v>4100</v>
      </c>
      <c r="D1803" t="s">
        <v>493</v>
      </c>
      <c r="E1803">
        <v>30</v>
      </c>
      <c r="F1803" t="str">
        <f>IF(Table1[[#This Row],[age]]&lt;=25,"18-25",IF(Table1[[#This Row],[age]]&lt;=35,"26-35",IF(Table1[[#This Row],[age]]&lt;=50,"36-50","51+")))</f>
        <v>26-35</v>
      </c>
      <c r="G1803" t="s">
        <v>24</v>
      </c>
      <c r="H1803" t="s">
        <v>25</v>
      </c>
      <c r="I1803" t="s">
        <v>26</v>
      </c>
      <c r="J1803" t="s">
        <v>115</v>
      </c>
      <c r="K1803" t="s">
        <v>116</v>
      </c>
      <c r="L1803">
        <v>1</v>
      </c>
      <c r="M1803">
        <v>48359.17</v>
      </c>
      <c r="N1803">
        <v>0.06</v>
      </c>
      <c r="O1803">
        <v>51500.800000000003</v>
      </c>
      <c r="P1803">
        <v>6586.38</v>
      </c>
      <c r="Q1803">
        <v>81.7</v>
      </c>
      <c r="R1803" t="s">
        <v>92</v>
      </c>
      <c r="S1803">
        <v>3</v>
      </c>
      <c r="T1803" t="b">
        <v>0</v>
      </c>
      <c r="U1803" t="s">
        <v>30</v>
      </c>
      <c r="V1803">
        <v>9</v>
      </c>
    </row>
    <row r="1804" spans="1:22" x14ac:dyDescent="0.25">
      <c r="A1804" t="s">
        <v>4101</v>
      </c>
      <c r="B1804" s="1">
        <v>45612</v>
      </c>
      <c r="C1804" t="s">
        <v>4102</v>
      </c>
      <c r="D1804" t="s">
        <v>268</v>
      </c>
      <c r="E1804">
        <v>25</v>
      </c>
      <c r="F1804" t="str">
        <f>IF(Table1[[#This Row],[age]]&lt;=25,"18-25",IF(Table1[[#This Row],[age]]&lt;=35,"26-35",IF(Table1[[#This Row],[age]]&lt;=50,"36-50","51+")))</f>
        <v>18-25</v>
      </c>
      <c r="G1804" t="s">
        <v>34</v>
      </c>
      <c r="H1804" t="s">
        <v>69</v>
      </c>
      <c r="I1804" t="s">
        <v>136</v>
      </c>
      <c r="J1804" t="s">
        <v>115</v>
      </c>
      <c r="K1804" t="s">
        <v>137</v>
      </c>
      <c r="L1804">
        <v>6</v>
      </c>
      <c r="M1804">
        <v>76147.08</v>
      </c>
      <c r="N1804">
        <v>0.3</v>
      </c>
      <c r="O1804">
        <v>275656.14</v>
      </c>
      <c r="P1804">
        <v>33935.620000000003</v>
      </c>
      <c r="Q1804">
        <v>79.39</v>
      </c>
      <c r="R1804" t="s">
        <v>92</v>
      </c>
      <c r="S1804">
        <v>4</v>
      </c>
      <c r="T1804" t="b">
        <v>0</v>
      </c>
      <c r="U1804" t="s">
        <v>193</v>
      </c>
      <c r="V1804">
        <v>5</v>
      </c>
    </row>
    <row r="1805" spans="1:22" x14ac:dyDescent="0.25">
      <c r="A1805" t="s">
        <v>4103</v>
      </c>
      <c r="B1805" s="1">
        <v>45127</v>
      </c>
      <c r="C1805" t="s">
        <v>4104</v>
      </c>
      <c r="D1805" t="s">
        <v>1409</v>
      </c>
      <c r="E1805">
        <v>19</v>
      </c>
      <c r="F1805" t="str">
        <f>IF(Table1[[#This Row],[age]]&lt;=25,"18-25",IF(Table1[[#This Row],[age]]&lt;=35,"26-35",IF(Table1[[#This Row],[age]]&lt;=50,"36-50","51+")))</f>
        <v>18-25</v>
      </c>
      <c r="G1805" t="s">
        <v>54</v>
      </c>
      <c r="H1805" t="s">
        <v>80</v>
      </c>
      <c r="I1805" t="s">
        <v>236</v>
      </c>
      <c r="J1805" t="s">
        <v>27</v>
      </c>
      <c r="K1805" t="s">
        <v>480</v>
      </c>
      <c r="L1805">
        <v>1</v>
      </c>
      <c r="M1805">
        <v>581.9</v>
      </c>
      <c r="N1805">
        <v>0.39</v>
      </c>
      <c r="O1805">
        <v>573.91</v>
      </c>
      <c r="P1805">
        <v>321.44</v>
      </c>
      <c r="Q1805">
        <v>61.08</v>
      </c>
      <c r="R1805" t="s">
        <v>49</v>
      </c>
      <c r="S1805">
        <v>5</v>
      </c>
      <c r="T1805" t="b">
        <v>0</v>
      </c>
      <c r="U1805" t="s">
        <v>30</v>
      </c>
      <c r="V1805">
        <v>2</v>
      </c>
    </row>
    <row r="1806" spans="1:22" x14ac:dyDescent="0.25">
      <c r="A1806" t="s">
        <v>4105</v>
      </c>
      <c r="B1806" s="1">
        <v>44867</v>
      </c>
      <c r="C1806" t="s">
        <v>4106</v>
      </c>
      <c r="D1806" t="s">
        <v>505</v>
      </c>
      <c r="E1806">
        <v>33</v>
      </c>
      <c r="F1806" t="str">
        <f>IF(Table1[[#This Row],[age]]&lt;=25,"18-25",IF(Table1[[#This Row],[age]]&lt;=35,"26-35",IF(Table1[[#This Row],[age]]&lt;=50,"36-50","51+")))</f>
        <v>26-35</v>
      </c>
      <c r="G1806" t="s">
        <v>34</v>
      </c>
      <c r="H1806" t="s">
        <v>69</v>
      </c>
      <c r="I1806" t="s">
        <v>181</v>
      </c>
      <c r="J1806" t="s">
        <v>36</v>
      </c>
      <c r="K1806" t="s">
        <v>243</v>
      </c>
      <c r="L1806">
        <v>3</v>
      </c>
      <c r="M1806">
        <v>4404.99</v>
      </c>
      <c r="N1806">
        <v>0.04</v>
      </c>
      <c r="O1806">
        <v>10146.469999999999</v>
      </c>
      <c r="P1806">
        <v>2903.13</v>
      </c>
      <c r="Q1806">
        <v>93.9</v>
      </c>
      <c r="R1806" t="s">
        <v>29</v>
      </c>
      <c r="S1806">
        <v>3</v>
      </c>
      <c r="T1806" t="b">
        <v>0</v>
      </c>
      <c r="U1806" t="s">
        <v>93</v>
      </c>
      <c r="V1806">
        <v>5</v>
      </c>
    </row>
    <row r="1807" spans="1:22" x14ac:dyDescent="0.25">
      <c r="A1807" t="s">
        <v>4107</v>
      </c>
      <c r="B1807" s="1">
        <v>44446</v>
      </c>
      <c r="C1807" t="s">
        <v>4108</v>
      </c>
      <c r="D1807" t="s">
        <v>1327</v>
      </c>
      <c r="E1807">
        <v>21</v>
      </c>
      <c r="F1807" t="str">
        <f>IF(Table1[[#This Row],[age]]&lt;=25,"18-25",IF(Table1[[#This Row],[age]]&lt;=35,"26-35",IF(Table1[[#This Row],[age]]&lt;=50,"36-50","51+")))</f>
        <v>18-25</v>
      </c>
      <c r="G1807" t="s">
        <v>34</v>
      </c>
      <c r="H1807" t="s">
        <v>25</v>
      </c>
      <c r="I1807" t="s">
        <v>41</v>
      </c>
      <c r="J1807" t="s">
        <v>115</v>
      </c>
      <c r="K1807" t="s">
        <v>137</v>
      </c>
      <c r="L1807">
        <v>10</v>
      </c>
      <c r="M1807">
        <v>69111.009999999995</v>
      </c>
      <c r="N1807">
        <v>0.18</v>
      </c>
      <c r="O1807">
        <v>610027.66</v>
      </c>
      <c r="P1807">
        <v>80887.73</v>
      </c>
      <c r="Q1807">
        <v>59.74</v>
      </c>
      <c r="R1807" t="s">
        <v>65</v>
      </c>
      <c r="S1807">
        <v>1</v>
      </c>
      <c r="T1807" t="b">
        <v>0</v>
      </c>
      <c r="U1807" t="s">
        <v>30</v>
      </c>
      <c r="V1807">
        <v>2</v>
      </c>
    </row>
    <row r="1808" spans="1:22" x14ac:dyDescent="0.25">
      <c r="A1808" t="s">
        <v>4109</v>
      </c>
      <c r="B1808" s="1">
        <v>44800</v>
      </c>
      <c r="C1808" t="s">
        <v>4110</v>
      </c>
      <c r="D1808" t="s">
        <v>499</v>
      </c>
      <c r="E1808">
        <v>39</v>
      </c>
      <c r="F1808" t="str">
        <f>IF(Table1[[#This Row],[age]]&lt;=25,"18-25",IF(Table1[[#This Row],[age]]&lt;=35,"26-35",IF(Table1[[#This Row],[age]]&lt;=50,"36-50","51+")))</f>
        <v>36-50</v>
      </c>
      <c r="G1808" t="s">
        <v>24</v>
      </c>
      <c r="H1808" t="s">
        <v>80</v>
      </c>
      <c r="I1808" t="s">
        <v>242</v>
      </c>
      <c r="J1808" t="s">
        <v>63</v>
      </c>
      <c r="K1808" t="s">
        <v>82</v>
      </c>
      <c r="L1808">
        <v>2</v>
      </c>
      <c r="M1808">
        <v>2544.65</v>
      </c>
      <c r="N1808">
        <v>0.09</v>
      </c>
      <c r="O1808">
        <v>5282.35</v>
      </c>
      <c r="P1808">
        <v>1652.06</v>
      </c>
      <c r="Q1808">
        <v>68.22</v>
      </c>
      <c r="R1808" t="s">
        <v>29</v>
      </c>
      <c r="S1808">
        <v>3</v>
      </c>
      <c r="T1808" t="b">
        <v>0</v>
      </c>
      <c r="U1808" t="s">
        <v>30</v>
      </c>
      <c r="V1808">
        <v>3</v>
      </c>
    </row>
    <row r="1809" spans="1:22" x14ac:dyDescent="0.25">
      <c r="A1809" t="s">
        <v>4111</v>
      </c>
      <c r="B1809" s="1">
        <v>44786</v>
      </c>
      <c r="C1809" t="s">
        <v>4112</v>
      </c>
      <c r="D1809" t="s">
        <v>530</v>
      </c>
      <c r="E1809">
        <v>39</v>
      </c>
      <c r="F1809" t="str">
        <f>IF(Table1[[#This Row],[age]]&lt;=25,"18-25",IF(Table1[[#This Row],[age]]&lt;=35,"26-35",IF(Table1[[#This Row],[age]]&lt;=50,"36-50","51+")))</f>
        <v>36-50</v>
      </c>
      <c r="G1809" t="s">
        <v>34</v>
      </c>
      <c r="H1809" t="s">
        <v>69</v>
      </c>
      <c r="I1809" t="s">
        <v>136</v>
      </c>
      <c r="J1809" t="s">
        <v>115</v>
      </c>
      <c r="K1809" t="s">
        <v>116</v>
      </c>
      <c r="L1809">
        <v>9</v>
      </c>
      <c r="M1809">
        <v>56874.87</v>
      </c>
      <c r="N1809">
        <v>0.3</v>
      </c>
      <c r="O1809">
        <v>478142.34</v>
      </c>
      <c r="P1809">
        <v>58158.93</v>
      </c>
      <c r="Q1809">
        <v>63.71</v>
      </c>
      <c r="R1809" t="s">
        <v>92</v>
      </c>
      <c r="S1809">
        <v>4</v>
      </c>
      <c r="T1809" t="b">
        <v>1</v>
      </c>
      <c r="U1809" t="s">
        <v>50</v>
      </c>
      <c r="V1809">
        <v>2</v>
      </c>
    </row>
    <row r="1810" spans="1:22" x14ac:dyDescent="0.25">
      <c r="A1810" t="s">
        <v>4113</v>
      </c>
      <c r="B1810" s="1">
        <v>45083</v>
      </c>
      <c r="C1810" t="s">
        <v>4114</v>
      </c>
      <c r="D1810" t="s">
        <v>2460</v>
      </c>
      <c r="E1810">
        <v>36</v>
      </c>
      <c r="F1810" t="str">
        <f>IF(Table1[[#This Row],[age]]&lt;=25,"18-25",IF(Table1[[#This Row],[age]]&lt;=35,"26-35",IF(Table1[[#This Row],[age]]&lt;=50,"36-50","51+")))</f>
        <v>36-50</v>
      </c>
      <c r="G1810" t="s">
        <v>54</v>
      </c>
      <c r="H1810" t="s">
        <v>80</v>
      </c>
      <c r="I1810" t="s">
        <v>236</v>
      </c>
      <c r="J1810" t="s">
        <v>115</v>
      </c>
      <c r="K1810" t="s">
        <v>197</v>
      </c>
      <c r="L1810">
        <v>9</v>
      </c>
      <c r="M1810">
        <v>39846.870000000003</v>
      </c>
      <c r="N1810">
        <v>0.24</v>
      </c>
      <c r="O1810">
        <v>452014.92</v>
      </c>
      <c r="P1810">
        <v>43093.98</v>
      </c>
      <c r="Q1810">
        <v>51.7</v>
      </c>
      <c r="R1810" t="s">
        <v>65</v>
      </c>
      <c r="S1810">
        <v>4</v>
      </c>
      <c r="T1810" t="b">
        <v>0</v>
      </c>
      <c r="U1810" t="s">
        <v>30</v>
      </c>
      <c r="V1810">
        <v>3</v>
      </c>
    </row>
    <row r="1811" spans="1:22" x14ac:dyDescent="0.25">
      <c r="A1811" t="s">
        <v>4115</v>
      </c>
      <c r="B1811" s="1">
        <v>45415</v>
      </c>
      <c r="C1811" t="s">
        <v>4116</v>
      </c>
      <c r="D1811" t="s">
        <v>203</v>
      </c>
      <c r="E1811">
        <v>47</v>
      </c>
      <c r="F1811" t="str">
        <f>IF(Table1[[#This Row],[age]]&lt;=25,"18-25",IF(Table1[[#This Row],[age]]&lt;=35,"26-35",IF(Table1[[#This Row],[age]]&lt;=50,"36-50","51+")))</f>
        <v>36-50</v>
      </c>
      <c r="G1811" t="s">
        <v>54</v>
      </c>
      <c r="H1811" t="s">
        <v>25</v>
      </c>
      <c r="I1811" t="s">
        <v>35</v>
      </c>
      <c r="J1811" t="s">
        <v>47</v>
      </c>
      <c r="K1811" t="s">
        <v>204</v>
      </c>
      <c r="L1811">
        <v>7</v>
      </c>
      <c r="M1811">
        <v>377</v>
      </c>
      <c r="N1811">
        <v>0.23</v>
      </c>
      <c r="O1811">
        <v>3325.2</v>
      </c>
      <c r="P1811">
        <v>1638.79</v>
      </c>
      <c r="Q1811">
        <v>55.63</v>
      </c>
      <c r="R1811" t="s">
        <v>43</v>
      </c>
      <c r="S1811">
        <v>5</v>
      </c>
      <c r="T1811" t="b">
        <v>0</v>
      </c>
      <c r="U1811" t="s">
        <v>30</v>
      </c>
      <c r="V1811">
        <v>7</v>
      </c>
    </row>
    <row r="1812" spans="1:22" x14ac:dyDescent="0.25">
      <c r="A1812" t="s">
        <v>4117</v>
      </c>
      <c r="B1812" s="1">
        <v>43984</v>
      </c>
      <c r="C1812" t="s">
        <v>4118</v>
      </c>
      <c r="D1812" t="s">
        <v>2037</v>
      </c>
      <c r="E1812">
        <v>28</v>
      </c>
      <c r="F1812" t="str">
        <f>IF(Table1[[#This Row],[age]]&lt;=25,"18-25",IF(Table1[[#This Row],[age]]&lt;=35,"26-35",IF(Table1[[#This Row],[age]]&lt;=50,"36-50","51+")))</f>
        <v>26-35</v>
      </c>
      <c r="G1812" t="s">
        <v>34</v>
      </c>
      <c r="H1812" t="s">
        <v>80</v>
      </c>
      <c r="I1812" t="s">
        <v>242</v>
      </c>
      <c r="J1812" t="s">
        <v>106</v>
      </c>
      <c r="K1812" t="s">
        <v>107</v>
      </c>
      <c r="L1812">
        <v>6</v>
      </c>
      <c r="M1812">
        <v>457.1</v>
      </c>
      <c r="N1812">
        <v>0.17</v>
      </c>
      <c r="O1812">
        <v>3525.53</v>
      </c>
      <c r="P1812">
        <v>394.03</v>
      </c>
      <c r="Q1812">
        <v>69.69</v>
      </c>
      <c r="R1812" t="s">
        <v>65</v>
      </c>
      <c r="S1812">
        <v>2</v>
      </c>
      <c r="T1812" t="b">
        <v>0</v>
      </c>
      <c r="U1812" t="s">
        <v>30</v>
      </c>
      <c r="V1812">
        <v>8</v>
      </c>
    </row>
    <row r="1813" spans="1:22" x14ac:dyDescent="0.25">
      <c r="A1813" t="s">
        <v>4119</v>
      </c>
      <c r="B1813" s="1">
        <v>44972</v>
      </c>
      <c r="C1813" t="s">
        <v>4120</v>
      </c>
      <c r="D1813" t="s">
        <v>3692</v>
      </c>
      <c r="E1813">
        <v>18</v>
      </c>
      <c r="F1813" t="str">
        <f>IF(Table1[[#This Row],[age]]&lt;=25,"18-25",IF(Table1[[#This Row],[age]]&lt;=35,"26-35",IF(Table1[[#This Row],[age]]&lt;=50,"36-50","51+")))</f>
        <v>18-25</v>
      </c>
      <c r="G1813" t="s">
        <v>54</v>
      </c>
      <c r="H1813" t="s">
        <v>80</v>
      </c>
      <c r="I1813" t="s">
        <v>86</v>
      </c>
      <c r="J1813" t="s">
        <v>63</v>
      </c>
      <c r="K1813" t="s">
        <v>434</v>
      </c>
      <c r="L1813">
        <v>9</v>
      </c>
      <c r="M1813">
        <v>630.66999999999996</v>
      </c>
      <c r="N1813">
        <v>0.34</v>
      </c>
      <c r="O1813">
        <v>4097.13</v>
      </c>
      <c r="P1813">
        <v>1593.87</v>
      </c>
      <c r="Q1813">
        <v>69.77</v>
      </c>
      <c r="R1813" t="s">
        <v>43</v>
      </c>
      <c r="S1813">
        <v>3</v>
      </c>
      <c r="T1813" t="b">
        <v>0</v>
      </c>
      <c r="U1813" t="s">
        <v>30</v>
      </c>
      <c r="V1813">
        <v>6</v>
      </c>
    </row>
    <row r="1814" spans="1:22" x14ac:dyDescent="0.25">
      <c r="A1814" t="s">
        <v>4121</v>
      </c>
      <c r="B1814" s="1">
        <v>44403</v>
      </c>
      <c r="C1814" t="s">
        <v>4122</v>
      </c>
      <c r="D1814" t="s">
        <v>1921</v>
      </c>
      <c r="E1814">
        <v>33</v>
      </c>
      <c r="F1814" t="str">
        <f>IF(Table1[[#This Row],[age]]&lt;=25,"18-25",IF(Table1[[#This Row],[age]]&lt;=35,"26-35",IF(Table1[[#This Row],[age]]&lt;=50,"36-50","51+")))</f>
        <v>26-35</v>
      </c>
      <c r="G1814" t="s">
        <v>54</v>
      </c>
      <c r="H1814" t="s">
        <v>69</v>
      </c>
      <c r="I1814" t="s">
        <v>221</v>
      </c>
      <c r="J1814" t="s">
        <v>27</v>
      </c>
      <c r="K1814" t="s">
        <v>480</v>
      </c>
      <c r="L1814">
        <v>10</v>
      </c>
      <c r="M1814">
        <v>1776.76</v>
      </c>
      <c r="N1814">
        <v>0.09</v>
      </c>
      <c r="O1814">
        <v>24043.07</v>
      </c>
      <c r="P1814">
        <v>7186.83</v>
      </c>
      <c r="Q1814">
        <v>76.78</v>
      </c>
      <c r="R1814" t="s">
        <v>43</v>
      </c>
      <c r="S1814">
        <v>5</v>
      </c>
      <c r="T1814" t="b">
        <v>0</v>
      </c>
      <c r="U1814" t="s">
        <v>71</v>
      </c>
      <c r="V1814">
        <v>8</v>
      </c>
    </row>
    <row r="1815" spans="1:22" x14ac:dyDescent="0.25">
      <c r="A1815" t="s">
        <v>4123</v>
      </c>
      <c r="B1815" s="1">
        <v>45198</v>
      </c>
      <c r="C1815" t="s">
        <v>4124</v>
      </c>
      <c r="D1815" t="s">
        <v>440</v>
      </c>
      <c r="E1815">
        <v>42</v>
      </c>
      <c r="F1815" t="str">
        <f>IF(Table1[[#This Row],[age]]&lt;=25,"18-25",IF(Table1[[#This Row],[age]]&lt;=35,"26-35",IF(Table1[[#This Row],[age]]&lt;=50,"36-50","51+")))</f>
        <v>36-50</v>
      </c>
      <c r="G1815" t="s">
        <v>54</v>
      </c>
      <c r="H1815" t="s">
        <v>25</v>
      </c>
      <c r="I1815" t="s">
        <v>35</v>
      </c>
      <c r="J1815" t="s">
        <v>106</v>
      </c>
      <c r="K1815" t="s">
        <v>107</v>
      </c>
      <c r="L1815">
        <v>8</v>
      </c>
      <c r="M1815">
        <v>424.28</v>
      </c>
      <c r="N1815">
        <v>0.38</v>
      </c>
      <c r="O1815">
        <v>2407.56</v>
      </c>
      <c r="P1815">
        <v>178.57</v>
      </c>
      <c r="Q1815">
        <v>64.599999999999994</v>
      </c>
      <c r="R1815" t="s">
        <v>65</v>
      </c>
      <c r="S1815">
        <v>3</v>
      </c>
      <c r="T1815" t="b">
        <v>0</v>
      </c>
      <c r="U1815" t="s">
        <v>30</v>
      </c>
      <c r="V1815">
        <v>4</v>
      </c>
    </row>
    <row r="1816" spans="1:22" x14ac:dyDescent="0.25">
      <c r="A1816" t="s">
        <v>4125</v>
      </c>
      <c r="B1816" s="1">
        <v>44032</v>
      </c>
      <c r="C1816" t="s">
        <v>4126</v>
      </c>
      <c r="D1816" t="s">
        <v>533</v>
      </c>
      <c r="E1816">
        <v>28</v>
      </c>
      <c r="F1816" t="str">
        <f>IF(Table1[[#This Row],[age]]&lt;=25,"18-25",IF(Table1[[#This Row],[age]]&lt;=35,"26-35",IF(Table1[[#This Row],[age]]&lt;=50,"36-50","51+")))</f>
        <v>26-35</v>
      </c>
      <c r="G1816" t="s">
        <v>24</v>
      </c>
      <c r="H1816" t="s">
        <v>69</v>
      </c>
      <c r="I1816" t="s">
        <v>181</v>
      </c>
      <c r="J1816" t="s">
        <v>101</v>
      </c>
      <c r="K1816" t="s">
        <v>456</v>
      </c>
      <c r="L1816">
        <v>7</v>
      </c>
      <c r="M1816">
        <v>10622.1</v>
      </c>
      <c r="N1816">
        <v>0.23</v>
      </c>
      <c r="O1816">
        <v>72296.800000000003</v>
      </c>
      <c r="P1816">
        <v>14967.8</v>
      </c>
      <c r="Q1816">
        <v>76.84</v>
      </c>
      <c r="R1816" t="s">
        <v>49</v>
      </c>
      <c r="S1816">
        <v>3</v>
      </c>
      <c r="T1816" t="b">
        <v>0</v>
      </c>
      <c r="U1816" t="s">
        <v>30</v>
      </c>
      <c r="V1816">
        <v>10</v>
      </c>
    </row>
    <row r="1817" spans="1:22" x14ac:dyDescent="0.25">
      <c r="A1817" t="s">
        <v>4127</v>
      </c>
      <c r="B1817" s="1">
        <v>43832</v>
      </c>
      <c r="C1817" t="s">
        <v>4128</v>
      </c>
      <c r="D1817" t="s">
        <v>313</v>
      </c>
      <c r="E1817">
        <v>57</v>
      </c>
      <c r="F1817" t="str">
        <f>IF(Table1[[#This Row],[age]]&lt;=25,"18-25",IF(Table1[[#This Row],[age]]&lt;=35,"26-35",IF(Table1[[#This Row],[age]]&lt;=50,"36-50","51+")))</f>
        <v>51+</v>
      </c>
      <c r="G1817" t="s">
        <v>54</v>
      </c>
      <c r="H1817" t="s">
        <v>55</v>
      </c>
      <c r="I1817" t="s">
        <v>114</v>
      </c>
      <c r="J1817" t="s">
        <v>115</v>
      </c>
      <c r="K1817" t="s">
        <v>545</v>
      </c>
      <c r="L1817">
        <v>7</v>
      </c>
      <c r="M1817">
        <v>7248.51</v>
      </c>
      <c r="N1817">
        <v>0.04</v>
      </c>
      <c r="O1817">
        <v>35721.050000000003</v>
      </c>
      <c r="P1817">
        <v>2520.31</v>
      </c>
      <c r="Q1817">
        <v>54.45</v>
      </c>
      <c r="R1817" t="s">
        <v>49</v>
      </c>
      <c r="S1817">
        <v>1</v>
      </c>
      <c r="T1817" t="b">
        <v>0</v>
      </c>
      <c r="U1817" t="s">
        <v>71</v>
      </c>
      <c r="V1817">
        <v>3</v>
      </c>
    </row>
    <row r="1818" spans="1:22" x14ac:dyDescent="0.25">
      <c r="A1818" t="s">
        <v>4129</v>
      </c>
      <c r="B1818" s="1">
        <v>45502</v>
      </c>
      <c r="C1818" t="s">
        <v>4130</v>
      </c>
      <c r="D1818" t="s">
        <v>527</v>
      </c>
      <c r="E1818">
        <v>35</v>
      </c>
      <c r="F1818" t="str">
        <f>IF(Table1[[#This Row],[age]]&lt;=25,"18-25",IF(Table1[[#This Row],[age]]&lt;=35,"26-35",IF(Table1[[#This Row],[age]]&lt;=50,"36-50","51+")))</f>
        <v>26-35</v>
      </c>
      <c r="G1818" t="s">
        <v>24</v>
      </c>
      <c r="H1818" t="s">
        <v>80</v>
      </c>
      <c r="I1818" t="s">
        <v>81</v>
      </c>
      <c r="J1818" t="s">
        <v>27</v>
      </c>
      <c r="K1818" t="s">
        <v>335</v>
      </c>
      <c r="L1818">
        <v>2</v>
      </c>
      <c r="M1818">
        <v>423.08</v>
      </c>
      <c r="N1818">
        <v>0.25</v>
      </c>
      <c r="O1818">
        <v>1086.7</v>
      </c>
      <c r="P1818">
        <v>513.6</v>
      </c>
      <c r="Q1818">
        <v>65.64</v>
      </c>
      <c r="R1818" t="s">
        <v>49</v>
      </c>
      <c r="S1818">
        <v>5</v>
      </c>
      <c r="T1818" t="b">
        <v>0</v>
      </c>
      <c r="U1818" t="s">
        <v>30</v>
      </c>
      <c r="V1818">
        <v>6</v>
      </c>
    </row>
    <row r="1819" spans="1:22" x14ac:dyDescent="0.25">
      <c r="A1819" t="s">
        <v>4131</v>
      </c>
      <c r="B1819" s="1">
        <v>45083</v>
      </c>
      <c r="C1819" t="s">
        <v>2180</v>
      </c>
      <c r="D1819" t="s">
        <v>2340</v>
      </c>
      <c r="E1819">
        <v>26</v>
      </c>
      <c r="F1819" t="str">
        <f>IF(Table1[[#This Row],[age]]&lt;=25,"18-25",IF(Table1[[#This Row],[age]]&lt;=35,"26-35",IF(Table1[[#This Row],[age]]&lt;=50,"36-50","51+")))</f>
        <v>26-35</v>
      </c>
      <c r="G1819" t="s">
        <v>24</v>
      </c>
      <c r="H1819" t="s">
        <v>80</v>
      </c>
      <c r="I1819" t="s">
        <v>86</v>
      </c>
      <c r="J1819" t="s">
        <v>36</v>
      </c>
      <c r="K1819" t="s">
        <v>230</v>
      </c>
      <c r="L1819">
        <v>3</v>
      </c>
      <c r="M1819">
        <v>28004.75</v>
      </c>
      <c r="N1819">
        <v>0.31</v>
      </c>
      <c r="O1819">
        <v>94421.01</v>
      </c>
      <c r="P1819">
        <v>29532.44</v>
      </c>
      <c r="Q1819">
        <v>43.07</v>
      </c>
      <c r="R1819" t="s">
        <v>92</v>
      </c>
      <c r="S1819">
        <v>2</v>
      </c>
      <c r="T1819" t="b">
        <v>0</v>
      </c>
      <c r="U1819" t="s">
        <v>30</v>
      </c>
      <c r="V1819">
        <v>6</v>
      </c>
    </row>
    <row r="1820" spans="1:22" x14ac:dyDescent="0.25">
      <c r="A1820" t="s">
        <v>4132</v>
      </c>
      <c r="B1820" s="1">
        <v>44521</v>
      </c>
      <c r="C1820" t="s">
        <v>4133</v>
      </c>
      <c r="D1820" t="s">
        <v>947</v>
      </c>
      <c r="E1820">
        <v>20</v>
      </c>
      <c r="F1820" t="str">
        <f>IF(Table1[[#This Row],[age]]&lt;=25,"18-25",IF(Table1[[#This Row],[age]]&lt;=35,"26-35",IF(Table1[[#This Row],[age]]&lt;=50,"36-50","51+")))</f>
        <v>18-25</v>
      </c>
      <c r="G1820" t="s">
        <v>34</v>
      </c>
      <c r="H1820" t="s">
        <v>25</v>
      </c>
      <c r="I1820" t="s">
        <v>298</v>
      </c>
      <c r="J1820" t="s">
        <v>106</v>
      </c>
      <c r="K1820" t="s">
        <v>314</v>
      </c>
      <c r="L1820">
        <v>9</v>
      </c>
      <c r="M1820">
        <v>291.31</v>
      </c>
      <c r="N1820">
        <v>0.13</v>
      </c>
      <c r="O1820">
        <v>2013.93</v>
      </c>
      <c r="P1820">
        <v>153.84</v>
      </c>
      <c r="Q1820">
        <v>74.73</v>
      </c>
      <c r="R1820" t="s">
        <v>43</v>
      </c>
      <c r="S1820">
        <v>3</v>
      </c>
      <c r="T1820" t="b">
        <v>1</v>
      </c>
      <c r="U1820" t="s">
        <v>50</v>
      </c>
      <c r="V1820">
        <v>2</v>
      </c>
    </row>
    <row r="1821" spans="1:22" x14ac:dyDescent="0.25">
      <c r="A1821" t="s">
        <v>4134</v>
      </c>
      <c r="B1821" s="1">
        <v>44882</v>
      </c>
      <c r="C1821" t="s">
        <v>4135</v>
      </c>
      <c r="D1821" t="s">
        <v>3701</v>
      </c>
      <c r="E1821">
        <v>31</v>
      </c>
      <c r="F1821" t="str">
        <f>IF(Table1[[#This Row],[age]]&lt;=25,"18-25",IF(Table1[[#This Row],[age]]&lt;=35,"26-35",IF(Table1[[#This Row],[age]]&lt;=50,"36-50","51+")))</f>
        <v>26-35</v>
      </c>
      <c r="G1821" t="s">
        <v>24</v>
      </c>
      <c r="H1821" t="s">
        <v>25</v>
      </c>
      <c r="I1821" t="s">
        <v>26</v>
      </c>
      <c r="J1821" t="s">
        <v>63</v>
      </c>
      <c r="K1821" t="s">
        <v>82</v>
      </c>
      <c r="L1821">
        <v>9</v>
      </c>
      <c r="M1821">
        <v>2890.57</v>
      </c>
      <c r="N1821">
        <v>0.09</v>
      </c>
      <c r="O1821">
        <v>22605.25</v>
      </c>
      <c r="P1821">
        <v>10028.129999999999</v>
      </c>
      <c r="Q1821">
        <v>70.61</v>
      </c>
      <c r="R1821" t="s">
        <v>43</v>
      </c>
      <c r="S1821">
        <v>1</v>
      </c>
      <c r="T1821" t="b">
        <v>0</v>
      </c>
      <c r="U1821" t="s">
        <v>93</v>
      </c>
      <c r="V1821">
        <v>9</v>
      </c>
    </row>
    <row r="1822" spans="1:22" x14ac:dyDescent="0.25">
      <c r="A1822" t="s">
        <v>4136</v>
      </c>
      <c r="B1822" s="1">
        <v>44158</v>
      </c>
      <c r="C1822" t="s">
        <v>4137</v>
      </c>
      <c r="D1822" t="s">
        <v>513</v>
      </c>
      <c r="E1822">
        <v>19</v>
      </c>
      <c r="F1822" t="str">
        <f>IF(Table1[[#This Row],[age]]&lt;=25,"18-25",IF(Table1[[#This Row],[age]]&lt;=35,"26-35",IF(Table1[[#This Row],[age]]&lt;=50,"36-50","51+")))</f>
        <v>18-25</v>
      </c>
      <c r="G1822" t="s">
        <v>34</v>
      </c>
      <c r="H1822" t="s">
        <v>55</v>
      </c>
      <c r="I1822" t="s">
        <v>75</v>
      </c>
      <c r="J1822" t="s">
        <v>115</v>
      </c>
      <c r="K1822" t="s">
        <v>137</v>
      </c>
      <c r="L1822">
        <v>1</v>
      </c>
      <c r="M1822">
        <v>40524.35</v>
      </c>
      <c r="N1822">
        <v>0.12</v>
      </c>
      <c r="O1822">
        <v>24819.03</v>
      </c>
      <c r="P1822">
        <v>3365.1</v>
      </c>
      <c r="Q1822">
        <v>36.229999999999997</v>
      </c>
      <c r="R1822" t="s">
        <v>65</v>
      </c>
      <c r="S1822">
        <v>3</v>
      </c>
      <c r="T1822" t="b">
        <v>1</v>
      </c>
      <c r="U1822" t="s">
        <v>50</v>
      </c>
      <c r="V1822">
        <v>3</v>
      </c>
    </row>
    <row r="1823" spans="1:22" x14ac:dyDescent="0.25">
      <c r="A1823" t="s">
        <v>4138</v>
      </c>
      <c r="B1823" s="1">
        <v>44026</v>
      </c>
      <c r="C1823" t="s">
        <v>4139</v>
      </c>
      <c r="D1823" t="s">
        <v>307</v>
      </c>
      <c r="E1823">
        <v>31</v>
      </c>
      <c r="F1823" t="str">
        <f>IF(Table1[[#This Row],[age]]&lt;=25,"18-25",IF(Table1[[#This Row],[age]]&lt;=35,"26-35",IF(Table1[[#This Row],[age]]&lt;=50,"36-50","51+")))</f>
        <v>26-35</v>
      </c>
      <c r="G1823" t="s">
        <v>24</v>
      </c>
      <c r="H1823" t="s">
        <v>55</v>
      </c>
      <c r="I1823" t="s">
        <v>56</v>
      </c>
      <c r="J1823" t="s">
        <v>47</v>
      </c>
      <c r="K1823" t="s">
        <v>204</v>
      </c>
      <c r="L1823">
        <v>4</v>
      </c>
      <c r="M1823">
        <v>1113.43</v>
      </c>
      <c r="N1823">
        <v>0.15</v>
      </c>
      <c r="O1823">
        <v>4962.42</v>
      </c>
      <c r="P1823">
        <v>2141.31</v>
      </c>
      <c r="Q1823">
        <v>34.15</v>
      </c>
      <c r="R1823" t="s">
        <v>43</v>
      </c>
      <c r="S1823">
        <v>1</v>
      </c>
      <c r="T1823" t="b">
        <v>0</v>
      </c>
      <c r="U1823" t="s">
        <v>30</v>
      </c>
      <c r="V1823">
        <v>7</v>
      </c>
    </row>
    <row r="1824" spans="1:22" x14ac:dyDescent="0.25">
      <c r="A1824" t="s">
        <v>4140</v>
      </c>
      <c r="B1824" s="1">
        <v>45054</v>
      </c>
      <c r="C1824" t="s">
        <v>4141</v>
      </c>
      <c r="D1824" t="s">
        <v>1156</v>
      </c>
      <c r="E1824">
        <v>30</v>
      </c>
      <c r="F1824" t="str">
        <f>IF(Table1[[#This Row],[age]]&lt;=25,"18-25",IF(Table1[[#This Row],[age]]&lt;=35,"26-35",IF(Table1[[#This Row],[age]]&lt;=50,"36-50","51+")))</f>
        <v>26-35</v>
      </c>
      <c r="G1824" t="s">
        <v>34</v>
      </c>
      <c r="H1824" t="s">
        <v>25</v>
      </c>
      <c r="I1824" t="s">
        <v>298</v>
      </c>
      <c r="J1824" t="s">
        <v>101</v>
      </c>
      <c r="K1824" t="s">
        <v>456</v>
      </c>
      <c r="L1824">
        <v>3</v>
      </c>
      <c r="M1824">
        <v>6620.8</v>
      </c>
      <c r="N1824">
        <v>0.27</v>
      </c>
      <c r="O1824">
        <v>22527.03</v>
      </c>
      <c r="P1824">
        <v>3790.08</v>
      </c>
      <c r="Q1824">
        <v>89.03</v>
      </c>
      <c r="R1824" t="s">
        <v>43</v>
      </c>
      <c r="S1824">
        <v>4</v>
      </c>
      <c r="T1824" t="b">
        <v>0</v>
      </c>
      <c r="U1824" t="s">
        <v>30</v>
      </c>
      <c r="V1824">
        <v>8</v>
      </c>
    </row>
    <row r="1825" spans="1:22" x14ac:dyDescent="0.25">
      <c r="A1825" t="s">
        <v>4142</v>
      </c>
      <c r="B1825" s="1">
        <v>45594</v>
      </c>
      <c r="C1825" t="s">
        <v>4143</v>
      </c>
      <c r="D1825" t="s">
        <v>1659</v>
      </c>
      <c r="E1825">
        <v>54</v>
      </c>
      <c r="F1825" t="str">
        <f>IF(Table1[[#This Row],[age]]&lt;=25,"18-25",IF(Table1[[#This Row],[age]]&lt;=35,"26-35",IF(Table1[[#This Row],[age]]&lt;=50,"36-50","51+")))</f>
        <v>51+</v>
      </c>
      <c r="G1825" t="s">
        <v>34</v>
      </c>
      <c r="H1825" t="s">
        <v>55</v>
      </c>
      <c r="I1825" t="s">
        <v>97</v>
      </c>
      <c r="J1825" t="s">
        <v>115</v>
      </c>
      <c r="K1825" t="s">
        <v>398</v>
      </c>
      <c r="L1825">
        <v>2</v>
      </c>
      <c r="M1825">
        <v>11751.86</v>
      </c>
      <c r="N1825">
        <v>0.26</v>
      </c>
      <c r="O1825">
        <v>19687.8</v>
      </c>
      <c r="P1825">
        <v>2001.28</v>
      </c>
      <c r="Q1825">
        <v>73.23</v>
      </c>
      <c r="R1825" t="s">
        <v>92</v>
      </c>
      <c r="S1825">
        <v>4</v>
      </c>
      <c r="T1825" t="b">
        <v>0</v>
      </c>
      <c r="U1825" t="s">
        <v>30</v>
      </c>
      <c r="V1825">
        <v>5</v>
      </c>
    </row>
    <row r="1826" spans="1:22" x14ac:dyDescent="0.25">
      <c r="A1826" t="s">
        <v>4144</v>
      </c>
      <c r="B1826" s="1">
        <v>45410</v>
      </c>
      <c r="C1826" t="s">
        <v>4145</v>
      </c>
      <c r="D1826" t="s">
        <v>224</v>
      </c>
      <c r="E1826">
        <v>27</v>
      </c>
      <c r="F1826" t="str">
        <f>IF(Table1[[#This Row],[age]]&lt;=25,"18-25",IF(Table1[[#This Row],[age]]&lt;=35,"26-35",IF(Table1[[#This Row],[age]]&lt;=50,"36-50","51+")))</f>
        <v>26-35</v>
      </c>
      <c r="G1826" t="s">
        <v>24</v>
      </c>
      <c r="H1826" t="s">
        <v>69</v>
      </c>
      <c r="I1826" t="s">
        <v>221</v>
      </c>
      <c r="J1826" t="s">
        <v>106</v>
      </c>
      <c r="K1826" t="s">
        <v>188</v>
      </c>
      <c r="L1826">
        <v>1</v>
      </c>
      <c r="M1826">
        <v>373.86</v>
      </c>
      <c r="N1826">
        <v>0.25</v>
      </c>
      <c r="O1826">
        <v>400.65</v>
      </c>
      <c r="P1826">
        <v>34.770000000000003</v>
      </c>
      <c r="Q1826">
        <v>90.23</v>
      </c>
      <c r="R1826" t="s">
        <v>92</v>
      </c>
      <c r="S1826">
        <v>4</v>
      </c>
      <c r="T1826" t="b">
        <v>0</v>
      </c>
      <c r="U1826" t="s">
        <v>93</v>
      </c>
      <c r="V1826">
        <v>1</v>
      </c>
    </row>
    <row r="1827" spans="1:22" x14ac:dyDescent="0.25">
      <c r="A1827" t="s">
        <v>4146</v>
      </c>
      <c r="B1827" s="1">
        <v>44741</v>
      </c>
      <c r="C1827" t="s">
        <v>4147</v>
      </c>
      <c r="D1827" t="s">
        <v>471</v>
      </c>
      <c r="E1827">
        <v>18</v>
      </c>
      <c r="F1827" t="str">
        <f>IF(Table1[[#This Row],[age]]&lt;=25,"18-25",IF(Table1[[#This Row],[age]]&lt;=35,"26-35",IF(Table1[[#This Row],[age]]&lt;=50,"36-50","51+")))</f>
        <v>18-25</v>
      </c>
      <c r="G1827" t="s">
        <v>24</v>
      </c>
      <c r="H1827" t="s">
        <v>80</v>
      </c>
      <c r="I1827" t="s">
        <v>236</v>
      </c>
      <c r="J1827" t="s">
        <v>106</v>
      </c>
      <c r="K1827" t="s">
        <v>107</v>
      </c>
      <c r="L1827">
        <v>4</v>
      </c>
      <c r="M1827">
        <v>122.82</v>
      </c>
      <c r="N1827">
        <v>0.04</v>
      </c>
      <c r="O1827">
        <v>681.47</v>
      </c>
      <c r="P1827">
        <v>47.66</v>
      </c>
      <c r="Q1827">
        <v>66.72</v>
      </c>
      <c r="R1827" t="s">
        <v>92</v>
      </c>
      <c r="S1827">
        <v>5</v>
      </c>
      <c r="T1827" t="b">
        <v>0</v>
      </c>
      <c r="U1827" t="s">
        <v>30</v>
      </c>
      <c r="V1827">
        <v>10</v>
      </c>
    </row>
    <row r="1828" spans="1:22" x14ac:dyDescent="0.25">
      <c r="A1828" t="s">
        <v>4148</v>
      </c>
      <c r="B1828" s="1">
        <v>44018</v>
      </c>
      <c r="C1828" t="s">
        <v>4149</v>
      </c>
      <c r="D1828" t="s">
        <v>33</v>
      </c>
      <c r="E1828">
        <v>30</v>
      </c>
      <c r="F1828" t="str">
        <f>IF(Table1[[#This Row],[age]]&lt;=25,"18-25",IF(Table1[[#This Row],[age]]&lt;=35,"26-35",IF(Table1[[#This Row],[age]]&lt;=50,"36-50","51+")))</f>
        <v>26-35</v>
      </c>
      <c r="G1828" t="s">
        <v>54</v>
      </c>
      <c r="H1828" t="s">
        <v>25</v>
      </c>
      <c r="I1828" t="s">
        <v>26</v>
      </c>
      <c r="J1828" t="s">
        <v>115</v>
      </c>
      <c r="K1828" t="s">
        <v>145</v>
      </c>
      <c r="L1828">
        <v>6</v>
      </c>
      <c r="M1828">
        <v>65523.97</v>
      </c>
      <c r="N1828">
        <v>0.22</v>
      </c>
      <c r="O1828">
        <v>395580.05</v>
      </c>
      <c r="P1828">
        <v>39810.19</v>
      </c>
      <c r="Q1828">
        <v>79</v>
      </c>
      <c r="R1828" t="s">
        <v>49</v>
      </c>
      <c r="S1828">
        <v>1</v>
      </c>
      <c r="T1828" t="b">
        <v>0</v>
      </c>
      <c r="U1828" t="s">
        <v>30</v>
      </c>
      <c r="V1828">
        <v>7</v>
      </c>
    </row>
    <row r="1829" spans="1:22" x14ac:dyDescent="0.25">
      <c r="A1829" t="s">
        <v>4150</v>
      </c>
      <c r="B1829" s="1">
        <v>44315</v>
      </c>
      <c r="C1829" t="s">
        <v>4151</v>
      </c>
      <c r="D1829" t="s">
        <v>210</v>
      </c>
      <c r="E1829">
        <v>24</v>
      </c>
      <c r="F1829" t="str">
        <f>IF(Table1[[#This Row],[age]]&lt;=25,"18-25",IF(Table1[[#This Row],[age]]&lt;=35,"26-35",IF(Table1[[#This Row],[age]]&lt;=50,"36-50","51+")))</f>
        <v>18-25</v>
      </c>
      <c r="G1829" t="s">
        <v>34</v>
      </c>
      <c r="H1829" t="s">
        <v>25</v>
      </c>
      <c r="I1829" t="s">
        <v>26</v>
      </c>
      <c r="J1829" t="s">
        <v>63</v>
      </c>
      <c r="K1829" t="s">
        <v>152</v>
      </c>
      <c r="L1829">
        <v>5</v>
      </c>
      <c r="M1829">
        <v>1564.77</v>
      </c>
      <c r="N1829">
        <v>0.08</v>
      </c>
      <c r="O1829">
        <v>9104.3799999999992</v>
      </c>
      <c r="P1829">
        <v>2408.11</v>
      </c>
      <c r="Q1829">
        <v>46.89</v>
      </c>
      <c r="R1829" t="s">
        <v>65</v>
      </c>
      <c r="S1829">
        <v>2</v>
      </c>
      <c r="T1829" t="b">
        <v>0</v>
      </c>
      <c r="U1829" t="s">
        <v>30</v>
      </c>
      <c r="V1829">
        <v>4</v>
      </c>
    </row>
    <row r="1830" spans="1:22" x14ac:dyDescent="0.25">
      <c r="A1830" t="s">
        <v>4152</v>
      </c>
      <c r="B1830" s="1">
        <v>44563</v>
      </c>
      <c r="C1830" t="s">
        <v>4153</v>
      </c>
      <c r="D1830" t="s">
        <v>287</v>
      </c>
      <c r="E1830">
        <v>36</v>
      </c>
      <c r="F1830" t="str">
        <f>IF(Table1[[#This Row],[age]]&lt;=25,"18-25",IF(Table1[[#This Row],[age]]&lt;=35,"26-35",IF(Table1[[#This Row],[age]]&lt;=50,"36-50","51+")))</f>
        <v>36-50</v>
      </c>
      <c r="G1830" t="s">
        <v>24</v>
      </c>
      <c r="H1830" t="s">
        <v>61</v>
      </c>
      <c r="I1830" t="s">
        <v>91</v>
      </c>
      <c r="J1830" t="s">
        <v>115</v>
      </c>
      <c r="K1830" t="s">
        <v>145</v>
      </c>
      <c r="L1830">
        <v>6</v>
      </c>
      <c r="M1830">
        <v>72040.03</v>
      </c>
      <c r="N1830">
        <v>0.01</v>
      </c>
      <c r="O1830">
        <v>368787.75</v>
      </c>
      <c r="P1830">
        <v>39292.14</v>
      </c>
      <c r="Q1830">
        <v>53.76</v>
      </c>
      <c r="R1830" t="s">
        <v>49</v>
      </c>
      <c r="S1830">
        <v>5</v>
      </c>
      <c r="T1830" t="b">
        <v>0</v>
      </c>
      <c r="U1830" t="s">
        <v>93</v>
      </c>
      <c r="V1830">
        <v>9</v>
      </c>
    </row>
    <row r="1831" spans="1:22" x14ac:dyDescent="0.25">
      <c r="A1831" t="s">
        <v>4154</v>
      </c>
      <c r="B1831" s="1">
        <v>43911</v>
      </c>
      <c r="C1831" t="s">
        <v>4155</v>
      </c>
      <c r="D1831" t="s">
        <v>634</v>
      </c>
      <c r="E1831">
        <v>61</v>
      </c>
      <c r="F1831" t="str">
        <f>IF(Table1[[#This Row],[age]]&lt;=25,"18-25",IF(Table1[[#This Row],[age]]&lt;=35,"26-35",IF(Table1[[#This Row],[age]]&lt;=50,"36-50","51+")))</f>
        <v>51+</v>
      </c>
      <c r="G1831" t="s">
        <v>24</v>
      </c>
      <c r="H1831" t="s">
        <v>69</v>
      </c>
      <c r="I1831" t="s">
        <v>221</v>
      </c>
      <c r="J1831" t="s">
        <v>101</v>
      </c>
      <c r="K1831" t="s">
        <v>456</v>
      </c>
      <c r="L1831">
        <v>9</v>
      </c>
      <c r="M1831">
        <v>2019.71</v>
      </c>
      <c r="N1831">
        <v>0.21</v>
      </c>
      <c r="O1831">
        <v>14642.06</v>
      </c>
      <c r="P1831">
        <v>3698.35</v>
      </c>
      <c r="Q1831">
        <v>55.65</v>
      </c>
      <c r="R1831" t="s">
        <v>65</v>
      </c>
      <c r="S1831">
        <v>2</v>
      </c>
      <c r="T1831" t="b">
        <v>0</v>
      </c>
      <c r="U1831" t="s">
        <v>30</v>
      </c>
      <c r="V1831">
        <v>3</v>
      </c>
    </row>
    <row r="1832" spans="1:22" x14ac:dyDescent="0.25">
      <c r="A1832" t="s">
        <v>4156</v>
      </c>
      <c r="B1832" s="1">
        <v>44581</v>
      </c>
      <c r="C1832" t="s">
        <v>4157</v>
      </c>
      <c r="D1832" t="s">
        <v>1414</v>
      </c>
      <c r="E1832">
        <v>56</v>
      </c>
      <c r="F1832" t="str">
        <f>IF(Table1[[#This Row],[age]]&lt;=25,"18-25",IF(Table1[[#This Row],[age]]&lt;=35,"26-35",IF(Table1[[#This Row],[age]]&lt;=50,"36-50","51+")))</f>
        <v>51+</v>
      </c>
      <c r="G1832" t="s">
        <v>34</v>
      </c>
      <c r="H1832" t="s">
        <v>25</v>
      </c>
      <c r="I1832" t="s">
        <v>41</v>
      </c>
      <c r="J1832" t="s">
        <v>36</v>
      </c>
      <c r="K1832" t="s">
        <v>37</v>
      </c>
      <c r="L1832">
        <v>2</v>
      </c>
      <c r="M1832">
        <v>27991.06</v>
      </c>
      <c r="N1832">
        <v>0.24</v>
      </c>
      <c r="O1832">
        <v>34746.07</v>
      </c>
      <c r="P1832">
        <v>12370.47</v>
      </c>
      <c r="Q1832">
        <v>77.48</v>
      </c>
      <c r="R1832" t="s">
        <v>43</v>
      </c>
      <c r="S1832">
        <v>2</v>
      </c>
      <c r="T1832" t="b">
        <v>1</v>
      </c>
      <c r="U1832" t="s">
        <v>50</v>
      </c>
      <c r="V1832">
        <v>6</v>
      </c>
    </row>
    <row r="1833" spans="1:22" x14ac:dyDescent="0.25">
      <c r="A1833" t="s">
        <v>4158</v>
      </c>
      <c r="B1833" s="1">
        <v>45289</v>
      </c>
      <c r="C1833" t="s">
        <v>4159</v>
      </c>
      <c r="D1833" t="s">
        <v>1365</v>
      </c>
      <c r="E1833">
        <v>25</v>
      </c>
      <c r="F1833" t="str">
        <f>IF(Table1[[#This Row],[age]]&lt;=25,"18-25",IF(Table1[[#This Row],[age]]&lt;=35,"26-35",IF(Table1[[#This Row],[age]]&lt;=50,"36-50","51+")))</f>
        <v>18-25</v>
      </c>
      <c r="G1833" t="s">
        <v>24</v>
      </c>
      <c r="H1833" t="s">
        <v>61</v>
      </c>
      <c r="I1833" t="s">
        <v>91</v>
      </c>
      <c r="J1833" t="s">
        <v>36</v>
      </c>
      <c r="K1833" t="s">
        <v>37</v>
      </c>
      <c r="L1833">
        <v>10</v>
      </c>
      <c r="M1833">
        <v>26482.959999999999</v>
      </c>
      <c r="N1833">
        <v>0.39</v>
      </c>
      <c r="O1833">
        <v>159573.04</v>
      </c>
      <c r="P1833">
        <v>39420.71</v>
      </c>
      <c r="Q1833">
        <v>31.73</v>
      </c>
      <c r="R1833" t="s">
        <v>49</v>
      </c>
      <c r="S1833">
        <v>1</v>
      </c>
      <c r="T1833" t="b">
        <v>0</v>
      </c>
      <c r="U1833" t="s">
        <v>30</v>
      </c>
      <c r="V1833">
        <v>9</v>
      </c>
    </row>
    <row r="1834" spans="1:22" x14ac:dyDescent="0.25">
      <c r="A1834" t="s">
        <v>4160</v>
      </c>
      <c r="B1834" s="1">
        <v>44190</v>
      </c>
      <c r="C1834" t="s">
        <v>4161</v>
      </c>
      <c r="D1834" t="s">
        <v>777</v>
      </c>
      <c r="E1834">
        <v>26</v>
      </c>
      <c r="F1834" t="str">
        <f>IF(Table1[[#This Row],[age]]&lt;=25,"18-25",IF(Table1[[#This Row],[age]]&lt;=35,"26-35",IF(Table1[[#This Row],[age]]&lt;=50,"36-50","51+")))</f>
        <v>26-35</v>
      </c>
      <c r="G1834" t="s">
        <v>54</v>
      </c>
      <c r="H1834" t="s">
        <v>25</v>
      </c>
      <c r="I1834" t="s">
        <v>26</v>
      </c>
      <c r="J1834" t="s">
        <v>106</v>
      </c>
      <c r="K1834" t="s">
        <v>718</v>
      </c>
      <c r="L1834">
        <v>7</v>
      </c>
      <c r="M1834">
        <v>79.95</v>
      </c>
      <c r="N1834">
        <v>0.03</v>
      </c>
      <c r="O1834">
        <v>404.31</v>
      </c>
      <c r="P1834">
        <v>30.99</v>
      </c>
      <c r="Q1834">
        <v>45.31</v>
      </c>
      <c r="R1834" t="s">
        <v>43</v>
      </c>
      <c r="S1834">
        <v>2</v>
      </c>
      <c r="T1834" t="b">
        <v>0</v>
      </c>
      <c r="U1834" t="s">
        <v>93</v>
      </c>
      <c r="V1834">
        <v>2</v>
      </c>
    </row>
    <row r="1835" spans="1:22" x14ac:dyDescent="0.25">
      <c r="A1835" t="s">
        <v>4162</v>
      </c>
      <c r="B1835" s="1">
        <v>44439</v>
      </c>
      <c r="C1835" t="s">
        <v>4163</v>
      </c>
      <c r="D1835" t="s">
        <v>370</v>
      </c>
      <c r="E1835">
        <v>31</v>
      </c>
      <c r="F1835" t="str">
        <f>IF(Table1[[#This Row],[age]]&lt;=25,"18-25",IF(Table1[[#This Row],[age]]&lt;=35,"26-35",IF(Table1[[#This Row],[age]]&lt;=50,"36-50","51+")))</f>
        <v>26-35</v>
      </c>
      <c r="G1835" t="s">
        <v>54</v>
      </c>
      <c r="H1835" t="s">
        <v>61</v>
      </c>
      <c r="I1835" t="s">
        <v>141</v>
      </c>
      <c r="J1835" t="s">
        <v>36</v>
      </c>
      <c r="K1835" t="s">
        <v>243</v>
      </c>
      <c r="L1835">
        <v>2</v>
      </c>
      <c r="M1835">
        <v>11559.97</v>
      </c>
      <c r="N1835">
        <v>0.37</v>
      </c>
      <c r="O1835">
        <v>19813.12</v>
      </c>
      <c r="P1835">
        <v>6537.8</v>
      </c>
      <c r="Q1835">
        <v>64.47</v>
      </c>
      <c r="R1835" t="s">
        <v>57</v>
      </c>
      <c r="S1835">
        <v>5</v>
      </c>
      <c r="T1835" t="b">
        <v>0</v>
      </c>
      <c r="U1835" t="s">
        <v>30</v>
      </c>
      <c r="V1835">
        <v>6</v>
      </c>
    </row>
    <row r="1836" spans="1:22" x14ac:dyDescent="0.25">
      <c r="A1836" t="s">
        <v>4164</v>
      </c>
      <c r="B1836" s="1">
        <v>44500</v>
      </c>
      <c r="C1836" t="s">
        <v>4165</v>
      </c>
      <c r="D1836" t="s">
        <v>802</v>
      </c>
      <c r="E1836">
        <v>43</v>
      </c>
      <c r="F1836" t="str">
        <f>IF(Table1[[#This Row],[age]]&lt;=25,"18-25",IF(Table1[[#This Row],[age]]&lt;=35,"26-35",IF(Table1[[#This Row],[age]]&lt;=50,"36-50","51+")))</f>
        <v>36-50</v>
      </c>
      <c r="G1836" t="s">
        <v>24</v>
      </c>
      <c r="H1836" t="s">
        <v>61</v>
      </c>
      <c r="I1836" t="s">
        <v>141</v>
      </c>
      <c r="J1836" t="s">
        <v>27</v>
      </c>
      <c r="K1836" t="s">
        <v>28</v>
      </c>
      <c r="L1836">
        <v>8</v>
      </c>
      <c r="M1836">
        <v>902.95</v>
      </c>
      <c r="N1836">
        <v>0.02</v>
      </c>
      <c r="O1836">
        <v>6609.67</v>
      </c>
      <c r="P1836">
        <v>3273.83</v>
      </c>
      <c r="Q1836">
        <v>49.46</v>
      </c>
      <c r="R1836" t="s">
        <v>29</v>
      </c>
      <c r="S1836">
        <v>5</v>
      </c>
      <c r="T1836" t="b">
        <v>0</v>
      </c>
      <c r="U1836" t="s">
        <v>30</v>
      </c>
      <c r="V1836">
        <v>4</v>
      </c>
    </row>
    <row r="1837" spans="1:22" x14ac:dyDescent="0.25">
      <c r="A1837" t="s">
        <v>4166</v>
      </c>
      <c r="B1837" s="1">
        <v>45516</v>
      </c>
      <c r="C1837" t="s">
        <v>4167</v>
      </c>
      <c r="D1837" t="s">
        <v>191</v>
      </c>
      <c r="E1837">
        <v>24</v>
      </c>
      <c r="F1837" t="str">
        <f>IF(Table1[[#This Row],[age]]&lt;=25,"18-25",IF(Table1[[#This Row],[age]]&lt;=35,"26-35",IF(Table1[[#This Row],[age]]&lt;=50,"36-50","51+")))</f>
        <v>18-25</v>
      </c>
      <c r="G1837" t="s">
        <v>24</v>
      </c>
      <c r="H1837" t="s">
        <v>25</v>
      </c>
      <c r="I1837" t="s">
        <v>298</v>
      </c>
      <c r="J1837" t="s">
        <v>106</v>
      </c>
      <c r="K1837" t="s">
        <v>247</v>
      </c>
      <c r="L1837">
        <v>10</v>
      </c>
      <c r="M1837">
        <v>390.96</v>
      </c>
      <c r="N1837">
        <v>0.37</v>
      </c>
      <c r="O1837">
        <v>2025.46</v>
      </c>
      <c r="P1837">
        <v>195.36</v>
      </c>
      <c r="Q1837">
        <v>83.81</v>
      </c>
      <c r="R1837" t="s">
        <v>57</v>
      </c>
      <c r="S1837">
        <v>2</v>
      </c>
      <c r="T1837" t="b">
        <v>0</v>
      </c>
      <c r="U1837" t="s">
        <v>30</v>
      </c>
      <c r="V1837">
        <v>1</v>
      </c>
    </row>
    <row r="1838" spans="1:22" x14ac:dyDescent="0.25">
      <c r="A1838" t="s">
        <v>4168</v>
      </c>
      <c r="B1838" s="1">
        <v>44545</v>
      </c>
      <c r="C1838" t="s">
        <v>4169</v>
      </c>
      <c r="D1838" t="s">
        <v>174</v>
      </c>
      <c r="E1838">
        <v>45</v>
      </c>
      <c r="F1838" t="str">
        <f>IF(Table1[[#This Row],[age]]&lt;=25,"18-25",IF(Table1[[#This Row],[age]]&lt;=35,"26-35",IF(Table1[[#This Row],[age]]&lt;=50,"36-50","51+")))</f>
        <v>36-50</v>
      </c>
      <c r="G1838" t="s">
        <v>54</v>
      </c>
      <c r="H1838" t="s">
        <v>55</v>
      </c>
      <c r="I1838" t="s">
        <v>75</v>
      </c>
      <c r="J1838" t="s">
        <v>27</v>
      </c>
      <c r="K1838" t="s">
        <v>28</v>
      </c>
      <c r="L1838">
        <v>8</v>
      </c>
      <c r="M1838">
        <v>1478.6</v>
      </c>
      <c r="N1838">
        <v>7.0000000000000007E-2</v>
      </c>
      <c r="O1838">
        <v>8581.43</v>
      </c>
      <c r="P1838">
        <v>3617.51</v>
      </c>
      <c r="Q1838">
        <v>72.319999999999993</v>
      </c>
      <c r="R1838" t="s">
        <v>65</v>
      </c>
      <c r="S1838">
        <v>2</v>
      </c>
      <c r="T1838" t="b">
        <v>0</v>
      </c>
      <c r="U1838" t="s">
        <v>30</v>
      </c>
      <c r="V1838">
        <v>8</v>
      </c>
    </row>
    <row r="1839" spans="1:22" x14ac:dyDescent="0.25">
      <c r="A1839" t="s">
        <v>4170</v>
      </c>
      <c r="B1839" s="1">
        <v>45654</v>
      </c>
      <c r="C1839" t="s">
        <v>4171</v>
      </c>
      <c r="D1839" t="s">
        <v>110</v>
      </c>
      <c r="E1839">
        <v>25</v>
      </c>
      <c r="F1839" t="str">
        <f>IF(Table1[[#This Row],[age]]&lt;=25,"18-25",IF(Table1[[#This Row],[age]]&lt;=35,"26-35",IF(Table1[[#This Row],[age]]&lt;=50,"36-50","51+")))</f>
        <v>18-25</v>
      </c>
      <c r="G1839" t="s">
        <v>54</v>
      </c>
      <c r="H1839" t="s">
        <v>69</v>
      </c>
      <c r="I1839" t="s">
        <v>70</v>
      </c>
      <c r="J1839" t="s">
        <v>27</v>
      </c>
      <c r="K1839" t="s">
        <v>335</v>
      </c>
      <c r="L1839">
        <v>5</v>
      </c>
      <c r="M1839">
        <v>724.63</v>
      </c>
      <c r="N1839">
        <v>0.1</v>
      </c>
      <c r="O1839">
        <v>3163.89</v>
      </c>
      <c r="P1839">
        <v>1918.69</v>
      </c>
      <c r="Q1839">
        <v>48.49</v>
      </c>
      <c r="R1839" t="s">
        <v>57</v>
      </c>
      <c r="S1839">
        <v>5</v>
      </c>
      <c r="T1839" t="b">
        <v>0</v>
      </c>
      <c r="U1839" t="s">
        <v>30</v>
      </c>
      <c r="V1839">
        <v>6</v>
      </c>
    </row>
    <row r="1840" spans="1:22" x14ac:dyDescent="0.25">
      <c r="A1840" t="s">
        <v>4172</v>
      </c>
      <c r="B1840" s="1">
        <v>44671</v>
      </c>
      <c r="C1840" t="s">
        <v>4173</v>
      </c>
      <c r="D1840" t="s">
        <v>1274</v>
      </c>
      <c r="E1840">
        <v>46</v>
      </c>
      <c r="F1840" t="str">
        <f>IF(Table1[[#This Row],[age]]&lt;=25,"18-25",IF(Table1[[#This Row],[age]]&lt;=35,"26-35",IF(Table1[[#This Row],[age]]&lt;=50,"36-50","51+")))</f>
        <v>36-50</v>
      </c>
      <c r="G1840" t="s">
        <v>34</v>
      </c>
      <c r="H1840" t="s">
        <v>69</v>
      </c>
      <c r="I1840" t="s">
        <v>221</v>
      </c>
      <c r="J1840" t="s">
        <v>47</v>
      </c>
      <c r="K1840" t="s">
        <v>600</v>
      </c>
      <c r="L1840">
        <v>2</v>
      </c>
      <c r="M1840">
        <v>231.44</v>
      </c>
      <c r="N1840">
        <v>0.36</v>
      </c>
      <c r="O1840">
        <v>417.99</v>
      </c>
      <c r="P1840">
        <v>155.21</v>
      </c>
      <c r="Q1840">
        <v>103.55</v>
      </c>
      <c r="R1840" t="s">
        <v>43</v>
      </c>
      <c r="S1840">
        <v>3</v>
      </c>
      <c r="T1840" t="b">
        <v>0</v>
      </c>
      <c r="U1840" t="s">
        <v>71</v>
      </c>
      <c r="V1840">
        <v>8</v>
      </c>
    </row>
    <row r="1841" spans="1:22" x14ac:dyDescent="0.25">
      <c r="A1841" t="s">
        <v>4174</v>
      </c>
      <c r="B1841" s="1">
        <v>45648</v>
      </c>
      <c r="C1841" t="s">
        <v>4175</v>
      </c>
      <c r="D1841" t="s">
        <v>513</v>
      </c>
      <c r="E1841">
        <v>28</v>
      </c>
      <c r="F1841" t="str">
        <f>IF(Table1[[#This Row],[age]]&lt;=25,"18-25",IF(Table1[[#This Row],[age]]&lt;=35,"26-35",IF(Table1[[#This Row],[age]]&lt;=50,"36-50","51+")))</f>
        <v>26-35</v>
      </c>
      <c r="G1841" t="s">
        <v>54</v>
      </c>
      <c r="H1841" t="s">
        <v>55</v>
      </c>
      <c r="I1841" t="s">
        <v>56</v>
      </c>
      <c r="J1841" t="s">
        <v>106</v>
      </c>
      <c r="K1841" t="s">
        <v>188</v>
      </c>
      <c r="L1841">
        <v>10</v>
      </c>
      <c r="M1841">
        <v>194.61</v>
      </c>
      <c r="N1841">
        <v>0.27</v>
      </c>
      <c r="O1841">
        <v>1329.87</v>
      </c>
      <c r="P1841">
        <v>143.25</v>
      </c>
      <c r="Q1841">
        <v>23.86</v>
      </c>
      <c r="R1841" t="s">
        <v>43</v>
      </c>
      <c r="S1841">
        <v>2</v>
      </c>
      <c r="T1841" t="b">
        <v>0</v>
      </c>
      <c r="U1841" t="s">
        <v>30</v>
      </c>
      <c r="V1841">
        <v>5</v>
      </c>
    </row>
    <row r="1842" spans="1:22" x14ac:dyDescent="0.25">
      <c r="A1842" t="s">
        <v>4176</v>
      </c>
      <c r="B1842" s="1">
        <v>45060</v>
      </c>
      <c r="C1842" t="s">
        <v>4177</v>
      </c>
      <c r="D1842" t="s">
        <v>3477</v>
      </c>
      <c r="E1842">
        <v>32</v>
      </c>
      <c r="F1842" t="str">
        <f>IF(Table1[[#This Row],[age]]&lt;=25,"18-25",IF(Table1[[#This Row],[age]]&lt;=35,"26-35",IF(Table1[[#This Row],[age]]&lt;=50,"36-50","51+")))</f>
        <v>26-35</v>
      </c>
      <c r="G1842" t="s">
        <v>54</v>
      </c>
      <c r="H1842" t="s">
        <v>25</v>
      </c>
      <c r="I1842" t="s">
        <v>41</v>
      </c>
      <c r="J1842" t="s">
        <v>27</v>
      </c>
      <c r="K1842" t="s">
        <v>335</v>
      </c>
      <c r="L1842">
        <v>3</v>
      </c>
      <c r="M1842">
        <v>975.85</v>
      </c>
      <c r="N1842">
        <v>0.14000000000000001</v>
      </c>
      <c r="O1842">
        <v>3386.22</v>
      </c>
      <c r="P1842">
        <v>2179.66</v>
      </c>
      <c r="Q1842">
        <v>87.45</v>
      </c>
      <c r="R1842" t="s">
        <v>57</v>
      </c>
      <c r="S1842">
        <v>2</v>
      </c>
      <c r="T1842" t="b">
        <v>0</v>
      </c>
      <c r="U1842" t="s">
        <v>93</v>
      </c>
      <c r="V1842">
        <v>10</v>
      </c>
    </row>
    <row r="1843" spans="1:22" x14ac:dyDescent="0.25">
      <c r="A1843" t="s">
        <v>4178</v>
      </c>
      <c r="B1843" s="1">
        <v>45349</v>
      </c>
      <c r="C1843" t="s">
        <v>4179</v>
      </c>
      <c r="D1843" t="s">
        <v>446</v>
      </c>
      <c r="E1843">
        <v>29</v>
      </c>
      <c r="F1843" t="str">
        <f>IF(Table1[[#This Row],[age]]&lt;=25,"18-25",IF(Table1[[#This Row],[age]]&lt;=35,"26-35",IF(Table1[[#This Row],[age]]&lt;=50,"36-50","51+")))</f>
        <v>26-35</v>
      </c>
      <c r="G1843" t="s">
        <v>54</v>
      </c>
      <c r="H1843" t="s">
        <v>25</v>
      </c>
      <c r="I1843" t="s">
        <v>41</v>
      </c>
      <c r="J1843" t="s">
        <v>27</v>
      </c>
      <c r="K1843" t="s">
        <v>192</v>
      </c>
      <c r="L1843">
        <v>1</v>
      </c>
      <c r="M1843">
        <v>848.25</v>
      </c>
      <c r="N1843">
        <v>0.04</v>
      </c>
      <c r="O1843">
        <v>894.07</v>
      </c>
      <c r="P1843">
        <v>422.93</v>
      </c>
      <c r="Q1843">
        <v>74.23</v>
      </c>
      <c r="R1843" t="s">
        <v>49</v>
      </c>
      <c r="S1843">
        <v>5</v>
      </c>
      <c r="T1843" t="b">
        <v>0</v>
      </c>
      <c r="U1843" t="s">
        <v>30</v>
      </c>
      <c r="V1843">
        <v>9</v>
      </c>
    </row>
    <row r="1844" spans="1:22" x14ac:dyDescent="0.25">
      <c r="A1844" t="s">
        <v>4180</v>
      </c>
      <c r="B1844" s="1">
        <v>45345</v>
      </c>
      <c r="C1844" t="s">
        <v>4181</v>
      </c>
      <c r="D1844" t="s">
        <v>708</v>
      </c>
      <c r="E1844">
        <v>35</v>
      </c>
      <c r="F1844" t="str">
        <f>IF(Table1[[#This Row],[age]]&lt;=25,"18-25",IF(Table1[[#This Row],[age]]&lt;=35,"26-35",IF(Table1[[#This Row],[age]]&lt;=50,"36-50","51+")))</f>
        <v>26-35</v>
      </c>
      <c r="G1844" t="s">
        <v>54</v>
      </c>
      <c r="H1844" t="s">
        <v>55</v>
      </c>
      <c r="I1844" t="s">
        <v>97</v>
      </c>
      <c r="J1844" t="s">
        <v>115</v>
      </c>
      <c r="K1844" t="s">
        <v>145</v>
      </c>
      <c r="L1844">
        <v>9</v>
      </c>
      <c r="M1844">
        <v>70923.399999999994</v>
      </c>
      <c r="N1844">
        <v>0.34</v>
      </c>
      <c r="O1844">
        <v>506257.71</v>
      </c>
      <c r="P1844">
        <v>52952.38</v>
      </c>
      <c r="Q1844">
        <v>42.34</v>
      </c>
      <c r="R1844" t="s">
        <v>65</v>
      </c>
      <c r="S1844">
        <v>2</v>
      </c>
      <c r="T1844" t="b">
        <v>0</v>
      </c>
      <c r="U1844" t="s">
        <v>30</v>
      </c>
      <c r="V1844">
        <v>3</v>
      </c>
    </row>
    <row r="1845" spans="1:22" x14ac:dyDescent="0.25">
      <c r="A1845" t="s">
        <v>4182</v>
      </c>
      <c r="B1845" s="1">
        <v>44285</v>
      </c>
      <c r="C1845" t="s">
        <v>4183</v>
      </c>
      <c r="D1845" t="s">
        <v>151</v>
      </c>
      <c r="E1845">
        <v>19</v>
      </c>
      <c r="F1845" t="str">
        <f>IF(Table1[[#This Row],[age]]&lt;=25,"18-25",IF(Table1[[#This Row],[age]]&lt;=35,"26-35",IF(Table1[[#This Row],[age]]&lt;=50,"36-50","51+")))</f>
        <v>18-25</v>
      </c>
      <c r="G1845" t="s">
        <v>54</v>
      </c>
      <c r="H1845" t="s">
        <v>25</v>
      </c>
      <c r="I1845" t="s">
        <v>26</v>
      </c>
      <c r="J1845" t="s">
        <v>47</v>
      </c>
      <c r="K1845" t="s">
        <v>48</v>
      </c>
      <c r="L1845">
        <v>6</v>
      </c>
      <c r="M1845">
        <v>1364.16</v>
      </c>
      <c r="N1845">
        <v>0.39</v>
      </c>
      <c r="O1845">
        <v>5115.87</v>
      </c>
      <c r="P1845">
        <v>1835.6</v>
      </c>
      <c r="Q1845">
        <v>62.5</v>
      </c>
      <c r="R1845" t="s">
        <v>65</v>
      </c>
      <c r="S1845">
        <v>4</v>
      </c>
      <c r="T1845" t="b">
        <v>0</v>
      </c>
      <c r="U1845" t="s">
        <v>193</v>
      </c>
      <c r="V1845">
        <v>2</v>
      </c>
    </row>
    <row r="1846" spans="1:22" x14ac:dyDescent="0.25">
      <c r="A1846" t="s">
        <v>4184</v>
      </c>
      <c r="B1846" s="1">
        <v>44210</v>
      </c>
      <c r="C1846" t="s">
        <v>4185</v>
      </c>
      <c r="D1846" t="s">
        <v>3692</v>
      </c>
      <c r="E1846">
        <v>43</v>
      </c>
      <c r="F1846" t="str">
        <f>IF(Table1[[#This Row],[age]]&lt;=25,"18-25",IF(Table1[[#This Row],[age]]&lt;=35,"26-35",IF(Table1[[#This Row],[age]]&lt;=50,"36-50","51+")))</f>
        <v>36-50</v>
      </c>
      <c r="G1846" t="s">
        <v>54</v>
      </c>
      <c r="H1846" t="s">
        <v>80</v>
      </c>
      <c r="I1846" t="s">
        <v>86</v>
      </c>
      <c r="J1846" t="s">
        <v>115</v>
      </c>
      <c r="K1846" t="s">
        <v>137</v>
      </c>
      <c r="L1846">
        <v>2</v>
      </c>
      <c r="M1846">
        <v>43066.95</v>
      </c>
      <c r="N1846">
        <v>0.25</v>
      </c>
      <c r="O1846">
        <v>50066.36</v>
      </c>
      <c r="P1846">
        <v>6929.76</v>
      </c>
      <c r="Q1846">
        <v>69.88</v>
      </c>
      <c r="R1846" t="s">
        <v>92</v>
      </c>
      <c r="S1846">
        <v>2</v>
      </c>
      <c r="T1846" t="b">
        <v>0</v>
      </c>
      <c r="U1846" t="s">
        <v>30</v>
      </c>
      <c r="V1846">
        <v>7</v>
      </c>
    </row>
    <row r="1847" spans="1:22" x14ac:dyDescent="0.25">
      <c r="A1847" t="s">
        <v>4186</v>
      </c>
      <c r="B1847" s="1">
        <v>44063</v>
      </c>
      <c r="C1847" t="s">
        <v>4187</v>
      </c>
      <c r="D1847" t="s">
        <v>2021</v>
      </c>
      <c r="E1847">
        <v>46</v>
      </c>
      <c r="F1847" t="str">
        <f>IF(Table1[[#This Row],[age]]&lt;=25,"18-25",IF(Table1[[#This Row],[age]]&lt;=35,"26-35",IF(Table1[[#This Row],[age]]&lt;=50,"36-50","51+")))</f>
        <v>36-50</v>
      </c>
      <c r="G1847" t="s">
        <v>24</v>
      </c>
      <c r="H1847" t="s">
        <v>69</v>
      </c>
      <c r="I1847" t="s">
        <v>181</v>
      </c>
      <c r="J1847" t="s">
        <v>115</v>
      </c>
      <c r="K1847" t="s">
        <v>197</v>
      </c>
      <c r="L1847">
        <v>1</v>
      </c>
      <c r="M1847">
        <v>39870.46</v>
      </c>
      <c r="N1847">
        <v>0.14000000000000001</v>
      </c>
      <c r="O1847">
        <v>42279.37</v>
      </c>
      <c r="P1847">
        <v>4768.46</v>
      </c>
      <c r="Q1847">
        <v>76.58</v>
      </c>
      <c r="R1847" t="s">
        <v>29</v>
      </c>
      <c r="S1847">
        <v>4</v>
      </c>
      <c r="T1847" t="b">
        <v>0</v>
      </c>
      <c r="U1847" t="s">
        <v>30</v>
      </c>
      <c r="V1847">
        <v>1</v>
      </c>
    </row>
    <row r="1848" spans="1:22" x14ac:dyDescent="0.25">
      <c r="A1848" t="s">
        <v>4188</v>
      </c>
      <c r="B1848" s="1">
        <v>44714</v>
      </c>
      <c r="C1848" t="s">
        <v>4189</v>
      </c>
      <c r="D1848" t="s">
        <v>2213</v>
      </c>
      <c r="E1848">
        <v>24</v>
      </c>
      <c r="F1848" t="str">
        <f>IF(Table1[[#This Row],[age]]&lt;=25,"18-25",IF(Table1[[#This Row],[age]]&lt;=35,"26-35",IF(Table1[[#This Row],[age]]&lt;=50,"36-50","51+")))</f>
        <v>18-25</v>
      </c>
      <c r="G1848" t="s">
        <v>34</v>
      </c>
      <c r="H1848" t="s">
        <v>55</v>
      </c>
      <c r="I1848" t="s">
        <v>97</v>
      </c>
      <c r="J1848" t="s">
        <v>115</v>
      </c>
      <c r="K1848" t="s">
        <v>545</v>
      </c>
      <c r="L1848">
        <v>4</v>
      </c>
      <c r="M1848">
        <v>79903.31</v>
      </c>
      <c r="N1848">
        <v>0.19</v>
      </c>
      <c r="O1848">
        <v>381040.75</v>
      </c>
      <c r="P1848">
        <v>46291.37</v>
      </c>
      <c r="Q1848">
        <v>49.66</v>
      </c>
      <c r="R1848" t="s">
        <v>57</v>
      </c>
      <c r="S1848">
        <v>2</v>
      </c>
      <c r="T1848" t="b">
        <v>0</v>
      </c>
      <c r="U1848" t="s">
        <v>30</v>
      </c>
      <c r="V1848">
        <v>9</v>
      </c>
    </row>
    <row r="1849" spans="1:22" x14ac:dyDescent="0.25">
      <c r="A1849" t="s">
        <v>4190</v>
      </c>
      <c r="B1849" s="1">
        <v>44525</v>
      </c>
      <c r="C1849" t="s">
        <v>4191</v>
      </c>
      <c r="D1849" t="s">
        <v>2598</v>
      </c>
      <c r="E1849">
        <v>32</v>
      </c>
      <c r="F1849" t="str">
        <f>IF(Table1[[#This Row],[age]]&lt;=25,"18-25",IF(Table1[[#This Row],[age]]&lt;=35,"26-35",IF(Table1[[#This Row],[age]]&lt;=50,"36-50","51+")))</f>
        <v>26-35</v>
      </c>
      <c r="G1849" t="s">
        <v>54</v>
      </c>
      <c r="H1849" t="s">
        <v>80</v>
      </c>
      <c r="I1849" t="s">
        <v>242</v>
      </c>
      <c r="J1849" t="s">
        <v>27</v>
      </c>
      <c r="K1849" t="s">
        <v>128</v>
      </c>
      <c r="L1849">
        <v>8</v>
      </c>
      <c r="M1849">
        <v>1747.96</v>
      </c>
      <c r="N1849">
        <v>0.04</v>
      </c>
      <c r="O1849">
        <v>10534.51</v>
      </c>
      <c r="P1849">
        <v>5549.08</v>
      </c>
      <c r="Q1849">
        <v>70.95</v>
      </c>
      <c r="R1849" t="s">
        <v>65</v>
      </c>
      <c r="S1849">
        <v>5</v>
      </c>
      <c r="T1849" t="b">
        <v>0</v>
      </c>
      <c r="U1849" t="s">
        <v>30</v>
      </c>
      <c r="V1849">
        <v>9</v>
      </c>
    </row>
    <row r="1850" spans="1:22" x14ac:dyDescent="0.25">
      <c r="A1850" t="s">
        <v>4192</v>
      </c>
      <c r="B1850" s="1">
        <v>44986</v>
      </c>
      <c r="C1850" t="s">
        <v>4193</v>
      </c>
      <c r="D1850" t="s">
        <v>551</v>
      </c>
      <c r="E1850">
        <v>29</v>
      </c>
      <c r="F1850" t="str">
        <f>IF(Table1[[#This Row],[age]]&lt;=25,"18-25",IF(Table1[[#This Row],[age]]&lt;=35,"26-35",IF(Table1[[#This Row],[age]]&lt;=50,"36-50","51+")))</f>
        <v>26-35</v>
      </c>
      <c r="G1850" t="s">
        <v>34</v>
      </c>
      <c r="H1850" t="s">
        <v>25</v>
      </c>
      <c r="I1850" t="s">
        <v>26</v>
      </c>
      <c r="J1850" t="s">
        <v>47</v>
      </c>
      <c r="K1850" t="s">
        <v>156</v>
      </c>
      <c r="L1850">
        <v>7</v>
      </c>
      <c r="M1850">
        <v>286.55</v>
      </c>
      <c r="N1850">
        <v>0.19</v>
      </c>
      <c r="O1850">
        <v>1865.14</v>
      </c>
      <c r="P1850">
        <v>943.5</v>
      </c>
      <c r="Q1850">
        <v>60.27</v>
      </c>
      <c r="R1850" t="s">
        <v>49</v>
      </c>
      <c r="S1850">
        <v>1</v>
      </c>
      <c r="T1850" t="b">
        <v>0</v>
      </c>
      <c r="U1850" t="s">
        <v>93</v>
      </c>
      <c r="V1850">
        <v>1</v>
      </c>
    </row>
    <row r="1851" spans="1:22" x14ac:dyDescent="0.25">
      <c r="A1851" t="s">
        <v>4194</v>
      </c>
      <c r="B1851" s="1">
        <v>45263</v>
      </c>
      <c r="C1851" t="s">
        <v>4195</v>
      </c>
      <c r="D1851" t="s">
        <v>1662</v>
      </c>
      <c r="E1851">
        <v>30</v>
      </c>
      <c r="F1851" t="str">
        <f>IF(Table1[[#This Row],[age]]&lt;=25,"18-25",IF(Table1[[#This Row],[age]]&lt;=35,"26-35",IF(Table1[[#This Row],[age]]&lt;=50,"36-50","51+")))</f>
        <v>26-35</v>
      </c>
      <c r="G1851" t="s">
        <v>54</v>
      </c>
      <c r="H1851" t="s">
        <v>25</v>
      </c>
      <c r="I1851" t="s">
        <v>26</v>
      </c>
      <c r="J1851" t="s">
        <v>47</v>
      </c>
      <c r="K1851" t="s">
        <v>120</v>
      </c>
      <c r="L1851">
        <v>1</v>
      </c>
      <c r="M1851">
        <v>1377.62</v>
      </c>
      <c r="N1851">
        <v>0.12</v>
      </c>
      <c r="O1851">
        <v>1266.17</v>
      </c>
      <c r="P1851">
        <v>565.49</v>
      </c>
      <c r="Q1851">
        <v>53.93</v>
      </c>
      <c r="R1851" t="s">
        <v>57</v>
      </c>
      <c r="S1851">
        <v>4</v>
      </c>
      <c r="T1851" t="b">
        <v>0</v>
      </c>
      <c r="U1851" t="s">
        <v>93</v>
      </c>
      <c r="V1851">
        <v>3</v>
      </c>
    </row>
    <row r="1852" spans="1:22" x14ac:dyDescent="0.25">
      <c r="A1852" t="s">
        <v>4196</v>
      </c>
      <c r="B1852" s="1">
        <v>45512</v>
      </c>
      <c r="C1852" t="s">
        <v>4197</v>
      </c>
      <c r="D1852" t="s">
        <v>910</v>
      </c>
      <c r="E1852">
        <v>35</v>
      </c>
      <c r="F1852" t="str">
        <f>IF(Table1[[#This Row],[age]]&lt;=25,"18-25",IF(Table1[[#This Row],[age]]&lt;=35,"26-35",IF(Table1[[#This Row],[age]]&lt;=50,"36-50","51+")))</f>
        <v>26-35</v>
      </c>
      <c r="G1852" t="s">
        <v>24</v>
      </c>
      <c r="H1852" t="s">
        <v>61</v>
      </c>
      <c r="I1852" t="s">
        <v>141</v>
      </c>
      <c r="J1852" t="s">
        <v>36</v>
      </c>
      <c r="K1852" t="s">
        <v>230</v>
      </c>
      <c r="L1852">
        <v>3</v>
      </c>
      <c r="M1852">
        <v>19778.53</v>
      </c>
      <c r="N1852">
        <v>0.22</v>
      </c>
      <c r="O1852">
        <v>67218.58</v>
      </c>
      <c r="P1852">
        <v>15015.41</v>
      </c>
      <c r="Q1852">
        <v>30.24</v>
      </c>
      <c r="R1852" t="s">
        <v>65</v>
      </c>
      <c r="S1852">
        <v>3</v>
      </c>
      <c r="T1852" t="b">
        <v>0</v>
      </c>
      <c r="U1852" t="s">
        <v>30</v>
      </c>
      <c r="V1852">
        <v>5</v>
      </c>
    </row>
    <row r="1853" spans="1:22" x14ac:dyDescent="0.25">
      <c r="A1853" t="s">
        <v>4198</v>
      </c>
      <c r="B1853" s="1">
        <v>43954</v>
      </c>
      <c r="C1853" t="s">
        <v>4199</v>
      </c>
      <c r="D1853" t="s">
        <v>502</v>
      </c>
      <c r="E1853">
        <v>47</v>
      </c>
      <c r="F1853" t="str">
        <f>IF(Table1[[#This Row],[age]]&lt;=25,"18-25",IF(Table1[[#This Row],[age]]&lt;=35,"26-35",IF(Table1[[#This Row],[age]]&lt;=50,"36-50","51+")))</f>
        <v>36-50</v>
      </c>
      <c r="G1853" t="s">
        <v>24</v>
      </c>
      <c r="H1853" t="s">
        <v>69</v>
      </c>
      <c r="I1853" t="s">
        <v>221</v>
      </c>
      <c r="J1853" t="s">
        <v>63</v>
      </c>
      <c r="K1853" t="s">
        <v>64</v>
      </c>
      <c r="L1853">
        <v>5</v>
      </c>
      <c r="M1853">
        <v>1209.8399999999999</v>
      </c>
      <c r="N1853">
        <v>0.26</v>
      </c>
      <c r="O1853">
        <v>5409.13</v>
      </c>
      <c r="P1853">
        <v>1839.27</v>
      </c>
      <c r="Q1853">
        <v>70.069999999999993</v>
      </c>
      <c r="R1853" t="s">
        <v>57</v>
      </c>
      <c r="S1853">
        <v>1</v>
      </c>
      <c r="T1853" t="b">
        <v>0</v>
      </c>
      <c r="U1853" t="s">
        <v>30</v>
      </c>
      <c r="V1853">
        <v>7</v>
      </c>
    </row>
    <row r="1854" spans="1:22" x14ac:dyDescent="0.25">
      <c r="A1854" t="s">
        <v>4200</v>
      </c>
      <c r="B1854" s="1">
        <v>45082</v>
      </c>
      <c r="C1854" t="s">
        <v>4201</v>
      </c>
      <c r="D1854" t="s">
        <v>1406</v>
      </c>
      <c r="E1854">
        <v>61</v>
      </c>
      <c r="F1854" t="str">
        <f>IF(Table1[[#This Row],[age]]&lt;=25,"18-25",IF(Table1[[#This Row],[age]]&lt;=35,"26-35",IF(Table1[[#This Row],[age]]&lt;=50,"36-50","51+")))</f>
        <v>51+</v>
      </c>
      <c r="G1854" t="s">
        <v>54</v>
      </c>
      <c r="H1854" t="s">
        <v>69</v>
      </c>
      <c r="I1854" t="s">
        <v>136</v>
      </c>
      <c r="J1854" t="s">
        <v>27</v>
      </c>
      <c r="K1854" t="s">
        <v>168</v>
      </c>
      <c r="L1854">
        <v>1</v>
      </c>
      <c r="M1854">
        <v>830.66</v>
      </c>
      <c r="N1854">
        <v>0.15</v>
      </c>
      <c r="O1854">
        <v>1004.6</v>
      </c>
      <c r="P1854">
        <v>465.76</v>
      </c>
      <c r="Q1854">
        <v>56.2</v>
      </c>
      <c r="R1854" t="s">
        <v>49</v>
      </c>
      <c r="S1854">
        <v>5</v>
      </c>
      <c r="T1854" t="b">
        <v>0</v>
      </c>
      <c r="U1854" t="s">
        <v>93</v>
      </c>
      <c r="V1854">
        <v>10</v>
      </c>
    </row>
    <row r="1855" spans="1:22" x14ac:dyDescent="0.25">
      <c r="A1855" t="s">
        <v>4202</v>
      </c>
      <c r="B1855" s="1">
        <v>44257</v>
      </c>
      <c r="C1855" t="s">
        <v>4203</v>
      </c>
      <c r="D1855" t="s">
        <v>2432</v>
      </c>
      <c r="E1855">
        <v>43</v>
      </c>
      <c r="F1855" t="str">
        <f>IF(Table1[[#This Row],[age]]&lt;=25,"18-25",IF(Table1[[#This Row],[age]]&lt;=35,"26-35",IF(Table1[[#This Row],[age]]&lt;=50,"36-50","51+")))</f>
        <v>36-50</v>
      </c>
      <c r="G1855" t="s">
        <v>34</v>
      </c>
      <c r="H1855" t="s">
        <v>61</v>
      </c>
      <c r="I1855" t="s">
        <v>62</v>
      </c>
      <c r="J1855" t="s">
        <v>27</v>
      </c>
      <c r="K1855" t="s">
        <v>128</v>
      </c>
      <c r="L1855">
        <v>9</v>
      </c>
      <c r="M1855">
        <v>1071.8800000000001</v>
      </c>
      <c r="N1855">
        <v>0.21</v>
      </c>
      <c r="O1855">
        <v>6143.09</v>
      </c>
      <c r="P1855">
        <v>3577.85</v>
      </c>
      <c r="Q1855">
        <v>64.180000000000007</v>
      </c>
      <c r="R1855" t="s">
        <v>29</v>
      </c>
      <c r="S1855">
        <v>5</v>
      </c>
      <c r="T1855" t="b">
        <v>0</v>
      </c>
      <c r="U1855" t="s">
        <v>30</v>
      </c>
      <c r="V1855">
        <v>9</v>
      </c>
    </row>
    <row r="1856" spans="1:22" x14ac:dyDescent="0.25">
      <c r="A1856" t="s">
        <v>4204</v>
      </c>
      <c r="B1856" s="1">
        <v>44168</v>
      </c>
      <c r="C1856" t="s">
        <v>4205</v>
      </c>
      <c r="D1856" t="s">
        <v>629</v>
      </c>
      <c r="E1856">
        <v>45</v>
      </c>
      <c r="F1856" t="str">
        <f>IF(Table1[[#This Row],[age]]&lt;=25,"18-25",IF(Table1[[#This Row],[age]]&lt;=35,"26-35",IF(Table1[[#This Row],[age]]&lt;=50,"36-50","51+")))</f>
        <v>36-50</v>
      </c>
      <c r="G1856" t="s">
        <v>24</v>
      </c>
      <c r="H1856" t="s">
        <v>55</v>
      </c>
      <c r="I1856" t="s">
        <v>114</v>
      </c>
      <c r="J1856" t="s">
        <v>101</v>
      </c>
      <c r="K1856" t="s">
        <v>124</v>
      </c>
      <c r="L1856">
        <v>2</v>
      </c>
      <c r="M1856">
        <v>2618.63</v>
      </c>
      <c r="N1856">
        <v>0.37</v>
      </c>
      <c r="O1856">
        <v>2183.04</v>
      </c>
      <c r="P1856">
        <v>381.86</v>
      </c>
      <c r="Q1856">
        <v>63.43</v>
      </c>
      <c r="R1856" t="s">
        <v>43</v>
      </c>
      <c r="S1856">
        <v>1</v>
      </c>
      <c r="T1856" t="b">
        <v>0</v>
      </c>
      <c r="U1856" t="s">
        <v>30</v>
      </c>
      <c r="V1856">
        <v>10</v>
      </c>
    </row>
    <row r="1857" spans="1:22" x14ac:dyDescent="0.25">
      <c r="A1857" t="s">
        <v>4206</v>
      </c>
      <c r="B1857" s="1">
        <v>45255</v>
      </c>
      <c r="C1857" t="s">
        <v>4207</v>
      </c>
      <c r="D1857" t="s">
        <v>3506</v>
      </c>
      <c r="E1857">
        <v>41</v>
      </c>
      <c r="F1857" t="str">
        <f>IF(Table1[[#This Row],[age]]&lt;=25,"18-25",IF(Table1[[#This Row],[age]]&lt;=35,"26-35",IF(Table1[[#This Row],[age]]&lt;=50,"36-50","51+")))</f>
        <v>36-50</v>
      </c>
      <c r="G1857" t="s">
        <v>54</v>
      </c>
      <c r="H1857" t="s">
        <v>61</v>
      </c>
      <c r="I1857" t="s">
        <v>62</v>
      </c>
      <c r="J1857" t="s">
        <v>101</v>
      </c>
      <c r="K1857" t="s">
        <v>124</v>
      </c>
      <c r="L1857">
        <v>5</v>
      </c>
      <c r="M1857">
        <v>7855.23</v>
      </c>
      <c r="N1857">
        <v>0.26</v>
      </c>
      <c r="O1857">
        <v>24768.639999999999</v>
      </c>
      <c r="P1857">
        <v>5747.72</v>
      </c>
      <c r="Q1857">
        <v>37.97</v>
      </c>
      <c r="R1857" t="s">
        <v>57</v>
      </c>
      <c r="S1857">
        <v>1</v>
      </c>
      <c r="T1857" t="b">
        <v>1</v>
      </c>
      <c r="U1857" t="s">
        <v>50</v>
      </c>
      <c r="V1857">
        <v>2</v>
      </c>
    </row>
    <row r="1858" spans="1:22" x14ac:dyDescent="0.25">
      <c r="A1858" t="s">
        <v>4208</v>
      </c>
      <c r="B1858" s="1">
        <v>44173</v>
      </c>
      <c r="C1858" t="s">
        <v>4209</v>
      </c>
      <c r="D1858" t="s">
        <v>1220</v>
      </c>
      <c r="E1858">
        <v>51</v>
      </c>
      <c r="F1858" t="str">
        <f>IF(Table1[[#This Row],[age]]&lt;=25,"18-25",IF(Table1[[#This Row],[age]]&lt;=35,"26-35",IF(Table1[[#This Row],[age]]&lt;=50,"36-50","51+")))</f>
        <v>51+</v>
      </c>
      <c r="G1858" t="s">
        <v>34</v>
      </c>
      <c r="H1858" t="s">
        <v>69</v>
      </c>
      <c r="I1858" t="s">
        <v>181</v>
      </c>
      <c r="J1858" t="s">
        <v>115</v>
      </c>
      <c r="K1858" t="s">
        <v>197</v>
      </c>
      <c r="L1858">
        <v>8</v>
      </c>
      <c r="M1858">
        <v>43322.03</v>
      </c>
      <c r="N1858">
        <v>0.27</v>
      </c>
      <c r="O1858">
        <v>257970.06</v>
      </c>
      <c r="P1858">
        <v>20962.59</v>
      </c>
      <c r="Q1858">
        <v>81.23</v>
      </c>
      <c r="R1858" t="s">
        <v>57</v>
      </c>
      <c r="S1858">
        <v>5</v>
      </c>
      <c r="T1858" t="b">
        <v>0</v>
      </c>
      <c r="U1858" t="s">
        <v>71</v>
      </c>
      <c r="V1858">
        <v>3</v>
      </c>
    </row>
    <row r="1859" spans="1:22" x14ac:dyDescent="0.25">
      <c r="A1859" t="s">
        <v>4210</v>
      </c>
      <c r="B1859" s="1">
        <v>44571</v>
      </c>
      <c r="C1859" t="s">
        <v>4211</v>
      </c>
      <c r="D1859" t="s">
        <v>1977</v>
      </c>
      <c r="E1859">
        <v>35</v>
      </c>
      <c r="F1859" t="str">
        <f>IF(Table1[[#This Row],[age]]&lt;=25,"18-25",IF(Table1[[#This Row],[age]]&lt;=35,"26-35",IF(Table1[[#This Row],[age]]&lt;=50,"36-50","51+")))</f>
        <v>26-35</v>
      </c>
      <c r="G1859" t="s">
        <v>54</v>
      </c>
      <c r="H1859" t="s">
        <v>55</v>
      </c>
      <c r="I1859" t="s">
        <v>97</v>
      </c>
      <c r="J1859" t="s">
        <v>101</v>
      </c>
      <c r="K1859" t="s">
        <v>456</v>
      </c>
      <c r="L1859">
        <v>3</v>
      </c>
      <c r="M1859">
        <v>14314.59</v>
      </c>
      <c r="N1859">
        <v>0.28000000000000003</v>
      </c>
      <c r="O1859">
        <v>24565.05</v>
      </c>
      <c r="P1859">
        <v>6700.1</v>
      </c>
      <c r="Q1859">
        <v>49.08</v>
      </c>
      <c r="R1859" t="s">
        <v>29</v>
      </c>
      <c r="S1859">
        <v>2</v>
      </c>
      <c r="T1859" t="b">
        <v>1</v>
      </c>
      <c r="U1859" t="s">
        <v>50</v>
      </c>
      <c r="V1859">
        <v>7</v>
      </c>
    </row>
    <row r="1860" spans="1:22" x14ac:dyDescent="0.25">
      <c r="A1860" t="s">
        <v>4212</v>
      </c>
      <c r="B1860" s="1">
        <v>44764</v>
      </c>
      <c r="C1860" t="s">
        <v>4213</v>
      </c>
      <c r="D1860" t="s">
        <v>1023</v>
      </c>
      <c r="E1860">
        <v>40</v>
      </c>
      <c r="F1860" t="str">
        <f>IF(Table1[[#This Row],[age]]&lt;=25,"18-25",IF(Table1[[#This Row],[age]]&lt;=35,"26-35",IF(Table1[[#This Row],[age]]&lt;=50,"36-50","51+")))</f>
        <v>36-50</v>
      </c>
      <c r="G1860" t="s">
        <v>24</v>
      </c>
      <c r="H1860" t="s">
        <v>69</v>
      </c>
      <c r="I1860" t="s">
        <v>136</v>
      </c>
      <c r="J1860" t="s">
        <v>106</v>
      </c>
      <c r="K1860" t="s">
        <v>331</v>
      </c>
      <c r="L1860">
        <v>8</v>
      </c>
      <c r="M1860">
        <v>473.04</v>
      </c>
      <c r="N1860">
        <v>0.33</v>
      </c>
      <c r="O1860">
        <v>4049.28</v>
      </c>
      <c r="P1860">
        <v>301.36</v>
      </c>
      <c r="Q1860">
        <v>76.099999999999994</v>
      </c>
      <c r="R1860" t="s">
        <v>49</v>
      </c>
      <c r="S1860">
        <v>5</v>
      </c>
      <c r="T1860" t="b">
        <v>0</v>
      </c>
      <c r="U1860" t="s">
        <v>30</v>
      </c>
      <c r="V1860">
        <v>9</v>
      </c>
    </row>
    <row r="1861" spans="1:22" x14ac:dyDescent="0.25">
      <c r="A1861" t="s">
        <v>4214</v>
      </c>
      <c r="B1861" s="1">
        <v>44594</v>
      </c>
      <c r="C1861" t="s">
        <v>4215</v>
      </c>
      <c r="D1861" t="s">
        <v>640</v>
      </c>
      <c r="E1861">
        <v>39</v>
      </c>
      <c r="F1861" t="str">
        <f>IF(Table1[[#This Row],[age]]&lt;=25,"18-25",IF(Table1[[#This Row],[age]]&lt;=35,"26-35",IF(Table1[[#This Row],[age]]&lt;=50,"36-50","51+")))</f>
        <v>36-50</v>
      </c>
      <c r="G1861" t="s">
        <v>24</v>
      </c>
      <c r="H1861" t="s">
        <v>25</v>
      </c>
      <c r="I1861" t="s">
        <v>35</v>
      </c>
      <c r="J1861" t="s">
        <v>101</v>
      </c>
      <c r="K1861" t="s">
        <v>102</v>
      </c>
      <c r="L1861">
        <v>7</v>
      </c>
      <c r="M1861">
        <v>6522.84</v>
      </c>
      <c r="N1861">
        <v>0.09</v>
      </c>
      <c r="O1861">
        <v>37840.550000000003</v>
      </c>
      <c r="P1861">
        <v>7201.91</v>
      </c>
      <c r="Q1861">
        <v>45.29</v>
      </c>
      <c r="R1861" t="s">
        <v>43</v>
      </c>
      <c r="S1861">
        <v>3</v>
      </c>
      <c r="T1861" t="b">
        <v>1</v>
      </c>
      <c r="U1861" t="s">
        <v>50</v>
      </c>
      <c r="V1861">
        <v>3</v>
      </c>
    </row>
    <row r="1862" spans="1:22" x14ac:dyDescent="0.25">
      <c r="A1862" t="s">
        <v>4216</v>
      </c>
      <c r="B1862" s="1">
        <v>44073</v>
      </c>
      <c r="C1862" t="s">
        <v>4217</v>
      </c>
      <c r="D1862" t="s">
        <v>1445</v>
      </c>
      <c r="E1862">
        <v>27</v>
      </c>
      <c r="F1862" t="str">
        <f>IF(Table1[[#This Row],[age]]&lt;=25,"18-25",IF(Table1[[#This Row],[age]]&lt;=35,"26-35",IF(Table1[[#This Row],[age]]&lt;=50,"36-50","51+")))</f>
        <v>26-35</v>
      </c>
      <c r="G1862" t="s">
        <v>54</v>
      </c>
      <c r="H1862" t="s">
        <v>55</v>
      </c>
      <c r="I1862" t="s">
        <v>114</v>
      </c>
      <c r="J1862" t="s">
        <v>106</v>
      </c>
      <c r="K1862" t="s">
        <v>107</v>
      </c>
      <c r="L1862">
        <v>1</v>
      </c>
      <c r="M1862">
        <v>387.88</v>
      </c>
      <c r="N1862">
        <v>0.39</v>
      </c>
      <c r="O1862">
        <v>293.72000000000003</v>
      </c>
      <c r="P1862">
        <v>15.64</v>
      </c>
      <c r="Q1862">
        <v>65.680000000000007</v>
      </c>
      <c r="R1862" t="s">
        <v>57</v>
      </c>
      <c r="S1862">
        <v>4</v>
      </c>
      <c r="T1862" t="b">
        <v>0</v>
      </c>
      <c r="U1862" t="s">
        <v>30</v>
      </c>
      <c r="V1862">
        <v>7</v>
      </c>
    </row>
    <row r="1863" spans="1:22" x14ac:dyDescent="0.25">
      <c r="A1863" t="s">
        <v>4218</v>
      </c>
      <c r="B1863" s="1">
        <v>43831</v>
      </c>
      <c r="C1863" t="s">
        <v>4219</v>
      </c>
      <c r="D1863" t="s">
        <v>1039</v>
      </c>
      <c r="E1863">
        <v>43</v>
      </c>
      <c r="F1863" t="str">
        <f>IF(Table1[[#This Row],[age]]&lt;=25,"18-25",IF(Table1[[#This Row],[age]]&lt;=35,"26-35",IF(Table1[[#This Row],[age]]&lt;=50,"36-50","51+")))</f>
        <v>36-50</v>
      </c>
      <c r="G1863" t="s">
        <v>24</v>
      </c>
      <c r="H1863" t="s">
        <v>55</v>
      </c>
      <c r="I1863" t="s">
        <v>75</v>
      </c>
      <c r="J1863" t="s">
        <v>27</v>
      </c>
      <c r="K1863" t="s">
        <v>480</v>
      </c>
      <c r="L1863">
        <v>1</v>
      </c>
      <c r="M1863">
        <v>2179.09</v>
      </c>
      <c r="N1863">
        <v>0.26</v>
      </c>
      <c r="O1863">
        <v>1240</v>
      </c>
      <c r="P1863">
        <v>548.45000000000005</v>
      </c>
      <c r="Q1863">
        <v>71</v>
      </c>
      <c r="R1863" t="s">
        <v>29</v>
      </c>
      <c r="S1863">
        <v>5</v>
      </c>
      <c r="T1863" t="b">
        <v>0</v>
      </c>
      <c r="U1863" t="s">
        <v>193</v>
      </c>
      <c r="V1863">
        <v>9</v>
      </c>
    </row>
    <row r="1864" spans="1:22" x14ac:dyDescent="0.25">
      <c r="A1864" t="s">
        <v>4220</v>
      </c>
      <c r="B1864" s="1">
        <v>44277</v>
      </c>
      <c r="C1864" t="s">
        <v>4221</v>
      </c>
      <c r="D1864" t="s">
        <v>262</v>
      </c>
      <c r="E1864">
        <v>48</v>
      </c>
      <c r="F1864" t="str">
        <f>IF(Table1[[#This Row],[age]]&lt;=25,"18-25",IF(Table1[[#This Row],[age]]&lt;=35,"26-35",IF(Table1[[#This Row],[age]]&lt;=50,"36-50","51+")))</f>
        <v>36-50</v>
      </c>
      <c r="G1864" t="s">
        <v>34</v>
      </c>
      <c r="H1864" t="s">
        <v>80</v>
      </c>
      <c r="I1864" t="s">
        <v>81</v>
      </c>
      <c r="J1864" t="s">
        <v>27</v>
      </c>
      <c r="K1864" t="s">
        <v>335</v>
      </c>
      <c r="L1864">
        <v>5</v>
      </c>
      <c r="M1864">
        <v>357.2</v>
      </c>
      <c r="N1864">
        <v>0.25</v>
      </c>
      <c r="O1864">
        <v>1350.29</v>
      </c>
      <c r="P1864">
        <v>473.38</v>
      </c>
      <c r="Q1864">
        <v>95.58</v>
      </c>
      <c r="R1864" t="s">
        <v>65</v>
      </c>
      <c r="S1864">
        <v>3</v>
      </c>
      <c r="T1864" t="b">
        <v>0</v>
      </c>
      <c r="U1864" t="s">
        <v>30</v>
      </c>
      <c r="V1864">
        <v>8</v>
      </c>
    </row>
    <row r="1865" spans="1:22" x14ac:dyDescent="0.25">
      <c r="A1865" t="s">
        <v>4222</v>
      </c>
      <c r="B1865" s="1">
        <v>45621</v>
      </c>
      <c r="C1865" t="s">
        <v>4223</v>
      </c>
      <c r="D1865" t="s">
        <v>220</v>
      </c>
      <c r="E1865">
        <v>38</v>
      </c>
      <c r="F1865" t="str">
        <f>IF(Table1[[#This Row],[age]]&lt;=25,"18-25",IF(Table1[[#This Row],[age]]&lt;=35,"26-35",IF(Table1[[#This Row],[age]]&lt;=50,"36-50","51+")))</f>
        <v>36-50</v>
      </c>
      <c r="G1865" t="s">
        <v>34</v>
      </c>
      <c r="H1865" t="s">
        <v>25</v>
      </c>
      <c r="I1865" t="s">
        <v>298</v>
      </c>
      <c r="J1865" t="s">
        <v>63</v>
      </c>
      <c r="K1865" t="s">
        <v>87</v>
      </c>
      <c r="L1865">
        <v>8</v>
      </c>
      <c r="M1865">
        <v>2242.21</v>
      </c>
      <c r="N1865">
        <v>0.08</v>
      </c>
      <c r="O1865">
        <v>15849.85</v>
      </c>
      <c r="P1865">
        <v>5745.26</v>
      </c>
      <c r="Q1865">
        <v>58.08</v>
      </c>
      <c r="R1865" t="s">
        <v>65</v>
      </c>
      <c r="S1865">
        <v>3</v>
      </c>
      <c r="T1865" t="b">
        <v>0</v>
      </c>
      <c r="U1865" t="s">
        <v>71</v>
      </c>
      <c r="V1865">
        <v>5</v>
      </c>
    </row>
    <row r="1866" spans="1:22" x14ac:dyDescent="0.25">
      <c r="A1866" t="s">
        <v>4224</v>
      </c>
      <c r="B1866" s="1">
        <v>45177</v>
      </c>
      <c r="C1866" t="s">
        <v>4225</v>
      </c>
      <c r="D1866" t="s">
        <v>449</v>
      </c>
      <c r="E1866">
        <v>31</v>
      </c>
      <c r="F1866" t="str">
        <f>IF(Table1[[#This Row],[age]]&lt;=25,"18-25",IF(Table1[[#This Row],[age]]&lt;=35,"26-35",IF(Table1[[#This Row],[age]]&lt;=50,"36-50","51+")))</f>
        <v>26-35</v>
      </c>
      <c r="G1866" t="s">
        <v>34</v>
      </c>
      <c r="H1866" t="s">
        <v>80</v>
      </c>
      <c r="I1866" t="s">
        <v>86</v>
      </c>
      <c r="J1866" t="s">
        <v>106</v>
      </c>
      <c r="K1866" t="s">
        <v>247</v>
      </c>
      <c r="L1866">
        <v>6</v>
      </c>
      <c r="M1866">
        <v>180.04</v>
      </c>
      <c r="N1866">
        <v>0.37</v>
      </c>
      <c r="O1866">
        <v>955.97</v>
      </c>
      <c r="P1866">
        <v>84.65</v>
      </c>
      <c r="Q1866">
        <v>65.569999999999993</v>
      </c>
      <c r="R1866" t="s">
        <v>43</v>
      </c>
      <c r="S1866">
        <v>2</v>
      </c>
      <c r="T1866" t="b">
        <v>0</v>
      </c>
      <c r="U1866" t="s">
        <v>71</v>
      </c>
      <c r="V1866">
        <v>7</v>
      </c>
    </row>
    <row r="1867" spans="1:22" x14ac:dyDescent="0.25">
      <c r="A1867" t="s">
        <v>4226</v>
      </c>
      <c r="B1867" s="1">
        <v>44951</v>
      </c>
      <c r="C1867" t="s">
        <v>4227</v>
      </c>
      <c r="D1867" t="s">
        <v>1251</v>
      </c>
      <c r="E1867">
        <v>27</v>
      </c>
      <c r="F1867" t="str">
        <f>IF(Table1[[#This Row],[age]]&lt;=25,"18-25",IF(Table1[[#This Row],[age]]&lt;=35,"26-35",IF(Table1[[#This Row],[age]]&lt;=50,"36-50","51+")))</f>
        <v>26-35</v>
      </c>
      <c r="G1867" t="s">
        <v>24</v>
      </c>
      <c r="H1867" t="s">
        <v>55</v>
      </c>
      <c r="I1867" t="s">
        <v>97</v>
      </c>
      <c r="J1867" t="s">
        <v>106</v>
      </c>
      <c r="K1867" t="s">
        <v>314</v>
      </c>
      <c r="L1867">
        <v>2</v>
      </c>
      <c r="M1867">
        <v>419.88</v>
      </c>
      <c r="N1867">
        <v>0.03</v>
      </c>
      <c r="O1867">
        <v>701.1</v>
      </c>
      <c r="P1867">
        <v>57.86</v>
      </c>
      <c r="Q1867">
        <v>49.02</v>
      </c>
      <c r="R1867" t="s">
        <v>49</v>
      </c>
      <c r="S1867">
        <v>2</v>
      </c>
      <c r="T1867" t="b">
        <v>0</v>
      </c>
      <c r="U1867" t="s">
        <v>93</v>
      </c>
      <c r="V1867">
        <v>7</v>
      </c>
    </row>
    <row r="1868" spans="1:22" x14ac:dyDescent="0.25">
      <c r="A1868" t="s">
        <v>4228</v>
      </c>
      <c r="B1868" s="1">
        <v>45219</v>
      </c>
      <c r="C1868" t="s">
        <v>4229</v>
      </c>
      <c r="D1868" t="s">
        <v>685</v>
      </c>
      <c r="E1868">
        <v>37</v>
      </c>
      <c r="F1868" t="str">
        <f>IF(Table1[[#This Row],[age]]&lt;=25,"18-25",IF(Table1[[#This Row],[age]]&lt;=35,"26-35",IF(Table1[[#This Row],[age]]&lt;=50,"36-50","51+")))</f>
        <v>36-50</v>
      </c>
      <c r="G1868" t="s">
        <v>24</v>
      </c>
      <c r="H1868" t="s">
        <v>25</v>
      </c>
      <c r="I1868" t="s">
        <v>35</v>
      </c>
      <c r="J1868" t="s">
        <v>106</v>
      </c>
      <c r="K1868" t="s">
        <v>188</v>
      </c>
      <c r="L1868">
        <v>3</v>
      </c>
      <c r="M1868">
        <v>309.69</v>
      </c>
      <c r="N1868">
        <v>0.18</v>
      </c>
      <c r="O1868">
        <v>839.42</v>
      </c>
      <c r="P1868">
        <v>69.64</v>
      </c>
      <c r="Q1868">
        <v>50.8</v>
      </c>
      <c r="R1868" t="s">
        <v>65</v>
      </c>
      <c r="S1868">
        <v>1</v>
      </c>
      <c r="T1868" t="b">
        <v>0</v>
      </c>
      <c r="U1868" t="s">
        <v>30</v>
      </c>
      <c r="V1868">
        <v>1</v>
      </c>
    </row>
    <row r="1869" spans="1:22" x14ac:dyDescent="0.25">
      <c r="A1869" t="s">
        <v>4230</v>
      </c>
      <c r="B1869" s="1">
        <v>44213</v>
      </c>
      <c r="C1869" t="s">
        <v>4231</v>
      </c>
      <c r="D1869" t="s">
        <v>884</v>
      </c>
      <c r="E1869">
        <v>52</v>
      </c>
      <c r="F1869" t="str">
        <f>IF(Table1[[#This Row],[age]]&lt;=25,"18-25",IF(Table1[[#This Row],[age]]&lt;=35,"26-35",IF(Table1[[#This Row],[age]]&lt;=50,"36-50","51+")))</f>
        <v>51+</v>
      </c>
      <c r="G1869" t="s">
        <v>34</v>
      </c>
      <c r="H1869" t="s">
        <v>25</v>
      </c>
      <c r="I1869" t="s">
        <v>298</v>
      </c>
      <c r="J1869" t="s">
        <v>101</v>
      </c>
      <c r="K1869" t="s">
        <v>102</v>
      </c>
      <c r="L1869">
        <v>4</v>
      </c>
      <c r="M1869">
        <v>9859.42</v>
      </c>
      <c r="N1869">
        <v>0.1</v>
      </c>
      <c r="O1869">
        <v>30461.87</v>
      </c>
      <c r="P1869">
        <v>8214.61</v>
      </c>
      <c r="Q1869">
        <v>75.89</v>
      </c>
      <c r="R1869" t="s">
        <v>92</v>
      </c>
      <c r="S1869">
        <v>5</v>
      </c>
      <c r="T1869" t="b">
        <v>0</v>
      </c>
      <c r="U1869" t="s">
        <v>30</v>
      </c>
      <c r="V1869">
        <v>7</v>
      </c>
    </row>
    <row r="1870" spans="1:22" x14ac:dyDescent="0.25">
      <c r="A1870" t="s">
        <v>4232</v>
      </c>
      <c r="B1870" s="1">
        <v>43919</v>
      </c>
      <c r="C1870" t="s">
        <v>4233</v>
      </c>
      <c r="D1870" t="s">
        <v>646</v>
      </c>
      <c r="E1870">
        <v>34</v>
      </c>
      <c r="F1870" t="str">
        <f>IF(Table1[[#This Row],[age]]&lt;=25,"18-25",IF(Table1[[#This Row],[age]]&lt;=35,"26-35",IF(Table1[[#This Row],[age]]&lt;=50,"36-50","51+")))</f>
        <v>26-35</v>
      </c>
      <c r="G1870" t="s">
        <v>34</v>
      </c>
      <c r="H1870" t="s">
        <v>80</v>
      </c>
      <c r="I1870" t="s">
        <v>242</v>
      </c>
      <c r="J1870" t="s">
        <v>36</v>
      </c>
      <c r="K1870" t="s">
        <v>230</v>
      </c>
      <c r="L1870">
        <v>9</v>
      </c>
      <c r="M1870">
        <v>20805.29</v>
      </c>
      <c r="N1870">
        <v>0.24</v>
      </c>
      <c r="O1870">
        <v>146348.29999999999</v>
      </c>
      <c r="P1870">
        <v>36051.94</v>
      </c>
      <c r="Q1870">
        <v>59.05</v>
      </c>
      <c r="R1870" t="s">
        <v>65</v>
      </c>
      <c r="S1870">
        <v>5</v>
      </c>
      <c r="T1870" t="b">
        <v>0</v>
      </c>
      <c r="U1870" t="s">
        <v>30</v>
      </c>
      <c r="V1870">
        <v>7</v>
      </c>
    </row>
    <row r="1871" spans="1:22" x14ac:dyDescent="0.25">
      <c r="A1871" t="s">
        <v>4234</v>
      </c>
      <c r="B1871" s="1">
        <v>44104</v>
      </c>
      <c r="C1871" t="s">
        <v>4235</v>
      </c>
      <c r="D1871" t="s">
        <v>1644</v>
      </c>
      <c r="E1871">
        <v>46</v>
      </c>
      <c r="F1871" t="str">
        <f>IF(Table1[[#This Row],[age]]&lt;=25,"18-25",IF(Table1[[#This Row],[age]]&lt;=35,"26-35",IF(Table1[[#This Row],[age]]&lt;=50,"36-50","51+")))</f>
        <v>36-50</v>
      </c>
      <c r="G1871" t="s">
        <v>34</v>
      </c>
      <c r="H1871" t="s">
        <v>25</v>
      </c>
      <c r="I1871" t="s">
        <v>35</v>
      </c>
      <c r="J1871" t="s">
        <v>101</v>
      </c>
      <c r="K1871" t="s">
        <v>318</v>
      </c>
      <c r="L1871">
        <v>2</v>
      </c>
      <c r="M1871">
        <v>1417.62</v>
      </c>
      <c r="N1871">
        <v>0.33</v>
      </c>
      <c r="O1871">
        <v>1983.4</v>
      </c>
      <c r="P1871">
        <v>404.4</v>
      </c>
      <c r="Q1871">
        <v>38.22</v>
      </c>
      <c r="R1871" t="s">
        <v>65</v>
      </c>
      <c r="S1871">
        <v>1</v>
      </c>
      <c r="T1871" t="b">
        <v>0</v>
      </c>
      <c r="U1871" t="s">
        <v>30</v>
      </c>
      <c r="V1871">
        <v>4</v>
      </c>
    </row>
    <row r="1872" spans="1:22" x14ac:dyDescent="0.25">
      <c r="A1872" t="s">
        <v>4236</v>
      </c>
      <c r="B1872" s="1">
        <v>44927</v>
      </c>
      <c r="C1872" t="s">
        <v>4237</v>
      </c>
      <c r="D1872" t="s">
        <v>68</v>
      </c>
      <c r="E1872">
        <v>26</v>
      </c>
      <c r="F1872" t="str">
        <f>IF(Table1[[#This Row],[age]]&lt;=25,"18-25",IF(Table1[[#This Row],[age]]&lt;=35,"26-35",IF(Table1[[#This Row],[age]]&lt;=50,"36-50","51+")))</f>
        <v>26-35</v>
      </c>
      <c r="G1872" t="s">
        <v>54</v>
      </c>
      <c r="H1872" t="s">
        <v>55</v>
      </c>
      <c r="I1872" t="s">
        <v>75</v>
      </c>
      <c r="J1872" t="s">
        <v>63</v>
      </c>
      <c r="K1872" t="s">
        <v>152</v>
      </c>
      <c r="L1872">
        <v>8</v>
      </c>
      <c r="M1872">
        <v>2369.91</v>
      </c>
      <c r="N1872">
        <v>0.35</v>
      </c>
      <c r="O1872">
        <v>12912.46</v>
      </c>
      <c r="P1872">
        <v>4497.08</v>
      </c>
      <c r="Q1872">
        <v>59.82</v>
      </c>
      <c r="R1872" t="s">
        <v>29</v>
      </c>
      <c r="S1872">
        <v>1</v>
      </c>
      <c r="T1872" t="b">
        <v>0</v>
      </c>
      <c r="U1872" t="s">
        <v>30</v>
      </c>
      <c r="V1872">
        <v>10</v>
      </c>
    </row>
    <row r="1873" spans="1:22" x14ac:dyDescent="0.25">
      <c r="A1873" t="s">
        <v>4238</v>
      </c>
      <c r="B1873" s="1">
        <v>45089</v>
      </c>
      <c r="C1873" t="s">
        <v>4239</v>
      </c>
      <c r="D1873" t="s">
        <v>603</v>
      </c>
      <c r="E1873">
        <v>43</v>
      </c>
      <c r="F1873" t="str">
        <f>IF(Table1[[#This Row],[age]]&lt;=25,"18-25",IF(Table1[[#This Row],[age]]&lt;=35,"26-35",IF(Table1[[#This Row],[age]]&lt;=50,"36-50","51+")))</f>
        <v>36-50</v>
      </c>
      <c r="G1873" t="s">
        <v>34</v>
      </c>
      <c r="H1873" t="s">
        <v>61</v>
      </c>
      <c r="I1873" t="s">
        <v>163</v>
      </c>
      <c r="J1873" t="s">
        <v>27</v>
      </c>
      <c r="K1873" t="s">
        <v>335</v>
      </c>
      <c r="L1873">
        <v>4</v>
      </c>
      <c r="M1873">
        <v>623.29999999999995</v>
      </c>
      <c r="N1873">
        <v>0.32</v>
      </c>
      <c r="O1873">
        <v>3062.97</v>
      </c>
      <c r="P1873">
        <v>1736.95</v>
      </c>
      <c r="Q1873">
        <v>52.12</v>
      </c>
      <c r="R1873" t="s">
        <v>65</v>
      </c>
      <c r="S1873">
        <v>2</v>
      </c>
      <c r="T1873" t="b">
        <v>0</v>
      </c>
      <c r="U1873" t="s">
        <v>30</v>
      </c>
      <c r="V1873">
        <v>3</v>
      </c>
    </row>
    <row r="1874" spans="1:22" x14ac:dyDescent="0.25">
      <c r="A1874" t="s">
        <v>4240</v>
      </c>
      <c r="B1874" s="1">
        <v>44628</v>
      </c>
      <c r="C1874" t="s">
        <v>4241</v>
      </c>
      <c r="D1874" t="s">
        <v>1288</v>
      </c>
      <c r="E1874">
        <v>48</v>
      </c>
      <c r="F1874" t="str">
        <f>IF(Table1[[#This Row],[age]]&lt;=25,"18-25",IF(Table1[[#This Row],[age]]&lt;=35,"26-35",IF(Table1[[#This Row],[age]]&lt;=50,"36-50","51+")))</f>
        <v>36-50</v>
      </c>
      <c r="G1874" t="s">
        <v>54</v>
      </c>
      <c r="H1874" t="s">
        <v>61</v>
      </c>
      <c r="I1874" t="s">
        <v>62</v>
      </c>
      <c r="J1874" t="s">
        <v>106</v>
      </c>
      <c r="K1874" t="s">
        <v>188</v>
      </c>
      <c r="L1874">
        <v>1</v>
      </c>
      <c r="M1874">
        <v>259.95</v>
      </c>
      <c r="N1874">
        <v>0.3</v>
      </c>
      <c r="O1874">
        <v>210.74</v>
      </c>
      <c r="P1874">
        <v>16.68</v>
      </c>
      <c r="Q1874">
        <v>40.85</v>
      </c>
      <c r="R1874" t="s">
        <v>92</v>
      </c>
      <c r="S1874">
        <v>3</v>
      </c>
      <c r="T1874" t="b">
        <v>0</v>
      </c>
      <c r="U1874" t="s">
        <v>30</v>
      </c>
      <c r="V1874">
        <v>9</v>
      </c>
    </row>
    <row r="1875" spans="1:22" x14ac:dyDescent="0.25">
      <c r="A1875" t="s">
        <v>4242</v>
      </c>
      <c r="B1875" s="1">
        <v>44345</v>
      </c>
      <c r="C1875" t="s">
        <v>4243</v>
      </c>
      <c r="D1875" t="s">
        <v>692</v>
      </c>
      <c r="E1875">
        <v>34</v>
      </c>
      <c r="F1875" t="str">
        <f>IF(Table1[[#This Row],[age]]&lt;=25,"18-25",IF(Table1[[#This Row],[age]]&lt;=35,"26-35",IF(Table1[[#This Row],[age]]&lt;=50,"36-50","51+")))</f>
        <v>26-35</v>
      </c>
      <c r="G1875" t="s">
        <v>54</v>
      </c>
      <c r="H1875" t="s">
        <v>25</v>
      </c>
      <c r="I1875" t="s">
        <v>41</v>
      </c>
      <c r="J1875" t="s">
        <v>47</v>
      </c>
      <c r="K1875" t="s">
        <v>600</v>
      </c>
      <c r="L1875">
        <v>7</v>
      </c>
      <c r="M1875">
        <v>846.48</v>
      </c>
      <c r="N1875">
        <v>0.2</v>
      </c>
      <c r="O1875">
        <v>6420.7</v>
      </c>
      <c r="P1875">
        <v>2975.81</v>
      </c>
      <c r="Q1875">
        <v>30.99</v>
      </c>
      <c r="R1875" t="s">
        <v>57</v>
      </c>
      <c r="S1875">
        <v>3</v>
      </c>
      <c r="T1875" t="b">
        <v>0</v>
      </c>
      <c r="U1875" t="s">
        <v>30</v>
      </c>
      <c r="V1875">
        <v>1</v>
      </c>
    </row>
    <row r="1876" spans="1:22" x14ac:dyDescent="0.25">
      <c r="A1876" t="s">
        <v>4244</v>
      </c>
      <c r="B1876" s="1">
        <v>44293</v>
      </c>
      <c r="C1876" t="s">
        <v>4245</v>
      </c>
      <c r="D1876" t="s">
        <v>1406</v>
      </c>
      <c r="E1876">
        <v>23</v>
      </c>
      <c r="F1876" t="str">
        <f>IF(Table1[[#This Row],[age]]&lt;=25,"18-25",IF(Table1[[#This Row],[age]]&lt;=35,"26-35",IF(Table1[[#This Row],[age]]&lt;=50,"36-50","51+")))</f>
        <v>18-25</v>
      </c>
      <c r="G1876" t="s">
        <v>34</v>
      </c>
      <c r="H1876" t="s">
        <v>55</v>
      </c>
      <c r="I1876" t="s">
        <v>114</v>
      </c>
      <c r="J1876" t="s">
        <v>63</v>
      </c>
      <c r="K1876" t="s">
        <v>87</v>
      </c>
      <c r="L1876">
        <v>9</v>
      </c>
      <c r="M1876">
        <v>2816.32</v>
      </c>
      <c r="N1876">
        <v>0.13</v>
      </c>
      <c r="O1876">
        <v>29155.08</v>
      </c>
      <c r="P1876">
        <v>5473.17</v>
      </c>
      <c r="Q1876">
        <v>58.3</v>
      </c>
      <c r="R1876" t="s">
        <v>29</v>
      </c>
      <c r="S1876">
        <v>3</v>
      </c>
      <c r="T1876" t="b">
        <v>0</v>
      </c>
      <c r="U1876" t="s">
        <v>71</v>
      </c>
      <c r="V1876">
        <v>3</v>
      </c>
    </row>
    <row r="1877" spans="1:22" x14ac:dyDescent="0.25">
      <c r="A1877" t="s">
        <v>4246</v>
      </c>
      <c r="B1877" s="1">
        <v>45412</v>
      </c>
      <c r="C1877" t="s">
        <v>4247</v>
      </c>
      <c r="D1877" t="s">
        <v>135</v>
      </c>
      <c r="E1877">
        <v>42</v>
      </c>
      <c r="F1877" t="str">
        <f>IF(Table1[[#This Row],[age]]&lt;=25,"18-25",IF(Table1[[#This Row],[age]]&lt;=35,"26-35",IF(Table1[[#This Row],[age]]&lt;=50,"36-50","51+")))</f>
        <v>36-50</v>
      </c>
      <c r="G1877" t="s">
        <v>34</v>
      </c>
      <c r="H1877" t="s">
        <v>80</v>
      </c>
      <c r="I1877" t="s">
        <v>81</v>
      </c>
      <c r="J1877" t="s">
        <v>36</v>
      </c>
      <c r="K1877" t="s">
        <v>132</v>
      </c>
      <c r="L1877">
        <v>4</v>
      </c>
      <c r="M1877">
        <v>15880.17</v>
      </c>
      <c r="N1877">
        <v>0.08</v>
      </c>
      <c r="O1877">
        <v>96311.3</v>
      </c>
      <c r="P1877">
        <v>34839.089999999997</v>
      </c>
      <c r="Q1877">
        <v>69.260000000000005</v>
      </c>
      <c r="R1877" t="s">
        <v>29</v>
      </c>
      <c r="S1877">
        <v>4</v>
      </c>
      <c r="T1877" t="b">
        <v>0</v>
      </c>
      <c r="U1877" t="s">
        <v>30</v>
      </c>
      <c r="V1877">
        <v>4</v>
      </c>
    </row>
    <row r="1878" spans="1:22" x14ac:dyDescent="0.25">
      <c r="A1878" t="s">
        <v>4248</v>
      </c>
      <c r="B1878" s="1">
        <v>45354</v>
      </c>
      <c r="C1878" t="s">
        <v>4249</v>
      </c>
      <c r="D1878" t="s">
        <v>3214</v>
      </c>
      <c r="E1878">
        <v>25</v>
      </c>
      <c r="F1878" t="str">
        <f>IF(Table1[[#This Row],[age]]&lt;=25,"18-25",IF(Table1[[#This Row],[age]]&lt;=35,"26-35",IF(Table1[[#This Row],[age]]&lt;=50,"36-50","51+")))</f>
        <v>18-25</v>
      </c>
      <c r="G1878" t="s">
        <v>24</v>
      </c>
      <c r="H1878" t="s">
        <v>55</v>
      </c>
      <c r="I1878" t="s">
        <v>114</v>
      </c>
      <c r="J1878" t="s">
        <v>106</v>
      </c>
      <c r="K1878" t="s">
        <v>314</v>
      </c>
      <c r="L1878">
        <v>7</v>
      </c>
      <c r="M1878">
        <v>126.08</v>
      </c>
      <c r="N1878">
        <v>0.08</v>
      </c>
      <c r="O1878">
        <v>1012.38</v>
      </c>
      <c r="P1878">
        <v>81.39</v>
      </c>
      <c r="Q1878">
        <v>55.37</v>
      </c>
      <c r="R1878" t="s">
        <v>57</v>
      </c>
      <c r="S1878">
        <v>2</v>
      </c>
      <c r="T1878" t="b">
        <v>0</v>
      </c>
      <c r="U1878" t="s">
        <v>30</v>
      </c>
      <c r="V1878">
        <v>9</v>
      </c>
    </row>
    <row r="1879" spans="1:22" x14ac:dyDescent="0.25">
      <c r="A1879" t="s">
        <v>4250</v>
      </c>
      <c r="B1879" s="1">
        <v>44889</v>
      </c>
      <c r="C1879" t="s">
        <v>4251</v>
      </c>
      <c r="D1879" t="s">
        <v>1171</v>
      </c>
      <c r="E1879">
        <v>48</v>
      </c>
      <c r="F1879" t="str">
        <f>IF(Table1[[#This Row],[age]]&lt;=25,"18-25",IF(Table1[[#This Row],[age]]&lt;=35,"26-35",IF(Table1[[#This Row],[age]]&lt;=50,"36-50","51+")))</f>
        <v>36-50</v>
      </c>
      <c r="G1879" t="s">
        <v>34</v>
      </c>
      <c r="H1879" t="s">
        <v>61</v>
      </c>
      <c r="I1879" t="s">
        <v>62</v>
      </c>
      <c r="J1879" t="s">
        <v>101</v>
      </c>
      <c r="K1879" t="s">
        <v>164</v>
      </c>
      <c r="L1879">
        <v>2</v>
      </c>
      <c r="M1879">
        <v>1682.52</v>
      </c>
      <c r="N1879">
        <v>0.04</v>
      </c>
      <c r="O1879">
        <v>3162.9</v>
      </c>
      <c r="P1879">
        <v>650.21</v>
      </c>
      <c r="Q1879">
        <v>69.290000000000006</v>
      </c>
      <c r="R1879" t="s">
        <v>29</v>
      </c>
      <c r="S1879">
        <v>2</v>
      </c>
      <c r="T1879" t="b">
        <v>0</v>
      </c>
      <c r="U1879" t="s">
        <v>30</v>
      </c>
      <c r="V1879">
        <v>2</v>
      </c>
    </row>
    <row r="1880" spans="1:22" x14ac:dyDescent="0.25">
      <c r="A1880" t="s">
        <v>4252</v>
      </c>
      <c r="B1880" s="1">
        <v>44635</v>
      </c>
      <c r="C1880" t="s">
        <v>4253</v>
      </c>
      <c r="D1880" t="s">
        <v>40</v>
      </c>
      <c r="E1880">
        <v>39</v>
      </c>
      <c r="F1880" t="str">
        <f>IF(Table1[[#This Row],[age]]&lt;=25,"18-25",IF(Table1[[#This Row],[age]]&lt;=35,"26-35",IF(Table1[[#This Row],[age]]&lt;=50,"36-50","51+")))</f>
        <v>36-50</v>
      </c>
      <c r="G1880" t="s">
        <v>54</v>
      </c>
      <c r="H1880" t="s">
        <v>69</v>
      </c>
      <c r="I1880" t="s">
        <v>181</v>
      </c>
      <c r="J1880" t="s">
        <v>36</v>
      </c>
      <c r="K1880" t="s">
        <v>230</v>
      </c>
      <c r="L1880">
        <v>3</v>
      </c>
      <c r="M1880">
        <v>5315.14</v>
      </c>
      <c r="N1880">
        <v>0.2</v>
      </c>
      <c r="O1880">
        <v>17403.330000000002</v>
      </c>
      <c r="P1880">
        <v>5876.17</v>
      </c>
      <c r="Q1880">
        <v>97.08</v>
      </c>
      <c r="R1880" t="s">
        <v>57</v>
      </c>
      <c r="S1880">
        <v>5</v>
      </c>
      <c r="T1880" t="b">
        <v>0</v>
      </c>
      <c r="U1880" t="s">
        <v>30</v>
      </c>
      <c r="V1880">
        <v>6</v>
      </c>
    </row>
    <row r="1881" spans="1:22" x14ac:dyDescent="0.25">
      <c r="A1881" t="s">
        <v>4254</v>
      </c>
      <c r="B1881" s="1">
        <v>45479</v>
      </c>
      <c r="C1881" t="s">
        <v>4255</v>
      </c>
      <c r="D1881" t="s">
        <v>764</v>
      </c>
      <c r="E1881">
        <v>27</v>
      </c>
      <c r="F1881" t="str">
        <f>IF(Table1[[#This Row],[age]]&lt;=25,"18-25",IF(Table1[[#This Row],[age]]&lt;=35,"26-35",IF(Table1[[#This Row],[age]]&lt;=50,"36-50","51+")))</f>
        <v>26-35</v>
      </c>
      <c r="G1881" t="s">
        <v>54</v>
      </c>
      <c r="H1881" t="s">
        <v>80</v>
      </c>
      <c r="I1881" t="s">
        <v>236</v>
      </c>
      <c r="J1881" t="s">
        <v>27</v>
      </c>
      <c r="K1881" t="s">
        <v>28</v>
      </c>
      <c r="L1881">
        <v>7</v>
      </c>
      <c r="M1881">
        <v>1042.17</v>
      </c>
      <c r="N1881">
        <v>0.38</v>
      </c>
      <c r="O1881">
        <v>7279.6</v>
      </c>
      <c r="P1881">
        <v>3363.37</v>
      </c>
      <c r="Q1881">
        <v>71.040000000000006</v>
      </c>
      <c r="R1881" t="s">
        <v>43</v>
      </c>
      <c r="S1881">
        <v>5</v>
      </c>
      <c r="T1881" t="b">
        <v>0</v>
      </c>
      <c r="U1881" t="s">
        <v>193</v>
      </c>
      <c r="V1881">
        <v>5</v>
      </c>
    </row>
    <row r="1882" spans="1:22" x14ac:dyDescent="0.25">
      <c r="A1882" t="s">
        <v>4256</v>
      </c>
      <c r="B1882" s="1">
        <v>45355</v>
      </c>
      <c r="C1882" t="s">
        <v>4257</v>
      </c>
      <c r="D1882" t="s">
        <v>2503</v>
      </c>
      <c r="E1882">
        <v>53</v>
      </c>
      <c r="F1882" t="str">
        <f>IF(Table1[[#This Row],[age]]&lt;=25,"18-25",IF(Table1[[#This Row],[age]]&lt;=35,"26-35",IF(Table1[[#This Row],[age]]&lt;=50,"36-50","51+")))</f>
        <v>51+</v>
      </c>
      <c r="G1882" t="s">
        <v>24</v>
      </c>
      <c r="H1882" t="s">
        <v>25</v>
      </c>
      <c r="I1882" t="s">
        <v>35</v>
      </c>
      <c r="J1882" t="s">
        <v>63</v>
      </c>
      <c r="K1882" t="s">
        <v>82</v>
      </c>
      <c r="L1882">
        <v>7</v>
      </c>
      <c r="M1882">
        <v>2771.26</v>
      </c>
      <c r="N1882">
        <v>0.15</v>
      </c>
      <c r="O1882">
        <v>21782.06</v>
      </c>
      <c r="P1882">
        <v>8460.2099999999991</v>
      </c>
      <c r="Q1882">
        <v>35.65</v>
      </c>
      <c r="R1882" t="s">
        <v>57</v>
      </c>
      <c r="S1882">
        <v>5</v>
      </c>
      <c r="T1882" t="b">
        <v>0</v>
      </c>
      <c r="U1882" t="s">
        <v>30</v>
      </c>
      <c r="V1882">
        <v>7</v>
      </c>
    </row>
    <row r="1883" spans="1:22" x14ac:dyDescent="0.25">
      <c r="A1883" t="s">
        <v>4258</v>
      </c>
      <c r="B1883" s="1">
        <v>44972</v>
      </c>
      <c r="C1883" t="s">
        <v>4259</v>
      </c>
      <c r="D1883" t="s">
        <v>660</v>
      </c>
      <c r="E1883">
        <v>26</v>
      </c>
      <c r="F1883" t="str">
        <f>IF(Table1[[#This Row],[age]]&lt;=25,"18-25",IF(Table1[[#This Row],[age]]&lt;=35,"26-35",IF(Table1[[#This Row],[age]]&lt;=50,"36-50","51+")))</f>
        <v>26-35</v>
      </c>
      <c r="G1883" t="s">
        <v>34</v>
      </c>
      <c r="H1883" t="s">
        <v>61</v>
      </c>
      <c r="I1883" t="s">
        <v>163</v>
      </c>
      <c r="J1883" t="s">
        <v>27</v>
      </c>
      <c r="K1883" t="s">
        <v>128</v>
      </c>
      <c r="L1883">
        <v>3</v>
      </c>
      <c r="M1883">
        <v>1142.82</v>
      </c>
      <c r="N1883">
        <v>0.23</v>
      </c>
      <c r="O1883">
        <v>2958.07</v>
      </c>
      <c r="P1883">
        <v>1291.21</v>
      </c>
      <c r="Q1883">
        <v>53.34</v>
      </c>
      <c r="R1883" t="s">
        <v>49</v>
      </c>
      <c r="S1883">
        <v>5</v>
      </c>
      <c r="T1883" t="b">
        <v>1</v>
      </c>
      <c r="U1883" t="s">
        <v>50</v>
      </c>
      <c r="V1883">
        <v>9</v>
      </c>
    </row>
    <row r="1884" spans="1:22" x14ac:dyDescent="0.25">
      <c r="A1884" t="s">
        <v>4260</v>
      </c>
      <c r="B1884" s="1">
        <v>45172</v>
      </c>
      <c r="C1884" t="s">
        <v>4261</v>
      </c>
      <c r="D1884" t="s">
        <v>556</v>
      </c>
      <c r="E1884">
        <v>18</v>
      </c>
      <c r="F1884" t="str">
        <f>IF(Table1[[#This Row],[age]]&lt;=25,"18-25",IF(Table1[[#This Row],[age]]&lt;=35,"26-35",IF(Table1[[#This Row],[age]]&lt;=50,"36-50","51+")))</f>
        <v>18-25</v>
      </c>
      <c r="G1884" t="s">
        <v>34</v>
      </c>
      <c r="H1884" t="s">
        <v>69</v>
      </c>
      <c r="I1884" t="s">
        <v>70</v>
      </c>
      <c r="J1884" t="s">
        <v>27</v>
      </c>
      <c r="K1884" t="s">
        <v>192</v>
      </c>
      <c r="L1884">
        <v>6</v>
      </c>
      <c r="M1884">
        <v>993.05</v>
      </c>
      <c r="N1884">
        <v>0.01</v>
      </c>
      <c r="O1884">
        <v>7148.92</v>
      </c>
      <c r="P1884">
        <v>2268.41</v>
      </c>
      <c r="Q1884">
        <v>82.4</v>
      </c>
      <c r="R1884" t="s">
        <v>65</v>
      </c>
      <c r="S1884">
        <v>5</v>
      </c>
      <c r="T1884" t="b">
        <v>0</v>
      </c>
      <c r="U1884" t="s">
        <v>30</v>
      </c>
      <c r="V1884">
        <v>1</v>
      </c>
    </row>
    <row r="1885" spans="1:22" x14ac:dyDescent="0.25">
      <c r="A1885" t="s">
        <v>4262</v>
      </c>
      <c r="B1885" s="1">
        <v>45416</v>
      </c>
      <c r="C1885" t="s">
        <v>4263</v>
      </c>
      <c r="D1885" t="s">
        <v>682</v>
      </c>
      <c r="E1885">
        <v>57</v>
      </c>
      <c r="F1885" t="str">
        <f>IF(Table1[[#This Row],[age]]&lt;=25,"18-25",IF(Table1[[#This Row],[age]]&lt;=35,"26-35",IF(Table1[[#This Row],[age]]&lt;=50,"36-50","51+")))</f>
        <v>51+</v>
      </c>
      <c r="G1885" t="s">
        <v>54</v>
      </c>
      <c r="H1885" t="s">
        <v>55</v>
      </c>
      <c r="I1885" t="s">
        <v>56</v>
      </c>
      <c r="J1885" t="s">
        <v>47</v>
      </c>
      <c r="K1885" t="s">
        <v>204</v>
      </c>
      <c r="L1885">
        <v>8</v>
      </c>
      <c r="M1885">
        <v>1190.92</v>
      </c>
      <c r="N1885">
        <v>0.22</v>
      </c>
      <c r="O1885">
        <v>14021.08</v>
      </c>
      <c r="P1885">
        <v>5817.67</v>
      </c>
      <c r="Q1885">
        <v>76.180000000000007</v>
      </c>
      <c r="R1885" t="s">
        <v>65</v>
      </c>
      <c r="S1885">
        <v>3</v>
      </c>
      <c r="T1885" t="b">
        <v>1</v>
      </c>
      <c r="U1885" t="s">
        <v>50</v>
      </c>
      <c r="V1885">
        <v>1</v>
      </c>
    </row>
    <row r="1886" spans="1:22" x14ac:dyDescent="0.25">
      <c r="A1886" t="s">
        <v>4264</v>
      </c>
      <c r="B1886" s="1">
        <v>44999</v>
      </c>
      <c r="C1886" t="s">
        <v>4265</v>
      </c>
      <c r="D1886" t="s">
        <v>2003</v>
      </c>
      <c r="E1886">
        <v>46</v>
      </c>
      <c r="F1886" t="str">
        <f>IF(Table1[[#This Row],[age]]&lt;=25,"18-25",IF(Table1[[#This Row],[age]]&lt;=35,"26-35",IF(Table1[[#This Row],[age]]&lt;=50,"36-50","51+")))</f>
        <v>36-50</v>
      </c>
      <c r="G1886" t="s">
        <v>34</v>
      </c>
      <c r="H1886" t="s">
        <v>25</v>
      </c>
      <c r="I1886" t="s">
        <v>41</v>
      </c>
      <c r="J1886" t="s">
        <v>47</v>
      </c>
      <c r="K1886" t="s">
        <v>120</v>
      </c>
      <c r="L1886">
        <v>2</v>
      </c>
      <c r="M1886">
        <v>1077.1099999999999</v>
      </c>
      <c r="N1886">
        <v>0.3</v>
      </c>
      <c r="O1886">
        <v>1827.02</v>
      </c>
      <c r="P1886">
        <v>727.8</v>
      </c>
      <c r="Q1886">
        <v>61.35</v>
      </c>
      <c r="R1886" t="s">
        <v>65</v>
      </c>
      <c r="S1886">
        <v>5</v>
      </c>
      <c r="T1886" t="b">
        <v>0</v>
      </c>
      <c r="U1886" t="s">
        <v>30</v>
      </c>
      <c r="V1886">
        <v>6</v>
      </c>
    </row>
    <row r="1887" spans="1:22" x14ac:dyDescent="0.25">
      <c r="A1887" t="s">
        <v>4266</v>
      </c>
      <c r="B1887" s="1">
        <v>44158</v>
      </c>
      <c r="C1887" t="s">
        <v>4267</v>
      </c>
      <c r="D1887" t="s">
        <v>797</v>
      </c>
      <c r="E1887">
        <v>47</v>
      </c>
      <c r="F1887" t="str">
        <f>IF(Table1[[#This Row],[age]]&lt;=25,"18-25",IF(Table1[[#This Row],[age]]&lt;=35,"26-35",IF(Table1[[#This Row],[age]]&lt;=50,"36-50","51+")))</f>
        <v>36-50</v>
      </c>
      <c r="G1887" t="s">
        <v>34</v>
      </c>
      <c r="H1887" t="s">
        <v>80</v>
      </c>
      <c r="I1887" t="s">
        <v>86</v>
      </c>
      <c r="J1887" t="s">
        <v>106</v>
      </c>
      <c r="K1887" t="s">
        <v>718</v>
      </c>
      <c r="L1887">
        <v>7</v>
      </c>
      <c r="M1887">
        <v>368.78</v>
      </c>
      <c r="N1887">
        <v>0.12</v>
      </c>
      <c r="O1887">
        <v>1528.79</v>
      </c>
      <c r="P1887">
        <v>127.54</v>
      </c>
      <c r="Q1887">
        <v>66.03</v>
      </c>
      <c r="R1887" t="s">
        <v>65</v>
      </c>
      <c r="S1887">
        <v>4</v>
      </c>
      <c r="T1887" t="b">
        <v>0</v>
      </c>
      <c r="U1887" t="s">
        <v>30</v>
      </c>
      <c r="V1887">
        <v>9</v>
      </c>
    </row>
    <row r="1888" spans="1:22" x14ac:dyDescent="0.25">
      <c r="A1888" t="s">
        <v>4268</v>
      </c>
      <c r="B1888" s="1">
        <v>44172</v>
      </c>
      <c r="C1888" t="s">
        <v>4269</v>
      </c>
      <c r="D1888" t="s">
        <v>947</v>
      </c>
      <c r="E1888">
        <v>31</v>
      </c>
      <c r="F1888" t="str">
        <f>IF(Table1[[#This Row],[age]]&lt;=25,"18-25",IF(Table1[[#This Row],[age]]&lt;=35,"26-35",IF(Table1[[#This Row],[age]]&lt;=50,"36-50","51+")))</f>
        <v>26-35</v>
      </c>
      <c r="G1888" t="s">
        <v>24</v>
      </c>
      <c r="H1888" t="s">
        <v>61</v>
      </c>
      <c r="I1888" t="s">
        <v>91</v>
      </c>
      <c r="J1888" t="s">
        <v>27</v>
      </c>
      <c r="K1888" t="s">
        <v>168</v>
      </c>
      <c r="L1888">
        <v>8</v>
      </c>
      <c r="M1888">
        <v>1138.01</v>
      </c>
      <c r="N1888">
        <v>0.11</v>
      </c>
      <c r="O1888">
        <v>5468.92</v>
      </c>
      <c r="P1888">
        <v>1289.6600000000001</v>
      </c>
      <c r="Q1888">
        <v>49.38</v>
      </c>
      <c r="R1888" t="s">
        <v>92</v>
      </c>
      <c r="S1888">
        <v>2</v>
      </c>
      <c r="T1888" t="b">
        <v>0</v>
      </c>
      <c r="U1888" t="s">
        <v>30</v>
      </c>
      <c r="V1888">
        <v>2</v>
      </c>
    </row>
    <row r="1889" spans="1:22" x14ac:dyDescent="0.25">
      <c r="A1889" t="s">
        <v>4270</v>
      </c>
      <c r="B1889" s="1">
        <v>44383</v>
      </c>
      <c r="C1889" t="s">
        <v>4271</v>
      </c>
      <c r="D1889" t="s">
        <v>90</v>
      </c>
      <c r="E1889">
        <v>39</v>
      </c>
      <c r="F1889" t="str">
        <f>IF(Table1[[#This Row],[age]]&lt;=25,"18-25",IF(Table1[[#This Row],[age]]&lt;=35,"26-35",IF(Table1[[#This Row],[age]]&lt;=50,"36-50","51+")))</f>
        <v>36-50</v>
      </c>
      <c r="G1889" t="s">
        <v>54</v>
      </c>
      <c r="H1889" t="s">
        <v>80</v>
      </c>
      <c r="I1889" t="s">
        <v>242</v>
      </c>
      <c r="J1889" t="s">
        <v>36</v>
      </c>
      <c r="K1889" t="s">
        <v>132</v>
      </c>
      <c r="L1889">
        <v>7</v>
      </c>
      <c r="M1889">
        <v>20357.47</v>
      </c>
      <c r="N1889">
        <v>0.03</v>
      </c>
      <c r="O1889">
        <v>174471.77</v>
      </c>
      <c r="P1889">
        <v>45868.32</v>
      </c>
      <c r="Q1889">
        <v>75.400000000000006</v>
      </c>
      <c r="R1889" t="s">
        <v>57</v>
      </c>
      <c r="S1889">
        <v>4</v>
      </c>
      <c r="T1889" t="b">
        <v>0</v>
      </c>
      <c r="U1889" t="s">
        <v>30</v>
      </c>
      <c r="V1889">
        <v>9</v>
      </c>
    </row>
    <row r="1890" spans="1:22" x14ac:dyDescent="0.25">
      <c r="A1890" t="s">
        <v>4272</v>
      </c>
      <c r="B1890" s="1">
        <v>45291</v>
      </c>
      <c r="C1890" t="s">
        <v>4273</v>
      </c>
      <c r="D1890" t="s">
        <v>1442</v>
      </c>
      <c r="E1890">
        <v>40</v>
      </c>
      <c r="F1890" t="str">
        <f>IF(Table1[[#This Row],[age]]&lt;=25,"18-25",IF(Table1[[#This Row],[age]]&lt;=35,"26-35",IF(Table1[[#This Row],[age]]&lt;=50,"36-50","51+")))</f>
        <v>36-50</v>
      </c>
      <c r="G1890" t="s">
        <v>24</v>
      </c>
      <c r="H1890" t="s">
        <v>80</v>
      </c>
      <c r="I1890" t="s">
        <v>236</v>
      </c>
      <c r="J1890" t="s">
        <v>36</v>
      </c>
      <c r="K1890" t="s">
        <v>76</v>
      </c>
      <c r="L1890">
        <v>9</v>
      </c>
      <c r="M1890">
        <v>13849.98</v>
      </c>
      <c r="N1890">
        <v>0.25</v>
      </c>
      <c r="O1890">
        <v>72465.97</v>
      </c>
      <c r="P1890">
        <v>23060.68</v>
      </c>
      <c r="Q1890">
        <v>47.19</v>
      </c>
      <c r="R1890" t="s">
        <v>65</v>
      </c>
      <c r="S1890">
        <v>2</v>
      </c>
      <c r="T1890" t="b">
        <v>0</v>
      </c>
      <c r="U1890" t="s">
        <v>30</v>
      </c>
      <c r="V1890">
        <v>5</v>
      </c>
    </row>
    <row r="1891" spans="1:22" x14ac:dyDescent="0.25">
      <c r="A1891" t="s">
        <v>4274</v>
      </c>
      <c r="B1891" s="1">
        <v>44201</v>
      </c>
      <c r="C1891" t="s">
        <v>4275</v>
      </c>
      <c r="D1891" t="s">
        <v>1662</v>
      </c>
      <c r="E1891">
        <v>33</v>
      </c>
      <c r="F1891" t="str">
        <f>IF(Table1[[#This Row],[age]]&lt;=25,"18-25",IF(Table1[[#This Row],[age]]&lt;=35,"26-35",IF(Table1[[#This Row],[age]]&lt;=50,"36-50","51+")))</f>
        <v>26-35</v>
      </c>
      <c r="G1891" t="s">
        <v>24</v>
      </c>
      <c r="H1891" t="s">
        <v>80</v>
      </c>
      <c r="I1891" t="s">
        <v>242</v>
      </c>
      <c r="J1891" t="s">
        <v>63</v>
      </c>
      <c r="K1891" t="s">
        <v>152</v>
      </c>
      <c r="L1891">
        <v>999</v>
      </c>
      <c r="M1891">
        <v>3280.13</v>
      </c>
      <c r="N1891">
        <v>0.03</v>
      </c>
      <c r="O1891">
        <v>2586345.13</v>
      </c>
      <c r="P1891">
        <v>921794.6</v>
      </c>
      <c r="Q1891">
        <v>83.69</v>
      </c>
      <c r="R1891" t="s">
        <v>43</v>
      </c>
      <c r="S1891">
        <v>1</v>
      </c>
      <c r="T1891" t="b">
        <v>1</v>
      </c>
      <c r="U1891" t="s">
        <v>50</v>
      </c>
      <c r="V1891">
        <v>7</v>
      </c>
    </row>
    <row r="1892" spans="1:22" x14ac:dyDescent="0.25">
      <c r="A1892" t="s">
        <v>4276</v>
      </c>
      <c r="B1892" s="1">
        <v>44758</v>
      </c>
      <c r="C1892" t="s">
        <v>4277</v>
      </c>
      <c r="D1892" t="s">
        <v>317</v>
      </c>
      <c r="E1892">
        <v>36</v>
      </c>
      <c r="F1892" t="str">
        <f>IF(Table1[[#This Row],[age]]&lt;=25,"18-25",IF(Table1[[#This Row],[age]]&lt;=35,"26-35",IF(Table1[[#This Row],[age]]&lt;=50,"36-50","51+")))</f>
        <v>36-50</v>
      </c>
      <c r="G1892" t="s">
        <v>54</v>
      </c>
      <c r="H1892" t="s">
        <v>55</v>
      </c>
      <c r="I1892" t="s">
        <v>97</v>
      </c>
      <c r="J1892" t="s">
        <v>101</v>
      </c>
      <c r="K1892" t="s">
        <v>124</v>
      </c>
      <c r="L1892">
        <v>6</v>
      </c>
      <c r="M1892">
        <v>7187.46</v>
      </c>
      <c r="N1892">
        <v>0.27</v>
      </c>
      <c r="O1892">
        <v>45280.94</v>
      </c>
      <c r="P1892">
        <v>7760.51</v>
      </c>
      <c r="Q1892">
        <v>48.71</v>
      </c>
      <c r="R1892" t="s">
        <v>43</v>
      </c>
      <c r="S1892">
        <v>3</v>
      </c>
      <c r="T1892" t="b">
        <v>0</v>
      </c>
      <c r="U1892" t="s">
        <v>30</v>
      </c>
      <c r="V1892">
        <v>5</v>
      </c>
    </row>
    <row r="1893" spans="1:22" x14ac:dyDescent="0.25">
      <c r="A1893" t="s">
        <v>4278</v>
      </c>
      <c r="B1893" s="1">
        <v>44683</v>
      </c>
      <c r="C1893" t="s">
        <v>4279</v>
      </c>
      <c r="D1893" t="s">
        <v>583</v>
      </c>
      <c r="E1893">
        <v>56</v>
      </c>
      <c r="F1893" t="str">
        <f>IF(Table1[[#This Row],[age]]&lt;=25,"18-25",IF(Table1[[#This Row],[age]]&lt;=35,"26-35",IF(Table1[[#This Row],[age]]&lt;=50,"36-50","51+")))</f>
        <v>51+</v>
      </c>
      <c r="G1893" t="s">
        <v>24</v>
      </c>
      <c r="H1893" t="s">
        <v>80</v>
      </c>
      <c r="I1893" t="s">
        <v>81</v>
      </c>
      <c r="J1893" t="s">
        <v>101</v>
      </c>
      <c r="K1893" t="s">
        <v>214</v>
      </c>
      <c r="L1893">
        <v>1</v>
      </c>
      <c r="M1893">
        <v>9069.14</v>
      </c>
      <c r="N1893">
        <v>0.28999999999999998</v>
      </c>
      <c r="O1893">
        <v>8752.76</v>
      </c>
      <c r="P1893">
        <v>1861.72</v>
      </c>
      <c r="Q1893">
        <v>32.619999999999997</v>
      </c>
      <c r="R1893" t="s">
        <v>29</v>
      </c>
      <c r="S1893">
        <v>4</v>
      </c>
      <c r="T1893" t="b">
        <v>0</v>
      </c>
      <c r="U1893" t="s">
        <v>193</v>
      </c>
      <c r="V1893">
        <v>5</v>
      </c>
    </row>
    <row r="1894" spans="1:22" x14ac:dyDescent="0.25">
      <c r="A1894" t="s">
        <v>4280</v>
      </c>
      <c r="B1894" s="1">
        <v>44366</v>
      </c>
      <c r="C1894" t="s">
        <v>4281</v>
      </c>
      <c r="D1894" t="s">
        <v>674</v>
      </c>
      <c r="E1894">
        <v>34</v>
      </c>
      <c r="F1894" t="str">
        <f>IF(Table1[[#This Row],[age]]&lt;=25,"18-25",IF(Table1[[#This Row],[age]]&lt;=35,"26-35",IF(Table1[[#This Row],[age]]&lt;=50,"36-50","51+")))</f>
        <v>26-35</v>
      </c>
      <c r="G1894" t="s">
        <v>54</v>
      </c>
      <c r="H1894" t="s">
        <v>55</v>
      </c>
      <c r="I1894" t="s">
        <v>97</v>
      </c>
      <c r="J1894" t="s">
        <v>106</v>
      </c>
      <c r="K1894" t="s">
        <v>314</v>
      </c>
      <c r="L1894">
        <v>10</v>
      </c>
      <c r="M1894">
        <v>203.58</v>
      </c>
      <c r="N1894">
        <v>0.01</v>
      </c>
      <c r="O1894">
        <v>2770.83</v>
      </c>
      <c r="P1894">
        <v>255.25</v>
      </c>
      <c r="Q1894">
        <v>18.95</v>
      </c>
      <c r="R1894" t="s">
        <v>29</v>
      </c>
      <c r="S1894">
        <v>3</v>
      </c>
      <c r="T1894" t="b">
        <v>0</v>
      </c>
      <c r="U1894" t="s">
        <v>30</v>
      </c>
      <c r="V1894">
        <v>6</v>
      </c>
    </row>
    <row r="1895" spans="1:22" x14ac:dyDescent="0.25">
      <c r="A1895" t="s">
        <v>4282</v>
      </c>
      <c r="B1895" s="1">
        <v>44702</v>
      </c>
      <c r="C1895" t="s">
        <v>4283</v>
      </c>
      <c r="D1895" t="s">
        <v>96</v>
      </c>
      <c r="E1895">
        <v>28</v>
      </c>
      <c r="F1895" t="str">
        <f>IF(Table1[[#This Row],[age]]&lt;=25,"18-25",IF(Table1[[#This Row],[age]]&lt;=35,"26-35",IF(Table1[[#This Row],[age]]&lt;=50,"36-50","51+")))</f>
        <v>26-35</v>
      </c>
      <c r="G1895" t="s">
        <v>34</v>
      </c>
      <c r="H1895" t="s">
        <v>55</v>
      </c>
      <c r="I1895" t="s">
        <v>97</v>
      </c>
      <c r="J1895" t="s">
        <v>36</v>
      </c>
      <c r="K1895" t="s">
        <v>243</v>
      </c>
      <c r="L1895">
        <v>10</v>
      </c>
      <c r="M1895">
        <v>28073.85</v>
      </c>
      <c r="N1895">
        <v>0.05</v>
      </c>
      <c r="O1895">
        <v>383279</v>
      </c>
      <c r="P1895">
        <v>108417.14</v>
      </c>
      <c r="Q1895">
        <v>54.05</v>
      </c>
      <c r="R1895" t="s">
        <v>43</v>
      </c>
      <c r="S1895">
        <v>1</v>
      </c>
      <c r="T1895" t="b">
        <v>0</v>
      </c>
      <c r="U1895" t="s">
        <v>30</v>
      </c>
      <c r="V1895">
        <v>8</v>
      </c>
    </row>
    <row r="1896" spans="1:22" x14ac:dyDescent="0.25">
      <c r="A1896" t="s">
        <v>4284</v>
      </c>
      <c r="B1896" s="1">
        <v>44485</v>
      </c>
      <c r="C1896" t="s">
        <v>4285</v>
      </c>
      <c r="D1896" t="s">
        <v>1761</v>
      </c>
      <c r="E1896">
        <v>42</v>
      </c>
      <c r="F1896" t="str">
        <f>IF(Table1[[#This Row],[age]]&lt;=25,"18-25",IF(Table1[[#This Row],[age]]&lt;=35,"26-35",IF(Table1[[#This Row],[age]]&lt;=50,"36-50","51+")))</f>
        <v>36-50</v>
      </c>
      <c r="G1896" t="s">
        <v>34</v>
      </c>
      <c r="H1896" t="s">
        <v>25</v>
      </c>
      <c r="I1896" t="s">
        <v>298</v>
      </c>
      <c r="J1896" t="s">
        <v>36</v>
      </c>
      <c r="K1896" t="s">
        <v>42</v>
      </c>
      <c r="L1896">
        <v>5</v>
      </c>
      <c r="M1896">
        <v>5397.15</v>
      </c>
      <c r="N1896">
        <v>0.35</v>
      </c>
      <c r="O1896">
        <v>15752.78</v>
      </c>
      <c r="P1896">
        <v>4521.5</v>
      </c>
      <c r="Q1896">
        <v>33.64</v>
      </c>
      <c r="R1896" t="s">
        <v>43</v>
      </c>
      <c r="S1896">
        <v>5</v>
      </c>
      <c r="T1896" t="b">
        <v>0</v>
      </c>
      <c r="U1896" t="s">
        <v>30</v>
      </c>
      <c r="V1896">
        <v>3</v>
      </c>
    </row>
    <row r="1897" spans="1:22" x14ac:dyDescent="0.25">
      <c r="A1897" t="s">
        <v>4286</v>
      </c>
      <c r="B1897" s="1">
        <v>44159</v>
      </c>
      <c r="C1897" t="s">
        <v>4287</v>
      </c>
      <c r="D1897" t="s">
        <v>313</v>
      </c>
      <c r="E1897">
        <v>47</v>
      </c>
      <c r="F1897" t="str">
        <f>IF(Table1[[#This Row],[age]]&lt;=25,"18-25",IF(Table1[[#This Row],[age]]&lt;=35,"26-35",IF(Table1[[#This Row],[age]]&lt;=50,"36-50","51+")))</f>
        <v>36-50</v>
      </c>
      <c r="G1897" t="s">
        <v>34</v>
      </c>
      <c r="H1897" t="s">
        <v>80</v>
      </c>
      <c r="I1897" t="s">
        <v>242</v>
      </c>
      <c r="J1897" t="s">
        <v>36</v>
      </c>
      <c r="K1897" t="s">
        <v>132</v>
      </c>
      <c r="L1897">
        <v>5</v>
      </c>
      <c r="M1897">
        <v>20390.29</v>
      </c>
      <c r="N1897">
        <v>7.0000000000000007E-2</v>
      </c>
      <c r="O1897">
        <v>66216.67</v>
      </c>
      <c r="P1897">
        <v>23720.97</v>
      </c>
      <c r="Q1897">
        <v>102.38</v>
      </c>
      <c r="R1897" t="s">
        <v>65</v>
      </c>
      <c r="S1897">
        <v>3</v>
      </c>
      <c r="T1897" t="b">
        <v>0</v>
      </c>
      <c r="U1897" t="s">
        <v>30</v>
      </c>
      <c r="V1897">
        <v>3</v>
      </c>
    </row>
    <row r="1898" spans="1:22" x14ac:dyDescent="0.25">
      <c r="A1898" t="s">
        <v>4288</v>
      </c>
      <c r="B1898" s="1">
        <v>44661</v>
      </c>
      <c r="C1898" t="s">
        <v>4289</v>
      </c>
      <c r="D1898" t="s">
        <v>1654</v>
      </c>
      <c r="E1898">
        <v>24</v>
      </c>
      <c r="F1898" t="str">
        <f>IF(Table1[[#This Row],[age]]&lt;=25,"18-25",IF(Table1[[#This Row],[age]]&lt;=35,"26-35",IF(Table1[[#This Row],[age]]&lt;=50,"36-50","51+")))</f>
        <v>18-25</v>
      </c>
      <c r="G1898" t="s">
        <v>24</v>
      </c>
      <c r="H1898" t="s">
        <v>25</v>
      </c>
      <c r="I1898" t="s">
        <v>298</v>
      </c>
      <c r="J1898" t="s">
        <v>36</v>
      </c>
      <c r="K1898" t="s">
        <v>132</v>
      </c>
      <c r="L1898">
        <v>9</v>
      </c>
      <c r="M1898">
        <v>11907.81</v>
      </c>
      <c r="N1898">
        <v>0.18</v>
      </c>
      <c r="O1898">
        <v>119048.66</v>
      </c>
      <c r="P1898">
        <v>42582.04</v>
      </c>
      <c r="Q1898">
        <v>73.86</v>
      </c>
      <c r="R1898" t="s">
        <v>49</v>
      </c>
      <c r="S1898">
        <v>5</v>
      </c>
      <c r="T1898" t="b">
        <v>0</v>
      </c>
      <c r="U1898" t="s">
        <v>30</v>
      </c>
      <c r="V1898">
        <v>10</v>
      </c>
    </row>
    <row r="1899" spans="1:22" x14ac:dyDescent="0.25">
      <c r="A1899" t="s">
        <v>4290</v>
      </c>
      <c r="B1899" s="1">
        <v>44418</v>
      </c>
      <c r="C1899" t="s">
        <v>4291</v>
      </c>
      <c r="D1899" t="s">
        <v>539</v>
      </c>
      <c r="E1899">
        <v>30</v>
      </c>
      <c r="F1899" t="str">
        <f>IF(Table1[[#This Row],[age]]&lt;=25,"18-25",IF(Table1[[#This Row],[age]]&lt;=35,"26-35",IF(Table1[[#This Row],[age]]&lt;=50,"36-50","51+")))</f>
        <v>26-35</v>
      </c>
      <c r="G1899" t="s">
        <v>54</v>
      </c>
      <c r="H1899" t="s">
        <v>25</v>
      </c>
      <c r="I1899" t="s">
        <v>298</v>
      </c>
      <c r="J1899" t="s">
        <v>106</v>
      </c>
      <c r="K1899" t="s">
        <v>188</v>
      </c>
      <c r="L1899">
        <v>6</v>
      </c>
      <c r="M1899">
        <v>303.35000000000002</v>
      </c>
      <c r="N1899">
        <v>0.13</v>
      </c>
      <c r="O1899">
        <v>2102.56</v>
      </c>
      <c r="P1899">
        <v>144.04</v>
      </c>
      <c r="Q1899">
        <v>55.2</v>
      </c>
      <c r="R1899" t="s">
        <v>57</v>
      </c>
      <c r="S1899">
        <v>1</v>
      </c>
      <c r="T1899" t="b">
        <v>1</v>
      </c>
      <c r="U1899" t="s">
        <v>50</v>
      </c>
      <c r="V1899">
        <v>3</v>
      </c>
    </row>
    <row r="1900" spans="1:22" x14ac:dyDescent="0.25">
      <c r="A1900" t="s">
        <v>4292</v>
      </c>
      <c r="B1900" s="1">
        <v>44579</v>
      </c>
      <c r="C1900" t="s">
        <v>4293</v>
      </c>
      <c r="D1900" t="s">
        <v>3049</v>
      </c>
      <c r="E1900">
        <v>30</v>
      </c>
      <c r="F1900" t="str">
        <f>IF(Table1[[#This Row],[age]]&lt;=25,"18-25",IF(Table1[[#This Row],[age]]&lt;=35,"26-35",IF(Table1[[#This Row],[age]]&lt;=50,"36-50","51+")))</f>
        <v>26-35</v>
      </c>
      <c r="G1900" t="s">
        <v>34</v>
      </c>
      <c r="H1900" t="s">
        <v>55</v>
      </c>
      <c r="I1900" t="s">
        <v>114</v>
      </c>
      <c r="J1900" t="s">
        <v>36</v>
      </c>
      <c r="K1900" t="s">
        <v>37</v>
      </c>
      <c r="L1900">
        <v>3</v>
      </c>
      <c r="M1900">
        <v>30465.56</v>
      </c>
      <c r="N1900">
        <v>0.24</v>
      </c>
      <c r="O1900">
        <v>48391.98</v>
      </c>
      <c r="P1900">
        <v>16835.509999999998</v>
      </c>
      <c r="Q1900">
        <v>57.1</v>
      </c>
      <c r="R1900" t="s">
        <v>49</v>
      </c>
      <c r="S1900">
        <v>5</v>
      </c>
      <c r="T1900" t="b">
        <v>0</v>
      </c>
      <c r="U1900" t="s">
        <v>30</v>
      </c>
      <c r="V1900">
        <v>3</v>
      </c>
    </row>
    <row r="1901" spans="1:22" x14ac:dyDescent="0.25">
      <c r="A1901" t="s">
        <v>4294</v>
      </c>
      <c r="B1901" s="1">
        <v>44280</v>
      </c>
      <c r="C1901" t="s">
        <v>4295</v>
      </c>
      <c r="D1901" t="s">
        <v>207</v>
      </c>
      <c r="E1901">
        <v>29</v>
      </c>
      <c r="F1901" t="str">
        <f>IF(Table1[[#This Row],[age]]&lt;=25,"18-25",IF(Table1[[#This Row],[age]]&lt;=35,"26-35",IF(Table1[[#This Row],[age]]&lt;=50,"36-50","51+")))</f>
        <v>26-35</v>
      </c>
      <c r="G1901" t="s">
        <v>24</v>
      </c>
      <c r="H1901" t="s">
        <v>55</v>
      </c>
      <c r="I1901" t="s">
        <v>97</v>
      </c>
      <c r="J1901" t="s">
        <v>36</v>
      </c>
      <c r="K1901" t="s">
        <v>76</v>
      </c>
      <c r="L1901">
        <v>4</v>
      </c>
      <c r="M1901">
        <v>7372.62</v>
      </c>
      <c r="N1901">
        <v>0.11</v>
      </c>
      <c r="O1901">
        <v>32182.82</v>
      </c>
      <c r="P1901">
        <v>11067.17</v>
      </c>
      <c r="Q1901">
        <v>75.03</v>
      </c>
      <c r="R1901" t="s">
        <v>43</v>
      </c>
      <c r="S1901">
        <v>2</v>
      </c>
      <c r="T1901" t="b">
        <v>0</v>
      </c>
      <c r="U1901" t="s">
        <v>30</v>
      </c>
      <c r="V1901">
        <v>9</v>
      </c>
    </row>
    <row r="1902" spans="1:22" x14ac:dyDescent="0.25">
      <c r="A1902" t="s">
        <v>4296</v>
      </c>
      <c r="B1902" s="1">
        <v>43886</v>
      </c>
      <c r="C1902" t="s">
        <v>4297</v>
      </c>
      <c r="D1902" t="s">
        <v>2571</v>
      </c>
      <c r="E1902">
        <v>42</v>
      </c>
      <c r="F1902" t="str">
        <f>IF(Table1[[#This Row],[age]]&lt;=25,"18-25",IF(Table1[[#This Row],[age]]&lt;=35,"26-35",IF(Table1[[#This Row],[age]]&lt;=50,"36-50","51+")))</f>
        <v>36-50</v>
      </c>
      <c r="G1902" t="s">
        <v>34</v>
      </c>
      <c r="H1902" t="s">
        <v>69</v>
      </c>
      <c r="I1902" t="s">
        <v>136</v>
      </c>
      <c r="J1902" t="s">
        <v>27</v>
      </c>
      <c r="K1902" t="s">
        <v>168</v>
      </c>
      <c r="L1902">
        <v>9</v>
      </c>
      <c r="M1902">
        <v>900.37</v>
      </c>
      <c r="N1902">
        <v>0.12</v>
      </c>
      <c r="O1902">
        <v>6635.38</v>
      </c>
      <c r="P1902">
        <v>2823.39</v>
      </c>
      <c r="Q1902">
        <v>81.17</v>
      </c>
      <c r="R1902" t="s">
        <v>49</v>
      </c>
      <c r="S1902">
        <v>5</v>
      </c>
      <c r="T1902" t="b">
        <v>0</v>
      </c>
      <c r="U1902" t="s">
        <v>30</v>
      </c>
      <c r="V1902">
        <v>2</v>
      </c>
    </row>
    <row r="1903" spans="1:22" x14ac:dyDescent="0.25">
      <c r="A1903" t="s">
        <v>4298</v>
      </c>
      <c r="B1903" s="1">
        <v>44681</v>
      </c>
      <c r="C1903" t="s">
        <v>4299</v>
      </c>
      <c r="D1903" t="s">
        <v>797</v>
      </c>
      <c r="E1903">
        <v>30</v>
      </c>
      <c r="F1903" t="str">
        <f>IF(Table1[[#This Row],[age]]&lt;=25,"18-25",IF(Table1[[#This Row],[age]]&lt;=35,"26-35",IF(Table1[[#This Row],[age]]&lt;=50,"36-50","51+")))</f>
        <v>26-35</v>
      </c>
      <c r="G1903" t="s">
        <v>54</v>
      </c>
      <c r="H1903" t="s">
        <v>80</v>
      </c>
      <c r="I1903" t="s">
        <v>242</v>
      </c>
      <c r="J1903" t="s">
        <v>106</v>
      </c>
      <c r="K1903" t="s">
        <v>188</v>
      </c>
      <c r="L1903">
        <v>1</v>
      </c>
      <c r="M1903">
        <v>306.95999999999998</v>
      </c>
      <c r="N1903">
        <v>0.37</v>
      </c>
      <c r="O1903">
        <v>278.33</v>
      </c>
      <c r="P1903">
        <v>24.24</v>
      </c>
      <c r="Q1903">
        <v>44.4</v>
      </c>
      <c r="R1903" t="s">
        <v>65</v>
      </c>
      <c r="S1903">
        <v>1</v>
      </c>
      <c r="T1903" t="b">
        <v>0</v>
      </c>
      <c r="U1903" t="s">
        <v>30</v>
      </c>
      <c r="V1903">
        <v>3</v>
      </c>
    </row>
    <row r="1904" spans="1:22" x14ac:dyDescent="0.25">
      <c r="A1904" t="s">
        <v>4300</v>
      </c>
      <c r="B1904" s="1">
        <v>45185</v>
      </c>
      <c r="C1904" t="s">
        <v>4301</v>
      </c>
      <c r="D1904" t="s">
        <v>1048</v>
      </c>
      <c r="E1904">
        <v>29</v>
      </c>
      <c r="F1904" t="str">
        <f>IF(Table1[[#This Row],[age]]&lt;=25,"18-25",IF(Table1[[#This Row],[age]]&lt;=35,"26-35",IF(Table1[[#This Row],[age]]&lt;=50,"36-50","51+")))</f>
        <v>26-35</v>
      </c>
      <c r="G1904" t="s">
        <v>24</v>
      </c>
      <c r="H1904" t="s">
        <v>80</v>
      </c>
      <c r="I1904" t="s">
        <v>81</v>
      </c>
      <c r="J1904" t="s">
        <v>101</v>
      </c>
      <c r="K1904" t="s">
        <v>214</v>
      </c>
      <c r="L1904">
        <v>5</v>
      </c>
      <c r="M1904">
        <v>11278.57</v>
      </c>
      <c r="N1904">
        <v>0.2</v>
      </c>
      <c r="O1904">
        <v>57170.080000000002</v>
      </c>
      <c r="P1904">
        <v>13004.09</v>
      </c>
      <c r="Q1904">
        <v>76.709999999999994</v>
      </c>
      <c r="R1904" t="s">
        <v>29</v>
      </c>
      <c r="S1904">
        <v>2</v>
      </c>
      <c r="T1904" t="b">
        <v>0</v>
      </c>
      <c r="U1904" t="s">
        <v>71</v>
      </c>
      <c r="V1904">
        <v>4</v>
      </c>
    </row>
    <row r="1905" spans="1:22" x14ac:dyDescent="0.25">
      <c r="A1905" t="s">
        <v>4302</v>
      </c>
      <c r="B1905" s="1">
        <v>44628</v>
      </c>
      <c r="C1905" t="s">
        <v>4303</v>
      </c>
      <c r="D1905" t="s">
        <v>307</v>
      </c>
      <c r="E1905">
        <v>29</v>
      </c>
      <c r="F1905" t="str">
        <f>IF(Table1[[#This Row],[age]]&lt;=25,"18-25",IF(Table1[[#This Row],[age]]&lt;=35,"26-35",IF(Table1[[#This Row],[age]]&lt;=50,"36-50","51+")))</f>
        <v>26-35</v>
      </c>
      <c r="G1905" t="s">
        <v>54</v>
      </c>
      <c r="H1905" t="s">
        <v>80</v>
      </c>
      <c r="I1905" t="s">
        <v>86</v>
      </c>
      <c r="J1905" t="s">
        <v>47</v>
      </c>
      <c r="K1905" t="s">
        <v>48</v>
      </c>
      <c r="L1905">
        <v>1</v>
      </c>
      <c r="M1905">
        <v>1151.01</v>
      </c>
      <c r="N1905">
        <v>0.17</v>
      </c>
      <c r="O1905">
        <v>1165.98</v>
      </c>
      <c r="P1905">
        <v>528.79</v>
      </c>
      <c r="Q1905">
        <v>79.86</v>
      </c>
      <c r="R1905" t="s">
        <v>92</v>
      </c>
      <c r="S1905">
        <v>5</v>
      </c>
      <c r="T1905" t="b">
        <v>0</v>
      </c>
      <c r="U1905" t="s">
        <v>30</v>
      </c>
      <c r="V1905">
        <v>1</v>
      </c>
    </row>
    <row r="1906" spans="1:22" x14ac:dyDescent="0.25">
      <c r="A1906" t="s">
        <v>4304</v>
      </c>
      <c r="B1906" s="1">
        <v>44560</v>
      </c>
      <c r="C1906" t="s">
        <v>4305</v>
      </c>
      <c r="D1906" t="s">
        <v>1136</v>
      </c>
      <c r="E1906">
        <v>18</v>
      </c>
      <c r="F1906" t="str">
        <f>IF(Table1[[#This Row],[age]]&lt;=25,"18-25",IF(Table1[[#This Row],[age]]&lt;=35,"26-35",IF(Table1[[#This Row],[age]]&lt;=50,"36-50","51+")))</f>
        <v>18-25</v>
      </c>
      <c r="G1906" t="s">
        <v>34</v>
      </c>
      <c r="H1906" t="s">
        <v>55</v>
      </c>
      <c r="I1906" t="s">
        <v>114</v>
      </c>
      <c r="J1906" t="s">
        <v>47</v>
      </c>
      <c r="K1906" t="s">
        <v>120</v>
      </c>
      <c r="L1906">
        <v>5</v>
      </c>
      <c r="M1906">
        <v>679.37</v>
      </c>
      <c r="N1906">
        <v>0.17</v>
      </c>
      <c r="O1906">
        <v>1782.03</v>
      </c>
      <c r="P1906">
        <v>915.89</v>
      </c>
      <c r="Q1906">
        <v>55.83</v>
      </c>
      <c r="R1906" t="s">
        <v>43</v>
      </c>
      <c r="S1906">
        <v>2</v>
      </c>
      <c r="T1906" t="b">
        <v>0</v>
      </c>
      <c r="U1906" t="s">
        <v>30</v>
      </c>
      <c r="V1906">
        <v>8</v>
      </c>
    </row>
    <row r="1907" spans="1:22" x14ac:dyDescent="0.25">
      <c r="A1907" t="s">
        <v>4306</v>
      </c>
      <c r="B1907" s="1">
        <v>44050</v>
      </c>
      <c r="C1907" t="s">
        <v>4307</v>
      </c>
      <c r="D1907" t="s">
        <v>854</v>
      </c>
      <c r="E1907">
        <v>56</v>
      </c>
      <c r="F1907" t="str">
        <f>IF(Table1[[#This Row],[age]]&lt;=25,"18-25",IF(Table1[[#This Row],[age]]&lt;=35,"26-35",IF(Table1[[#This Row],[age]]&lt;=50,"36-50","51+")))</f>
        <v>51+</v>
      </c>
      <c r="G1907" t="s">
        <v>24</v>
      </c>
      <c r="H1907" t="s">
        <v>80</v>
      </c>
      <c r="I1907" t="s">
        <v>242</v>
      </c>
      <c r="J1907" t="s">
        <v>101</v>
      </c>
      <c r="K1907" t="s">
        <v>456</v>
      </c>
      <c r="L1907">
        <v>10</v>
      </c>
      <c r="M1907">
        <v>10625.78</v>
      </c>
      <c r="N1907">
        <v>0.17</v>
      </c>
      <c r="O1907">
        <v>105870.48</v>
      </c>
      <c r="P1907">
        <v>26797.52</v>
      </c>
      <c r="Q1907">
        <v>51.49</v>
      </c>
      <c r="R1907" t="s">
        <v>49</v>
      </c>
      <c r="S1907">
        <v>5</v>
      </c>
      <c r="T1907" t="b">
        <v>0</v>
      </c>
      <c r="U1907" t="s">
        <v>30</v>
      </c>
      <c r="V1907">
        <v>8</v>
      </c>
    </row>
    <row r="1908" spans="1:22" x14ac:dyDescent="0.25">
      <c r="A1908" t="s">
        <v>4308</v>
      </c>
      <c r="B1908" s="1">
        <v>44743</v>
      </c>
      <c r="C1908" t="s">
        <v>4309</v>
      </c>
      <c r="D1908" t="s">
        <v>1573</v>
      </c>
      <c r="E1908">
        <v>34</v>
      </c>
      <c r="F1908" t="str">
        <f>IF(Table1[[#This Row],[age]]&lt;=25,"18-25",IF(Table1[[#This Row],[age]]&lt;=35,"26-35",IF(Table1[[#This Row],[age]]&lt;=50,"36-50","51+")))</f>
        <v>26-35</v>
      </c>
      <c r="G1908" t="s">
        <v>24</v>
      </c>
      <c r="H1908" t="s">
        <v>25</v>
      </c>
      <c r="I1908" t="s">
        <v>35</v>
      </c>
      <c r="J1908" t="s">
        <v>115</v>
      </c>
      <c r="K1908" t="s">
        <v>398</v>
      </c>
      <c r="L1908">
        <v>5</v>
      </c>
      <c r="M1908">
        <v>38796.6</v>
      </c>
      <c r="N1908">
        <v>0.21</v>
      </c>
      <c r="O1908">
        <v>209644.29</v>
      </c>
      <c r="P1908">
        <v>25458.48</v>
      </c>
      <c r="Q1908">
        <v>62.35</v>
      </c>
      <c r="R1908" t="s">
        <v>65</v>
      </c>
      <c r="S1908">
        <v>4</v>
      </c>
      <c r="T1908" t="b">
        <v>0</v>
      </c>
      <c r="U1908" t="s">
        <v>71</v>
      </c>
      <c r="V1908">
        <v>8</v>
      </c>
    </row>
    <row r="1909" spans="1:22" x14ac:dyDescent="0.25">
      <c r="A1909" t="s">
        <v>4310</v>
      </c>
      <c r="B1909" s="1">
        <v>44408</v>
      </c>
      <c r="C1909" t="s">
        <v>4311</v>
      </c>
      <c r="D1909" t="s">
        <v>1241</v>
      </c>
      <c r="E1909">
        <v>21</v>
      </c>
      <c r="F1909" t="str">
        <f>IF(Table1[[#This Row],[age]]&lt;=25,"18-25",IF(Table1[[#This Row],[age]]&lt;=35,"26-35",IF(Table1[[#This Row],[age]]&lt;=50,"36-50","51+")))</f>
        <v>18-25</v>
      </c>
      <c r="G1909" t="s">
        <v>34</v>
      </c>
      <c r="H1909" t="s">
        <v>55</v>
      </c>
      <c r="I1909" t="s">
        <v>97</v>
      </c>
      <c r="J1909" t="s">
        <v>63</v>
      </c>
      <c r="K1909" t="s">
        <v>82</v>
      </c>
      <c r="L1909">
        <v>2</v>
      </c>
      <c r="M1909">
        <v>3825.43</v>
      </c>
      <c r="N1909">
        <v>0.38</v>
      </c>
      <c r="O1909">
        <v>5477.43</v>
      </c>
      <c r="P1909">
        <v>1454.06</v>
      </c>
      <c r="Q1909">
        <v>57.72</v>
      </c>
      <c r="R1909" t="s">
        <v>49</v>
      </c>
      <c r="S1909">
        <v>3</v>
      </c>
      <c r="T1909" t="b">
        <v>0</v>
      </c>
      <c r="U1909" t="s">
        <v>30</v>
      </c>
      <c r="V1909">
        <v>2</v>
      </c>
    </row>
    <row r="1910" spans="1:22" x14ac:dyDescent="0.25">
      <c r="A1910" t="s">
        <v>4312</v>
      </c>
      <c r="B1910" s="1">
        <v>43889</v>
      </c>
      <c r="C1910" t="s">
        <v>4313</v>
      </c>
      <c r="D1910" t="s">
        <v>1456</v>
      </c>
      <c r="E1910">
        <v>25</v>
      </c>
      <c r="F1910" t="str">
        <f>IF(Table1[[#This Row],[age]]&lt;=25,"18-25",IF(Table1[[#This Row],[age]]&lt;=35,"26-35",IF(Table1[[#This Row],[age]]&lt;=50,"36-50","51+")))</f>
        <v>18-25</v>
      </c>
      <c r="G1910" t="s">
        <v>24</v>
      </c>
      <c r="H1910" t="s">
        <v>80</v>
      </c>
      <c r="I1910" t="s">
        <v>86</v>
      </c>
      <c r="J1910" t="s">
        <v>115</v>
      </c>
      <c r="K1910" t="s">
        <v>145</v>
      </c>
      <c r="L1910">
        <v>6</v>
      </c>
      <c r="M1910">
        <v>35454.89</v>
      </c>
      <c r="N1910">
        <v>0.15</v>
      </c>
      <c r="O1910">
        <v>175411.87</v>
      </c>
      <c r="P1910">
        <v>19968.599999999999</v>
      </c>
      <c r="Q1910">
        <v>54.28</v>
      </c>
      <c r="R1910" t="s">
        <v>57</v>
      </c>
      <c r="S1910">
        <v>5</v>
      </c>
      <c r="T1910" t="b">
        <v>0</v>
      </c>
      <c r="U1910" t="s">
        <v>30</v>
      </c>
      <c r="V1910">
        <v>1</v>
      </c>
    </row>
    <row r="1911" spans="1:22" x14ac:dyDescent="0.25">
      <c r="A1911" t="s">
        <v>4314</v>
      </c>
      <c r="B1911" s="1">
        <v>45524</v>
      </c>
      <c r="C1911" t="s">
        <v>4315</v>
      </c>
      <c r="D1911" t="s">
        <v>313</v>
      </c>
      <c r="E1911">
        <v>41</v>
      </c>
      <c r="F1911" t="str">
        <f>IF(Table1[[#This Row],[age]]&lt;=25,"18-25",IF(Table1[[#This Row],[age]]&lt;=35,"26-35",IF(Table1[[#This Row],[age]]&lt;=50,"36-50","51+")))</f>
        <v>36-50</v>
      </c>
      <c r="G1911" t="s">
        <v>34</v>
      </c>
      <c r="H1911" t="s">
        <v>69</v>
      </c>
      <c r="I1911" t="s">
        <v>136</v>
      </c>
      <c r="J1911" t="s">
        <v>106</v>
      </c>
      <c r="K1911" t="s">
        <v>314</v>
      </c>
      <c r="L1911">
        <v>3</v>
      </c>
      <c r="M1911">
        <v>392.38</v>
      </c>
      <c r="N1911">
        <v>0.12</v>
      </c>
      <c r="O1911">
        <v>1567.64</v>
      </c>
      <c r="P1911">
        <v>108.65</v>
      </c>
      <c r="Q1911">
        <v>81.44</v>
      </c>
      <c r="R1911" t="s">
        <v>49</v>
      </c>
      <c r="S1911">
        <v>4</v>
      </c>
      <c r="T1911" t="b">
        <v>0</v>
      </c>
      <c r="U1911" t="s">
        <v>193</v>
      </c>
      <c r="V1911">
        <v>5</v>
      </c>
    </row>
    <row r="1912" spans="1:22" x14ac:dyDescent="0.25">
      <c r="A1912" t="s">
        <v>4316</v>
      </c>
      <c r="B1912" s="1">
        <v>44843</v>
      </c>
      <c r="C1912" t="s">
        <v>4317</v>
      </c>
      <c r="D1912" t="s">
        <v>956</v>
      </c>
      <c r="E1912">
        <v>27</v>
      </c>
      <c r="F1912" t="str">
        <f>IF(Table1[[#This Row],[age]]&lt;=25,"18-25",IF(Table1[[#This Row],[age]]&lt;=35,"26-35",IF(Table1[[#This Row],[age]]&lt;=50,"36-50","51+")))</f>
        <v>26-35</v>
      </c>
      <c r="G1912" t="s">
        <v>54</v>
      </c>
      <c r="H1912" t="s">
        <v>25</v>
      </c>
      <c r="I1912" t="s">
        <v>298</v>
      </c>
      <c r="J1912" t="s">
        <v>115</v>
      </c>
      <c r="K1912" t="s">
        <v>116</v>
      </c>
      <c r="L1912">
        <v>3</v>
      </c>
      <c r="M1912">
        <v>79758.61</v>
      </c>
      <c r="N1912">
        <v>0.33</v>
      </c>
      <c r="O1912">
        <v>167128.85999999999</v>
      </c>
      <c r="P1912">
        <v>19212.28</v>
      </c>
      <c r="Q1912">
        <v>56.24</v>
      </c>
      <c r="R1912" t="s">
        <v>29</v>
      </c>
      <c r="S1912">
        <v>1</v>
      </c>
      <c r="T1912" t="b">
        <v>0</v>
      </c>
      <c r="U1912" t="s">
        <v>71</v>
      </c>
      <c r="V1912">
        <v>2</v>
      </c>
    </row>
    <row r="1913" spans="1:22" x14ac:dyDescent="0.25">
      <c r="A1913" t="s">
        <v>4318</v>
      </c>
      <c r="B1913" s="1">
        <v>43988</v>
      </c>
      <c r="C1913" t="s">
        <v>4319</v>
      </c>
      <c r="D1913" t="s">
        <v>74</v>
      </c>
      <c r="E1913">
        <v>53</v>
      </c>
      <c r="F1913" t="str">
        <f>IF(Table1[[#This Row],[age]]&lt;=25,"18-25",IF(Table1[[#This Row],[age]]&lt;=35,"26-35",IF(Table1[[#This Row],[age]]&lt;=50,"36-50","51+")))</f>
        <v>51+</v>
      </c>
      <c r="G1913" t="s">
        <v>54</v>
      </c>
      <c r="H1913" t="s">
        <v>80</v>
      </c>
      <c r="I1913" t="s">
        <v>242</v>
      </c>
      <c r="J1913" t="s">
        <v>106</v>
      </c>
      <c r="K1913" t="s">
        <v>107</v>
      </c>
      <c r="L1913">
        <v>9</v>
      </c>
      <c r="M1913">
        <v>324.66000000000003</v>
      </c>
      <c r="N1913">
        <v>0.14000000000000001</v>
      </c>
      <c r="O1913">
        <v>3440.59</v>
      </c>
      <c r="P1913">
        <v>225.96</v>
      </c>
      <c r="Q1913">
        <v>74.78</v>
      </c>
      <c r="R1913" t="s">
        <v>29</v>
      </c>
      <c r="S1913">
        <v>1</v>
      </c>
      <c r="T1913" t="b">
        <v>1</v>
      </c>
      <c r="U1913" t="s">
        <v>50</v>
      </c>
      <c r="V1913">
        <v>5</v>
      </c>
    </row>
    <row r="1914" spans="1:22" x14ac:dyDescent="0.25">
      <c r="A1914" t="s">
        <v>4320</v>
      </c>
      <c r="B1914" s="1">
        <v>45277</v>
      </c>
      <c r="C1914" t="s">
        <v>4321</v>
      </c>
      <c r="D1914" t="s">
        <v>1212</v>
      </c>
      <c r="E1914">
        <v>54</v>
      </c>
      <c r="F1914" t="str">
        <f>IF(Table1[[#This Row],[age]]&lt;=25,"18-25",IF(Table1[[#This Row],[age]]&lt;=35,"26-35",IF(Table1[[#This Row],[age]]&lt;=50,"36-50","51+")))</f>
        <v>51+</v>
      </c>
      <c r="G1914" t="s">
        <v>24</v>
      </c>
      <c r="H1914" t="s">
        <v>55</v>
      </c>
      <c r="I1914" t="s">
        <v>114</v>
      </c>
      <c r="J1914" t="s">
        <v>115</v>
      </c>
      <c r="K1914" t="s">
        <v>197</v>
      </c>
      <c r="L1914">
        <v>5</v>
      </c>
      <c r="M1914">
        <v>39863.480000000003</v>
      </c>
      <c r="N1914">
        <v>0.33</v>
      </c>
      <c r="O1914">
        <v>99121.04</v>
      </c>
      <c r="P1914">
        <v>11921.37</v>
      </c>
      <c r="Q1914">
        <v>75.459999999999994</v>
      </c>
      <c r="R1914" t="s">
        <v>49</v>
      </c>
      <c r="S1914">
        <v>4</v>
      </c>
      <c r="T1914" t="b">
        <v>0</v>
      </c>
      <c r="U1914" t="s">
        <v>71</v>
      </c>
      <c r="V1914">
        <v>10</v>
      </c>
    </row>
    <row r="1915" spans="1:22" x14ac:dyDescent="0.25">
      <c r="A1915" t="s">
        <v>4322</v>
      </c>
      <c r="B1915" s="1">
        <v>44579</v>
      </c>
      <c r="C1915" t="s">
        <v>4323</v>
      </c>
      <c r="D1915" t="s">
        <v>177</v>
      </c>
      <c r="E1915">
        <v>36</v>
      </c>
      <c r="F1915" t="str">
        <f>IF(Table1[[#This Row],[age]]&lt;=25,"18-25",IF(Table1[[#This Row],[age]]&lt;=35,"26-35",IF(Table1[[#This Row],[age]]&lt;=50,"36-50","51+")))</f>
        <v>36-50</v>
      </c>
      <c r="G1915" t="s">
        <v>34</v>
      </c>
      <c r="H1915" t="s">
        <v>25</v>
      </c>
      <c r="I1915" t="s">
        <v>298</v>
      </c>
      <c r="J1915" t="s">
        <v>27</v>
      </c>
      <c r="K1915" t="s">
        <v>335</v>
      </c>
      <c r="L1915">
        <v>5</v>
      </c>
      <c r="M1915">
        <v>1392.93</v>
      </c>
      <c r="N1915">
        <v>0.4</v>
      </c>
      <c r="O1915">
        <v>3575.81</v>
      </c>
      <c r="P1915">
        <v>1461.67</v>
      </c>
      <c r="Q1915">
        <v>71.760000000000005</v>
      </c>
      <c r="R1915" t="s">
        <v>92</v>
      </c>
      <c r="S1915">
        <v>3</v>
      </c>
      <c r="T1915" t="b">
        <v>0</v>
      </c>
      <c r="U1915" t="s">
        <v>30</v>
      </c>
      <c r="V1915">
        <v>10</v>
      </c>
    </row>
    <row r="1916" spans="1:22" x14ac:dyDescent="0.25">
      <c r="A1916" t="s">
        <v>4324</v>
      </c>
      <c r="B1916" s="1">
        <v>44882</v>
      </c>
      <c r="C1916" t="s">
        <v>4325</v>
      </c>
      <c r="D1916" t="s">
        <v>321</v>
      </c>
      <c r="E1916">
        <v>28</v>
      </c>
      <c r="F1916" t="str">
        <f>IF(Table1[[#This Row],[age]]&lt;=25,"18-25",IF(Table1[[#This Row],[age]]&lt;=35,"26-35",IF(Table1[[#This Row],[age]]&lt;=50,"36-50","51+")))</f>
        <v>26-35</v>
      </c>
      <c r="G1916" t="s">
        <v>34</v>
      </c>
      <c r="H1916" t="s">
        <v>80</v>
      </c>
      <c r="I1916" t="s">
        <v>81</v>
      </c>
      <c r="J1916" t="s">
        <v>27</v>
      </c>
      <c r="K1916" t="s">
        <v>28</v>
      </c>
      <c r="L1916">
        <v>9</v>
      </c>
      <c r="M1916">
        <v>113.69</v>
      </c>
      <c r="N1916">
        <v>0.22</v>
      </c>
      <c r="O1916">
        <v>699.53</v>
      </c>
      <c r="P1916">
        <v>335.72</v>
      </c>
      <c r="Q1916">
        <v>40.1</v>
      </c>
      <c r="R1916" t="s">
        <v>65</v>
      </c>
      <c r="S1916">
        <v>5</v>
      </c>
      <c r="T1916" t="b">
        <v>1</v>
      </c>
      <c r="U1916" t="s">
        <v>50</v>
      </c>
      <c r="V1916">
        <v>7</v>
      </c>
    </row>
    <row r="1917" spans="1:22" x14ac:dyDescent="0.25">
      <c r="A1917" t="s">
        <v>4326</v>
      </c>
      <c r="B1917" s="1">
        <v>44967</v>
      </c>
      <c r="C1917" t="s">
        <v>4327</v>
      </c>
      <c r="D1917" t="s">
        <v>174</v>
      </c>
      <c r="E1917">
        <v>50</v>
      </c>
      <c r="F1917" t="str">
        <f>IF(Table1[[#This Row],[age]]&lt;=25,"18-25",IF(Table1[[#This Row],[age]]&lt;=35,"26-35",IF(Table1[[#This Row],[age]]&lt;=50,"36-50","51+")))</f>
        <v>36-50</v>
      </c>
      <c r="G1917" t="s">
        <v>54</v>
      </c>
      <c r="H1917" t="s">
        <v>55</v>
      </c>
      <c r="I1917" t="s">
        <v>75</v>
      </c>
      <c r="J1917" t="s">
        <v>63</v>
      </c>
      <c r="K1917" t="s">
        <v>111</v>
      </c>
      <c r="L1917">
        <v>6</v>
      </c>
      <c r="M1917">
        <v>1362.12</v>
      </c>
      <c r="N1917">
        <v>0.04</v>
      </c>
      <c r="O1917">
        <v>7638.08</v>
      </c>
      <c r="P1917">
        <v>3612.77</v>
      </c>
      <c r="Q1917">
        <v>61.28</v>
      </c>
      <c r="R1917" t="s">
        <v>57</v>
      </c>
      <c r="S1917">
        <v>4</v>
      </c>
      <c r="T1917" t="b">
        <v>0</v>
      </c>
      <c r="U1917" t="s">
        <v>30</v>
      </c>
      <c r="V1917">
        <v>8</v>
      </c>
    </row>
    <row r="1918" spans="1:22" x14ac:dyDescent="0.25">
      <c r="A1918" t="s">
        <v>4328</v>
      </c>
      <c r="B1918" s="1">
        <v>44272</v>
      </c>
      <c r="C1918" t="s">
        <v>4329</v>
      </c>
      <c r="D1918" t="s">
        <v>854</v>
      </c>
      <c r="E1918">
        <v>21</v>
      </c>
      <c r="F1918" t="str">
        <f>IF(Table1[[#This Row],[age]]&lt;=25,"18-25",IF(Table1[[#This Row],[age]]&lt;=35,"26-35",IF(Table1[[#This Row],[age]]&lt;=50,"36-50","51+")))</f>
        <v>18-25</v>
      </c>
      <c r="G1918" t="s">
        <v>24</v>
      </c>
      <c r="H1918" t="s">
        <v>69</v>
      </c>
      <c r="I1918" t="s">
        <v>136</v>
      </c>
      <c r="J1918" t="s">
        <v>27</v>
      </c>
      <c r="K1918" t="s">
        <v>128</v>
      </c>
      <c r="L1918">
        <v>2</v>
      </c>
      <c r="M1918">
        <v>119.38</v>
      </c>
      <c r="N1918">
        <v>0.13</v>
      </c>
      <c r="O1918">
        <v>236.95</v>
      </c>
      <c r="P1918">
        <v>137.69</v>
      </c>
      <c r="Q1918">
        <v>86.43</v>
      </c>
      <c r="R1918" t="s">
        <v>43</v>
      </c>
      <c r="S1918">
        <v>3</v>
      </c>
      <c r="T1918" t="b">
        <v>0</v>
      </c>
      <c r="U1918" t="s">
        <v>193</v>
      </c>
      <c r="V1918">
        <v>10</v>
      </c>
    </row>
    <row r="1919" spans="1:22" x14ac:dyDescent="0.25">
      <c r="A1919" t="s">
        <v>4330</v>
      </c>
      <c r="B1919" s="1">
        <v>44802</v>
      </c>
      <c r="C1919" t="s">
        <v>4331</v>
      </c>
      <c r="D1919" t="s">
        <v>2142</v>
      </c>
      <c r="E1919">
        <v>26</v>
      </c>
      <c r="F1919" t="str">
        <f>IF(Table1[[#This Row],[age]]&lt;=25,"18-25",IF(Table1[[#This Row],[age]]&lt;=35,"26-35",IF(Table1[[#This Row],[age]]&lt;=50,"36-50","51+")))</f>
        <v>26-35</v>
      </c>
      <c r="G1919" t="s">
        <v>24</v>
      </c>
      <c r="H1919" t="s">
        <v>61</v>
      </c>
      <c r="I1919" t="s">
        <v>62</v>
      </c>
      <c r="J1919" t="s">
        <v>47</v>
      </c>
      <c r="K1919" t="s">
        <v>156</v>
      </c>
      <c r="L1919">
        <v>9</v>
      </c>
      <c r="M1919">
        <v>830.37</v>
      </c>
      <c r="N1919">
        <v>0.25</v>
      </c>
      <c r="O1919">
        <v>6671.85</v>
      </c>
      <c r="P1919">
        <v>3182.54</v>
      </c>
      <c r="Q1919">
        <v>37.06</v>
      </c>
      <c r="R1919" t="s">
        <v>49</v>
      </c>
      <c r="S1919">
        <v>2</v>
      </c>
      <c r="T1919" t="b">
        <v>0</v>
      </c>
      <c r="U1919" t="s">
        <v>30</v>
      </c>
      <c r="V1919">
        <v>2</v>
      </c>
    </row>
    <row r="1920" spans="1:22" x14ac:dyDescent="0.25">
      <c r="A1920" t="s">
        <v>4332</v>
      </c>
      <c r="B1920" s="1">
        <v>44960</v>
      </c>
      <c r="C1920" t="s">
        <v>4333</v>
      </c>
      <c r="D1920" t="s">
        <v>2037</v>
      </c>
      <c r="E1920">
        <v>39</v>
      </c>
      <c r="F1920" t="str">
        <f>IF(Table1[[#This Row],[age]]&lt;=25,"18-25",IF(Table1[[#This Row],[age]]&lt;=35,"26-35",IF(Table1[[#This Row],[age]]&lt;=50,"36-50","51+")))</f>
        <v>36-50</v>
      </c>
      <c r="G1920" t="s">
        <v>54</v>
      </c>
      <c r="H1920" t="s">
        <v>69</v>
      </c>
      <c r="I1920" t="s">
        <v>221</v>
      </c>
      <c r="J1920" t="s">
        <v>36</v>
      </c>
      <c r="K1920" t="s">
        <v>230</v>
      </c>
      <c r="L1920">
        <v>7</v>
      </c>
      <c r="M1920">
        <v>12553.02</v>
      </c>
      <c r="N1920">
        <v>0.22</v>
      </c>
      <c r="O1920">
        <v>71332.69</v>
      </c>
      <c r="P1920">
        <v>19645.47</v>
      </c>
      <c r="Q1920">
        <v>85.94</v>
      </c>
      <c r="R1920" t="s">
        <v>43</v>
      </c>
      <c r="S1920">
        <v>3</v>
      </c>
      <c r="T1920" t="b">
        <v>0</v>
      </c>
      <c r="U1920" t="s">
        <v>30</v>
      </c>
      <c r="V1920">
        <v>1</v>
      </c>
    </row>
    <row r="1921" spans="1:22" x14ac:dyDescent="0.25">
      <c r="A1921" t="s">
        <v>4334</v>
      </c>
      <c r="B1921" s="1">
        <v>45626</v>
      </c>
      <c r="C1921" t="s">
        <v>4335</v>
      </c>
      <c r="D1921" t="s">
        <v>207</v>
      </c>
      <c r="E1921">
        <v>34</v>
      </c>
      <c r="F1921" t="str">
        <f>IF(Table1[[#This Row],[age]]&lt;=25,"18-25",IF(Table1[[#This Row],[age]]&lt;=35,"26-35",IF(Table1[[#This Row],[age]]&lt;=50,"36-50","51+")))</f>
        <v>26-35</v>
      </c>
      <c r="G1921" t="s">
        <v>24</v>
      </c>
      <c r="H1921" t="s">
        <v>25</v>
      </c>
      <c r="I1921" t="s">
        <v>35</v>
      </c>
      <c r="J1921" t="s">
        <v>27</v>
      </c>
      <c r="K1921" t="s">
        <v>192</v>
      </c>
      <c r="L1921">
        <v>4</v>
      </c>
      <c r="M1921">
        <v>1854.35</v>
      </c>
      <c r="N1921">
        <v>0.04</v>
      </c>
      <c r="O1921">
        <v>6462.23</v>
      </c>
      <c r="P1921">
        <v>3552.01</v>
      </c>
      <c r="Q1921">
        <v>32.770000000000003</v>
      </c>
      <c r="R1921" t="s">
        <v>92</v>
      </c>
      <c r="S1921">
        <v>5</v>
      </c>
      <c r="T1921" t="b">
        <v>0</v>
      </c>
      <c r="U1921" t="s">
        <v>30</v>
      </c>
      <c r="V1921">
        <v>2</v>
      </c>
    </row>
    <row r="1922" spans="1:22" x14ac:dyDescent="0.25">
      <c r="A1922" t="s">
        <v>4336</v>
      </c>
      <c r="B1922" s="1">
        <v>44843</v>
      </c>
      <c r="C1922" t="s">
        <v>4337</v>
      </c>
      <c r="D1922" t="s">
        <v>1414</v>
      </c>
      <c r="E1922">
        <v>21</v>
      </c>
      <c r="F1922" t="str">
        <f>IF(Table1[[#This Row],[age]]&lt;=25,"18-25",IF(Table1[[#This Row],[age]]&lt;=35,"26-35",IF(Table1[[#This Row],[age]]&lt;=50,"36-50","51+")))</f>
        <v>18-25</v>
      </c>
      <c r="G1922" t="s">
        <v>34</v>
      </c>
      <c r="H1922" t="s">
        <v>80</v>
      </c>
      <c r="I1922" t="s">
        <v>86</v>
      </c>
      <c r="J1922" t="s">
        <v>101</v>
      </c>
      <c r="K1922" t="s">
        <v>124</v>
      </c>
      <c r="L1922">
        <v>5</v>
      </c>
      <c r="M1922">
        <v>13397.51</v>
      </c>
      <c r="N1922">
        <v>0.34</v>
      </c>
      <c r="O1922">
        <v>43451.18</v>
      </c>
      <c r="P1922">
        <v>7788.1</v>
      </c>
      <c r="Q1922">
        <v>73.66</v>
      </c>
      <c r="R1922" t="s">
        <v>92</v>
      </c>
      <c r="S1922">
        <v>4</v>
      </c>
      <c r="T1922" t="b">
        <v>0</v>
      </c>
      <c r="U1922" t="s">
        <v>30</v>
      </c>
      <c r="V1922">
        <v>5</v>
      </c>
    </row>
    <row r="1923" spans="1:22" x14ac:dyDescent="0.25">
      <c r="A1923" t="s">
        <v>4338</v>
      </c>
      <c r="B1923" s="1">
        <v>44290</v>
      </c>
      <c r="C1923" t="s">
        <v>4339</v>
      </c>
      <c r="D1923" t="s">
        <v>2333</v>
      </c>
      <c r="E1923">
        <v>35</v>
      </c>
      <c r="F1923" t="str">
        <f>IF(Table1[[#This Row],[age]]&lt;=25,"18-25",IF(Table1[[#This Row],[age]]&lt;=35,"26-35",IF(Table1[[#This Row],[age]]&lt;=50,"36-50","51+")))</f>
        <v>26-35</v>
      </c>
      <c r="G1923" t="s">
        <v>34</v>
      </c>
      <c r="H1923" t="s">
        <v>55</v>
      </c>
      <c r="I1923" t="s">
        <v>97</v>
      </c>
      <c r="J1923" t="s">
        <v>47</v>
      </c>
      <c r="K1923" t="s">
        <v>272</v>
      </c>
      <c r="L1923">
        <v>2</v>
      </c>
      <c r="M1923">
        <v>1240.07</v>
      </c>
      <c r="N1923">
        <v>0.27</v>
      </c>
      <c r="O1923">
        <v>2086.4899999999998</v>
      </c>
      <c r="P1923">
        <v>966.59</v>
      </c>
      <c r="Q1923">
        <v>50.83</v>
      </c>
      <c r="R1923" t="s">
        <v>49</v>
      </c>
      <c r="S1923">
        <v>4</v>
      </c>
      <c r="T1923" t="b">
        <v>0</v>
      </c>
      <c r="U1923" t="s">
        <v>30</v>
      </c>
      <c r="V1923">
        <v>9</v>
      </c>
    </row>
    <row r="1924" spans="1:22" x14ac:dyDescent="0.25">
      <c r="A1924" t="s">
        <v>4340</v>
      </c>
      <c r="B1924" s="1">
        <v>45469</v>
      </c>
      <c r="C1924" t="s">
        <v>4341</v>
      </c>
      <c r="D1924" t="s">
        <v>1433</v>
      </c>
      <c r="E1924">
        <v>36</v>
      </c>
      <c r="F1924" t="str">
        <f>IF(Table1[[#This Row],[age]]&lt;=25,"18-25",IF(Table1[[#This Row],[age]]&lt;=35,"26-35",IF(Table1[[#This Row],[age]]&lt;=50,"36-50","51+")))</f>
        <v>36-50</v>
      </c>
      <c r="G1924" t="s">
        <v>24</v>
      </c>
      <c r="H1924" t="s">
        <v>69</v>
      </c>
      <c r="I1924" t="s">
        <v>181</v>
      </c>
      <c r="J1924" t="s">
        <v>27</v>
      </c>
      <c r="K1924" t="s">
        <v>168</v>
      </c>
      <c r="L1924">
        <v>5</v>
      </c>
      <c r="M1924">
        <v>506.32</v>
      </c>
      <c r="N1924">
        <v>0.23</v>
      </c>
      <c r="O1924">
        <v>3615.35</v>
      </c>
      <c r="P1924">
        <v>1883.1</v>
      </c>
      <c r="Q1924">
        <v>101.92</v>
      </c>
      <c r="R1924" t="s">
        <v>49</v>
      </c>
      <c r="S1924">
        <v>3</v>
      </c>
      <c r="T1924" t="b">
        <v>0</v>
      </c>
      <c r="U1924" t="s">
        <v>193</v>
      </c>
      <c r="V1924">
        <v>8</v>
      </c>
    </row>
    <row r="1925" spans="1:22" x14ac:dyDescent="0.25">
      <c r="A1925" t="s">
        <v>4342</v>
      </c>
      <c r="B1925" s="1">
        <v>44346</v>
      </c>
      <c r="C1925" t="s">
        <v>4343</v>
      </c>
      <c r="D1925" t="s">
        <v>96</v>
      </c>
      <c r="E1925">
        <v>32</v>
      </c>
      <c r="F1925" t="str">
        <f>IF(Table1[[#This Row],[age]]&lt;=25,"18-25",IF(Table1[[#This Row],[age]]&lt;=35,"26-35",IF(Table1[[#This Row],[age]]&lt;=50,"36-50","51+")))</f>
        <v>26-35</v>
      </c>
      <c r="G1925" t="s">
        <v>54</v>
      </c>
      <c r="H1925" t="s">
        <v>55</v>
      </c>
      <c r="I1925" t="s">
        <v>56</v>
      </c>
      <c r="J1925" t="s">
        <v>63</v>
      </c>
      <c r="K1925" t="s">
        <v>152</v>
      </c>
      <c r="L1925">
        <v>3</v>
      </c>
      <c r="M1925">
        <v>2929.95</v>
      </c>
      <c r="N1925">
        <v>0.06</v>
      </c>
      <c r="O1925">
        <v>12682.78</v>
      </c>
      <c r="P1925">
        <v>4420.51</v>
      </c>
      <c r="Q1925">
        <v>33.4</v>
      </c>
      <c r="R1925" t="s">
        <v>49</v>
      </c>
      <c r="S1925">
        <v>2</v>
      </c>
      <c r="T1925" t="b">
        <v>0</v>
      </c>
      <c r="U1925" t="s">
        <v>71</v>
      </c>
      <c r="V1925">
        <v>10</v>
      </c>
    </row>
    <row r="1926" spans="1:22" x14ac:dyDescent="0.25">
      <c r="A1926" t="s">
        <v>4344</v>
      </c>
      <c r="B1926" s="1">
        <v>45332</v>
      </c>
      <c r="C1926" t="s">
        <v>4345</v>
      </c>
      <c r="D1926" t="s">
        <v>433</v>
      </c>
      <c r="E1926">
        <v>27</v>
      </c>
      <c r="F1926" t="str">
        <f>IF(Table1[[#This Row],[age]]&lt;=25,"18-25",IF(Table1[[#This Row],[age]]&lt;=35,"26-35",IF(Table1[[#This Row],[age]]&lt;=50,"36-50","51+")))</f>
        <v>26-35</v>
      </c>
      <c r="G1926" t="s">
        <v>24</v>
      </c>
      <c r="H1926" t="s">
        <v>80</v>
      </c>
      <c r="I1926" t="s">
        <v>242</v>
      </c>
      <c r="J1926" t="s">
        <v>63</v>
      </c>
      <c r="K1926" t="s">
        <v>82</v>
      </c>
      <c r="L1926">
        <v>5</v>
      </c>
      <c r="M1926">
        <v>1140.3900000000001</v>
      </c>
      <c r="N1926">
        <v>0.08</v>
      </c>
      <c r="O1926">
        <v>5942.91</v>
      </c>
      <c r="P1926">
        <v>2945.59</v>
      </c>
      <c r="Q1926">
        <v>66.62</v>
      </c>
      <c r="R1926" t="s">
        <v>29</v>
      </c>
      <c r="S1926">
        <v>1</v>
      </c>
      <c r="T1926" t="b">
        <v>1</v>
      </c>
      <c r="U1926" t="s">
        <v>50</v>
      </c>
      <c r="V1926">
        <v>2</v>
      </c>
    </row>
    <row r="1927" spans="1:22" x14ac:dyDescent="0.25">
      <c r="A1927" t="s">
        <v>4346</v>
      </c>
      <c r="B1927" s="1">
        <v>43963</v>
      </c>
      <c r="C1927" t="s">
        <v>4347</v>
      </c>
      <c r="D1927" t="s">
        <v>324</v>
      </c>
      <c r="E1927">
        <v>32</v>
      </c>
      <c r="F1927" t="str">
        <f>IF(Table1[[#This Row],[age]]&lt;=25,"18-25",IF(Table1[[#This Row],[age]]&lt;=35,"26-35",IF(Table1[[#This Row],[age]]&lt;=50,"36-50","51+")))</f>
        <v>26-35</v>
      </c>
      <c r="G1927" t="s">
        <v>24</v>
      </c>
      <c r="H1927" t="s">
        <v>61</v>
      </c>
      <c r="I1927" t="s">
        <v>62</v>
      </c>
      <c r="J1927" t="s">
        <v>63</v>
      </c>
      <c r="K1927" t="s">
        <v>82</v>
      </c>
      <c r="L1927">
        <v>1</v>
      </c>
      <c r="M1927">
        <v>2507.91</v>
      </c>
      <c r="N1927">
        <v>0.28999999999999998</v>
      </c>
      <c r="O1927">
        <v>2231.21</v>
      </c>
      <c r="P1927">
        <v>589.57000000000005</v>
      </c>
      <c r="Q1927">
        <v>42.69</v>
      </c>
      <c r="R1927" t="s">
        <v>43</v>
      </c>
      <c r="S1927">
        <v>2</v>
      </c>
      <c r="T1927" t="b">
        <v>0</v>
      </c>
      <c r="U1927" t="s">
        <v>30</v>
      </c>
      <c r="V1927">
        <v>3</v>
      </c>
    </row>
    <row r="1928" spans="1:22" x14ac:dyDescent="0.25">
      <c r="A1928" t="s">
        <v>4348</v>
      </c>
      <c r="B1928" s="1">
        <v>45558</v>
      </c>
      <c r="C1928" t="s">
        <v>4349</v>
      </c>
      <c r="D1928" t="s">
        <v>90</v>
      </c>
      <c r="E1928">
        <v>39</v>
      </c>
      <c r="F1928" t="str">
        <f>IF(Table1[[#This Row],[age]]&lt;=25,"18-25",IF(Table1[[#This Row],[age]]&lt;=35,"26-35",IF(Table1[[#This Row],[age]]&lt;=50,"36-50","51+")))</f>
        <v>36-50</v>
      </c>
      <c r="G1928" t="s">
        <v>24</v>
      </c>
      <c r="H1928" t="s">
        <v>80</v>
      </c>
      <c r="I1928" t="s">
        <v>86</v>
      </c>
      <c r="J1928" t="s">
        <v>63</v>
      </c>
      <c r="K1928" t="s">
        <v>82</v>
      </c>
      <c r="L1928">
        <v>6</v>
      </c>
      <c r="M1928">
        <v>633.62</v>
      </c>
      <c r="N1928">
        <v>0.11</v>
      </c>
      <c r="O1928">
        <v>4634.74</v>
      </c>
      <c r="P1928">
        <v>1771.15</v>
      </c>
      <c r="Q1928">
        <v>66.09</v>
      </c>
      <c r="R1928" t="s">
        <v>29</v>
      </c>
      <c r="S1928">
        <v>2</v>
      </c>
      <c r="T1928" t="b">
        <v>0</v>
      </c>
      <c r="U1928" t="s">
        <v>30</v>
      </c>
      <c r="V1928">
        <v>3</v>
      </c>
    </row>
    <row r="1929" spans="1:22" x14ac:dyDescent="0.25">
      <c r="A1929" t="s">
        <v>4350</v>
      </c>
      <c r="B1929" s="1">
        <v>44489</v>
      </c>
      <c r="C1929" t="s">
        <v>4351</v>
      </c>
      <c r="D1929" t="s">
        <v>259</v>
      </c>
      <c r="E1929">
        <v>43</v>
      </c>
      <c r="F1929" t="str">
        <f>IF(Table1[[#This Row],[age]]&lt;=25,"18-25",IF(Table1[[#This Row],[age]]&lt;=35,"26-35",IF(Table1[[#This Row],[age]]&lt;=50,"36-50","51+")))</f>
        <v>36-50</v>
      </c>
      <c r="G1929" t="s">
        <v>54</v>
      </c>
      <c r="H1929" t="s">
        <v>61</v>
      </c>
      <c r="I1929" t="s">
        <v>163</v>
      </c>
      <c r="J1929" t="s">
        <v>101</v>
      </c>
      <c r="K1929" t="s">
        <v>124</v>
      </c>
      <c r="L1929">
        <v>3</v>
      </c>
      <c r="M1929">
        <v>6413.38</v>
      </c>
      <c r="N1929">
        <v>0.13</v>
      </c>
      <c r="O1929">
        <v>14627.15</v>
      </c>
      <c r="P1929">
        <v>3690.83</v>
      </c>
      <c r="Q1929">
        <v>28.34</v>
      </c>
      <c r="R1929" t="s">
        <v>49</v>
      </c>
      <c r="S1929">
        <v>5</v>
      </c>
      <c r="T1929" t="b">
        <v>0</v>
      </c>
      <c r="U1929" t="s">
        <v>93</v>
      </c>
      <c r="V1929">
        <v>2</v>
      </c>
    </row>
    <row r="1930" spans="1:22" x14ac:dyDescent="0.25">
      <c r="A1930" t="s">
        <v>4352</v>
      </c>
      <c r="B1930" s="1">
        <v>45145</v>
      </c>
      <c r="C1930" t="s">
        <v>4353</v>
      </c>
      <c r="D1930" t="s">
        <v>278</v>
      </c>
      <c r="E1930">
        <v>21</v>
      </c>
      <c r="F1930" t="str">
        <f>IF(Table1[[#This Row],[age]]&lt;=25,"18-25",IF(Table1[[#This Row],[age]]&lt;=35,"26-35",IF(Table1[[#This Row],[age]]&lt;=50,"36-50","51+")))</f>
        <v>18-25</v>
      </c>
      <c r="G1930" t="s">
        <v>24</v>
      </c>
      <c r="H1930" t="s">
        <v>69</v>
      </c>
      <c r="I1930" t="s">
        <v>136</v>
      </c>
      <c r="J1930" t="s">
        <v>63</v>
      </c>
      <c r="K1930" t="s">
        <v>434</v>
      </c>
      <c r="L1930">
        <v>8</v>
      </c>
      <c r="M1930">
        <v>306.88</v>
      </c>
      <c r="N1930">
        <v>0.19</v>
      </c>
      <c r="O1930">
        <v>2993.13</v>
      </c>
      <c r="P1930">
        <v>1019.95</v>
      </c>
      <c r="Q1930">
        <v>53.78</v>
      </c>
      <c r="R1930" t="s">
        <v>57</v>
      </c>
      <c r="S1930">
        <v>3</v>
      </c>
      <c r="T1930" t="b">
        <v>1</v>
      </c>
      <c r="U1930" t="s">
        <v>50</v>
      </c>
      <c r="V1930">
        <v>8</v>
      </c>
    </row>
    <row r="1931" spans="1:22" x14ac:dyDescent="0.25">
      <c r="A1931" t="s">
        <v>4354</v>
      </c>
      <c r="B1931" s="1">
        <v>45623</v>
      </c>
      <c r="C1931" t="s">
        <v>4355</v>
      </c>
      <c r="D1931" t="s">
        <v>496</v>
      </c>
      <c r="E1931">
        <v>42</v>
      </c>
      <c r="F1931" t="str">
        <f>IF(Table1[[#This Row],[age]]&lt;=25,"18-25",IF(Table1[[#This Row],[age]]&lt;=35,"26-35",IF(Table1[[#This Row],[age]]&lt;=50,"36-50","51+")))</f>
        <v>36-50</v>
      </c>
      <c r="G1931" t="s">
        <v>24</v>
      </c>
      <c r="H1931" t="s">
        <v>69</v>
      </c>
      <c r="I1931" t="s">
        <v>136</v>
      </c>
      <c r="J1931" t="s">
        <v>115</v>
      </c>
      <c r="K1931" t="s">
        <v>116</v>
      </c>
      <c r="L1931">
        <v>7</v>
      </c>
      <c r="M1931">
        <v>26719.46</v>
      </c>
      <c r="N1931">
        <v>0.32</v>
      </c>
      <c r="O1931">
        <v>125839.81</v>
      </c>
      <c r="P1931">
        <v>16743.79</v>
      </c>
      <c r="Q1931">
        <v>87.4</v>
      </c>
      <c r="R1931" t="s">
        <v>57</v>
      </c>
      <c r="S1931">
        <v>1</v>
      </c>
      <c r="T1931" t="b">
        <v>0</v>
      </c>
      <c r="U1931" t="s">
        <v>30</v>
      </c>
      <c r="V1931">
        <v>9</v>
      </c>
    </row>
    <row r="1932" spans="1:22" x14ac:dyDescent="0.25">
      <c r="A1932" t="s">
        <v>4356</v>
      </c>
      <c r="B1932" s="1">
        <v>44502</v>
      </c>
      <c r="C1932" t="s">
        <v>4357</v>
      </c>
      <c r="D1932" t="s">
        <v>679</v>
      </c>
      <c r="E1932">
        <v>43</v>
      </c>
      <c r="F1932" t="str">
        <f>IF(Table1[[#This Row],[age]]&lt;=25,"18-25",IF(Table1[[#This Row],[age]]&lt;=35,"26-35",IF(Table1[[#This Row],[age]]&lt;=50,"36-50","51+")))</f>
        <v>36-50</v>
      </c>
      <c r="G1932" t="s">
        <v>34</v>
      </c>
      <c r="H1932" t="s">
        <v>61</v>
      </c>
      <c r="I1932" t="s">
        <v>163</v>
      </c>
      <c r="J1932" t="s">
        <v>27</v>
      </c>
      <c r="K1932" t="s">
        <v>128</v>
      </c>
      <c r="L1932">
        <v>2</v>
      </c>
      <c r="M1932">
        <v>870.66</v>
      </c>
      <c r="N1932">
        <v>0.04</v>
      </c>
      <c r="O1932">
        <v>1465.34</v>
      </c>
      <c r="P1932">
        <v>696.19</v>
      </c>
      <c r="Q1932">
        <v>29.61</v>
      </c>
      <c r="R1932" t="s">
        <v>57</v>
      </c>
      <c r="S1932">
        <v>1</v>
      </c>
      <c r="T1932" t="b">
        <v>1</v>
      </c>
      <c r="U1932" t="s">
        <v>50</v>
      </c>
      <c r="V1932">
        <v>10</v>
      </c>
    </row>
    <row r="1933" spans="1:22" x14ac:dyDescent="0.25">
      <c r="A1933" t="s">
        <v>4358</v>
      </c>
      <c r="B1933" s="1">
        <v>44231</v>
      </c>
      <c r="C1933" t="s">
        <v>4359</v>
      </c>
      <c r="D1933" t="s">
        <v>53</v>
      </c>
      <c r="E1933">
        <v>33</v>
      </c>
      <c r="F1933" t="str">
        <f>IF(Table1[[#This Row],[age]]&lt;=25,"18-25",IF(Table1[[#This Row],[age]]&lt;=35,"26-35",IF(Table1[[#This Row],[age]]&lt;=50,"36-50","51+")))</f>
        <v>26-35</v>
      </c>
      <c r="G1933" t="s">
        <v>34</v>
      </c>
      <c r="H1933" t="s">
        <v>80</v>
      </c>
      <c r="I1933" t="s">
        <v>236</v>
      </c>
      <c r="J1933" t="s">
        <v>115</v>
      </c>
      <c r="K1933" t="s">
        <v>197</v>
      </c>
      <c r="L1933">
        <v>1</v>
      </c>
      <c r="M1933">
        <v>41541.620000000003</v>
      </c>
      <c r="N1933">
        <v>0.18</v>
      </c>
      <c r="O1933">
        <v>29525.13</v>
      </c>
      <c r="P1933">
        <v>3792.31</v>
      </c>
      <c r="Q1933">
        <v>88.25</v>
      </c>
      <c r="R1933" t="s">
        <v>92</v>
      </c>
      <c r="S1933">
        <v>2</v>
      </c>
      <c r="T1933" t="b">
        <v>0</v>
      </c>
      <c r="U1933" t="s">
        <v>71</v>
      </c>
      <c r="V1933">
        <v>6</v>
      </c>
    </row>
    <row r="1934" spans="1:22" x14ac:dyDescent="0.25">
      <c r="A1934" t="s">
        <v>4360</v>
      </c>
      <c r="B1934" s="1">
        <v>45460</v>
      </c>
      <c r="C1934" t="s">
        <v>4361</v>
      </c>
      <c r="D1934" t="s">
        <v>321</v>
      </c>
      <c r="E1934">
        <v>28</v>
      </c>
      <c r="F1934" t="str">
        <f>IF(Table1[[#This Row],[age]]&lt;=25,"18-25",IF(Table1[[#This Row],[age]]&lt;=35,"26-35",IF(Table1[[#This Row],[age]]&lt;=50,"36-50","51+")))</f>
        <v>26-35</v>
      </c>
      <c r="G1934" t="s">
        <v>34</v>
      </c>
      <c r="H1934" t="s">
        <v>55</v>
      </c>
      <c r="I1934" t="s">
        <v>97</v>
      </c>
      <c r="J1934" t="s">
        <v>106</v>
      </c>
      <c r="K1934" t="s">
        <v>247</v>
      </c>
      <c r="L1934">
        <v>5</v>
      </c>
      <c r="M1934">
        <v>303.44</v>
      </c>
      <c r="N1934">
        <v>0.06</v>
      </c>
      <c r="O1934">
        <v>2686.06</v>
      </c>
      <c r="P1934">
        <v>221.12</v>
      </c>
      <c r="Q1934">
        <v>32.81</v>
      </c>
      <c r="R1934" t="s">
        <v>65</v>
      </c>
      <c r="S1934">
        <v>4</v>
      </c>
      <c r="T1934" t="b">
        <v>0</v>
      </c>
      <c r="U1934" t="s">
        <v>30</v>
      </c>
      <c r="V1934">
        <v>9</v>
      </c>
    </row>
    <row r="1935" spans="1:22" x14ac:dyDescent="0.25">
      <c r="A1935" t="s">
        <v>4362</v>
      </c>
      <c r="B1935" s="1">
        <v>45105</v>
      </c>
      <c r="C1935" t="s">
        <v>4363</v>
      </c>
      <c r="D1935" t="s">
        <v>895</v>
      </c>
      <c r="E1935">
        <v>42</v>
      </c>
      <c r="F1935" t="str">
        <f>IF(Table1[[#This Row],[age]]&lt;=25,"18-25",IF(Table1[[#This Row],[age]]&lt;=35,"26-35",IF(Table1[[#This Row],[age]]&lt;=50,"36-50","51+")))</f>
        <v>36-50</v>
      </c>
      <c r="G1935" t="s">
        <v>34</v>
      </c>
      <c r="H1935" t="s">
        <v>61</v>
      </c>
      <c r="I1935" t="s">
        <v>141</v>
      </c>
      <c r="J1935" t="s">
        <v>115</v>
      </c>
      <c r="K1935" t="s">
        <v>137</v>
      </c>
      <c r="L1935">
        <v>3</v>
      </c>
      <c r="M1935">
        <v>28197.79</v>
      </c>
      <c r="N1935">
        <v>0.16</v>
      </c>
      <c r="O1935">
        <v>103938.59</v>
      </c>
      <c r="P1935">
        <v>17181.509999999998</v>
      </c>
      <c r="Q1935">
        <v>73.989999999999995</v>
      </c>
      <c r="R1935" t="s">
        <v>57</v>
      </c>
      <c r="S1935">
        <v>4</v>
      </c>
      <c r="T1935" t="b">
        <v>0</v>
      </c>
      <c r="U1935" t="s">
        <v>93</v>
      </c>
      <c r="V1935">
        <v>1</v>
      </c>
    </row>
    <row r="1936" spans="1:22" x14ac:dyDescent="0.25">
      <c r="A1936" t="s">
        <v>4364</v>
      </c>
      <c r="B1936" s="1">
        <v>44475</v>
      </c>
      <c r="C1936" t="s">
        <v>4365</v>
      </c>
      <c r="D1936" t="s">
        <v>180</v>
      </c>
      <c r="E1936">
        <v>25</v>
      </c>
      <c r="F1936" t="str">
        <f>IF(Table1[[#This Row],[age]]&lt;=25,"18-25",IF(Table1[[#This Row],[age]]&lt;=35,"26-35",IF(Table1[[#This Row],[age]]&lt;=50,"36-50","51+")))</f>
        <v>18-25</v>
      </c>
      <c r="G1936" t="s">
        <v>34</v>
      </c>
      <c r="H1936" t="s">
        <v>80</v>
      </c>
      <c r="I1936" t="s">
        <v>86</v>
      </c>
      <c r="J1936" t="s">
        <v>63</v>
      </c>
      <c r="K1936" t="s">
        <v>434</v>
      </c>
      <c r="L1936">
        <v>3</v>
      </c>
      <c r="M1936">
        <v>1683.92</v>
      </c>
      <c r="N1936">
        <v>0.01</v>
      </c>
      <c r="O1936">
        <v>5129.49</v>
      </c>
      <c r="P1936">
        <v>1700.69</v>
      </c>
      <c r="Q1936">
        <v>84.8</v>
      </c>
      <c r="R1936" t="s">
        <v>49</v>
      </c>
      <c r="S1936">
        <v>3</v>
      </c>
      <c r="T1936" t="b">
        <v>0</v>
      </c>
      <c r="U1936" t="s">
        <v>193</v>
      </c>
      <c r="V1936">
        <v>8</v>
      </c>
    </row>
    <row r="1937" spans="1:22" x14ac:dyDescent="0.25">
      <c r="A1937" t="s">
        <v>4366</v>
      </c>
      <c r="B1937" s="1">
        <v>44125</v>
      </c>
      <c r="C1937" t="s">
        <v>4367</v>
      </c>
      <c r="D1937" t="s">
        <v>1719</v>
      </c>
      <c r="E1937">
        <v>36</v>
      </c>
      <c r="F1937" t="str">
        <f>IF(Table1[[#This Row],[age]]&lt;=25,"18-25",IF(Table1[[#This Row],[age]]&lt;=35,"26-35",IF(Table1[[#This Row],[age]]&lt;=50,"36-50","51+")))</f>
        <v>36-50</v>
      </c>
      <c r="G1937" t="s">
        <v>54</v>
      </c>
      <c r="H1937" t="s">
        <v>55</v>
      </c>
      <c r="I1937" t="s">
        <v>97</v>
      </c>
      <c r="J1937" t="s">
        <v>36</v>
      </c>
      <c r="K1937" t="s">
        <v>76</v>
      </c>
      <c r="L1937">
        <v>6</v>
      </c>
      <c r="M1937">
        <v>29603.47</v>
      </c>
      <c r="N1937">
        <v>0.09</v>
      </c>
      <c r="O1937">
        <v>131775.14000000001</v>
      </c>
      <c r="P1937">
        <v>31425.24</v>
      </c>
      <c r="Q1937">
        <v>72.709999999999994</v>
      </c>
      <c r="R1937" t="s">
        <v>49</v>
      </c>
      <c r="S1937">
        <v>4</v>
      </c>
      <c r="T1937" t="b">
        <v>0</v>
      </c>
      <c r="U1937" t="s">
        <v>30</v>
      </c>
      <c r="V1937">
        <v>2</v>
      </c>
    </row>
    <row r="1938" spans="1:22" x14ac:dyDescent="0.25">
      <c r="A1938" t="s">
        <v>4368</v>
      </c>
      <c r="B1938" s="1">
        <v>44504</v>
      </c>
      <c r="C1938" t="s">
        <v>4369</v>
      </c>
      <c r="D1938" t="s">
        <v>412</v>
      </c>
      <c r="E1938">
        <v>47</v>
      </c>
      <c r="F1938" t="str">
        <f>IF(Table1[[#This Row],[age]]&lt;=25,"18-25",IF(Table1[[#This Row],[age]]&lt;=35,"26-35",IF(Table1[[#This Row],[age]]&lt;=50,"36-50","51+")))</f>
        <v>36-50</v>
      </c>
      <c r="G1938" t="s">
        <v>34</v>
      </c>
      <c r="H1938" t="s">
        <v>80</v>
      </c>
      <c r="I1938" t="s">
        <v>242</v>
      </c>
      <c r="J1938" t="s">
        <v>115</v>
      </c>
      <c r="K1938" t="s">
        <v>145</v>
      </c>
      <c r="L1938">
        <v>4</v>
      </c>
      <c r="M1938">
        <v>32627.08</v>
      </c>
      <c r="N1938">
        <v>0.15</v>
      </c>
      <c r="O1938">
        <v>92706.13</v>
      </c>
      <c r="P1938">
        <v>13307.57</v>
      </c>
      <c r="Q1938">
        <v>72.28</v>
      </c>
      <c r="R1938" t="s">
        <v>29</v>
      </c>
      <c r="S1938">
        <v>3</v>
      </c>
      <c r="T1938" t="b">
        <v>1</v>
      </c>
      <c r="U1938" t="s">
        <v>50</v>
      </c>
      <c r="V1938">
        <v>8</v>
      </c>
    </row>
    <row r="1939" spans="1:22" x14ac:dyDescent="0.25">
      <c r="A1939" t="s">
        <v>4370</v>
      </c>
      <c r="B1939" s="1">
        <v>44114</v>
      </c>
      <c r="C1939" t="s">
        <v>4371</v>
      </c>
      <c r="D1939" t="s">
        <v>854</v>
      </c>
      <c r="E1939">
        <v>60</v>
      </c>
      <c r="F1939" t="str">
        <f>IF(Table1[[#This Row],[age]]&lt;=25,"18-25",IF(Table1[[#This Row],[age]]&lt;=35,"26-35",IF(Table1[[#This Row],[age]]&lt;=50,"36-50","51+")))</f>
        <v>51+</v>
      </c>
      <c r="G1939" t="s">
        <v>24</v>
      </c>
      <c r="H1939" t="s">
        <v>61</v>
      </c>
      <c r="I1939" t="s">
        <v>62</v>
      </c>
      <c r="J1939" t="s">
        <v>47</v>
      </c>
      <c r="K1939" t="s">
        <v>600</v>
      </c>
      <c r="L1939">
        <v>4</v>
      </c>
      <c r="M1939">
        <v>902.54</v>
      </c>
      <c r="N1939">
        <v>0.33</v>
      </c>
      <c r="O1939">
        <v>1938.35</v>
      </c>
      <c r="P1939">
        <v>751.4</v>
      </c>
      <c r="Q1939">
        <v>75.5</v>
      </c>
      <c r="R1939" t="s">
        <v>43</v>
      </c>
      <c r="S1939">
        <v>1</v>
      </c>
      <c r="T1939" t="b">
        <v>0</v>
      </c>
      <c r="U1939" t="s">
        <v>30</v>
      </c>
      <c r="V1939">
        <v>2</v>
      </c>
    </row>
    <row r="1940" spans="1:22" x14ac:dyDescent="0.25">
      <c r="A1940" t="s">
        <v>4372</v>
      </c>
      <c r="B1940" s="1">
        <v>44389</v>
      </c>
      <c r="C1940" t="s">
        <v>4373</v>
      </c>
      <c r="D1940" t="s">
        <v>1248</v>
      </c>
      <c r="E1940">
        <v>30</v>
      </c>
      <c r="F1940" t="str">
        <f>IF(Table1[[#This Row],[age]]&lt;=25,"18-25",IF(Table1[[#This Row],[age]]&lt;=35,"26-35",IF(Table1[[#This Row],[age]]&lt;=50,"36-50","51+")))</f>
        <v>26-35</v>
      </c>
      <c r="G1940" t="s">
        <v>54</v>
      </c>
      <c r="H1940" t="s">
        <v>69</v>
      </c>
      <c r="I1940" t="s">
        <v>221</v>
      </c>
      <c r="J1940" t="s">
        <v>106</v>
      </c>
      <c r="K1940" t="s">
        <v>247</v>
      </c>
      <c r="L1940">
        <v>10</v>
      </c>
      <c r="M1940">
        <v>359.56</v>
      </c>
      <c r="N1940">
        <v>0.08</v>
      </c>
      <c r="O1940">
        <v>4470.5600000000004</v>
      </c>
      <c r="P1940">
        <v>416.18</v>
      </c>
      <c r="Q1940">
        <v>62.31</v>
      </c>
      <c r="R1940" t="s">
        <v>29</v>
      </c>
      <c r="S1940">
        <v>1</v>
      </c>
      <c r="T1940" t="b">
        <v>1</v>
      </c>
      <c r="U1940" t="s">
        <v>50</v>
      </c>
      <c r="V1940">
        <v>9</v>
      </c>
    </row>
    <row r="1941" spans="1:22" x14ac:dyDescent="0.25">
      <c r="A1941" t="s">
        <v>4374</v>
      </c>
      <c r="B1941" s="1">
        <v>45354</v>
      </c>
      <c r="C1941" t="s">
        <v>4375</v>
      </c>
      <c r="D1941" t="s">
        <v>1288</v>
      </c>
      <c r="E1941">
        <v>31</v>
      </c>
      <c r="F1941" t="str">
        <f>IF(Table1[[#This Row],[age]]&lt;=25,"18-25",IF(Table1[[#This Row],[age]]&lt;=35,"26-35",IF(Table1[[#This Row],[age]]&lt;=50,"36-50","51+")))</f>
        <v>26-35</v>
      </c>
      <c r="G1941" t="s">
        <v>34</v>
      </c>
      <c r="H1941" t="s">
        <v>25</v>
      </c>
      <c r="I1941" t="s">
        <v>26</v>
      </c>
      <c r="J1941" t="s">
        <v>101</v>
      </c>
      <c r="K1941" t="s">
        <v>318</v>
      </c>
      <c r="L1941">
        <v>7</v>
      </c>
      <c r="M1941">
        <v>1704.58</v>
      </c>
      <c r="N1941">
        <v>0.39</v>
      </c>
      <c r="O1941">
        <v>10255.26</v>
      </c>
      <c r="P1941">
        <v>3143.81</v>
      </c>
      <c r="Q1941">
        <v>60.24</v>
      </c>
      <c r="R1941" t="s">
        <v>49</v>
      </c>
      <c r="S1941">
        <v>1</v>
      </c>
      <c r="T1941" t="b">
        <v>0</v>
      </c>
      <c r="U1941" t="s">
        <v>30</v>
      </c>
      <c r="V1941">
        <v>4</v>
      </c>
    </row>
    <row r="1942" spans="1:22" x14ac:dyDescent="0.25">
      <c r="A1942" t="s">
        <v>4376</v>
      </c>
      <c r="B1942" s="1">
        <v>45652</v>
      </c>
      <c r="C1942" t="s">
        <v>4377</v>
      </c>
      <c r="D1942" t="s">
        <v>797</v>
      </c>
      <c r="E1942">
        <v>21</v>
      </c>
      <c r="F1942" t="str">
        <f>IF(Table1[[#This Row],[age]]&lt;=25,"18-25",IF(Table1[[#This Row],[age]]&lt;=35,"26-35",IF(Table1[[#This Row],[age]]&lt;=50,"36-50","51+")))</f>
        <v>18-25</v>
      </c>
      <c r="G1942" t="s">
        <v>34</v>
      </c>
      <c r="H1942" t="s">
        <v>61</v>
      </c>
      <c r="I1942" t="s">
        <v>163</v>
      </c>
      <c r="J1942" t="s">
        <v>101</v>
      </c>
      <c r="K1942" t="s">
        <v>124</v>
      </c>
      <c r="L1942">
        <v>6</v>
      </c>
      <c r="M1942">
        <v>5492.54</v>
      </c>
      <c r="N1942">
        <v>0.09</v>
      </c>
      <c r="O1942">
        <v>25243.43</v>
      </c>
      <c r="P1942">
        <v>6104.49</v>
      </c>
      <c r="Q1942">
        <v>71.5</v>
      </c>
      <c r="R1942" t="s">
        <v>43</v>
      </c>
      <c r="S1942">
        <v>5</v>
      </c>
      <c r="T1942" t="b">
        <v>0</v>
      </c>
      <c r="U1942" t="s">
        <v>30</v>
      </c>
      <c r="V1942">
        <v>1</v>
      </c>
    </row>
    <row r="1943" spans="1:22" x14ac:dyDescent="0.25">
      <c r="A1943" t="s">
        <v>4378</v>
      </c>
      <c r="B1943" s="1">
        <v>44630</v>
      </c>
      <c r="C1943" t="s">
        <v>4379</v>
      </c>
      <c r="D1943" t="s">
        <v>1782</v>
      </c>
      <c r="E1943">
        <v>21</v>
      </c>
      <c r="F1943" t="str">
        <f>IF(Table1[[#This Row],[age]]&lt;=25,"18-25",IF(Table1[[#This Row],[age]]&lt;=35,"26-35",IF(Table1[[#This Row],[age]]&lt;=50,"36-50","51+")))</f>
        <v>18-25</v>
      </c>
      <c r="G1943" t="s">
        <v>54</v>
      </c>
      <c r="H1943" t="s">
        <v>61</v>
      </c>
      <c r="I1943" t="s">
        <v>91</v>
      </c>
      <c r="J1943" t="s">
        <v>47</v>
      </c>
      <c r="K1943" t="s">
        <v>48</v>
      </c>
      <c r="L1943">
        <v>1</v>
      </c>
      <c r="M1943">
        <v>268.61</v>
      </c>
      <c r="N1943">
        <v>0.02</v>
      </c>
      <c r="O1943">
        <v>281.45999999999998</v>
      </c>
      <c r="P1943">
        <v>81.290000000000006</v>
      </c>
      <c r="Q1943">
        <v>49.64</v>
      </c>
      <c r="R1943" t="s">
        <v>43</v>
      </c>
      <c r="S1943">
        <v>5</v>
      </c>
      <c r="T1943" t="b">
        <v>0</v>
      </c>
      <c r="U1943" t="s">
        <v>30</v>
      </c>
      <c r="V1943">
        <v>1</v>
      </c>
    </row>
    <row r="1944" spans="1:22" x14ac:dyDescent="0.25">
      <c r="A1944" t="s">
        <v>4380</v>
      </c>
      <c r="B1944" s="1">
        <v>45370</v>
      </c>
      <c r="C1944" t="s">
        <v>4381</v>
      </c>
      <c r="D1944" t="s">
        <v>281</v>
      </c>
      <c r="E1944">
        <v>39</v>
      </c>
      <c r="F1944" t="str">
        <f>IF(Table1[[#This Row],[age]]&lt;=25,"18-25",IF(Table1[[#This Row],[age]]&lt;=35,"26-35",IF(Table1[[#This Row],[age]]&lt;=50,"36-50","51+")))</f>
        <v>36-50</v>
      </c>
      <c r="G1944" t="s">
        <v>54</v>
      </c>
      <c r="H1944" t="s">
        <v>55</v>
      </c>
      <c r="I1944" t="s">
        <v>75</v>
      </c>
      <c r="J1944" t="s">
        <v>27</v>
      </c>
      <c r="K1944" t="s">
        <v>28</v>
      </c>
      <c r="L1944">
        <v>5</v>
      </c>
      <c r="M1944">
        <v>2034.91</v>
      </c>
      <c r="N1944">
        <v>0.36</v>
      </c>
      <c r="O1944">
        <v>7446.29</v>
      </c>
      <c r="P1944">
        <v>2266.42</v>
      </c>
      <c r="Q1944">
        <v>51.38</v>
      </c>
      <c r="R1944" t="s">
        <v>49</v>
      </c>
      <c r="S1944">
        <v>3</v>
      </c>
      <c r="T1944" t="b">
        <v>0</v>
      </c>
      <c r="U1944" t="s">
        <v>30</v>
      </c>
      <c r="V1944">
        <v>7</v>
      </c>
    </row>
    <row r="1945" spans="1:22" x14ac:dyDescent="0.25">
      <c r="A1945" t="s">
        <v>4382</v>
      </c>
      <c r="B1945" s="1">
        <v>45464</v>
      </c>
      <c r="C1945" t="s">
        <v>4383</v>
      </c>
      <c r="D1945" t="s">
        <v>660</v>
      </c>
      <c r="E1945">
        <v>47</v>
      </c>
      <c r="F1945" t="str">
        <f>IF(Table1[[#This Row],[age]]&lt;=25,"18-25",IF(Table1[[#This Row],[age]]&lt;=35,"26-35",IF(Table1[[#This Row],[age]]&lt;=50,"36-50","51+")))</f>
        <v>36-50</v>
      </c>
      <c r="G1945" t="s">
        <v>34</v>
      </c>
      <c r="H1945" t="s">
        <v>55</v>
      </c>
      <c r="I1945" t="s">
        <v>75</v>
      </c>
      <c r="J1945" t="s">
        <v>27</v>
      </c>
      <c r="K1945" t="s">
        <v>28</v>
      </c>
      <c r="L1945">
        <v>9</v>
      </c>
      <c r="M1945">
        <v>2060.87</v>
      </c>
      <c r="N1945">
        <v>0.1</v>
      </c>
      <c r="O1945">
        <v>28144</v>
      </c>
      <c r="P1945">
        <v>10192.200000000001</v>
      </c>
      <c r="Q1945">
        <v>37.799999999999997</v>
      </c>
      <c r="R1945" t="s">
        <v>49</v>
      </c>
      <c r="S1945">
        <v>4</v>
      </c>
      <c r="T1945" t="b">
        <v>0</v>
      </c>
      <c r="U1945" t="s">
        <v>193</v>
      </c>
      <c r="V1945">
        <v>4</v>
      </c>
    </row>
    <row r="1946" spans="1:22" x14ac:dyDescent="0.25">
      <c r="A1946" t="s">
        <v>4384</v>
      </c>
      <c r="B1946" s="1">
        <v>44329</v>
      </c>
      <c r="C1946" t="s">
        <v>4385</v>
      </c>
      <c r="D1946" t="s">
        <v>187</v>
      </c>
      <c r="E1946">
        <v>21</v>
      </c>
      <c r="F1946" t="str">
        <f>IF(Table1[[#This Row],[age]]&lt;=25,"18-25",IF(Table1[[#This Row],[age]]&lt;=35,"26-35",IF(Table1[[#This Row],[age]]&lt;=50,"36-50","51+")))</f>
        <v>18-25</v>
      </c>
      <c r="G1946" t="s">
        <v>34</v>
      </c>
      <c r="H1946" t="s">
        <v>25</v>
      </c>
      <c r="I1946" t="s">
        <v>35</v>
      </c>
      <c r="J1946" t="s">
        <v>115</v>
      </c>
      <c r="K1946" t="s">
        <v>116</v>
      </c>
      <c r="L1946">
        <v>2</v>
      </c>
      <c r="M1946">
        <v>78594.039999999994</v>
      </c>
      <c r="N1946">
        <v>0.05</v>
      </c>
      <c r="O1946">
        <v>193777.03</v>
      </c>
      <c r="P1946">
        <v>25135.71</v>
      </c>
      <c r="Q1946">
        <v>35.32</v>
      </c>
      <c r="R1946" t="s">
        <v>57</v>
      </c>
      <c r="S1946">
        <v>3</v>
      </c>
      <c r="T1946" t="b">
        <v>0</v>
      </c>
      <c r="U1946" t="s">
        <v>30</v>
      </c>
      <c r="V1946">
        <v>8</v>
      </c>
    </row>
    <row r="1947" spans="1:22" x14ac:dyDescent="0.25">
      <c r="A1947" t="s">
        <v>4386</v>
      </c>
      <c r="B1947" s="1">
        <v>44083</v>
      </c>
      <c r="C1947" t="s">
        <v>4387</v>
      </c>
      <c r="D1947" t="s">
        <v>174</v>
      </c>
      <c r="E1947">
        <v>52</v>
      </c>
      <c r="F1947" t="str">
        <f>IF(Table1[[#This Row],[age]]&lt;=25,"18-25",IF(Table1[[#This Row],[age]]&lt;=35,"26-35",IF(Table1[[#This Row],[age]]&lt;=50,"36-50","51+")))</f>
        <v>51+</v>
      </c>
      <c r="G1947" t="s">
        <v>54</v>
      </c>
      <c r="H1947" t="s">
        <v>80</v>
      </c>
      <c r="I1947" t="s">
        <v>86</v>
      </c>
      <c r="J1947" t="s">
        <v>47</v>
      </c>
      <c r="K1947" t="s">
        <v>204</v>
      </c>
      <c r="L1947">
        <v>9</v>
      </c>
      <c r="M1947">
        <v>955.64</v>
      </c>
      <c r="N1947">
        <v>0.15</v>
      </c>
      <c r="O1947">
        <v>8375.59</v>
      </c>
      <c r="P1947">
        <v>2836.26</v>
      </c>
      <c r="Q1947">
        <v>75.790000000000006</v>
      </c>
      <c r="R1947" t="s">
        <v>57</v>
      </c>
      <c r="S1947">
        <v>4</v>
      </c>
      <c r="T1947" t="b">
        <v>0</v>
      </c>
      <c r="U1947" t="s">
        <v>193</v>
      </c>
      <c r="V1947">
        <v>9</v>
      </c>
    </row>
    <row r="1948" spans="1:22" x14ac:dyDescent="0.25">
      <c r="A1948" t="s">
        <v>4388</v>
      </c>
      <c r="B1948" s="1">
        <v>44573</v>
      </c>
      <c r="C1948" t="s">
        <v>4389</v>
      </c>
      <c r="D1948" t="s">
        <v>1114</v>
      </c>
      <c r="E1948">
        <v>26</v>
      </c>
      <c r="F1948" t="str">
        <f>IF(Table1[[#This Row],[age]]&lt;=25,"18-25",IF(Table1[[#This Row],[age]]&lt;=35,"26-35",IF(Table1[[#This Row],[age]]&lt;=50,"36-50","51+")))</f>
        <v>26-35</v>
      </c>
      <c r="G1948" t="s">
        <v>34</v>
      </c>
      <c r="H1948" t="s">
        <v>55</v>
      </c>
      <c r="I1948" t="s">
        <v>75</v>
      </c>
      <c r="J1948" t="s">
        <v>27</v>
      </c>
      <c r="K1948" t="s">
        <v>168</v>
      </c>
      <c r="L1948">
        <v>6</v>
      </c>
      <c r="M1948">
        <v>779.63</v>
      </c>
      <c r="N1948">
        <v>0.18</v>
      </c>
      <c r="O1948">
        <v>3057.53</v>
      </c>
      <c r="P1948">
        <v>1544.23</v>
      </c>
      <c r="Q1948">
        <v>28.85</v>
      </c>
      <c r="R1948" t="s">
        <v>43</v>
      </c>
      <c r="S1948">
        <v>2</v>
      </c>
      <c r="T1948" t="b">
        <v>1</v>
      </c>
      <c r="U1948" t="s">
        <v>50</v>
      </c>
      <c r="V1948">
        <v>9</v>
      </c>
    </row>
    <row r="1949" spans="1:22" x14ac:dyDescent="0.25">
      <c r="A1949" t="s">
        <v>4390</v>
      </c>
      <c r="B1949" s="1">
        <v>45187</v>
      </c>
      <c r="C1949" t="s">
        <v>4391</v>
      </c>
      <c r="D1949" t="s">
        <v>407</v>
      </c>
      <c r="E1949">
        <v>22</v>
      </c>
      <c r="F1949" t="str">
        <f>IF(Table1[[#This Row],[age]]&lt;=25,"18-25",IF(Table1[[#This Row],[age]]&lt;=35,"26-35",IF(Table1[[#This Row],[age]]&lt;=50,"36-50","51+")))</f>
        <v>18-25</v>
      </c>
      <c r="G1949" t="s">
        <v>34</v>
      </c>
      <c r="H1949" t="s">
        <v>25</v>
      </c>
      <c r="I1949" t="s">
        <v>35</v>
      </c>
      <c r="J1949" t="s">
        <v>36</v>
      </c>
      <c r="K1949" t="s">
        <v>42</v>
      </c>
      <c r="L1949">
        <v>6</v>
      </c>
      <c r="M1949">
        <v>8704.76</v>
      </c>
      <c r="N1949">
        <v>0.23</v>
      </c>
      <c r="O1949">
        <v>52701.51</v>
      </c>
      <c r="P1949">
        <v>16266.5</v>
      </c>
      <c r="Q1949">
        <v>67.260000000000005</v>
      </c>
      <c r="R1949" t="s">
        <v>57</v>
      </c>
      <c r="S1949">
        <v>1</v>
      </c>
      <c r="T1949" t="b">
        <v>0</v>
      </c>
      <c r="U1949" t="s">
        <v>193</v>
      </c>
      <c r="V1949">
        <v>9</v>
      </c>
    </row>
    <row r="1950" spans="1:22" x14ac:dyDescent="0.25">
      <c r="A1950" t="s">
        <v>4392</v>
      </c>
      <c r="B1950" s="1">
        <v>45308</v>
      </c>
      <c r="C1950" t="s">
        <v>4393</v>
      </c>
      <c r="D1950" t="s">
        <v>862</v>
      </c>
      <c r="E1950">
        <v>52</v>
      </c>
      <c r="F1950" t="str">
        <f>IF(Table1[[#This Row],[age]]&lt;=25,"18-25",IF(Table1[[#This Row],[age]]&lt;=35,"26-35",IF(Table1[[#This Row],[age]]&lt;=50,"36-50","51+")))</f>
        <v>51+</v>
      </c>
      <c r="G1950" t="s">
        <v>54</v>
      </c>
      <c r="H1950" t="s">
        <v>55</v>
      </c>
      <c r="I1950" t="s">
        <v>97</v>
      </c>
      <c r="J1950" t="s">
        <v>115</v>
      </c>
      <c r="K1950" t="s">
        <v>545</v>
      </c>
      <c r="L1950">
        <v>10</v>
      </c>
      <c r="M1950">
        <v>9943.85</v>
      </c>
      <c r="N1950">
        <v>0.05</v>
      </c>
      <c r="O1950">
        <v>93726.28</v>
      </c>
      <c r="P1950">
        <v>11320.82</v>
      </c>
      <c r="Q1950">
        <v>33.450000000000003</v>
      </c>
      <c r="R1950" t="s">
        <v>65</v>
      </c>
      <c r="S1950">
        <v>4</v>
      </c>
      <c r="T1950" t="b">
        <v>1</v>
      </c>
      <c r="U1950" t="s">
        <v>50</v>
      </c>
      <c r="V1950">
        <v>6</v>
      </c>
    </row>
    <row r="1951" spans="1:22" x14ac:dyDescent="0.25">
      <c r="A1951" t="s">
        <v>4394</v>
      </c>
      <c r="B1951" s="1">
        <v>44551</v>
      </c>
      <c r="C1951" t="s">
        <v>4395</v>
      </c>
      <c r="D1951" t="s">
        <v>3259</v>
      </c>
      <c r="E1951">
        <v>33</v>
      </c>
      <c r="F1951" t="str">
        <f>IF(Table1[[#This Row],[age]]&lt;=25,"18-25",IF(Table1[[#This Row],[age]]&lt;=35,"26-35",IF(Table1[[#This Row],[age]]&lt;=50,"36-50","51+")))</f>
        <v>26-35</v>
      </c>
      <c r="G1951" t="s">
        <v>54</v>
      </c>
      <c r="H1951" t="s">
        <v>61</v>
      </c>
      <c r="I1951" t="s">
        <v>141</v>
      </c>
      <c r="J1951" t="s">
        <v>106</v>
      </c>
      <c r="K1951" t="s">
        <v>188</v>
      </c>
      <c r="L1951">
        <v>6</v>
      </c>
      <c r="M1951">
        <v>377.46</v>
      </c>
      <c r="N1951">
        <v>0.31</v>
      </c>
      <c r="O1951">
        <v>1187.1600000000001</v>
      </c>
      <c r="P1951">
        <v>62.24</v>
      </c>
      <c r="Q1951">
        <v>64.09</v>
      </c>
      <c r="R1951" t="s">
        <v>92</v>
      </c>
      <c r="S1951">
        <v>2</v>
      </c>
      <c r="T1951" t="b">
        <v>0</v>
      </c>
      <c r="U1951" t="s">
        <v>93</v>
      </c>
      <c r="V1951">
        <v>5</v>
      </c>
    </row>
    <row r="1952" spans="1:22" x14ac:dyDescent="0.25">
      <c r="A1952" t="s">
        <v>4396</v>
      </c>
      <c r="B1952" s="1">
        <v>45468</v>
      </c>
      <c r="C1952" t="s">
        <v>4397</v>
      </c>
      <c r="D1952" t="s">
        <v>217</v>
      </c>
      <c r="E1952">
        <v>27</v>
      </c>
      <c r="F1952" t="str">
        <f>IF(Table1[[#This Row],[age]]&lt;=25,"18-25",IF(Table1[[#This Row],[age]]&lt;=35,"26-35",IF(Table1[[#This Row],[age]]&lt;=50,"36-50","51+")))</f>
        <v>26-35</v>
      </c>
      <c r="G1952" t="s">
        <v>54</v>
      </c>
      <c r="H1952" t="s">
        <v>80</v>
      </c>
      <c r="I1952" t="s">
        <v>81</v>
      </c>
      <c r="J1952" t="s">
        <v>106</v>
      </c>
      <c r="K1952" t="s">
        <v>107</v>
      </c>
      <c r="L1952">
        <v>1</v>
      </c>
      <c r="M1952">
        <v>389.09</v>
      </c>
      <c r="N1952">
        <v>0.33</v>
      </c>
      <c r="O1952">
        <v>384.54</v>
      </c>
      <c r="P1952">
        <v>33.54</v>
      </c>
      <c r="Q1952">
        <v>93.62</v>
      </c>
      <c r="R1952" t="s">
        <v>57</v>
      </c>
      <c r="S1952">
        <v>5</v>
      </c>
      <c r="T1952" t="b">
        <v>0</v>
      </c>
      <c r="U1952" t="s">
        <v>30</v>
      </c>
      <c r="V1952">
        <v>3</v>
      </c>
    </row>
    <row r="1953" spans="1:22" x14ac:dyDescent="0.25">
      <c r="A1953" t="s">
        <v>4398</v>
      </c>
      <c r="B1953" s="1">
        <v>44084</v>
      </c>
      <c r="C1953" t="s">
        <v>4399</v>
      </c>
      <c r="D1953" t="s">
        <v>1183</v>
      </c>
      <c r="E1953">
        <v>49</v>
      </c>
      <c r="F1953" t="str">
        <f>IF(Table1[[#This Row],[age]]&lt;=25,"18-25",IF(Table1[[#This Row],[age]]&lt;=35,"26-35",IF(Table1[[#This Row],[age]]&lt;=50,"36-50","51+")))</f>
        <v>36-50</v>
      </c>
      <c r="G1953" t="s">
        <v>24</v>
      </c>
      <c r="H1953" t="s">
        <v>55</v>
      </c>
      <c r="I1953" t="s">
        <v>97</v>
      </c>
      <c r="J1953" t="s">
        <v>63</v>
      </c>
      <c r="K1953" t="s">
        <v>82</v>
      </c>
      <c r="L1953">
        <v>9</v>
      </c>
      <c r="M1953">
        <v>1086.28</v>
      </c>
      <c r="N1953">
        <v>0.01</v>
      </c>
      <c r="O1953">
        <v>10096.41</v>
      </c>
      <c r="P1953">
        <v>2991.15</v>
      </c>
      <c r="Q1953">
        <v>60.79</v>
      </c>
      <c r="R1953" t="s">
        <v>65</v>
      </c>
      <c r="S1953">
        <v>5</v>
      </c>
      <c r="T1953" t="b">
        <v>0</v>
      </c>
      <c r="U1953" t="s">
        <v>93</v>
      </c>
      <c r="V1953">
        <v>5</v>
      </c>
    </row>
    <row r="1954" spans="1:22" x14ac:dyDescent="0.25">
      <c r="A1954" t="s">
        <v>4400</v>
      </c>
      <c r="B1954" s="1">
        <v>44729</v>
      </c>
      <c r="C1954" t="s">
        <v>4401</v>
      </c>
      <c r="D1954" t="s">
        <v>692</v>
      </c>
      <c r="E1954">
        <v>50</v>
      </c>
      <c r="F1954" t="str">
        <f>IF(Table1[[#This Row],[age]]&lt;=25,"18-25",IF(Table1[[#This Row],[age]]&lt;=35,"26-35",IF(Table1[[#This Row],[age]]&lt;=50,"36-50","51+")))</f>
        <v>36-50</v>
      </c>
      <c r="G1954" t="s">
        <v>34</v>
      </c>
      <c r="H1954" t="s">
        <v>69</v>
      </c>
      <c r="I1954" t="s">
        <v>181</v>
      </c>
      <c r="J1954" t="s">
        <v>27</v>
      </c>
      <c r="K1954" t="s">
        <v>168</v>
      </c>
      <c r="L1954">
        <v>2</v>
      </c>
      <c r="M1954">
        <v>884.91</v>
      </c>
      <c r="N1954">
        <v>0.28999999999999998</v>
      </c>
      <c r="O1954">
        <v>2004.25</v>
      </c>
      <c r="P1954">
        <v>1116.42</v>
      </c>
      <c r="Q1954">
        <v>82.19</v>
      </c>
      <c r="R1954" t="s">
        <v>57</v>
      </c>
      <c r="S1954">
        <v>2</v>
      </c>
      <c r="T1954" t="b">
        <v>0</v>
      </c>
      <c r="U1954" t="s">
        <v>93</v>
      </c>
      <c r="V1954">
        <v>3</v>
      </c>
    </row>
    <row r="1955" spans="1:22" x14ac:dyDescent="0.25">
      <c r="A1955" t="s">
        <v>4402</v>
      </c>
      <c r="B1955" s="1">
        <v>44533</v>
      </c>
      <c r="C1955" t="s">
        <v>4403</v>
      </c>
      <c r="D1955" t="s">
        <v>1654</v>
      </c>
      <c r="E1955">
        <v>21</v>
      </c>
      <c r="F1955" t="str">
        <f>IF(Table1[[#This Row],[age]]&lt;=25,"18-25",IF(Table1[[#This Row],[age]]&lt;=35,"26-35",IF(Table1[[#This Row],[age]]&lt;=50,"36-50","51+")))</f>
        <v>18-25</v>
      </c>
      <c r="G1955" t="s">
        <v>24</v>
      </c>
      <c r="H1955" t="s">
        <v>61</v>
      </c>
      <c r="I1955" t="s">
        <v>62</v>
      </c>
      <c r="J1955" t="s">
        <v>115</v>
      </c>
      <c r="K1955" t="s">
        <v>398</v>
      </c>
      <c r="L1955">
        <v>9</v>
      </c>
      <c r="M1955">
        <v>53847.63</v>
      </c>
      <c r="N1955">
        <v>0.31</v>
      </c>
      <c r="O1955">
        <v>246850.13</v>
      </c>
      <c r="P1955">
        <v>37649.519999999997</v>
      </c>
      <c r="Q1955">
        <v>59.17</v>
      </c>
      <c r="R1955" t="s">
        <v>65</v>
      </c>
      <c r="S1955">
        <v>4</v>
      </c>
      <c r="T1955" t="b">
        <v>0</v>
      </c>
      <c r="U1955" t="s">
        <v>30</v>
      </c>
      <c r="V1955">
        <v>2</v>
      </c>
    </row>
    <row r="1956" spans="1:22" x14ac:dyDescent="0.25">
      <c r="A1956" t="s">
        <v>4404</v>
      </c>
      <c r="B1956" s="1">
        <v>45177</v>
      </c>
      <c r="C1956" t="s">
        <v>4405</v>
      </c>
      <c r="D1956" t="s">
        <v>1327</v>
      </c>
      <c r="E1956">
        <v>45</v>
      </c>
      <c r="F1956" t="str">
        <f>IF(Table1[[#This Row],[age]]&lt;=25,"18-25",IF(Table1[[#This Row],[age]]&lt;=35,"26-35",IF(Table1[[#This Row],[age]]&lt;=50,"36-50","51+")))</f>
        <v>36-50</v>
      </c>
      <c r="G1956" t="s">
        <v>34</v>
      </c>
      <c r="H1956" t="s">
        <v>61</v>
      </c>
      <c r="I1956" t="s">
        <v>163</v>
      </c>
      <c r="J1956" t="s">
        <v>63</v>
      </c>
      <c r="K1956" t="s">
        <v>434</v>
      </c>
      <c r="L1956">
        <v>6</v>
      </c>
      <c r="M1956">
        <v>828.79</v>
      </c>
      <c r="N1956">
        <v>0.19</v>
      </c>
      <c r="O1956">
        <v>4849.25</v>
      </c>
      <c r="P1956">
        <v>1887.14</v>
      </c>
      <c r="Q1956">
        <v>32.64</v>
      </c>
      <c r="R1956" t="s">
        <v>43</v>
      </c>
      <c r="S1956">
        <v>5</v>
      </c>
      <c r="T1956" t="b">
        <v>0</v>
      </c>
      <c r="U1956" t="s">
        <v>71</v>
      </c>
      <c r="V1956">
        <v>6</v>
      </c>
    </row>
    <row r="1957" spans="1:22" x14ac:dyDescent="0.25">
      <c r="A1957" t="s">
        <v>4406</v>
      </c>
      <c r="B1957" s="1">
        <v>44209</v>
      </c>
      <c r="C1957" t="s">
        <v>4407</v>
      </c>
      <c r="D1957" t="s">
        <v>2058</v>
      </c>
      <c r="E1957">
        <v>22</v>
      </c>
      <c r="F1957" t="str">
        <f>IF(Table1[[#This Row],[age]]&lt;=25,"18-25",IF(Table1[[#This Row],[age]]&lt;=35,"26-35",IF(Table1[[#This Row],[age]]&lt;=50,"36-50","51+")))</f>
        <v>18-25</v>
      </c>
      <c r="G1957" t="s">
        <v>34</v>
      </c>
      <c r="H1957" t="s">
        <v>80</v>
      </c>
      <c r="I1957" t="s">
        <v>242</v>
      </c>
      <c r="J1957" t="s">
        <v>27</v>
      </c>
      <c r="K1957" t="s">
        <v>28</v>
      </c>
      <c r="L1957">
        <v>8</v>
      </c>
      <c r="M1957">
        <v>920.84</v>
      </c>
      <c r="N1957">
        <v>0.23</v>
      </c>
      <c r="O1957">
        <v>4710.2</v>
      </c>
      <c r="P1957">
        <v>2543.38</v>
      </c>
      <c r="Q1957">
        <v>46.86</v>
      </c>
      <c r="R1957" t="s">
        <v>57</v>
      </c>
      <c r="S1957">
        <v>5</v>
      </c>
      <c r="T1957" t="b">
        <v>0</v>
      </c>
      <c r="U1957" t="s">
        <v>30</v>
      </c>
      <c r="V1957">
        <v>8</v>
      </c>
    </row>
    <row r="1958" spans="1:22" x14ac:dyDescent="0.25">
      <c r="A1958" t="s">
        <v>4408</v>
      </c>
      <c r="B1958" s="1">
        <v>44351</v>
      </c>
      <c r="C1958" t="s">
        <v>400</v>
      </c>
      <c r="D1958" t="s">
        <v>3049</v>
      </c>
      <c r="E1958">
        <v>24</v>
      </c>
      <c r="F1958" t="str">
        <f>IF(Table1[[#This Row],[age]]&lt;=25,"18-25",IF(Table1[[#This Row],[age]]&lt;=35,"26-35",IF(Table1[[#This Row],[age]]&lt;=50,"36-50","51+")))</f>
        <v>18-25</v>
      </c>
      <c r="G1958" t="s">
        <v>54</v>
      </c>
      <c r="H1958" t="s">
        <v>61</v>
      </c>
      <c r="I1958" t="s">
        <v>163</v>
      </c>
      <c r="J1958" t="s">
        <v>47</v>
      </c>
      <c r="K1958" t="s">
        <v>156</v>
      </c>
      <c r="L1958">
        <v>4</v>
      </c>
      <c r="M1958">
        <v>514.84</v>
      </c>
      <c r="N1958">
        <v>0.08</v>
      </c>
      <c r="O1958">
        <v>2778.42</v>
      </c>
      <c r="P1958">
        <v>1048.18</v>
      </c>
      <c r="Q1958">
        <v>49.45</v>
      </c>
      <c r="R1958" t="s">
        <v>29</v>
      </c>
      <c r="S1958">
        <v>5</v>
      </c>
      <c r="T1958" t="b">
        <v>0</v>
      </c>
      <c r="U1958" t="s">
        <v>30</v>
      </c>
      <c r="V1958">
        <v>7</v>
      </c>
    </row>
    <row r="1959" spans="1:22" x14ac:dyDescent="0.25">
      <c r="A1959" t="s">
        <v>4409</v>
      </c>
      <c r="B1959" s="1">
        <v>45585</v>
      </c>
      <c r="C1959" t="s">
        <v>4410</v>
      </c>
      <c r="D1959" t="s">
        <v>2439</v>
      </c>
      <c r="E1959">
        <v>28</v>
      </c>
      <c r="F1959" t="str">
        <f>IF(Table1[[#This Row],[age]]&lt;=25,"18-25",IF(Table1[[#This Row],[age]]&lt;=35,"26-35",IF(Table1[[#This Row],[age]]&lt;=50,"36-50","51+")))</f>
        <v>26-35</v>
      </c>
      <c r="G1959" t="s">
        <v>34</v>
      </c>
      <c r="H1959" t="s">
        <v>61</v>
      </c>
      <c r="I1959" t="s">
        <v>163</v>
      </c>
      <c r="J1959" t="s">
        <v>47</v>
      </c>
      <c r="K1959" t="s">
        <v>272</v>
      </c>
      <c r="L1959">
        <v>2</v>
      </c>
      <c r="M1959">
        <v>1282.6300000000001</v>
      </c>
      <c r="N1959">
        <v>0.28999999999999998</v>
      </c>
      <c r="O1959">
        <v>1929.76</v>
      </c>
      <c r="P1959">
        <v>782.47</v>
      </c>
      <c r="Q1959">
        <v>19.68</v>
      </c>
      <c r="R1959" t="s">
        <v>29</v>
      </c>
      <c r="S1959">
        <v>4</v>
      </c>
      <c r="T1959" t="b">
        <v>0</v>
      </c>
      <c r="U1959" t="s">
        <v>30</v>
      </c>
      <c r="V1959">
        <v>6</v>
      </c>
    </row>
    <row r="1960" spans="1:22" x14ac:dyDescent="0.25">
      <c r="A1960" t="s">
        <v>4411</v>
      </c>
      <c r="B1960" s="1">
        <v>44440</v>
      </c>
      <c r="C1960" t="s">
        <v>4412</v>
      </c>
      <c r="D1960" t="s">
        <v>937</v>
      </c>
      <c r="E1960">
        <v>31</v>
      </c>
      <c r="F1960" t="str">
        <f>IF(Table1[[#This Row],[age]]&lt;=25,"18-25",IF(Table1[[#This Row],[age]]&lt;=35,"26-35",IF(Table1[[#This Row],[age]]&lt;=50,"36-50","51+")))</f>
        <v>26-35</v>
      </c>
      <c r="G1960" t="s">
        <v>54</v>
      </c>
      <c r="H1960" t="s">
        <v>69</v>
      </c>
      <c r="I1960" t="s">
        <v>181</v>
      </c>
      <c r="J1960" t="s">
        <v>47</v>
      </c>
      <c r="K1960" t="s">
        <v>204</v>
      </c>
      <c r="L1960">
        <v>1</v>
      </c>
      <c r="M1960">
        <v>1491.06</v>
      </c>
      <c r="N1960">
        <v>0.04</v>
      </c>
      <c r="O1960">
        <v>1674.24</v>
      </c>
      <c r="P1960">
        <v>498.53</v>
      </c>
      <c r="Q1960">
        <v>77.849999999999994</v>
      </c>
      <c r="R1960" t="s">
        <v>29</v>
      </c>
      <c r="S1960">
        <v>3</v>
      </c>
      <c r="T1960" t="b">
        <v>0</v>
      </c>
      <c r="U1960" t="s">
        <v>30</v>
      </c>
      <c r="V1960">
        <v>10</v>
      </c>
    </row>
    <row r="1961" spans="1:22" x14ac:dyDescent="0.25">
      <c r="A1961" t="s">
        <v>4413</v>
      </c>
      <c r="B1961" s="1">
        <v>44627</v>
      </c>
      <c r="C1961" t="s">
        <v>4414</v>
      </c>
      <c r="D1961" t="s">
        <v>1333</v>
      </c>
      <c r="E1961">
        <v>30</v>
      </c>
      <c r="F1961" t="str">
        <f>IF(Table1[[#This Row],[age]]&lt;=25,"18-25",IF(Table1[[#This Row],[age]]&lt;=35,"26-35",IF(Table1[[#This Row],[age]]&lt;=50,"36-50","51+")))</f>
        <v>26-35</v>
      </c>
      <c r="G1961" t="s">
        <v>54</v>
      </c>
      <c r="H1961" t="s">
        <v>55</v>
      </c>
      <c r="I1961" t="s">
        <v>97</v>
      </c>
      <c r="J1961" t="s">
        <v>115</v>
      </c>
      <c r="K1961" t="s">
        <v>545</v>
      </c>
      <c r="L1961">
        <v>7</v>
      </c>
      <c r="M1961">
        <v>56508.01</v>
      </c>
      <c r="N1961">
        <v>0.17</v>
      </c>
      <c r="O1961">
        <v>346370.5</v>
      </c>
      <c r="P1961">
        <v>51195.31</v>
      </c>
      <c r="Q1961">
        <v>55.94</v>
      </c>
      <c r="R1961" t="s">
        <v>43</v>
      </c>
      <c r="S1961">
        <v>1</v>
      </c>
      <c r="T1961" t="b">
        <v>0</v>
      </c>
      <c r="U1961" t="s">
        <v>71</v>
      </c>
      <c r="V1961">
        <v>5</v>
      </c>
    </row>
    <row r="1962" spans="1:22" x14ac:dyDescent="0.25">
      <c r="A1962" t="s">
        <v>4415</v>
      </c>
      <c r="B1962" s="1">
        <v>44346</v>
      </c>
      <c r="C1962" t="s">
        <v>4416</v>
      </c>
      <c r="D1962" t="s">
        <v>384</v>
      </c>
      <c r="E1962">
        <v>44</v>
      </c>
      <c r="F1962" t="str">
        <f>IF(Table1[[#This Row],[age]]&lt;=25,"18-25",IF(Table1[[#This Row],[age]]&lt;=35,"26-35",IF(Table1[[#This Row],[age]]&lt;=50,"36-50","51+")))</f>
        <v>36-50</v>
      </c>
      <c r="G1962" t="s">
        <v>34</v>
      </c>
      <c r="H1962" t="s">
        <v>55</v>
      </c>
      <c r="I1962" t="s">
        <v>114</v>
      </c>
      <c r="J1962" t="s">
        <v>47</v>
      </c>
      <c r="K1962" t="s">
        <v>272</v>
      </c>
      <c r="L1962">
        <v>9</v>
      </c>
      <c r="M1962">
        <v>1098.3800000000001</v>
      </c>
      <c r="N1962">
        <v>0.3</v>
      </c>
      <c r="O1962">
        <v>8954.36</v>
      </c>
      <c r="P1962">
        <v>4025.08</v>
      </c>
      <c r="Q1962">
        <v>53.61</v>
      </c>
      <c r="R1962" t="s">
        <v>43</v>
      </c>
      <c r="S1962">
        <v>4</v>
      </c>
      <c r="T1962" t="b">
        <v>0</v>
      </c>
      <c r="U1962" t="s">
        <v>30</v>
      </c>
      <c r="V1962">
        <v>2</v>
      </c>
    </row>
    <row r="1963" spans="1:22" x14ac:dyDescent="0.25">
      <c r="A1963" t="s">
        <v>4417</v>
      </c>
      <c r="B1963" s="1">
        <v>45290</v>
      </c>
      <c r="C1963" t="s">
        <v>4418</v>
      </c>
      <c r="D1963" t="s">
        <v>452</v>
      </c>
      <c r="E1963">
        <v>38</v>
      </c>
      <c r="F1963" t="str">
        <f>IF(Table1[[#This Row],[age]]&lt;=25,"18-25",IF(Table1[[#This Row],[age]]&lt;=35,"26-35",IF(Table1[[#This Row],[age]]&lt;=50,"36-50","51+")))</f>
        <v>36-50</v>
      </c>
      <c r="G1963" t="s">
        <v>54</v>
      </c>
      <c r="H1963" t="s">
        <v>80</v>
      </c>
      <c r="I1963" t="s">
        <v>86</v>
      </c>
      <c r="J1963" t="s">
        <v>106</v>
      </c>
      <c r="K1963" t="s">
        <v>188</v>
      </c>
      <c r="L1963">
        <v>4</v>
      </c>
      <c r="M1963">
        <v>447.49</v>
      </c>
      <c r="N1963">
        <v>0.26</v>
      </c>
      <c r="O1963">
        <v>1195.23</v>
      </c>
      <c r="P1963">
        <v>126.56</v>
      </c>
      <c r="Q1963">
        <v>87.92</v>
      </c>
      <c r="R1963" t="s">
        <v>57</v>
      </c>
      <c r="S1963">
        <v>5</v>
      </c>
      <c r="T1963" t="b">
        <v>0</v>
      </c>
      <c r="U1963" t="s">
        <v>93</v>
      </c>
      <c r="V1963">
        <v>3</v>
      </c>
    </row>
    <row r="1964" spans="1:22" x14ac:dyDescent="0.25">
      <c r="A1964" t="s">
        <v>4419</v>
      </c>
      <c r="B1964" s="1">
        <v>45204</v>
      </c>
      <c r="C1964" t="s">
        <v>4420</v>
      </c>
      <c r="D1964" t="s">
        <v>1051</v>
      </c>
      <c r="E1964">
        <v>42</v>
      </c>
      <c r="F1964" t="str">
        <f>IF(Table1[[#This Row],[age]]&lt;=25,"18-25",IF(Table1[[#This Row],[age]]&lt;=35,"26-35",IF(Table1[[#This Row],[age]]&lt;=50,"36-50","51+")))</f>
        <v>36-50</v>
      </c>
      <c r="G1964" t="s">
        <v>34</v>
      </c>
      <c r="H1964" t="s">
        <v>55</v>
      </c>
      <c r="I1964" t="s">
        <v>114</v>
      </c>
      <c r="J1964" t="s">
        <v>101</v>
      </c>
      <c r="K1964" t="s">
        <v>318</v>
      </c>
      <c r="L1964">
        <v>5</v>
      </c>
      <c r="M1964">
        <v>10121.780000000001</v>
      </c>
      <c r="N1964">
        <v>0.14000000000000001</v>
      </c>
      <c r="O1964">
        <v>46514.29</v>
      </c>
      <c r="P1964">
        <v>14209.66</v>
      </c>
      <c r="Q1964">
        <v>67.27</v>
      </c>
      <c r="R1964" t="s">
        <v>92</v>
      </c>
      <c r="S1964">
        <v>1</v>
      </c>
      <c r="T1964" t="b">
        <v>0</v>
      </c>
      <c r="U1964" t="s">
        <v>30</v>
      </c>
      <c r="V1964">
        <v>6</v>
      </c>
    </row>
    <row r="1965" spans="1:22" x14ac:dyDescent="0.25">
      <c r="A1965" t="s">
        <v>4421</v>
      </c>
      <c r="B1965" s="1">
        <v>44272</v>
      </c>
      <c r="C1965" t="s">
        <v>4422</v>
      </c>
      <c r="D1965" t="s">
        <v>606</v>
      </c>
      <c r="E1965">
        <v>37</v>
      </c>
      <c r="F1965" t="str">
        <f>IF(Table1[[#This Row],[age]]&lt;=25,"18-25",IF(Table1[[#This Row],[age]]&lt;=35,"26-35",IF(Table1[[#This Row],[age]]&lt;=50,"36-50","51+")))</f>
        <v>36-50</v>
      </c>
      <c r="G1965" t="s">
        <v>24</v>
      </c>
      <c r="H1965" t="s">
        <v>80</v>
      </c>
      <c r="I1965" t="s">
        <v>86</v>
      </c>
      <c r="J1965" t="s">
        <v>36</v>
      </c>
      <c r="K1965" t="s">
        <v>42</v>
      </c>
      <c r="L1965">
        <v>4</v>
      </c>
      <c r="M1965">
        <v>14435.97</v>
      </c>
      <c r="N1965">
        <v>0.01</v>
      </c>
      <c r="O1965">
        <v>62179.839999999997</v>
      </c>
      <c r="P1965">
        <v>17618.77</v>
      </c>
      <c r="Q1965">
        <v>57.05</v>
      </c>
      <c r="R1965" t="s">
        <v>92</v>
      </c>
      <c r="S1965">
        <v>3</v>
      </c>
      <c r="T1965" t="b">
        <v>0</v>
      </c>
      <c r="U1965" t="s">
        <v>30</v>
      </c>
      <c r="V1965">
        <v>7</v>
      </c>
    </row>
    <row r="1966" spans="1:22" x14ac:dyDescent="0.25">
      <c r="A1966" t="s">
        <v>4423</v>
      </c>
      <c r="B1966" s="1">
        <v>44235</v>
      </c>
      <c r="C1966" t="s">
        <v>4424</v>
      </c>
      <c r="D1966" t="s">
        <v>397</v>
      </c>
      <c r="E1966">
        <v>39</v>
      </c>
      <c r="F1966" t="str">
        <f>IF(Table1[[#This Row],[age]]&lt;=25,"18-25",IF(Table1[[#This Row],[age]]&lt;=35,"26-35",IF(Table1[[#This Row],[age]]&lt;=50,"36-50","51+")))</f>
        <v>36-50</v>
      </c>
      <c r="G1966" t="s">
        <v>34</v>
      </c>
      <c r="H1966" t="s">
        <v>25</v>
      </c>
      <c r="I1966" t="s">
        <v>41</v>
      </c>
      <c r="J1966" t="s">
        <v>115</v>
      </c>
      <c r="K1966" t="s">
        <v>545</v>
      </c>
      <c r="L1966">
        <v>3</v>
      </c>
      <c r="M1966">
        <v>76079.41</v>
      </c>
      <c r="N1966">
        <v>7.0000000000000007E-2</v>
      </c>
      <c r="O1966">
        <v>168287.61</v>
      </c>
      <c r="P1966">
        <v>15094</v>
      </c>
      <c r="Q1966">
        <v>31.95</v>
      </c>
      <c r="R1966" t="s">
        <v>65</v>
      </c>
      <c r="S1966">
        <v>2</v>
      </c>
      <c r="T1966" t="b">
        <v>1</v>
      </c>
      <c r="U1966" t="s">
        <v>50</v>
      </c>
      <c r="V1966">
        <v>8</v>
      </c>
    </row>
    <row r="1967" spans="1:22" x14ac:dyDescent="0.25">
      <c r="A1967" t="s">
        <v>4425</v>
      </c>
      <c r="B1967" s="1">
        <v>43941</v>
      </c>
      <c r="C1967" t="s">
        <v>4426</v>
      </c>
      <c r="D1967" t="s">
        <v>191</v>
      </c>
      <c r="E1967">
        <v>54</v>
      </c>
      <c r="F1967" t="str">
        <f>IF(Table1[[#This Row],[age]]&lt;=25,"18-25",IF(Table1[[#This Row],[age]]&lt;=35,"26-35",IF(Table1[[#This Row],[age]]&lt;=50,"36-50","51+")))</f>
        <v>51+</v>
      </c>
      <c r="G1967" t="s">
        <v>54</v>
      </c>
      <c r="H1967" t="s">
        <v>55</v>
      </c>
      <c r="I1967" t="s">
        <v>114</v>
      </c>
      <c r="J1967" t="s">
        <v>27</v>
      </c>
      <c r="K1967" t="s">
        <v>28</v>
      </c>
      <c r="L1967">
        <v>5</v>
      </c>
      <c r="M1967">
        <v>1643.32</v>
      </c>
      <c r="N1967">
        <v>0.11</v>
      </c>
      <c r="O1967">
        <v>9008.4699999999993</v>
      </c>
      <c r="P1967">
        <v>4000.95</v>
      </c>
      <c r="Q1967">
        <v>84.55</v>
      </c>
      <c r="R1967" t="s">
        <v>49</v>
      </c>
      <c r="S1967">
        <v>4</v>
      </c>
      <c r="T1967" t="b">
        <v>0</v>
      </c>
      <c r="U1967" t="s">
        <v>30</v>
      </c>
      <c r="V1967">
        <v>4</v>
      </c>
    </row>
    <row r="1968" spans="1:22" x14ac:dyDescent="0.25">
      <c r="A1968" t="s">
        <v>4427</v>
      </c>
      <c r="B1968" s="1">
        <v>44630</v>
      </c>
      <c r="C1968" t="s">
        <v>4428</v>
      </c>
      <c r="D1968" t="s">
        <v>826</v>
      </c>
      <c r="E1968">
        <v>44</v>
      </c>
      <c r="F1968" t="str">
        <f>IF(Table1[[#This Row],[age]]&lt;=25,"18-25",IF(Table1[[#This Row],[age]]&lt;=35,"26-35",IF(Table1[[#This Row],[age]]&lt;=50,"36-50","51+")))</f>
        <v>36-50</v>
      </c>
      <c r="G1968" t="s">
        <v>34</v>
      </c>
      <c r="H1968" t="s">
        <v>80</v>
      </c>
      <c r="I1968" t="s">
        <v>236</v>
      </c>
      <c r="J1968" t="s">
        <v>101</v>
      </c>
      <c r="K1968" t="s">
        <v>214</v>
      </c>
      <c r="L1968">
        <v>3</v>
      </c>
      <c r="M1968">
        <v>10264.85</v>
      </c>
      <c r="N1968">
        <v>0.09</v>
      </c>
      <c r="O1968">
        <v>30609.29</v>
      </c>
      <c r="P1968">
        <v>8490.6299999999992</v>
      </c>
      <c r="Q1968">
        <v>39.51</v>
      </c>
      <c r="R1968" t="s">
        <v>92</v>
      </c>
      <c r="S1968">
        <v>5</v>
      </c>
      <c r="T1968" t="b">
        <v>0</v>
      </c>
      <c r="U1968" t="s">
        <v>30</v>
      </c>
      <c r="V1968">
        <v>8</v>
      </c>
    </row>
    <row r="1969" spans="1:22" x14ac:dyDescent="0.25">
      <c r="A1969" t="s">
        <v>4429</v>
      </c>
      <c r="B1969" s="1">
        <v>45218</v>
      </c>
      <c r="C1969" t="s">
        <v>4430</v>
      </c>
      <c r="D1969" t="s">
        <v>1370</v>
      </c>
      <c r="E1969">
        <v>29</v>
      </c>
      <c r="F1969" t="str">
        <f>IF(Table1[[#This Row],[age]]&lt;=25,"18-25",IF(Table1[[#This Row],[age]]&lt;=35,"26-35",IF(Table1[[#This Row],[age]]&lt;=50,"36-50","51+")))</f>
        <v>26-35</v>
      </c>
      <c r="G1969" t="s">
        <v>24</v>
      </c>
      <c r="H1969" t="s">
        <v>55</v>
      </c>
      <c r="I1969" t="s">
        <v>75</v>
      </c>
      <c r="J1969" t="s">
        <v>115</v>
      </c>
      <c r="K1969" t="s">
        <v>197</v>
      </c>
      <c r="L1969">
        <v>1</v>
      </c>
      <c r="M1969">
        <v>75894.5</v>
      </c>
      <c r="N1969">
        <v>0.12</v>
      </c>
      <c r="O1969">
        <v>69743.960000000006</v>
      </c>
      <c r="P1969">
        <v>8164.31</v>
      </c>
      <c r="Q1969">
        <v>36.14</v>
      </c>
      <c r="R1969" t="s">
        <v>65</v>
      </c>
      <c r="S1969">
        <v>1</v>
      </c>
      <c r="T1969" t="b">
        <v>0</v>
      </c>
      <c r="U1969" t="s">
        <v>30</v>
      </c>
      <c r="V1969">
        <v>5</v>
      </c>
    </row>
    <row r="1970" spans="1:22" x14ac:dyDescent="0.25">
      <c r="A1970" t="s">
        <v>4431</v>
      </c>
      <c r="B1970" s="1">
        <v>45428</v>
      </c>
      <c r="C1970" t="s">
        <v>4432</v>
      </c>
      <c r="D1970" t="s">
        <v>1914</v>
      </c>
      <c r="E1970">
        <v>19</v>
      </c>
      <c r="F1970" t="str">
        <f>IF(Table1[[#This Row],[age]]&lt;=25,"18-25",IF(Table1[[#This Row],[age]]&lt;=35,"26-35",IF(Table1[[#This Row],[age]]&lt;=50,"36-50","51+")))</f>
        <v>18-25</v>
      </c>
      <c r="G1970" t="s">
        <v>54</v>
      </c>
      <c r="H1970" t="s">
        <v>61</v>
      </c>
      <c r="I1970" t="s">
        <v>141</v>
      </c>
      <c r="J1970" t="s">
        <v>106</v>
      </c>
      <c r="K1970" t="s">
        <v>188</v>
      </c>
      <c r="L1970">
        <v>4</v>
      </c>
      <c r="M1970">
        <v>237.91</v>
      </c>
      <c r="N1970">
        <v>0.2</v>
      </c>
      <c r="O1970">
        <v>1123.6099999999999</v>
      </c>
      <c r="P1970">
        <v>104.78</v>
      </c>
      <c r="Q1970">
        <v>61.7</v>
      </c>
      <c r="R1970" t="s">
        <v>57</v>
      </c>
      <c r="S1970">
        <v>5</v>
      </c>
      <c r="T1970" t="b">
        <v>1</v>
      </c>
      <c r="U1970" t="s">
        <v>50</v>
      </c>
      <c r="V1970">
        <v>4</v>
      </c>
    </row>
    <row r="1971" spans="1:22" x14ac:dyDescent="0.25">
      <c r="A1971" t="s">
        <v>4433</v>
      </c>
      <c r="B1971" s="1">
        <v>45157</v>
      </c>
      <c r="C1971" t="s">
        <v>4434</v>
      </c>
      <c r="D1971" t="s">
        <v>1977</v>
      </c>
      <c r="E1971">
        <v>25</v>
      </c>
      <c r="F1971" t="str">
        <f>IF(Table1[[#This Row],[age]]&lt;=25,"18-25",IF(Table1[[#This Row],[age]]&lt;=35,"26-35",IF(Table1[[#This Row],[age]]&lt;=50,"36-50","51+")))</f>
        <v>18-25</v>
      </c>
      <c r="G1971" t="s">
        <v>24</v>
      </c>
      <c r="H1971" t="s">
        <v>80</v>
      </c>
      <c r="I1971" t="s">
        <v>236</v>
      </c>
      <c r="J1971" t="s">
        <v>27</v>
      </c>
      <c r="K1971" t="s">
        <v>128</v>
      </c>
      <c r="L1971">
        <v>6</v>
      </c>
      <c r="M1971">
        <v>1067.32</v>
      </c>
      <c r="N1971">
        <v>0.1</v>
      </c>
      <c r="O1971">
        <v>9986.14</v>
      </c>
      <c r="P1971">
        <v>3581.4</v>
      </c>
      <c r="Q1971">
        <v>84.82</v>
      </c>
      <c r="R1971" t="s">
        <v>43</v>
      </c>
      <c r="S1971">
        <v>4</v>
      </c>
      <c r="T1971" t="b">
        <v>1</v>
      </c>
      <c r="U1971" t="s">
        <v>50</v>
      </c>
      <c r="V1971">
        <v>9</v>
      </c>
    </row>
    <row r="1972" spans="1:22" x14ac:dyDescent="0.25">
      <c r="A1972" t="s">
        <v>4435</v>
      </c>
      <c r="B1972" s="1">
        <v>44698</v>
      </c>
      <c r="C1972" t="s">
        <v>4436</v>
      </c>
      <c r="D1972" t="s">
        <v>1312</v>
      </c>
      <c r="E1972">
        <v>38</v>
      </c>
      <c r="F1972" t="str">
        <f>IF(Table1[[#This Row],[age]]&lt;=25,"18-25",IF(Table1[[#This Row],[age]]&lt;=35,"26-35",IF(Table1[[#This Row],[age]]&lt;=50,"36-50","51+")))</f>
        <v>36-50</v>
      </c>
      <c r="G1972" t="s">
        <v>54</v>
      </c>
      <c r="H1972" t="s">
        <v>25</v>
      </c>
      <c r="I1972" t="s">
        <v>298</v>
      </c>
      <c r="J1972" t="s">
        <v>47</v>
      </c>
      <c r="K1972" t="s">
        <v>600</v>
      </c>
      <c r="L1972">
        <v>10</v>
      </c>
      <c r="M1972">
        <v>550.80999999999995</v>
      </c>
      <c r="N1972">
        <v>7.0000000000000007E-2</v>
      </c>
      <c r="O1972">
        <v>6670.17</v>
      </c>
      <c r="P1972">
        <v>3295.18</v>
      </c>
      <c r="Q1972">
        <v>67.61</v>
      </c>
      <c r="R1972" t="s">
        <v>49</v>
      </c>
      <c r="S1972">
        <v>4</v>
      </c>
      <c r="T1972" t="b">
        <v>0</v>
      </c>
      <c r="U1972" t="s">
        <v>30</v>
      </c>
      <c r="V1972">
        <v>4</v>
      </c>
    </row>
    <row r="1973" spans="1:22" x14ac:dyDescent="0.25">
      <c r="A1973" t="s">
        <v>4437</v>
      </c>
      <c r="B1973" s="1">
        <v>44231</v>
      </c>
      <c r="C1973" t="s">
        <v>4438</v>
      </c>
      <c r="D1973" t="s">
        <v>1341</v>
      </c>
      <c r="E1973">
        <v>41</v>
      </c>
      <c r="F1973" t="str">
        <f>IF(Table1[[#This Row],[age]]&lt;=25,"18-25",IF(Table1[[#This Row],[age]]&lt;=35,"26-35",IF(Table1[[#This Row],[age]]&lt;=50,"36-50","51+")))</f>
        <v>36-50</v>
      </c>
      <c r="G1973" t="s">
        <v>34</v>
      </c>
      <c r="H1973" t="s">
        <v>55</v>
      </c>
      <c r="I1973" t="s">
        <v>97</v>
      </c>
      <c r="J1973" t="s">
        <v>106</v>
      </c>
      <c r="K1973" t="s">
        <v>188</v>
      </c>
      <c r="L1973">
        <v>2</v>
      </c>
      <c r="M1973">
        <v>184.78</v>
      </c>
      <c r="N1973">
        <v>0.02</v>
      </c>
      <c r="O1973">
        <v>289.36</v>
      </c>
      <c r="P1973">
        <v>22.18</v>
      </c>
      <c r="Q1973">
        <v>44.84</v>
      </c>
      <c r="R1973" t="s">
        <v>29</v>
      </c>
      <c r="S1973">
        <v>1</v>
      </c>
      <c r="T1973" t="b">
        <v>0</v>
      </c>
      <c r="U1973" t="s">
        <v>30</v>
      </c>
      <c r="V1973">
        <v>9</v>
      </c>
    </row>
    <row r="1974" spans="1:22" x14ac:dyDescent="0.25">
      <c r="A1974" t="s">
        <v>4439</v>
      </c>
      <c r="B1974" s="1">
        <v>45070</v>
      </c>
      <c r="C1974" t="s">
        <v>4440</v>
      </c>
      <c r="D1974" t="s">
        <v>1354</v>
      </c>
      <c r="E1974">
        <v>19</v>
      </c>
      <c r="F1974" t="str">
        <f>IF(Table1[[#This Row],[age]]&lt;=25,"18-25",IF(Table1[[#This Row],[age]]&lt;=35,"26-35",IF(Table1[[#This Row],[age]]&lt;=50,"36-50","51+")))</f>
        <v>18-25</v>
      </c>
      <c r="G1974" t="s">
        <v>24</v>
      </c>
      <c r="H1974" t="s">
        <v>25</v>
      </c>
      <c r="I1974" t="s">
        <v>26</v>
      </c>
      <c r="J1974" t="s">
        <v>47</v>
      </c>
      <c r="K1974" t="s">
        <v>120</v>
      </c>
      <c r="L1974">
        <v>9</v>
      </c>
      <c r="M1974">
        <v>1391.1</v>
      </c>
      <c r="N1974">
        <v>0.09</v>
      </c>
      <c r="O1974">
        <v>19579.439999999999</v>
      </c>
      <c r="P1974">
        <v>8225.4500000000007</v>
      </c>
      <c r="Q1974">
        <v>57.35</v>
      </c>
      <c r="R1974" t="s">
        <v>29</v>
      </c>
      <c r="S1974">
        <v>5</v>
      </c>
      <c r="T1974" t="b">
        <v>0</v>
      </c>
      <c r="U1974" t="s">
        <v>93</v>
      </c>
      <c r="V1974">
        <v>5</v>
      </c>
    </row>
    <row r="1975" spans="1:22" x14ac:dyDescent="0.25">
      <c r="A1975" t="s">
        <v>4441</v>
      </c>
      <c r="B1975" s="1">
        <v>44047</v>
      </c>
      <c r="C1975" t="s">
        <v>4442</v>
      </c>
      <c r="D1975" t="s">
        <v>1538</v>
      </c>
      <c r="E1975">
        <v>26</v>
      </c>
      <c r="F1975" t="str">
        <f>IF(Table1[[#This Row],[age]]&lt;=25,"18-25",IF(Table1[[#This Row],[age]]&lt;=35,"26-35",IF(Table1[[#This Row],[age]]&lt;=50,"36-50","51+")))</f>
        <v>26-35</v>
      </c>
      <c r="G1975" t="s">
        <v>34</v>
      </c>
      <c r="H1975" t="s">
        <v>61</v>
      </c>
      <c r="I1975" t="s">
        <v>62</v>
      </c>
      <c r="J1975" t="s">
        <v>101</v>
      </c>
      <c r="K1975" t="s">
        <v>102</v>
      </c>
      <c r="L1975">
        <v>7</v>
      </c>
      <c r="M1975">
        <v>8179.73</v>
      </c>
      <c r="N1975">
        <v>0.1</v>
      </c>
      <c r="O1975">
        <v>61790.38</v>
      </c>
      <c r="P1975">
        <v>13078.48</v>
      </c>
      <c r="Q1975">
        <v>40.31</v>
      </c>
      <c r="R1975" t="s">
        <v>57</v>
      </c>
      <c r="S1975">
        <v>1</v>
      </c>
      <c r="T1975" t="b">
        <v>0</v>
      </c>
      <c r="U1975" t="s">
        <v>30</v>
      </c>
      <c r="V1975">
        <v>1</v>
      </c>
    </row>
    <row r="1976" spans="1:22" x14ac:dyDescent="0.25">
      <c r="A1976" t="s">
        <v>4443</v>
      </c>
      <c r="B1976" s="1">
        <v>43877</v>
      </c>
      <c r="C1976" t="s">
        <v>4444</v>
      </c>
      <c r="D1976" t="s">
        <v>2736</v>
      </c>
      <c r="E1976">
        <v>32</v>
      </c>
      <c r="F1976" t="str">
        <f>IF(Table1[[#This Row],[age]]&lt;=25,"18-25",IF(Table1[[#This Row],[age]]&lt;=35,"26-35",IF(Table1[[#This Row],[age]]&lt;=50,"36-50","51+")))</f>
        <v>26-35</v>
      </c>
      <c r="G1976" t="s">
        <v>54</v>
      </c>
      <c r="H1976" t="s">
        <v>25</v>
      </c>
      <c r="I1976" t="s">
        <v>26</v>
      </c>
      <c r="J1976" t="s">
        <v>115</v>
      </c>
      <c r="K1976" t="s">
        <v>197</v>
      </c>
      <c r="L1976">
        <v>10</v>
      </c>
      <c r="M1976">
        <v>53531.64</v>
      </c>
      <c r="N1976">
        <v>0.13</v>
      </c>
      <c r="O1976">
        <v>400722.8</v>
      </c>
      <c r="P1976">
        <v>51938.51</v>
      </c>
      <c r="Q1976">
        <v>58.35</v>
      </c>
      <c r="R1976" t="s">
        <v>49</v>
      </c>
      <c r="S1976">
        <v>4</v>
      </c>
      <c r="T1976" t="b">
        <v>1</v>
      </c>
      <c r="U1976" t="s">
        <v>50</v>
      </c>
      <c r="V1976">
        <v>10</v>
      </c>
    </row>
    <row r="1977" spans="1:22" x14ac:dyDescent="0.25">
      <c r="A1977" t="s">
        <v>4445</v>
      </c>
      <c r="B1977" s="1">
        <v>44107</v>
      </c>
      <c r="C1977" t="s">
        <v>4446</v>
      </c>
      <c r="D1977" t="s">
        <v>637</v>
      </c>
      <c r="E1977">
        <v>43</v>
      </c>
      <c r="F1977" t="str">
        <f>IF(Table1[[#This Row],[age]]&lt;=25,"18-25",IF(Table1[[#This Row],[age]]&lt;=35,"26-35",IF(Table1[[#This Row],[age]]&lt;=50,"36-50","51+")))</f>
        <v>36-50</v>
      </c>
      <c r="G1977" t="s">
        <v>34</v>
      </c>
      <c r="H1977" t="s">
        <v>25</v>
      </c>
      <c r="I1977" t="s">
        <v>26</v>
      </c>
      <c r="J1977" t="s">
        <v>47</v>
      </c>
      <c r="K1977" t="s">
        <v>204</v>
      </c>
      <c r="L1977">
        <v>5</v>
      </c>
      <c r="M1977">
        <v>1447.22</v>
      </c>
      <c r="N1977">
        <v>0.08</v>
      </c>
      <c r="O1977">
        <v>4844.51</v>
      </c>
      <c r="P1977">
        <v>2794.08</v>
      </c>
      <c r="Q1977">
        <v>69.42</v>
      </c>
      <c r="R1977" t="s">
        <v>65</v>
      </c>
      <c r="S1977">
        <v>5</v>
      </c>
      <c r="T1977" t="b">
        <v>0</v>
      </c>
      <c r="U1977" t="s">
        <v>30</v>
      </c>
      <c r="V1977">
        <v>2</v>
      </c>
    </row>
    <row r="1978" spans="1:22" x14ac:dyDescent="0.25">
      <c r="A1978" t="s">
        <v>4447</v>
      </c>
      <c r="B1978" s="1">
        <v>44530</v>
      </c>
      <c r="C1978" t="s">
        <v>4448</v>
      </c>
      <c r="D1978" t="s">
        <v>3259</v>
      </c>
      <c r="E1978">
        <v>37</v>
      </c>
      <c r="F1978" t="str">
        <f>IF(Table1[[#This Row],[age]]&lt;=25,"18-25",IF(Table1[[#This Row],[age]]&lt;=35,"26-35",IF(Table1[[#This Row],[age]]&lt;=50,"36-50","51+")))</f>
        <v>36-50</v>
      </c>
      <c r="G1978" t="s">
        <v>54</v>
      </c>
      <c r="H1978" t="s">
        <v>55</v>
      </c>
      <c r="I1978" t="s">
        <v>97</v>
      </c>
      <c r="J1978" t="s">
        <v>106</v>
      </c>
      <c r="K1978" t="s">
        <v>314</v>
      </c>
      <c r="L1978">
        <v>10</v>
      </c>
      <c r="M1978">
        <v>114.63</v>
      </c>
      <c r="N1978">
        <v>0.27</v>
      </c>
      <c r="O1978">
        <v>544.49</v>
      </c>
      <c r="P1978">
        <v>42.94</v>
      </c>
      <c r="Q1978">
        <v>49.31</v>
      </c>
      <c r="R1978" t="s">
        <v>43</v>
      </c>
      <c r="S1978">
        <v>4</v>
      </c>
      <c r="T1978" t="b">
        <v>0</v>
      </c>
      <c r="U1978" t="s">
        <v>30</v>
      </c>
      <c r="V1978">
        <v>8</v>
      </c>
    </row>
    <row r="1979" spans="1:22" x14ac:dyDescent="0.25">
      <c r="A1979" t="s">
        <v>4449</v>
      </c>
      <c r="B1979" s="1">
        <v>44704</v>
      </c>
      <c r="C1979" t="s">
        <v>4450</v>
      </c>
      <c r="D1979" t="s">
        <v>1362</v>
      </c>
      <c r="E1979">
        <v>27</v>
      </c>
      <c r="F1979" t="str">
        <f>IF(Table1[[#This Row],[age]]&lt;=25,"18-25",IF(Table1[[#This Row],[age]]&lt;=35,"26-35",IF(Table1[[#This Row],[age]]&lt;=50,"36-50","51+")))</f>
        <v>26-35</v>
      </c>
      <c r="G1979" t="s">
        <v>34</v>
      </c>
      <c r="H1979" t="s">
        <v>61</v>
      </c>
      <c r="I1979" t="s">
        <v>163</v>
      </c>
      <c r="J1979" t="s">
        <v>36</v>
      </c>
      <c r="K1979" t="s">
        <v>76</v>
      </c>
      <c r="L1979">
        <v>2</v>
      </c>
      <c r="M1979">
        <v>14453.77</v>
      </c>
      <c r="N1979">
        <v>0.22</v>
      </c>
      <c r="O1979">
        <v>32603.05</v>
      </c>
      <c r="P1979">
        <v>8034.59</v>
      </c>
      <c r="Q1979">
        <v>53.68</v>
      </c>
      <c r="R1979" t="s">
        <v>65</v>
      </c>
      <c r="S1979">
        <v>5</v>
      </c>
      <c r="T1979" t="b">
        <v>0</v>
      </c>
      <c r="U1979" t="s">
        <v>30</v>
      </c>
      <c r="V1979">
        <v>9</v>
      </c>
    </row>
    <row r="1980" spans="1:22" x14ac:dyDescent="0.25">
      <c r="A1980" t="s">
        <v>4451</v>
      </c>
      <c r="B1980" s="1">
        <v>44080</v>
      </c>
      <c r="C1980" t="s">
        <v>4452</v>
      </c>
      <c r="D1980" t="s">
        <v>2340</v>
      </c>
      <c r="E1980">
        <v>39</v>
      </c>
      <c r="F1980" t="str">
        <f>IF(Table1[[#This Row],[age]]&lt;=25,"18-25",IF(Table1[[#This Row],[age]]&lt;=35,"26-35",IF(Table1[[#This Row],[age]]&lt;=50,"36-50","51+")))</f>
        <v>36-50</v>
      </c>
      <c r="G1980" t="s">
        <v>54</v>
      </c>
      <c r="H1980" t="s">
        <v>25</v>
      </c>
      <c r="I1980" t="s">
        <v>35</v>
      </c>
      <c r="J1980" t="s">
        <v>27</v>
      </c>
      <c r="K1980" t="s">
        <v>192</v>
      </c>
      <c r="L1980">
        <v>6</v>
      </c>
      <c r="M1980">
        <v>1280.8399999999999</v>
      </c>
      <c r="N1980">
        <v>0.23</v>
      </c>
      <c r="O1980">
        <v>5974.92</v>
      </c>
      <c r="P1980">
        <v>2678.22</v>
      </c>
      <c r="Q1980">
        <v>72.989999999999995</v>
      </c>
      <c r="R1980" t="s">
        <v>92</v>
      </c>
      <c r="S1980">
        <v>3</v>
      </c>
      <c r="T1980" t="b">
        <v>0</v>
      </c>
      <c r="U1980" t="s">
        <v>30</v>
      </c>
      <c r="V1980">
        <v>1</v>
      </c>
    </row>
    <row r="1981" spans="1:22" x14ac:dyDescent="0.25">
      <c r="A1981" t="s">
        <v>4453</v>
      </c>
      <c r="B1981" s="1">
        <v>44589</v>
      </c>
      <c r="C1981" t="s">
        <v>4454</v>
      </c>
      <c r="D1981" t="s">
        <v>1433</v>
      </c>
      <c r="E1981">
        <v>29</v>
      </c>
      <c r="F1981" t="str">
        <f>IF(Table1[[#This Row],[age]]&lt;=25,"18-25",IF(Table1[[#This Row],[age]]&lt;=35,"26-35",IF(Table1[[#This Row],[age]]&lt;=50,"36-50","51+")))</f>
        <v>26-35</v>
      </c>
      <c r="G1981" t="s">
        <v>34</v>
      </c>
      <c r="H1981" t="s">
        <v>69</v>
      </c>
      <c r="I1981" t="s">
        <v>181</v>
      </c>
      <c r="J1981" t="s">
        <v>36</v>
      </c>
      <c r="K1981" t="s">
        <v>37</v>
      </c>
      <c r="L1981">
        <v>4</v>
      </c>
      <c r="M1981">
        <v>30087.03</v>
      </c>
      <c r="N1981">
        <v>0.2</v>
      </c>
      <c r="O1981">
        <v>73826.31</v>
      </c>
      <c r="P1981">
        <v>20501.91</v>
      </c>
      <c r="Q1981">
        <v>80.38</v>
      </c>
      <c r="R1981" t="s">
        <v>29</v>
      </c>
      <c r="S1981">
        <v>1</v>
      </c>
      <c r="T1981" t="b">
        <v>0</v>
      </c>
      <c r="U1981" t="s">
        <v>30</v>
      </c>
      <c r="V1981">
        <v>7</v>
      </c>
    </row>
    <row r="1982" spans="1:22" x14ac:dyDescent="0.25">
      <c r="A1982" t="s">
        <v>4455</v>
      </c>
      <c r="B1982" s="1">
        <v>44178</v>
      </c>
      <c r="C1982" t="s">
        <v>4456</v>
      </c>
      <c r="D1982" t="s">
        <v>567</v>
      </c>
      <c r="E1982">
        <v>26</v>
      </c>
      <c r="F1982" t="str">
        <f>IF(Table1[[#This Row],[age]]&lt;=25,"18-25",IF(Table1[[#This Row],[age]]&lt;=35,"26-35",IF(Table1[[#This Row],[age]]&lt;=50,"36-50","51+")))</f>
        <v>26-35</v>
      </c>
      <c r="G1982" t="s">
        <v>34</v>
      </c>
      <c r="H1982" t="s">
        <v>61</v>
      </c>
      <c r="I1982" t="s">
        <v>141</v>
      </c>
      <c r="J1982" t="s">
        <v>36</v>
      </c>
      <c r="K1982" t="s">
        <v>42</v>
      </c>
      <c r="L1982">
        <v>1</v>
      </c>
      <c r="M1982">
        <v>19060.919999999998</v>
      </c>
      <c r="N1982">
        <v>0.31</v>
      </c>
      <c r="O1982">
        <v>9008.82</v>
      </c>
      <c r="P1982">
        <v>2392.71</v>
      </c>
      <c r="Q1982">
        <v>30.32</v>
      </c>
      <c r="R1982" t="s">
        <v>92</v>
      </c>
      <c r="S1982">
        <v>2</v>
      </c>
      <c r="T1982" t="b">
        <v>0</v>
      </c>
      <c r="U1982" t="s">
        <v>30</v>
      </c>
      <c r="V1982">
        <v>4</v>
      </c>
    </row>
    <row r="1983" spans="1:22" x14ac:dyDescent="0.25">
      <c r="A1983" t="s">
        <v>4457</v>
      </c>
      <c r="B1983" s="1">
        <v>44777</v>
      </c>
      <c r="C1983" t="s">
        <v>4458</v>
      </c>
      <c r="D1983" t="s">
        <v>430</v>
      </c>
      <c r="E1983">
        <v>36</v>
      </c>
      <c r="F1983" t="str">
        <f>IF(Table1[[#This Row],[age]]&lt;=25,"18-25",IF(Table1[[#This Row],[age]]&lt;=35,"26-35",IF(Table1[[#This Row],[age]]&lt;=50,"36-50","51+")))</f>
        <v>36-50</v>
      </c>
      <c r="G1983" t="s">
        <v>54</v>
      </c>
      <c r="H1983" t="s">
        <v>80</v>
      </c>
      <c r="I1983" t="s">
        <v>242</v>
      </c>
      <c r="J1983" t="s">
        <v>101</v>
      </c>
      <c r="K1983" t="s">
        <v>164</v>
      </c>
      <c r="L1983">
        <v>5</v>
      </c>
      <c r="M1983">
        <v>10085.52</v>
      </c>
      <c r="N1983">
        <v>0.04</v>
      </c>
      <c r="O1983">
        <v>65977.61</v>
      </c>
      <c r="P1983">
        <v>14440.37</v>
      </c>
      <c r="Q1983">
        <v>73.11</v>
      </c>
      <c r="R1983" t="s">
        <v>65</v>
      </c>
      <c r="S1983">
        <v>2</v>
      </c>
      <c r="T1983" t="b">
        <v>1</v>
      </c>
      <c r="U1983" t="s">
        <v>50</v>
      </c>
      <c r="V1983">
        <v>5</v>
      </c>
    </row>
    <row r="1984" spans="1:22" x14ac:dyDescent="0.25">
      <c r="A1984" t="s">
        <v>4459</v>
      </c>
      <c r="B1984" s="1">
        <v>44403</v>
      </c>
      <c r="C1984" t="s">
        <v>4460</v>
      </c>
      <c r="D1984" t="s">
        <v>310</v>
      </c>
      <c r="E1984">
        <v>32</v>
      </c>
      <c r="F1984" t="str">
        <f>IF(Table1[[#This Row],[age]]&lt;=25,"18-25",IF(Table1[[#This Row],[age]]&lt;=35,"26-35",IF(Table1[[#This Row],[age]]&lt;=50,"36-50","51+")))</f>
        <v>26-35</v>
      </c>
      <c r="G1984" t="s">
        <v>34</v>
      </c>
      <c r="H1984" t="s">
        <v>80</v>
      </c>
      <c r="I1984" t="s">
        <v>236</v>
      </c>
      <c r="J1984" t="s">
        <v>27</v>
      </c>
      <c r="K1984" t="s">
        <v>480</v>
      </c>
      <c r="L1984">
        <v>2</v>
      </c>
      <c r="M1984">
        <v>434.45</v>
      </c>
      <c r="N1984">
        <v>0.32</v>
      </c>
      <c r="O1984">
        <v>753.9</v>
      </c>
      <c r="P1984">
        <v>264.33999999999997</v>
      </c>
      <c r="Q1984">
        <v>66.45</v>
      </c>
      <c r="R1984" t="s">
        <v>92</v>
      </c>
      <c r="S1984">
        <v>4</v>
      </c>
      <c r="T1984" t="b">
        <v>1</v>
      </c>
      <c r="U1984" t="s">
        <v>50</v>
      </c>
      <c r="V1984">
        <v>3</v>
      </c>
    </row>
    <row r="1985" spans="1:22" x14ac:dyDescent="0.25">
      <c r="A1985" t="s">
        <v>4461</v>
      </c>
      <c r="B1985" s="1">
        <v>44692</v>
      </c>
      <c r="C1985" t="s">
        <v>4462</v>
      </c>
      <c r="D1985" t="s">
        <v>33</v>
      </c>
      <c r="E1985">
        <v>52</v>
      </c>
      <c r="F1985" t="str">
        <f>IF(Table1[[#This Row],[age]]&lt;=25,"18-25",IF(Table1[[#This Row],[age]]&lt;=35,"26-35",IF(Table1[[#This Row],[age]]&lt;=50,"36-50","51+")))</f>
        <v>51+</v>
      </c>
      <c r="G1985" t="s">
        <v>54</v>
      </c>
      <c r="H1985" t="s">
        <v>80</v>
      </c>
      <c r="I1985" t="s">
        <v>81</v>
      </c>
      <c r="J1985" t="s">
        <v>63</v>
      </c>
      <c r="K1985" t="s">
        <v>152</v>
      </c>
      <c r="L1985">
        <v>5</v>
      </c>
      <c r="M1985">
        <v>3102.98</v>
      </c>
      <c r="N1985">
        <v>0.11</v>
      </c>
      <c r="O1985">
        <v>20951.580000000002</v>
      </c>
      <c r="P1985">
        <v>8948.8799999999992</v>
      </c>
      <c r="Q1985">
        <v>34.130000000000003</v>
      </c>
      <c r="R1985" t="s">
        <v>65</v>
      </c>
      <c r="S1985">
        <v>5</v>
      </c>
      <c r="T1985" t="b">
        <v>0</v>
      </c>
      <c r="U1985" t="s">
        <v>30</v>
      </c>
      <c r="V1985">
        <v>8</v>
      </c>
    </row>
    <row r="1986" spans="1:22" x14ac:dyDescent="0.25">
      <c r="A1986" t="s">
        <v>4463</v>
      </c>
      <c r="B1986" s="1">
        <v>45046</v>
      </c>
      <c r="C1986" t="s">
        <v>4464</v>
      </c>
      <c r="D1986" t="s">
        <v>338</v>
      </c>
      <c r="E1986">
        <v>38</v>
      </c>
      <c r="F1986" t="str">
        <f>IF(Table1[[#This Row],[age]]&lt;=25,"18-25",IF(Table1[[#This Row],[age]]&lt;=35,"26-35",IF(Table1[[#This Row],[age]]&lt;=50,"36-50","51+")))</f>
        <v>36-50</v>
      </c>
      <c r="G1986" t="s">
        <v>34</v>
      </c>
      <c r="H1986" t="s">
        <v>80</v>
      </c>
      <c r="I1986" t="s">
        <v>242</v>
      </c>
      <c r="J1986" t="s">
        <v>27</v>
      </c>
      <c r="K1986" t="s">
        <v>28</v>
      </c>
      <c r="L1986">
        <v>1</v>
      </c>
      <c r="M1986">
        <v>2094.6999999999998</v>
      </c>
      <c r="N1986">
        <v>0.36</v>
      </c>
      <c r="O1986">
        <v>1650.79</v>
      </c>
      <c r="P1986">
        <v>699.91</v>
      </c>
      <c r="Q1986">
        <v>51.65</v>
      </c>
      <c r="R1986" t="s">
        <v>57</v>
      </c>
      <c r="S1986">
        <v>2</v>
      </c>
      <c r="T1986" t="b">
        <v>1</v>
      </c>
      <c r="U1986" t="s">
        <v>50</v>
      </c>
      <c r="V1986">
        <v>10</v>
      </c>
    </row>
    <row r="1987" spans="1:22" x14ac:dyDescent="0.25">
      <c r="A1987" t="s">
        <v>4465</v>
      </c>
      <c r="B1987" s="1">
        <v>45215</v>
      </c>
      <c r="C1987" t="s">
        <v>4466</v>
      </c>
      <c r="D1987" t="s">
        <v>1365</v>
      </c>
      <c r="E1987">
        <v>44</v>
      </c>
      <c r="F1987" t="str">
        <f>IF(Table1[[#This Row],[age]]&lt;=25,"18-25",IF(Table1[[#This Row],[age]]&lt;=35,"26-35",IF(Table1[[#This Row],[age]]&lt;=50,"36-50","51+")))</f>
        <v>36-50</v>
      </c>
      <c r="G1987" t="s">
        <v>34</v>
      </c>
      <c r="H1987" t="s">
        <v>61</v>
      </c>
      <c r="I1987" t="s">
        <v>141</v>
      </c>
      <c r="J1987" t="s">
        <v>115</v>
      </c>
      <c r="K1987" t="s">
        <v>545</v>
      </c>
      <c r="L1987">
        <v>6</v>
      </c>
      <c r="M1987">
        <v>44612.23</v>
      </c>
      <c r="N1987">
        <v>0.05</v>
      </c>
      <c r="O1987">
        <v>267791.02</v>
      </c>
      <c r="P1987">
        <v>30140.48</v>
      </c>
      <c r="Q1987">
        <v>34</v>
      </c>
      <c r="R1987" t="s">
        <v>49</v>
      </c>
      <c r="S1987">
        <v>3</v>
      </c>
      <c r="T1987" t="b">
        <v>0</v>
      </c>
      <c r="U1987" t="s">
        <v>30</v>
      </c>
      <c r="V1987">
        <v>8</v>
      </c>
    </row>
    <row r="1988" spans="1:22" x14ac:dyDescent="0.25">
      <c r="A1988" t="s">
        <v>4467</v>
      </c>
      <c r="B1988" s="1">
        <v>44828</v>
      </c>
      <c r="C1988" t="s">
        <v>4468</v>
      </c>
      <c r="D1988" t="s">
        <v>196</v>
      </c>
      <c r="E1988">
        <v>30</v>
      </c>
      <c r="F1988" t="str">
        <f>IF(Table1[[#This Row],[age]]&lt;=25,"18-25",IF(Table1[[#This Row],[age]]&lt;=35,"26-35",IF(Table1[[#This Row],[age]]&lt;=50,"36-50","51+")))</f>
        <v>26-35</v>
      </c>
      <c r="G1988" t="s">
        <v>54</v>
      </c>
      <c r="H1988" t="s">
        <v>80</v>
      </c>
      <c r="I1988" t="s">
        <v>81</v>
      </c>
      <c r="J1988" t="s">
        <v>106</v>
      </c>
      <c r="K1988" t="s">
        <v>718</v>
      </c>
      <c r="L1988">
        <v>3</v>
      </c>
      <c r="M1988">
        <v>236.04</v>
      </c>
      <c r="N1988">
        <v>0.01</v>
      </c>
      <c r="O1988">
        <v>832.73</v>
      </c>
      <c r="P1988">
        <v>49.56</v>
      </c>
      <c r="Q1988">
        <v>57.97</v>
      </c>
      <c r="R1988" t="s">
        <v>57</v>
      </c>
      <c r="S1988">
        <v>3</v>
      </c>
      <c r="T1988" t="b">
        <v>1</v>
      </c>
      <c r="U1988" t="s">
        <v>50</v>
      </c>
      <c r="V1988">
        <v>8</v>
      </c>
    </row>
    <row r="1989" spans="1:22" x14ac:dyDescent="0.25">
      <c r="A1989" t="s">
        <v>4469</v>
      </c>
      <c r="B1989" s="1">
        <v>44722</v>
      </c>
      <c r="C1989" t="s">
        <v>4470</v>
      </c>
      <c r="D1989" t="s">
        <v>151</v>
      </c>
      <c r="E1989">
        <v>33</v>
      </c>
      <c r="F1989" t="str">
        <f>IF(Table1[[#This Row],[age]]&lt;=25,"18-25",IF(Table1[[#This Row],[age]]&lt;=35,"26-35",IF(Table1[[#This Row],[age]]&lt;=50,"36-50","51+")))</f>
        <v>26-35</v>
      </c>
      <c r="G1989" t="s">
        <v>34</v>
      </c>
      <c r="H1989" t="s">
        <v>25</v>
      </c>
      <c r="I1989" t="s">
        <v>298</v>
      </c>
      <c r="J1989" t="s">
        <v>106</v>
      </c>
      <c r="K1989" t="s">
        <v>331</v>
      </c>
      <c r="L1989">
        <v>8</v>
      </c>
      <c r="M1989">
        <v>267.91000000000003</v>
      </c>
      <c r="N1989">
        <v>0.03</v>
      </c>
      <c r="O1989">
        <v>2920.99</v>
      </c>
      <c r="P1989">
        <v>292.83999999999997</v>
      </c>
      <c r="Q1989">
        <v>61.35</v>
      </c>
      <c r="R1989" t="s">
        <v>49</v>
      </c>
      <c r="S1989">
        <v>2</v>
      </c>
      <c r="T1989" t="b">
        <v>0</v>
      </c>
      <c r="U1989" t="s">
        <v>30</v>
      </c>
      <c r="V1989">
        <v>1</v>
      </c>
    </row>
    <row r="1990" spans="1:22" x14ac:dyDescent="0.25">
      <c r="A1990" t="s">
        <v>4471</v>
      </c>
      <c r="B1990" s="1">
        <v>45014</v>
      </c>
      <c r="C1990" t="s">
        <v>4472</v>
      </c>
      <c r="D1990" t="s">
        <v>923</v>
      </c>
      <c r="E1990">
        <v>45</v>
      </c>
      <c r="F1990" t="str">
        <f>IF(Table1[[#This Row],[age]]&lt;=25,"18-25",IF(Table1[[#This Row],[age]]&lt;=35,"26-35",IF(Table1[[#This Row],[age]]&lt;=50,"36-50","51+")))</f>
        <v>36-50</v>
      </c>
      <c r="G1990" t="s">
        <v>54</v>
      </c>
      <c r="H1990" t="s">
        <v>80</v>
      </c>
      <c r="I1990" t="s">
        <v>236</v>
      </c>
      <c r="J1990" t="s">
        <v>106</v>
      </c>
      <c r="K1990" t="s">
        <v>188</v>
      </c>
      <c r="L1990">
        <v>8</v>
      </c>
      <c r="M1990">
        <v>85.59</v>
      </c>
      <c r="N1990">
        <v>0.25</v>
      </c>
      <c r="O1990">
        <v>545.76</v>
      </c>
      <c r="P1990">
        <v>41.46</v>
      </c>
      <c r="Q1990">
        <v>75.34</v>
      </c>
      <c r="R1990" t="s">
        <v>92</v>
      </c>
      <c r="S1990">
        <v>4</v>
      </c>
      <c r="T1990" t="b">
        <v>0</v>
      </c>
      <c r="U1990" t="s">
        <v>30</v>
      </c>
      <c r="V1990">
        <v>9</v>
      </c>
    </row>
    <row r="1991" spans="1:22" x14ac:dyDescent="0.25">
      <c r="A1991" t="s">
        <v>4473</v>
      </c>
      <c r="B1991" s="1">
        <v>45513</v>
      </c>
      <c r="C1991" t="s">
        <v>4474</v>
      </c>
      <c r="D1991" t="s">
        <v>1442</v>
      </c>
      <c r="E1991">
        <v>37</v>
      </c>
      <c r="F1991" t="str">
        <f>IF(Table1[[#This Row],[age]]&lt;=25,"18-25",IF(Table1[[#This Row],[age]]&lt;=35,"26-35",IF(Table1[[#This Row],[age]]&lt;=50,"36-50","51+")))</f>
        <v>36-50</v>
      </c>
      <c r="G1991" t="s">
        <v>34</v>
      </c>
      <c r="H1991" t="s">
        <v>61</v>
      </c>
      <c r="I1991" t="s">
        <v>62</v>
      </c>
      <c r="J1991" t="s">
        <v>101</v>
      </c>
      <c r="K1991" t="s">
        <v>102</v>
      </c>
      <c r="L1991">
        <v>9</v>
      </c>
      <c r="M1991">
        <v>6043.66</v>
      </c>
      <c r="N1991">
        <v>0.35</v>
      </c>
      <c r="O1991">
        <v>50068.82</v>
      </c>
      <c r="P1991">
        <v>12593.51</v>
      </c>
      <c r="Q1991">
        <v>35.57</v>
      </c>
      <c r="R1991" t="s">
        <v>29</v>
      </c>
      <c r="S1991">
        <v>2</v>
      </c>
      <c r="T1991" t="b">
        <v>0</v>
      </c>
      <c r="U1991" t="s">
        <v>71</v>
      </c>
      <c r="V1991">
        <v>1</v>
      </c>
    </row>
    <row r="1992" spans="1:22" x14ac:dyDescent="0.25">
      <c r="A1992" t="s">
        <v>4475</v>
      </c>
      <c r="B1992" s="1">
        <v>43984</v>
      </c>
      <c r="C1992" t="s">
        <v>4476</v>
      </c>
      <c r="D1992" t="s">
        <v>784</v>
      </c>
      <c r="E1992">
        <v>33</v>
      </c>
      <c r="F1992" t="str">
        <f>IF(Table1[[#This Row],[age]]&lt;=25,"18-25",IF(Table1[[#This Row],[age]]&lt;=35,"26-35",IF(Table1[[#This Row],[age]]&lt;=50,"36-50","51+")))</f>
        <v>26-35</v>
      </c>
      <c r="G1992" t="s">
        <v>24</v>
      </c>
      <c r="H1992" t="s">
        <v>55</v>
      </c>
      <c r="I1992" t="s">
        <v>97</v>
      </c>
      <c r="J1992" t="s">
        <v>63</v>
      </c>
      <c r="K1992" t="s">
        <v>434</v>
      </c>
      <c r="L1992">
        <v>9</v>
      </c>
      <c r="M1992">
        <v>1720.87</v>
      </c>
      <c r="N1992">
        <v>7.0000000000000007E-2</v>
      </c>
      <c r="O1992">
        <v>18041.55</v>
      </c>
      <c r="P1992">
        <v>5490.24</v>
      </c>
      <c r="Q1992">
        <v>62.42</v>
      </c>
      <c r="R1992" t="s">
        <v>57</v>
      </c>
      <c r="S1992">
        <v>1</v>
      </c>
      <c r="T1992" t="b">
        <v>0</v>
      </c>
      <c r="U1992" t="s">
        <v>71</v>
      </c>
      <c r="V1992">
        <v>8</v>
      </c>
    </row>
    <row r="1993" spans="1:22" x14ac:dyDescent="0.25">
      <c r="A1993" t="s">
        <v>4477</v>
      </c>
      <c r="B1993" s="1">
        <v>45143</v>
      </c>
      <c r="C1993" t="s">
        <v>4478</v>
      </c>
      <c r="D1993" t="s">
        <v>79</v>
      </c>
      <c r="E1993">
        <v>30</v>
      </c>
      <c r="F1993" t="str">
        <f>IF(Table1[[#This Row],[age]]&lt;=25,"18-25",IF(Table1[[#This Row],[age]]&lt;=35,"26-35",IF(Table1[[#This Row],[age]]&lt;=50,"36-50","51+")))</f>
        <v>26-35</v>
      </c>
      <c r="G1993" t="s">
        <v>34</v>
      </c>
      <c r="H1993" t="s">
        <v>80</v>
      </c>
      <c r="I1993" t="s">
        <v>242</v>
      </c>
      <c r="J1993" t="s">
        <v>106</v>
      </c>
      <c r="K1993" t="s">
        <v>247</v>
      </c>
      <c r="L1993">
        <v>3</v>
      </c>
      <c r="M1993">
        <v>394.17</v>
      </c>
      <c r="N1993">
        <v>0.1</v>
      </c>
      <c r="O1993">
        <v>1466.75</v>
      </c>
      <c r="P1993">
        <v>91.2</v>
      </c>
      <c r="Q1993">
        <v>58.94</v>
      </c>
      <c r="R1993" t="s">
        <v>92</v>
      </c>
      <c r="S1993">
        <v>5</v>
      </c>
      <c r="T1993" t="b">
        <v>0</v>
      </c>
      <c r="U1993" t="s">
        <v>30</v>
      </c>
      <c r="V1993">
        <v>1</v>
      </c>
    </row>
    <row r="1994" spans="1:22" x14ac:dyDescent="0.25">
      <c r="A1994" t="s">
        <v>4479</v>
      </c>
      <c r="B1994" s="1">
        <v>45158</v>
      </c>
      <c r="C1994" t="s">
        <v>4480</v>
      </c>
      <c r="D1994" t="s">
        <v>2639</v>
      </c>
      <c r="E1994">
        <v>24</v>
      </c>
      <c r="F1994" t="str">
        <f>IF(Table1[[#This Row],[age]]&lt;=25,"18-25",IF(Table1[[#This Row],[age]]&lt;=35,"26-35",IF(Table1[[#This Row],[age]]&lt;=50,"36-50","51+")))</f>
        <v>18-25</v>
      </c>
      <c r="G1994" t="s">
        <v>24</v>
      </c>
      <c r="H1994" t="s">
        <v>61</v>
      </c>
      <c r="I1994" t="s">
        <v>163</v>
      </c>
      <c r="J1994" t="s">
        <v>63</v>
      </c>
      <c r="K1994" t="s">
        <v>111</v>
      </c>
      <c r="L1994">
        <v>7</v>
      </c>
      <c r="M1994">
        <v>3670.29</v>
      </c>
      <c r="N1994">
        <v>0.27</v>
      </c>
      <c r="O1994">
        <v>26206.04</v>
      </c>
      <c r="P1994">
        <v>9315.2199999999993</v>
      </c>
      <c r="Q1994">
        <v>40.44</v>
      </c>
      <c r="R1994" t="s">
        <v>65</v>
      </c>
      <c r="S1994">
        <v>1</v>
      </c>
      <c r="T1994" t="b">
        <v>0</v>
      </c>
      <c r="U1994" t="s">
        <v>71</v>
      </c>
      <c r="V1994">
        <v>9</v>
      </c>
    </row>
    <row r="1995" spans="1:22" x14ac:dyDescent="0.25">
      <c r="A1995" t="s">
        <v>4481</v>
      </c>
      <c r="B1995" s="1">
        <v>45386</v>
      </c>
      <c r="C1995" t="s">
        <v>4482</v>
      </c>
      <c r="D1995" t="s">
        <v>1736</v>
      </c>
      <c r="E1995">
        <v>27</v>
      </c>
      <c r="F1995" t="str">
        <f>IF(Table1[[#This Row],[age]]&lt;=25,"18-25",IF(Table1[[#This Row],[age]]&lt;=35,"26-35",IF(Table1[[#This Row],[age]]&lt;=50,"36-50","51+")))</f>
        <v>26-35</v>
      </c>
      <c r="G1995" t="s">
        <v>34</v>
      </c>
      <c r="H1995" t="s">
        <v>80</v>
      </c>
      <c r="I1995" t="s">
        <v>86</v>
      </c>
      <c r="J1995" t="s">
        <v>63</v>
      </c>
      <c r="K1995" t="s">
        <v>64</v>
      </c>
      <c r="L1995">
        <v>9</v>
      </c>
      <c r="M1995">
        <v>2254.39</v>
      </c>
      <c r="N1995">
        <v>0.32</v>
      </c>
      <c r="O1995">
        <v>17631.009999999998</v>
      </c>
      <c r="P1995">
        <v>5765.83</v>
      </c>
      <c r="Q1995">
        <v>101.76</v>
      </c>
      <c r="R1995" t="s">
        <v>29</v>
      </c>
      <c r="S1995">
        <v>4</v>
      </c>
      <c r="T1995" t="b">
        <v>1</v>
      </c>
      <c r="U1995" t="s">
        <v>50</v>
      </c>
      <c r="V1995">
        <v>8</v>
      </c>
    </row>
    <row r="1996" spans="1:22" x14ac:dyDescent="0.25">
      <c r="A1996" t="s">
        <v>4483</v>
      </c>
      <c r="B1996" s="1">
        <v>44419</v>
      </c>
      <c r="C1996" t="s">
        <v>4484</v>
      </c>
      <c r="D1996" t="s">
        <v>1327</v>
      </c>
      <c r="E1996">
        <v>39</v>
      </c>
      <c r="F1996" t="str">
        <f>IF(Table1[[#This Row],[age]]&lt;=25,"18-25",IF(Table1[[#This Row],[age]]&lt;=35,"26-35",IF(Table1[[#This Row],[age]]&lt;=50,"36-50","51+")))</f>
        <v>36-50</v>
      </c>
      <c r="G1996" t="s">
        <v>34</v>
      </c>
      <c r="H1996" t="s">
        <v>25</v>
      </c>
      <c r="I1996" t="s">
        <v>298</v>
      </c>
      <c r="J1996" t="s">
        <v>63</v>
      </c>
      <c r="K1996" t="s">
        <v>152</v>
      </c>
      <c r="L1996">
        <v>10</v>
      </c>
      <c r="M1996">
        <v>1816.68</v>
      </c>
      <c r="N1996">
        <v>0.15</v>
      </c>
      <c r="O1996">
        <v>18053.22</v>
      </c>
      <c r="P1996">
        <v>7198.9</v>
      </c>
      <c r="Q1996">
        <v>61.69</v>
      </c>
      <c r="R1996" t="s">
        <v>57</v>
      </c>
      <c r="S1996">
        <v>5</v>
      </c>
      <c r="T1996" t="b">
        <v>0</v>
      </c>
      <c r="U1996" t="s">
        <v>71</v>
      </c>
      <c r="V1996">
        <v>2</v>
      </c>
    </row>
    <row r="1997" spans="1:22" x14ac:dyDescent="0.25">
      <c r="A1997" t="s">
        <v>4485</v>
      </c>
      <c r="B1997" s="1">
        <v>45340</v>
      </c>
      <c r="C1997" t="s">
        <v>4486</v>
      </c>
      <c r="D1997" t="s">
        <v>990</v>
      </c>
      <c r="E1997">
        <v>35</v>
      </c>
      <c r="F1997" t="str">
        <f>IF(Table1[[#This Row],[age]]&lt;=25,"18-25",IF(Table1[[#This Row],[age]]&lt;=35,"26-35",IF(Table1[[#This Row],[age]]&lt;=50,"36-50","51+")))</f>
        <v>26-35</v>
      </c>
      <c r="G1997" t="s">
        <v>34</v>
      </c>
      <c r="H1997" t="s">
        <v>61</v>
      </c>
      <c r="I1997" t="s">
        <v>163</v>
      </c>
      <c r="J1997" t="s">
        <v>115</v>
      </c>
      <c r="K1997" t="s">
        <v>197</v>
      </c>
      <c r="L1997">
        <v>5</v>
      </c>
      <c r="M1997">
        <v>54916.9</v>
      </c>
      <c r="N1997">
        <v>0.4</v>
      </c>
      <c r="O1997">
        <v>177362.61</v>
      </c>
      <c r="P1997">
        <v>24965.38</v>
      </c>
      <c r="Q1997">
        <v>46.27</v>
      </c>
      <c r="R1997" t="s">
        <v>57</v>
      </c>
      <c r="S1997">
        <v>5</v>
      </c>
      <c r="T1997" t="b">
        <v>0</v>
      </c>
      <c r="U1997" t="s">
        <v>93</v>
      </c>
      <c r="V1997">
        <v>8</v>
      </c>
    </row>
    <row r="1998" spans="1:22" x14ac:dyDescent="0.25">
      <c r="A1998" t="s">
        <v>4487</v>
      </c>
      <c r="B1998" s="1">
        <v>45477</v>
      </c>
      <c r="C1998" t="s">
        <v>4488</v>
      </c>
      <c r="D1998" t="s">
        <v>2571</v>
      </c>
      <c r="E1998">
        <v>40</v>
      </c>
      <c r="F1998" t="str">
        <f>IF(Table1[[#This Row],[age]]&lt;=25,"18-25",IF(Table1[[#This Row],[age]]&lt;=35,"26-35",IF(Table1[[#This Row],[age]]&lt;=50,"36-50","51+")))</f>
        <v>36-50</v>
      </c>
      <c r="G1998" t="s">
        <v>54</v>
      </c>
      <c r="H1998" t="s">
        <v>69</v>
      </c>
      <c r="I1998" t="s">
        <v>181</v>
      </c>
      <c r="J1998" t="s">
        <v>106</v>
      </c>
      <c r="K1998" t="s">
        <v>247</v>
      </c>
      <c r="L1998">
        <v>3</v>
      </c>
      <c r="M1998">
        <v>316.44</v>
      </c>
      <c r="N1998">
        <v>0.33</v>
      </c>
      <c r="O1998">
        <v>1181.33</v>
      </c>
      <c r="P1998">
        <v>72.84</v>
      </c>
      <c r="Q1998">
        <v>95.3</v>
      </c>
      <c r="R1998" t="s">
        <v>29</v>
      </c>
      <c r="S1998">
        <v>3</v>
      </c>
      <c r="T1998" t="b">
        <v>0</v>
      </c>
      <c r="U1998" t="s">
        <v>30</v>
      </c>
      <c r="V1998">
        <v>1</v>
      </c>
    </row>
    <row r="1999" spans="1:22" x14ac:dyDescent="0.25">
      <c r="A1999" t="s">
        <v>4489</v>
      </c>
      <c r="B1999" s="1">
        <v>44128</v>
      </c>
      <c r="C1999" t="s">
        <v>4490</v>
      </c>
      <c r="D1999" t="s">
        <v>2405</v>
      </c>
      <c r="E1999">
        <v>36</v>
      </c>
      <c r="F1999" t="str">
        <f>IF(Table1[[#This Row],[age]]&lt;=25,"18-25",IF(Table1[[#This Row],[age]]&lt;=35,"26-35",IF(Table1[[#This Row],[age]]&lt;=50,"36-50","51+")))</f>
        <v>36-50</v>
      </c>
      <c r="G1999" t="s">
        <v>54</v>
      </c>
      <c r="H1999" t="s">
        <v>80</v>
      </c>
      <c r="I1999" t="s">
        <v>81</v>
      </c>
      <c r="J1999" t="s">
        <v>106</v>
      </c>
      <c r="K1999" t="s">
        <v>247</v>
      </c>
      <c r="L1999">
        <v>5</v>
      </c>
      <c r="M1999">
        <v>425.46</v>
      </c>
      <c r="N1999">
        <v>0.08</v>
      </c>
      <c r="O1999">
        <v>1535.18</v>
      </c>
      <c r="P1999">
        <v>99.18</v>
      </c>
      <c r="Q1999">
        <v>73.11</v>
      </c>
      <c r="R1999" t="s">
        <v>65</v>
      </c>
      <c r="S1999">
        <v>5</v>
      </c>
      <c r="T1999" t="b">
        <v>0</v>
      </c>
      <c r="U1999" t="s">
        <v>30</v>
      </c>
      <c r="V1999">
        <v>9</v>
      </c>
    </row>
    <row r="2000" spans="1:22" x14ac:dyDescent="0.25">
      <c r="A2000" t="s">
        <v>4491</v>
      </c>
      <c r="B2000" s="1">
        <v>45121</v>
      </c>
      <c r="C2000" t="s">
        <v>4492</v>
      </c>
      <c r="D2000" t="s">
        <v>2368</v>
      </c>
      <c r="E2000">
        <v>39</v>
      </c>
      <c r="F2000" t="str">
        <f>IF(Table1[[#This Row],[age]]&lt;=25,"18-25",IF(Table1[[#This Row],[age]]&lt;=35,"26-35",IF(Table1[[#This Row],[age]]&lt;=50,"36-50","51+")))</f>
        <v>36-50</v>
      </c>
      <c r="G2000" t="s">
        <v>54</v>
      </c>
      <c r="H2000" t="s">
        <v>80</v>
      </c>
      <c r="I2000" t="s">
        <v>242</v>
      </c>
      <c r="J2000" t="s">
        <v>101</v>
      </c>
      <c r="K2000" t="s">
        <v>164</v>
      </c>
      <c r="L2000">
        <v>4</v>
      </c>
      <c r="M2000">
        <v>1405.49</v>
      </c>
      <c r="N2000">
        <v>0.31</v>
      </c>
      <c r="O2000">
        <v>5675.34</v>
      </c>
      <c r="P2000">
        <v>1445.6</v>
      </c>
      <c r="Q2000">
        <v>69.73</v>
      </c>
      <c r="R2000" t="s">
        <v>43</v>
      </c>
      <c r="S2000">
        <v>3</v>
      </c>
      <c r="T2000" t="b">
        <v>0</v>
      </c>
      <c r="U2000" t="s">
        <v>30</v>
      </c>
      <c r="V2000">
        <v>6</v>
      </c>
    </row>
    <row r="2001" spans="1:22" x14ac:dyDescent="0.25">
      <c r="A2001" t="s">
        <v>4493</v>
      </c>
      <c r="B2001" s="1">
        <v>44578</v>
      </c>
      <c r="C2001" t="s">
        <v>4494</v>
      </c>
      <c r="D2001" t="s">
        <v>805</v>
      </c>
      <c r="E2001">
        <v>38</v>
      </c>
      <c r="F2001" t="str">
        <f>IF(Table1[[#This Row],[age]]&lt;=25,"18-25",IF(Table1[[#This Row],[age]]&lt;=35,"26-35",IF(Table1[[#This Row],[age]]&lt;=50,"36-50","51+")))</f>
        <v>36-50</v>
      </c>
      <c r="G2001" t="s">
        <v>54</v>
      </c>
      <c r="H2001" t="s">
        <v>80</v>
      </c>
      <c r="I2001" t="s">
        <v>236</v>
      </c>
      <c r="J2001" t="s">
        <v>36</v>
      </c>
      <c r="K2001" t="s">
        <v>42</v>
      </c>
      <c r="L2001">
        <v>9</v>
      </c>
      <c r="M2001">
        <v>18712.5</v>
      </c>
      <c r="N2001">
        <v>0.28000000000000003</v>
      </c>
      <c r="O2001">
        <v>98718.080000000002</v>
      </c>
      <c r="P2001">
        <v>31705.16</v>
      </c>
      <c r="Q2001">
        <v>69.33</v>
      </c>
      <c r="R2001" t="s">
        <v>49</v>
      </c>
      <c r="S2001">
        <v>4</v>
      </c>
      <c r="T2001" t="b">
        <v>0</v>
      </c>
      <c r="U2001" t="s">
        <v>30</v>
      </c>
      <c r="V2001">
        <v>7</v>
      </c>
    </row>
    <row r="2002" spans="1:22" x14ac:dyDescent="0.25">
      <c r="A2002" t="s">
        <v>4495</v>
      </c>
      <c r="B2002" s="1">
        <v>45181</v>
      </c>
      <c r="C2002" t="s">
        <v>4496</v>
      </c>
      <c r="D2002" t="s">
        <v>2262</v>
      </c>
      <c r="E2002">
        <v>29</v>
      </c>
      <c r="F2002" t="str">
        <f>IF(Table1[[#This Row],[age]]&lt;=25,"18-25",IF(Table1[[#This Row],[age]]&lt;=35,"26-35",IF(Table1[[#This Row],[age]]&lt;=50,"36-50","51+")))</f>
        <v>26-35</v>
      </c>
      <c r="G2002" t="s">
        <v>34</v>
      </c>
      <c r="H2002" t="s">
        <v>25</v>
      </c>
      <c r="I2002" t="s">
        <v>298</v>
      </c>
      <c r="J2002" t="s">
        <v>36</v>
      </c>
      <c r="K2002" t="s">
        <v>42</v>
      </c>
      <c r="L2002">
        <v>6</v>
      </c>
      <c r="M2002">
        <v>5060.62</v>
      </c>
      <c r="N2002">
        <v>0.26</v>
      </c>
      <c r="O2002">
        <v>28677.01</v>
      </c>
      <c r="P2002">
        <v>10234.549999999999</v>
      </c>
      <c r="Q2002">
        <v>79.73</v>
      </c>
      <c r="R2002" t="s">
        <v>49</v>
      </c>
      <c r="S2002">
        <v>3</v>
      </c>
      <c r="T2002" t="b">
        <v>1</v>
      </c>
      <c r="U2002" t="s">
        <v>50</v>
      </c>
      <c r="V2002">
        <v>8</v>
      </c>
    </row>
    <row r="2003" spans="1:22" x14ac:dyDescent="0.25">
      <c r="A2003" t="s">
        <v>4497</v>
      </c>
      <c r="B2003" s="1">
        <v>44518</v>
      </c>
      <c r="C2003" t="s">
        <v>4498</v>
      </c>
      <c r="D2003" t="s">
        <v>131</v>
      </c>
      <c r="E2003">
        <v>44</v>
      </c>
      <c r="F2003" t="str">
        <f>IF(Table1[[#This Row],[age]]&lt;=25,"18-25",IF(Table1[[#This Row],[age]]&lt;=35,"26-35",IF(Table1[[#This Row],[age]]&lt;=50,"36-50","51+")))</f>
        <v>36-50</v>
      </c>
      <c r="G2003" t="s">
        <v>54</v>
      </c>
      <c r="H2003" t="s">
        <v>25</v>
      </c>
      <c r="I2003" t="s">
        <v>35</v>
      </c>
      <c r="J2003" t="s">
        <v>36</v>
      </c>
      <c r="K2003" t="s">
        <v>42</v>
      </c>
      <c r="L2003">
        <v>1</v>
      </c>
      <c r="M2003">
        <v>3623.08</v>
      </c>
      <c r="N2003">
        <v>0.17</v>
      </c>
      <c r="O2003">
        <v>2627.42</v>
      </c>
      <c r="P2003">
        <v>856.29</v>
      </c>
      <c r="Q2003">
        <v>74.400000000000006</v>
      </c>
      <c r="R2003" t="s">
        <v>29</v>
      </c>
      <c r="S2003">
        <v>2</v>
      </c>
      <c r="T2003" t="b">
        <v>0</v>
      </c>
      <c r="U2003" t="s">
        <v>193</v>
      </c>
      <c r="V2003">
        <v>3</v>
      </c>
    </row>
    <row r="2004" spans="1:22" x14ac:dyDescent="0.25">
      <c r="A2004" t="s">
        <v>4499</v>
      </c>
      <c r="B2004" s="1">
        <v>45007</v>
      </c>
      <c r="C2004" t="s">
        <v>4500</v>
      </c>
      <c r="D2004" t="s">
        <v>1483</v>
      </c>
      <c r="E2004">
        <v>30</v>
      </c>
      <c r="F2004" t="str">
        <f>IF(Table1[[#This Row],[age]]&lt;=25,"18-25",IF(Table1[[#This Row],[age]]&lt;=35,"26-35",IF(Table1[[#This Row],[age]]&lt;=50,"36-50","51+")))</f>
        <v>26-35</v>
      </c>
      <c r="G2004" t="s">
        <v>54</v>
      </c>
      <c r="H2004" t="s">
        <v>25</v>
      </c>
      <c r="I2004" t="s">
        <v>35</v>
      </c>
      <c r="J2004" t="s">
        <v>36</v>
      </c>
      <c r="K2004" t="s">
        <v>42</v>
      </c>
      <c r="L2004">
        <v>4</v>
      </c>
      <c r="M2004">
        <v>23122.77</v>
      </c>
      <c r="N2004">
        <v>0.34</v>
      </c>
      <c r="O2004">
        <v>75992.62</v>
      </c>
      <c r="P2004">
        <v>25870.080000000002</v>
      </c>
      <c r="Q2004">
        <v>83.74</v>
      </c>
      <c r="R2004" t="s">
        <v>43</v>
      </c>
      <c r="S2004">
        <v>4</v>
      </c>
      <c r="T2004" t="b">
        <v>0</v>
      </c>
      <c r="U2004" t="s">
        <v>30</v>
      </c>
      <c r="V2004">
        <v>1</v>
      </c>
    </row>
    <row r="2005" spans="1:22" x14ac:dyDescent="0.25">
      <c r="A2005" t="s">
        <v>4501</v>
      </c>
      <c r="B2005" s="1">
        <v>43847</v>
      </c>
      <c r="C2005" t="s">
        <v>4502</v>
      </c>
      <c r="D2005" t="s">
        <v>1818</v>
      </c>
      <c r="E2005">
        <v>21</v>
      </c>
      <c r="F2005" t="str">
        <f>IF(Table1[[#This Row],[age]]&lt;=25,"18-25",IF(Table1[[#This Row],[age]]&lt;=35,"26-35",IF(Table1[[#This Row],[age]]&lt;=50,"36-50","51+")))</f>
        <v>18-25</v>
      </c>
      <c r="G2005" t="s">
        <v>34</v>
      </c>
      <c r="H2005" t="s">
        <v>25</v>
      </c>
      <c r="I2005" t="s">
        <v>26</v>
      </c>
      <c r="J2005" t="s">
        <v>106</v>
      </c>
      <c r="K2005" t="s">
        <v>107</v>
      </c>
      <c r="L2005">
        <v>7</v>
      </c>
      <c r="M2005">
        <v>134.49</v>
      </c>
      <c r="N2005">
        <v>0.17</v>
      </c>
      <c r="O2005">
        <v>553.96</v>
      </c>
      <c r="P2005">
        <v>54.43</v>
      </c>
      <c r="Q2005">
        <v>58.18</v>
      </c>
      <c r="R2005" t="s">
        <v>43</v>
      </c>
      <c r="S2005">
        <v>1</v>
      </c>
      <c r="T2005" t="b">
        <v>1</v>
      </c>
      <c r="U2005" t="s">
        <v>50</v>
      </c>
      <c r="V2005">
        <v>9</v>
      </c>
    </row>
    <row r="2006" spans="1:22" x14ac:dyDescent="0.25">
      <c r="A2006" t="s">
        <v>4503</v>
      </c>
      <c r="B2006" s="1">
        <v>44918</v>
      </c>
      <c r="C2006" t="s">
        <v>4504</v>
      </c>
      <c r="D2006" t="s">
        <v>679</v>
      </c>
      <c r="E2006">
        <v>38</v>
      </c>
      <c r="F2006" t="str">
        <f>IF(Table1[[#This Row],[age]]&lt;=25,"18-25",IF(Table1[[#This Row],[age]]&lt;=35,"26-35",IF(Table1[[#This Row],[age]]&lt;=50,"36-50","51+")))</f>
        <v>36-50</v>
      </c>
      <c r="G2006" t="s">
        <v>54</v>
      </c>
      <c r="H2006" t="s">
        <v>55</v>
      </c>
      <c r="I2006" t="s">
        <v>114</v>
      </c>
      <c r="J2006" t="s">
        <v>106</v>
      </c>
      <c r="K2006" t="s">
        <v>247</v>
      </c>
      <c r="L2006">
        <v>10</v>
      </c>
      <c r="M2006">
        <v>358.19</v>
      </c>
      <c r="N2006">
        <v>0.01</v>
      </c>
      <c r="O2006">
        <v>2982.6</v>
      </c>
      <c r="P2006">
        <v>268.81</v>
      </c>
      <c r="Q2006">
        <v>72.77</v>
      </c>
      <c r="R2006" t="s">
        <v>43</v>
      </c>
      <c r="S2006">
        <v>2</v>
      </c>
      <c r="T2006" t="b">
        <v>0</v>
      </c>
      <c r="U2006" t="s">
        <v>71</v>
      </c>
      <c r="V2006">
        <v>1</v>
      </c>
    </row>
    <row r="2007" spans="1:22" x14ac:dyDescent="0.25">
      <c r="A2007" t="s">
        <v>4505</v>
      </c>
      <c r="B2007" s="1">
        <v>45467</v>
      </c>
      <c r="C2007" t="s">
        <v>4506</v>
      </c>
      <c r="D2007" t="s">
        <v>1294</v>
      </c>
      <c r="E2007">
        <v>46</v>
      </c>
      <c r="F2007" t="str">
        <f>IF(Table1[[#This Row],[age]]&lt;=25,"18-25",IF(Table1[[#This Row],[age]]&lt;=35,"26-35",IF(Table1[[#This Row],[age]]&lt;=50,"36-50","51+")))</f>
        <v>36-50</v>
      </c>
      <c r="G2007" t="s">
        <v>34</v>
      </c>
      <c r="H2007" t="s">
        <v>69</v>
      </c>
      <c r="I2007" t="s">
        <v>221</v>
      </c>
      <c r="J2007" t="s">
        <v>101</v>
      </c>
      <c r="K2007" t="s">
        <v>318</v>
      </c>
      <c r="L2007">
        <v>2</v>
      </c>
      <c r="M2007">
        <v>4339.24</v>
      </c>
      <c r="N2007">
        <v>0.04</v>
      </c>
      <c r="O2007">
        <v>15428.64</v>
      </c>
      <c r="P2007">
        <v>2162.54</v>
      </c>
      <c r="Q2007">
        <v>103.91</v>
      </c>
      <c r="R2007" t="s">
        <v>57</v>
      </c>
      <c r="S2007">
        <v>5</v>
      </c>
      <c r="T2007" t="b">
        <v>0</v>
      </c>
      <c r="U2007" t="s">
        <v>30</v>
      </c>
      <c r="V2007">
        <v>2</v>
      </c>
    </row>
    <row r="2008" spans="1:22" x14ac:dyDescent="0.25">
      <c r="A2008" t="s">
        <v>4507</v>
      </c>
      <c r="B2008" s="1">
        <v>45606</v>
      </c>
      <c r="C2008" t="s">
        <v>4508</v>
      </c>
      <c r="D2008" t="s">
        <v>40</v>
      </c>
      <c r="E2008">
        <v>38</v>
      </c>
      <c r="F2008" t="str">
        <f>IF(Table1[[#This Row],[age]]&lt;=25,"18-25",IF(Table1[[#This Row],[age]]&lt;=35,"26-35",IF(Table1[[#This Row],[age]]&lt;=50,"36-50","51+")))</f>
        <v>36-50</v>
      </c>
      <c r="G2008" t="s">
        <v>54</v>
      </c>
      <c r="H2008" t="s">
        <v>25</v>
      </c>
      <c r="I2008" t="s">
        <v>41</v>
      </c>
      <c r="J2008" t="s">
        <v>101</v>
      </c>
      <c r="K2008" t="s">
        <v>318</v>
      </c>
      <c r="L2008">
        <v>10</v>
      </c>
      <c r="M2008">
        <v>4613.71</v>
      </c>
      <c r="N2008">
        <v>0.17</v>
      </c>
      <c r="O2008">
        <v>37689.699999999997</v>
      </c>
      <c r="P2008">
        <v>8096.33</v>
      </c>
      <c r="Q2008">
        <v>57.21</v>
      </c>
      <c r="R2008" t="s">
        <v>57</v>
      </c>
      <c r="S2008">
        <v>1</v>
      </c>
      <c r="T2008" t="b">
        <v>0</v>
      </c>
      <c r="U2008" t="s">
        <v>30</v>
      </c>
      <c r="V2008">
        <v>8</v>
      </c>
    </row>
    <row r="2009" spans="1:22" x14ac:dyDescent="0.25">
      <c r="A2009" t="s">
        <v>4509</v>
      </c>
      <c r="B2009" s="1">
        <v>44625</v>
      </c>
      <c r="C2009" t="s">
        <v>4510</v>
      </c>
      <c r="D2009" t="s">
        <v>474</v>
      </c>
      <c r="E2009">
        <v>44</v>
      </c>
      <c r="F2009" t="str">
        <f>IF(Table1[[#This Row],[age]]&lt;=25,"18-25",IF(Table1[[#This Row],[age]]&lt;=35,"26-35",IF(Table1[[#This Row],[age]]&lt;=50,"36-50","51+")))</f>
        <v>36-50</v>
      </c>
      <c r="G2009" t="s">
        <v>54</v>
      </c>
      <c r="H2009" t="s">
        <v>25</v>
      </c>
      <c r="I2009" t="s">
        <v>26</v>
      </c>
      <c r="J2009" t="s">
        <v>36</v>
      </c>
      <c r="K2009" t="s">
        <v>76</v>
      </c>
      <c r="L2009">
        <v>10</v>
      </c>
      <c r="M2009">
        <v>30639.279999999999</v>
      </c>
      <c r="N2009">
        <v>0.33</v>
      </c>
      <c r="O2009">
        <v>251539.23</v>
      </c>
      <c r="P2009">
        <v>67740.72</v>
      </c>
      <c r="Q2009">
        <v>51.84</v>
      </c>
      <c r="R2009" t="s">
        <v>65</v>
      </c>
      <c r="S2009">
        <v>1</v>
      </c>
      <c r="T2009" t="b">
        <v>0</v>
      </c>
      <c r="U2009" t="s">
        <v>30</v>
      </c>
      <c r="V2009">
        <v>4</v>
      </c>
    </row>
    <row r="2010" spans="1:22" x14ac:dyDescent="0.25">
      <c r="A2010" t="s">
        <v>4511</v>
      </c>
      <c r="B2010" s="1">
        <v>44604</v>
      </c>
      <c r="C2010" t="s">
        <v>4512</v>
      </c>
      <c r="D2010" t="s">
        <v>959</v>
      </c>
      <c r="E2010">
        <v>42</v>
      </c>
      <c r="F2010" t="str">
        <f>IF(Table1[[#This Row],[age]]&lt;=25,"18-25",IF(Table1[[#This Row],[age]]&lt;=35,"26-35",IF(Table1[[#This Row],[age]]&lt;=50,"36-50","51+")))</f>
        <v>36-50</v>
      </c>
      <c r="G2010" t="s">
        <v>34</v>
      </c>
      <c r="H2010" t="s">
        <v>61</v>
      </c>
      <c r="I2010" t="s">
        <v>62</v>
      </c>
      <c r="J2010" t="s">
        <v>101</v>
      </c>
      <c r="K2010" t="s">
        <v>164</v>
      </c>
      <c r="L2010">
        <v>8</v>
      </c>
      <c r="M2010">
        <v>3604.43</v>
      </c>
      <c r="N2010">
        <v>0.14000000000000001</v>
      </c>
      <c r="O2010">
        <v>22742.31</v>
      </c>
      <c r="P2010">
        <v>5019.1099999999997</v>
      </c>
      <c r="Q2010">
        <v>45.29</v>
      </c>
      <c r="R2010" t="s">
        <v>49</v>
      </c>
      <c r="S2010">
        <v>3</v>
      </c>
      <c r="T2010" t="b">
        <v>0</v>
      </c>
      <c r="U2010" t="s">
        <v>30</v>
      </c>
      <c r="V2010">
        <v>1</v>
      </c>
    </row>
    <row r="2011" spans="1:22" x14ac:dyDescent="0.25">
      <c r="A2011" t="s">
        <v>4513</v>
      </c>
      <c r="B2011" s="1">
        <v>44523</v>
      </c>
      <c r="C2011" t="s">
        <v>4514</v>
      </c>
      <c r="D2011" t="s">
        <v>1433</v>
      </c>
      <c r="E2011">
        <v>39</v>
      </c>
      <c r="F2011" t="str">
        <f>IF(Table1[[#This Row],[age]]&lt;=25,"18-25",IF(Table1[[#This Row],[age]]&lt;=35,"26-35",IF(Table1[[#This Row],[age]]&lt;=50,"36-50","51+")))</f>
        <v>36-50</v>
      </c>
      <c r="G2011" t="s">
        <v>54</v>
      </c>
      <c r="H2011" t="s">
        <v>55</v>
      </c>
      <c r="I2011" t="s">
        <v>114</v>
      </c>
      <c r="J2011" t="s">
        <v>36</v>
      </c>
      <c r="K2011" t="s">
        <v>76</v>
      </c>
      <c r="L2011">
        <v>8</v>
      </c>
      <c r="M2011">
        <v>29381.66</v>
      </c>
      <c r="N2011">
        <v>0.22</v>
      </c>
      <c r="O2011">
        <v>157614.57999999999</v>
      </c>
      <c r="P2011">
        <v>32492.98</v>
      </c>
      <c r="Q2011">
        <v>48.89</v>
      </c>
      <c r="R2011" t="s">
        <v>65</v>
      </c>
      <c r="S2011">
        <v>1</v>
      </c>
      <c r="T2011" t="b">
        <v>0</v>
      </c>
      <c r="U2011" t="s">
        <v>30</v>
      </c>
      <c r="V2011">
        <v>3</v>
      </c>
    </row>
    <row r="2012" spans="1:22" x14ac:dyDescent="0.25">
      <c r="A2012" t="s">
        <v>4515</v>
      </c>
      <c r="B2012" s="1">
        <v>44933</v>
      </c>
      <c r="C2012" t="s">
        <v>4516</v>
      </c>
      <c r="D2012" t="s">
        <v>210</v>
      </c>
      <c r="E2012">
        <v>32</v>
      </c>
      <c r="F2012" t="str">
        <f>IF(Table1[[#This Row],[age]]&lt;=25,"18-25",IF(Table1[[#This Row],[age]]&lt;=35,"26-35",IF(Table1[[#This Row],[age]]&lt;=50,"36-50","51+")))</f>
        <v>26-35</v>
      </c>
      <c r="G2012" t="s">
        <v>54</v>
      </c>
      <c r="H2012" t="s">
        <v>80</v>
      </c>
      <c r="I2012" t="s">
        <v>81</v>
      </c>
      <c r="J2012" t="s">
        <v>106</v>
      </c>
      <c r="K2012" t="s">
        <v>188</v>
      </c>
      <c r="L2012">
        <v>9</v>
      </c>
      <c r="M2012">
        <v>314.07</v>
      </c>
      <c r="N2012">
        <v>0.33</v>
      </c>
      <c r="O2012">
        <v>1512.76</v>
      </c>
      <c r="P2012">
        <v>125.71</v>
      </c>
      <c r="Q2012">
        <v>61.79</v>
      </c>
      <c r="R2012" t="s">
        <v>65</v>
      </c>
      <c r="S2012">
        <v>1</v>
      </c>
      <c r="T2012" t="b">
        <v>0</v>
      </c>
      <c r="U2012" t="s">
        <v>30</v>
      </c>
      <c r="V2012">
        <v>2</v>
      </c>
    </row>
    <row r="2013" spans="1:22" x14ac:dyDescent="0.25">
      <c r="A2013" t="s">
        <v>4517</v>
      </c>
      <c r="B2013" s="1">
        <v>44852</v>
      </c>
      <c r="C2013" t="s">
        <v>4518</v>
      </c>
      <c r="D2013" t="s">
        <v>1354</v>
      </c>
      <c r="E2013">
        <v>40</v>
      </c>
      <c r="F2013" t="str">
        <f>IF(Table1[[#This Row],[age]]&lt;=25,"18-25",IF(Table1[[#This Row],[age]]&lt;=35,"26-35",IF(Table1[[#This Row],[age]]&lt;=50,"36-50","51+")))</f>
        <v>36-50</v>
      </c>
      <c r="G2013" t="s">
        <v>24</v>
      </c>
      <c r="H2013" t="s">
        <v>80</v>
      </c>
      <c r="I2013" t="s">
        <v>236</v>
      </c>
      <c r="J2013" t="s">
        <v>106</v>
      </c>
      <c r="K2013" t="s">
        <v>107</v>
      </c>
      <c r="L2013">
        <v>1</v>
      </c>
      <c r="M2013">
        <v>480.83</v>
      </c>
      <c r="N2013">
        <v>0.03</v>
      </c>
      <c r="O2013">
        <v>413.43</v>
      </c>
      <c r="P2013">
        <v>28.39</v>
      </c>
      <c r="Q2013">
        <v>66.81</v>
      </c>
      <c r="R2013" t="s">
        <v>43</v>
      </c>
      <c r="S2013">
        <v>2</v>
      </c>
      <c r="T2013" t="b">
        <v>1</v>
      </c>
      <c r="U2013" t="s">
        <v>50</v>
      </c>
      <c r="V2013">
        <v>10</v>
      </c>
    </row>
    <row r="2014" spans="1:22" x14ac:dyDescent="0.25">
      <c r="A2014" t="s">
        <v>4519</v>
      </c>
      <c r="B2014" s="1">
        <v>44286</v>
      </c>
      <c r="C2014" t="s">
        <v>4520</v>
      </c>
      <c r="D2014" t="s">
        <v>679</v>
      </c>
      <c r="E2014">
        <v>67</v>
      </c>
      <c r="F2014" t="str">
        <f>IF(Table1[[#This Row],[age]]&lt;=25,"18-25",IF(Table1[[#This Row],[age]]&lt;=35,"26-35",IF(Table1[[#This Row],[age]]&lt;=50,"36-50","51+")))</f>
        <v>51+</v>
      </c>
      <c r="G2014" t="s">
        <v>24</v>
      </c>
      <c r="H2014" t="s">
        <v>55</v>
      </c>
      <c r="I2014" t="s">
        <v>75</v>
      </c>
      <c r="J2014" t="s">
        <v>106</v>
      </c>
      <c r="K2014" t="s">
        <v>247</v>
      </c>
      <c r="L2014">
        <v>3</v>
      </c>
      <c r="M2014">
        <v>205.29</v>
      </c>
      <c r="N2014">
        <v>0</v>
      </c>
      <c r="O2014">
        <v>664.78</v>
      </c>
      <c r="P2014">
        <v>44.95</v>
      </c>
      <c r="Q2014">
        <v>36.409999999999997</v>
      </c>
      <c r="R2014" t="s">
        <v>92</v>
      </c>
      <c r="S2014">
        <v>1</v>
      </c>
      <c r="T2014" t="b">
        <v>0</v>
      </c>
      <c r="U2014" t="s">
        <v>30</v>
      </c>
      <c r="V2014">
        <v>6</v>
      </c>
    </row>
    <row r="2015" spans="1:22" x14ac:dyDescent="0.25">
      <c r="A2015" t="s">
        <v>4521</v>
      </c>
      <c r="B2015" s="1">
        <v>45572</v>
      </c>
      <c r="C2015" t="s">
        <v>4522</v>
      </c>
      <c r="D2015" t="s">
        <v>1114</v>
      </c>
      <c r="E2015">
        <v>43</v>
      </c>
      <c r="F2015" t="str">
        <f>IF(Table1[[#This Row],[age]]&lt;=25,"18-25",IF(Table1[[#This Row],[age]]&lt;=35,"26-35",IF(Table1[[#This Row],[age]]&lt;=50,"36-50","51+")))</f>
        <v>36-50</v>
      </c>
      <c r="G2015" t="s">
        <v>34</v>
      </c>
      <c r="H2015" t="s">
        <v>80</v>
      </c>
      <c r="I2015" t="s">
        <v>236</v>
      </c>
      <c r="J2015" t="s">
        <v>47</v>
      </c>
      <c r="K2015" t="s">
        <v>48</v>
      </c>
      <c r="L2015">
        <v>7</v>
      </c>
      <c r="M2015">
        <v>1255.05</v>
      </c>
      <c r="N2015">
        <v>0.06</v>
      </c>
      <c r="O2015">
        <v>10208.81</v>
      </c>
      <c r="P2015">
        <v>4389.6099999999997</v>
      </c>
      <c r="Q2015">
        <v>46.86</v>
      </c>
      <c r="R2015" t="s">
        <v>29</v>
      </c>
      <c r="S2015">
        <v>5</v>
      </c>
      <c r="T2015" t="b">
        <v>0</v>
      </c>
      <c r="U2015" t="s">
        <v>71</v>
      </c>
      <c r="V2015">
        <v>10</v>
      </c>
    </row>
    <row r="2016" spans="1:22" x14ac:dyDescent="0.25">
      <c r="A2016" t="s">
        <v>4523</v>
      </c>
      <c r="B2016" s="1">
        <v>44914</v>
      </c>
      <c r="C2016" t="s">
        <v>4524</v>
      </c>
      <c r="D2016" t="s">
        <v>2514</v>
      </c>
      <c r="E2016">
        <v>27</v>
      </c>
      <c r="F2016" t="str">
        <f>IF(Table1[[#This Row],[age]]&lt;=25,"18-25",IF(Table1[[#This Row],[age]]&lt;=35,"26-35",IF(Table1[[#This Row],[age]]&lt;=50,"36-50","51+")))</f>
        <v>26-35</v>
      </c>
      <c r="G2016" t="s">
        <v>24</v>
      </c>
      <c r="H2016" t="s">
        <v>61</v>
      </c>
      <c r="I2016" t="s">
        <v>141</v>
      </c>
      <c r="J2016" t="s">
        <v>115</v>
      </c>
      <c r="K2016" t="s">
        <v>197</v>
      </c>
      <c r="L2016">
        <v>9</v>
      </c>
      <c r="M2016">
        <v>35439.71</v>
      </c>
      <c r="N2016">
        <v>0.1</v>
      </c>
      <c r="O2016">
        <v>264067.45</v>
      </c>
      <c r="P2016">
        <v>27911.46</v>
      </c>
      <c r="Q2016">
        <v>45.64</v>
      </c>
      <c r="R2016" t="s">
        <v>92</v>
      </c>
      <c r="S2016">
        <v>5</v>
      </c>
      <c r="T2016" t="b">
        <v>0</v>
      </c>
      <c r="U2016" t="s">
        <v>93</v>
      </c>
      <c r="V2016">
        <v>6</v>
      </c>
    </row>
    <row r="2017" spans="1:22" x14ac:dyDescent="0.25">
      <c r="A2017" t="s">
        <v>4525</v>
      </c>
      <c r="B2017" s="1">
        <v>44646</v>
      </c>
      <c r="C2017" t="s">
        <v>4526</v>
      </c>
      <c r="D2017" t="s">
        <v>1433</v>
      </c>
      <c r="E2017">
        <v>29</v>
      </c>
      <c r="F2017" t="str">
        <f>IF(Table1[[#This Row],[age]]&lt;=25,"18-25",IF(Table1[[#This Row],[age]]&lt;=35,"26-35",IF(Table1[[#This Row],[age]]&lt;=50,"36-50","51+")))</f>
        <v>26-35</v>
      </c>
      <c r="G2017" t="s">
        <v>24</v>
      </c>
      <c r="H2017" t="s">
        <v>69</v>
      </c>
      <c r="I2017" t="s">
        <v>136</v>
      </c>
      <c r="J2017" t="s">
        <v>36</v>
      </c>
      <c r="K2017" t="s">
        <v>42</v>
      </c>
      <c r="L2017">
        <v>2</v>
      </c>
      <c r="M2017">
        <v>7344.48</v>
      </c>
      <c r="N2017">
        <v>0.18</v>
      </c>
      <c r="O2017">
        <v>14733.39</v>
      </c>
      <c r="P2017">
        <v>4347.3100000000004</v>
      </c>
      <c r="Q2017">
        <v>74.59</v>
      </c>
      <c r="R2017" t="s">
        <v>49</v>
      </c>
      <c r="S2017">
        <v>5</v>
      </c>
      <c r="T2017" t="b">
        <v>0</v>
      </c>
      <c r="U2017" t="s">
        <v>30</v>
      </c>
      <c r="V2017">
        <v>4</v>
      </c>
    </row>
    <row r="2018" spans="1:22" x14ac:dyDescent="0.25">
      <c r="A2018" t="s">
        <v>4527</v>
      </c>
      <c r="B2018" s="1">
        <v>45477</v>
      </c>
      <c r="C2018" t="s">
        <v>4528</v>
      </c>
      <c r="D2018" t="s">
        <v>1456</v>
      </c>
      <c r="E2018">
        <v>36</v>
      </c>
      <c r="F2018" t="str">
        <f>IF(Table1[[#This Row],[age]]&lt;=25,"18-25",IF(Table1[[#This Row],[age]]&lt;=35,"26-35",IF(Table1[[#This Row],[age]]&lt;=50,"36-50","51+")))</f>
        <v>36-50</v>
      </c>
      <c r="G2018" t="s">
        <v>34</v>
      </c>
      <c r="H2018" t="s">
        <v>25</v>
      </c>
      <c r="I2018" t="s">
        <v>298</v>
      </c>
      <c r="J2018" t="s">
        <v>63</v>
      </c>
      <c r="K2018" t="s">
        <v>87</v>
      </c>
      <c r="L2018">
        <v>6</v>
      </c>
      <c r="M2018">
        <v>3443.27</v>
      </c>
      <c r="N2018">
        <v>0.34</v>
      </c>
      <c r="O2018">
        <v>23314.01</v>
      </c>
      <c r="P2018">
        <v>6106.27</v>
      </c>
      <c r="Q2018">
        <v>43.69</v>
      </c>
      <c r="R2018" t="s">
        <v>43</v>
      </c>
      <c r="S2018">
        <v>3</v>
      </c>
      <c r="T2018" t="b">
        <v>0</v>
      </c>
      <c r="U2018" t="s">
        <v>30</v>
      </c>
      <c r="V2018">
        <v>4</v>
      </c>
    </row>
    <row r="2019" spans="1:22" x14ac:dyDescent="0.25">
      <c r="A2019" t="s">
        <v>4529</v>
      </c>
      <c r="B2019" s="1">
        <v>44730</v>
      </c>
      <c r="C2019" t="s">
        <v>4530</v>
      </c>
      <c r="D2019" t="s">
        <v>682</v>
      </c>
      <c r="E2019">
        <v>49</v>
      </c>
      <c r="F2019" t="str">
        <f>IF(Table1[[#This Row],[age]]&lt;=25,"18-25",IF(Table1[[#This Row],[age]]&lt;=35,"26-35",IF(Table1[[#This Row],[age]]&lt;=50,"36-50","51+")))</f>
        <v>36-50</v>
      </c>
      <c r="G2019" t="s">
        <v>34</v>
      </c>
      <c r="H2019" t="s">
        <v>80</v>
      </c>
      <c r="I2019" t="s">
        <v>236</v>
      </c>
      <c r="J2019" t="s">
        <v>101</v>
      </c>
      <c r="K2019" t="s">
        <v>214</v>
      </c>
      <c r="L2019">
        <v>1</v>
      </c>
      <c r="M2019">
        <v>3118.43</v>
      </c>
      <c r="N2019">
        <v>0.23</v>
      </c>
      <c r="O2019">
        <v>3847.49</v>
      </c>
      <c r="P2019">
        <v>1157.76</v>
      </c>
      <c r="Q2019">
        <v>70.540000000000006</v>
      </c>
      <c r="R2019" t="s">
        <v>57</v>
      </c>
      <c r="S2019">
        <v>4</v>
      </c>
      <c r="T2019" t="b">
        <v>0</v>
      </c>
      <c r="U2019" t="s">
        <v>30</v>
      </c>
      <c r="V2019">
        <v>3</v>
      </c>
    </row>
    <row r="2020" spans="1:22" x14ac:dyDescent="0.25">
      <c r="A2020" t="s">
        <v>4531</v>
      </c>
      <c r="B2020" s="1">
        <v>43987</v>
      </c>
      <c r="C2020" t="s">
        <v>4532</v>
      </c>
      <c r="D2020" t="s">
        <v>1236</v>
      </c>
      <c r="E2020">
        <v>34</v>
      </c>
      <c r="F2020" t="str">
        <f>IF(Table1[[#This Row],[age]]&lt;=25,"18-25",IF(Table1[[#This Row],[age]]&lt;=35,"26-35",IF(Table1[[#This Row],[age]]&lt;=50,"36-50","51+")))</f>
        <v>26-35</v>
      </c>
      <c r="G2020" t="s">
        <v>24</v>
      </c>
      <c r="H2020" t="s">
        <v>80</v>
      </c>
      <c r="I2020" t="s">
        <v>81</v>
      </c>
      <c r="J2020" t="s">
        <v>47</v>
      </c>
      <c r="K2020" t="s">
        <v>48</v>
      </c>
      <c r="L2020">
        <v>8</v>
      </c>
      <c r="M2020">
        <v>1191.17</v>
      </c>
      <c r="N2020">
        <v>0.39</v>
      </c>
      <c r="O2020">
        <v>7944.27</v>
      </c>
      <c r="P2020">
        <v>3452.54</v>
      </c>
      <c r="Q2020">
        <v>91.97</v>
      </c>
      <c r="R2020" t="s">
        <v>92</v>
      </c>
      <c r="S2020">
        <v>5</v>
      </c>
      <c r="T2020" t="b">
        <v>0</v>
      </c>
      <c r="U2020" t="s">
        <v>93</v>
      </c>
      <c r="V2020">
        <v>2</v>
      </c>
    </row>
    <row r="2021" spans="1:22" x14ac:dyDescent="0.25">
      <c r="A2021" t="s">
        <v>4533</v>
      </c>
      <c r="B2021" s="1">
        <v>45613</v>
      </c>
      <c r="C2021" t="s">
        <v>4534</v>
      </c>
      <c r="D2021" t="s">
        <v>1129</v>
      </c>
      <c r="E2021">
        <v>33</v>
      </c>
      <c r="F2021" t="str">
        <f>IF(Table1[[#This Row],[age]]&lt;=25,"18-25",IF(Table1[[#This Row],[age]]&lt;=35,"26-35",IF(Table1[[#This Row],[age]]&lt;=50,"36-50","51+")))</f>
        <v>26-35</v>
      </c>
      <c r="G2021" t="s">
        <v>34</v>
      </c>
      <c r="H2021" t="s">
        <v>69</v>
      </c>
      <c r="I2021" t="s">
        <v>70</v>
      </c>
      <c r="J2021" t="s">
        <v>101</v>
      </c>
      <c r="K2021" t="s">
        <v>164</v>
      </c>
      <c r="L2021">
        <v>8</v>
      </c>
      <c r="M2021">
        <v>10030.91</v>
      </c>
      <c r="N2021">
        <v>0.02</v>
      </c>
      <c r="O2021">
        <v>67222.600000000006</v>
      </c>
      <c r="P2021">
        <v>15466.13</v>
      </c>
      <c r="Q2021">
        <v>100.02</v>
      </c>
      <c r="R2021" t="s">
        <v>43</v>
      </c>
      <c r="S2021">
        <v>3</v>
      </c>
      <c r="T2021" t="b">
        <v>0</v>
      </c>
      <c r="U2021" t="s">
        <v>30</v>
      </c>
      <c r="V2021">
        <v>3</v>
      </c>
    </row>
    <row r="2022" spans="1:22" x14ac:dyDescent="0.25">
      <c r="A2022" t="s">
        <v>4535</v>
      </c>
      <c r="B2022" s="1">
        <v>45486</v>
      </c>
      <c r="C2022" t="s">
        <v>4536</v>
      </c>
      <c r="D2022" t="s">
        <v>740</v>
      </c>
      <c r="E2022">
        <v>34</v>
      </c>
      <c r="F2022" t="str">
        <f>IF(Table1[[#This Row],[age]]&lt;=25,"18-25",IF(Table1[[#This Row],[age]]&lt;=35,"26-35",IF(Table1[[#This Row],[age]]&lt;=50,"36-50","51+")))</f>
        <v>26-35</v>
      </c>
      <c r="G2022" t="s">
        <v>24</v>
      </c>
      <c r="H2022" t="s">
        <v>69</v>
      </c>
      <c r="I2022" t="s">
        <v>136</v>
      </c>
      <c r="J2022" t="s">
        <v>106</v>
      </c>
      <c r="K2022" t="s">
        <v>107</v>
      </c>
      <c r="L2022">
        <v>10</v>
      </c>
      <c r="M2022">
        <v>263.05</v>
      </c>
      <c r="N2022">
        <v>0.28000000000000003</v>
      </c>
      <c r="O2022">
        <v>3446.63</v>
      </c>
      <c r="P2022">
        <v>252.71</v>
      </c>
      <c r="Q2022">
        <v>60.29</v>
      </c>
      <c r="R2022" t="s">
        <v>92</v>
      </c>
      <c r="S2022">
        <v>4</v>
      </c>
      <c r="T2022" t="b">
        <v>0</v>
      </c>
      <c r="U2022" t="s">
        <v>30</v>
      </c>
      <c r="V2022">
        <v>9</v>
      </c>
    </row>
    <row r="2023" spans="1:22" x14ac:dyDescent="0.25">
      <c r="A2023" t="s">
        <v>4537</v>
      </c>
      <c r="B2023" s="1">
        <v>44998</v>
      </c>
      <c r="C2023" t="s">
        <v>4538</v>
      </c>
      <c r="D2023" t="s">
        <v>740</v>
      </c>
      <c r="E2023">
        <v>40</v>
      </c>
      <c r="F2023" t="str">
        <f>IF(Table1[[#This Row],[age]]&lt;=25,"18-25",IF(Table1[[#This Row],[age]]&lt;=35,"26-35",IF(Table1[[#This Row],[age]]&lt;=50,"36-50","51+")))</f>
        <v>36-50</v>
      </c>
      <c r="G2023" t="s">
        <v>54</v>
      </c>
      <c r="H2023" t="s">
        <v>69</v>
      </c>
      <c r="I2023" t="s">
        <v>70</v>
      </c>
      <c r="J2023" t="s">
        <v>106</v>
      </c>
      <c r="K2023" t="s">
        <v>247</v>
      </c>
      <c r="L2023">
        <v>5</v>
      </c>
      <c r="M2023">
        <v>83.39</v>
      </c>
      <c r="N2023">
        <v>0.13</v>
      </c>
      <c r="O2023">
        <v>507.85</v>
      </c>
      <c r="P2023">
        <v>48.88</v>
      </c>
      <c r="Q2023">
        <v>72.28</v>
      </c>
      <c r="R2023" t="s">
        <v>49</v>
      </c>
      <c r="S2023">
        <v>5</v>
      </c>
      <c r="T2023" t="b">
        <v>0</v>
      </c>
      <c r="U2023" t="s">
        <v>30</v>
      </c>
      <c r="V2023">
        <v>8</v>
      </c>
    </row>
    <row r="2024" spans="1:22" x14ac:dyDescent="0.25">
      <c r="A2024" t="s">
        <v>4539</v>
      </c>
      <c r="B2024" s="1">
        <v>44840</v>
      </c>
      <c r="C2024" t="s">
        <v>4540</v>
      </c>
      <c r="D2024" t="s">
        <v>764</v>
      </c>
      <c r="E2024">
        <v>44</v>
      </c>
      <c r="F2024" t="str">
        <f>IF(Table1[[#This Row],[age]]&lt;=25,"18-25",IF(Table1[[#This Row],[age]]&lt;=35,"26-35",IF(Table1[[#This Row],[age]]&lt;=50,"36-50","51+")))</f>
        <v>36-50</v>
      </c>
      <c r="G2024" t="s">
        <v>54</v>
      </c>
      <c r="H2024" t="s">
        <v>61</v>
      </c>
      <c r="I2024" t="s">
        <v>141</v>
      </c>
      <c r="J2024" t="s">
        <v>115</v>
      </c>
      <c r="K2024" t="s">
        <v>137</v>
      </c>
      <c r="L2024">
        <v>10</v>
      </c>
      <c r="M2024">
        <v>66222.83</v>
      </c>
      <c r="N2024">
        <v>0.39</v>
      </c>
      <c r="O2024">
        <v>364937.13</v>
      </c>
      <c r="P2024">
        <v>37488.21</v>
      </c>
      <c r="Q2024">
        <v>35.08</v>
      </c>
      <c r="R2024" t="s">
        <v>57</v>
      </c>
      <c r="S2024">
        <v>3</v>
      </c>
      <c r="T2024" t="b">
        <v>0</v>
      </c>
      <c r="U2024" t="s">
        <v>30</v>
      </c>
      <c r="V2024">
        <v>9</v>
      </c>
    </row>
    <row r="2025" spans="1:22" x14ac:dyDescent="0.25">
      <c r="A2025" t="s">
        <v>4541</v>
      </c>
      <c r="B2025" s="1">
        <v>44679</v>
      </c>
      <c r="C2025" t="s">
        <v>4542</v>
      </c>
      <c r="D2025" t="s">
        <v>60</v>
      </c>
      <c r="E2025">
        <v>21</v>
      </c>
      <c r="F2025" t="str">
        <f>IF(Table1[[#This Row],[age]]&lt;=25,"18-25",IF(Table1[[#This Row],[age]]&lt;=35,"26-35",IF(Table1[[#This Row],[age]]&lt;=50,"36-50","51+")))</f>
        <v>18-25</v>
      </c>
      <c r="G2025" t="s">
        <v>24</v>
      </c>
      <c r="H2025" t="s">
        <v>25</v>
      </c>
      <c r="I2025" t="s">
        <v>41</v>
      </c>
      <c r="J2025" t="s">
        <v>106</v>
      </c>
      <c r="K2025" t="s">
        <v>331</v>
      </c>
      <c r="L2025">
        <v>9</v>
      </c>
      <c r="M2025">
        <v>150.66</v>
      </c>
      <c r="N2025">
        <v>0.3</v>
      </c>
      <c r="O2025">
        <v>1376.18</v>
      </c>
      <c r="P2025">
        <v>82.84</v>
      </c>
      <c r="Q2025">
        <v>30.25</v>
      </c>
      <c r="R2025" t="s">
        <v>43</v>
      </c>
      <c r="S2025">
        <v>5</v>
      </c>
      <c r="T2025" t="b">
        <v>0</v>
      </c>
      <c r="U2025" t="s">
        <v>30</v>
      </c>
      <c r="V2025">
        <v>4</v>
      </c>
    </row>
    <row r="2026" spans="1:22" x14ac:dyDescent="0.25">
      <c r="A2026" t="s">
        <v>4543</v>
      </c>
      <c r="B2026" s="1">
        <v>44502</v>
      </c>
      <c r="C2026" t="s">
        <v>4544</v>
      </c>
      <c r="D2026" t="s">
        <v>1171</v>
      </c>
      <c r="E2026">
        <v>48</v>
      </c>
      <c r="F2026" t="str">
        <f>IF(Table1[[#This Row],[age]]&lt;=25,"18-25",IF(Table1[[#This Row],[age]]&lt;=35,"26-35",IF(Table1[[#This Row],[age]]&lt;=50,"36-50","51+")))</f>
        <v>36-50</v>
      </c>
      <c r="G2026" t="s">
        <v>34</v>
      </c>
      <c r="H2026" t="s">
        <v>80</v>
      </c>
      <c r="I2026" t="s">
        <v>242</v>
      </c>
      <c r="J2026" t="s">
        <v>36</v>
      </c>
      <c r="K2026" t="s">
        <v>76</v>
      </c>
      <c r="L2026">
        <v>3</v>
      </c>
      <c r="M2026">
        <v>22015.61</v>
      </c>
      <c r="N2026">
        <v>0.33</v>
      </c>
      <c r="O2026">
        <v>34539.97</v>
      </c>
      <c r="P2026">
        <v>5647.61</v>
      </c>
      <c r="Q2026">
        <v>67.290000000000006</v>
      </c>
      <c r="R2026" t="s">
        <v>57</v>
      </c>
      <c r="S2026">
        <v>5</v>
      </c>
      <c r="T2026" t="b">
        <v>0</v>
      </c>
      <c r="U2026" t="s">
        <v>30</v>
      </c>
      <c r="V2026">
        <v>9</v>
      </c>
    </row>
    <row r="2027" spans="1:22" x14ac:dyDescent="0.25">
      <c r="A2027" t="s">
        <v>4545</v>
      </c>
      <c r="B2027" s="1">
        <v>44609</v>
      </c>
      <c r="C2027" t="s">
        <v>4546</v>
      </c>
      <c r="D2027" t="s">
        <v>33</v>
      </c>
      <c r="E2027">
        <v>35</v>
      </c>
      <c r="F2027" t="str">
        <f>IF(Table1[[#This Row],[age]]&lt;=25,"18-25",IF(Table1[[#This Row],[age]]&lt;=35,"26-35",IF(Table1[[#This Row],[age]]&lt;=50,"36-50","51+")))</f>
        <v>26-35</v>
      </c>
      <c r="G2027" t="s">
        <v>34</v>
      </c>
      <c r="H2027" t="s">
        <v>55</v>
      </c>
      <c r="I2027" t="s">
        <v>75</v>
      </c>
      <c r="J2027" t="s">
        <v>36</v>
      </c>
      <c r="K2027" t="s">
        <v>42</v>
      </c>
      <c r="L2027">
        <v>1</v>
      </c>
      <c r="M2027">
        <v>28755.19</v>
      </c>
      <c r="N2027">
        <v>0.03</v>
      </c>
      <c r="O2027">
        <v>24177.47</v>
      </c>
      <c r="P2027">
        <v>5824.34</v>
      </c>
      <c r="Q2027">
        <v>35.93</v>
      </c>
      <c r="R2027" t="s">
        <v>43</v>
      </c>
      <c r="S2027">
        <v>4</v>
      </c>
      <c r="T2027" t="b">
        <v>0</v>
      </c>
      <c r="U2027" t="s">
        <v>30</v>
      </c>
      <c r="V2027">
        <v>4</v>
      </c>
    </row>
    <row r="2028" spans="1:22" x14ac:dyDescent="0.25">
      <c r="A2028" t="s">
        <v>4547</v>
      </c>
      <c r="B2028" s="1">
        <v>44347</v>
      </c>
      <c r="C2028" t="s">
        <v>4548</v>
      </c>
      <c r="D2028" t="s">
        <v>3675</v>
      </c>
      <c r="E2028">
        <v>45</v>
      </c>
      <c r="F2028" t="str">
        <f>IF(Table1[[#This Row],[age]]&lt;=25,"18-25",IF(Table1[[#This Row],[age]]&lt;=35,"26-35",IF(Table1[[#This Row],[age]]&lt;=50,"36-50","51+")))</f>
        <v>36-50</v>
      </c>
      <c r="G2028" t="s">
        <v>54</v>
      </c>
      <c r="H2028" t="s">
        <v>69</v>
      </c>
      <c r="I2028" t="s">
        <v>70</v>
      </c>
      <c r="J2028" t="s">
        <v>63</v>
      </c>
      <c r="K2028" t="s">
        <v>434</v>
      </c>
      <c r="L2028">
        <v>1</v>
      </c>
      <c r="M2028">
        <v>708.87</v>
      </c>
      <c r="N2028">
        <v>0.04</v>
      </c>
      <c r="O2028">
        <v>897.13</v>
      </c>
      <c r="P2028">
        <v>364.6</v>
      </c>
      <c r="Q2028">
        <v>69.260000000000005</v>
      </c>
      <c r="R2028" t="s">
        <v>43</v>
      </c>
      <c r="S2028">
        <v>1</v>
      </c>
      <c r="T2028" t="b">
        <v>0</v>
      </c>
      <c r="U2028" t="s">
        <v>30</v>
      </c>
      <c r="V2028">
        <v>6</v>
      </c>
    </row>
    <row r="2029" spans="1:22" x14ac:dyDescent="0.25">
      <c r="A2029" t="s">
        <v>4549</v>
      </c>
      <c r="B2029" s="1">
        <v>44544</v>
      </c>
      <c r="C2029" t="s">
        <v>4550</v>
      </c>
      <c r="D2029" t="s">
        <v>471</v>
      </c>
      <c r="E2029">
        <v>40</v>
      </c>
      <c r="F2029" t="str">
        <f>IF(Table1[[#This Row],[age]]&lt;=25,"18-25",IF(Table1[[#This Row],[age]]&lt;=35,"26-35",IF(Table1[[#This Row],[age]]&lt;=50,"36-50","51+")))</f>
        <v>36-50</v>
      </c>
      <c r="G2029" t="s">
        <v>24</v>
      </c>
      <c r="H2029" t="s">
        <v>25</v>
      </c>
      <c r="I2029" t="s">
        <v>35</v>
      </c>
      <c r="J2029" t="s">
        <v>106</v>
      </c>
      <c r="K2029" t="s">
        <v>188</v>
      </c>
      <c r="L2029">
        <v>1</v>
      </c>
      <c r="M2029">
        <v>324.69</v>
      </c>
      <c r="N2029">
        <v>0.21</v>
      </c>
      <c r="O2029">
        <v>195.27</v>
      </c>
      <c r="P2029">
        <v>15.34</v>
      </c>
      <c r="Q2029">
        <v>67.290000000000006</v>
      </c>
      <c r="R2029" t="s">
        <v>65</v>
      </c>
      <c r="S2029">
        <v>4</v>
      </c>
      <c r="T2029" t="b">
        <v>1</v>
      </c>
      <c r="U2029" t="s">
        <v>50</v>
      </c>
      <c r="V2029">
        <v>6</v>
      </c>
    </row>
    <row r="2030" spans="1:22" x14ac:dyDescent="0.25">
      <c r="A2030" t="s">
        <v>4551</v>
      </c>
      <c r="B2030" s="1">
        <v>44422</v>
      </c>
      <c r="C2030" t="s">
        <v>4552</v>
      </c>
      <c r="D2030" t="s">
        <v>859</v>
      </c>
      <c r="E2030">
        <v>32</v>
      </c>
      <c r="F2030" t="str">
        <f>IF(Table1[[#This Row],[age]]&lt;=25,"18-25",IF(Table1[[#This Row],[age]]&lt;=35,"26-35",IF(Table1[[#This Row],[age]]&lt;=50,"36-50","51+")))</f>
        <v>26-35</v>
      </c>
      <c r="G2030" t="s">
        <v>34</v>
      </c>
      <c r="H2030" t="s">
        <v>61</v>
      </c>
      <c r="I2030" t="s">
        <v>62</v>
      </c>
      <c r="J2030" t="s">
        <v>115</v>
      </c>
      <c r="K2030" t="s">
        <v>116</v>
      </c>
      <c r="L2030">
        <v>5</v>
      </c>
      <c r="M2030">
        <v>69893.850000000006</v>
      </c>
      <c r="N2030">
        <v>0.26</v>
      </c>
      <c r="O2030">
        <v>364875.53</v>
      </c>
      <c r="P2030">
        <v>30513.58</v>
      </c>
      <c r="Q2030">
        <v>59.78</v>
      </c>
      <c r="R2030" t="s">
        <v>49</v>
      </c>
      <c r="S2030">
        <v>1</v>
      </c>
      <c r="T2030" t="b">
        <v>0</v>
      </c>
      <c r="U2030" t="s">
        <v>93</v>
      </c>
      <c r="V2030">
        <v>7</v>
      </c>
    </row>
    <row r="2031" spans="1:22" x14ac:dyDescent="0.25">
      <c r="A2031" t="s">
        <v>4553</v>
      </c>
      <c r="B2031" s="1">
        <v>45532</v>
      </c>
      <c r="C2031" t="s">
        <v>4554</v>
      </c>
      <c r="D2031" t="s">
        <v>1178</v>
      </c>
      <c r="E2031">
        <v>43</v>
      </c>
      <c r="F2031" t="str">
        <f>IF(Table1[[#This Row],[age]]&lt;=25,"18-25",IF(Table1[[#This Row],[age]]&lt;=35,"26-35",IF(Table1[[#This Row],[age]]&lt;=50,"36-50","51+")))</f>
        <v>36-50</v>
      </c>
      <c r="G2031" t="s">
        <v>34</v>
      </c>
      <c r="H2031" t="s">
        <v>61</v>
      </c>
      <c r="I2031" t="s">
        <v>91</v>
      </c>
      <c r="J2031" t="s">
        <v>106</v>
      </c>
      <c r="K2031" t="s">
        <v>718</v>
      </c>
      <c r="L2031">
        <v>6</v>
      </c>
      <c r="M2031">
        <v>294</v>
      </c>
      <c r="N2031">
        <v>0.01</v>
      </c>
      <c r="O2031">
        <v>2476.75</v>
      </c>
      <c r="P2031">
        <v>189.51</v>
      </c>
      <c r="Q2031">
        <v>46.01</v>
      </c>
      <c r="R2031" t="s">
        <v>57</v>
      </c>
      <c r="S2031">
        <v>3</v>
      </c>
      <c r="T2031" t="b">
        <v>0</v>
      </c>
      <c r="U2031" t="s">
        <v>30</v>
      </c>
      <c r="V2031">
        <v>10</v>
      </c>
    </row>
    <row r="2032" spans="1:22" x14ac:dyDescent="0.25">
      <c r="A2032" t="s">
        <v>4555</v>
      </c>
      <c r="B2032" s="1">
        <v>44697</v>
      </c>
      <c r="C2032" t="s">
        <v>4556</v>
      </c>
      <c r="D2032" t="s">
        <v>1327</v>
      </c>
      <c r="E2032">
        <v>48</v>
      </c>
      <c r="F2032" t="str">
        <f>IF(Table1[[#This Row],[age]]&lt;=25,"18-25",IF(Table1[[#This Row],[age]]&lt;=35,"26-35",IF(Table1[[#This Row],[age]]&lt;=50,"36-50","51+")))</f>
        <v>36-50</v>
      </c>
      <c r="G2032" t="s">
        <v>54</v>
      </c>
      <c r="H2032" t="s">
        <v>80</v>
      </c>
      <c r="I2032" t="s">
        <v>236</v>
      </c>
      <c r="J2032" t="s">
        <v>27</v>
      </c>
      <c r="K2032" t="s">
        <v>480</v>
      </c>
      <c r="L2032">
        <v>1</v>
      </c>
      <c r="M2032">
        <v>2120.9299999999998</v>
      </c>
      <c r="N2032">
        <v>0.22</v>
      </c>
      <c r="O2032">
        <v>2475.08</v>
      </c>
      <c r="P2032">
        <v>882.31</v>
      </c>
      <c r="Q2032">
        <v>64.27</v>
      </c>
      <c r="R2032" t="s">
        <v>29</v>
      </c>
      <c r="S2032">
        <v>5</v>
      </c>
      <c r="T2032" t="b">
        <v>0</v>
      </c>
      <c r="U2032" t="s">
        <v>30</v>
      </c>
      <c r="V2032">
        <v>5</v>
      </c>
    </row>
    <row r="2033" spans="1:22" x14ac:dyDescent="0.25">
      <c r="A2033" t="s">
        <v>4557</v>
      </c>
      <c r="B2033" s="1">
        <v>44044</v>
      </c>
      <c r="C2033" t="s">
        <v>4558</v>
      </c>
      <c r="D2033" t="s">
        <v>321</v>
      </c>
      <c r="E2033">
        <v>20</v>
      </c>
      <c r="F2033" t="str">
        <f>IF(Table1[[#This Row],[age]]&lt;=25,"18-25",IF(Table1[[#This Row],[age]]&lt;=35,"26-35",IF(Table1[[#This Row],[age]]&lt;=50,"36-50","51+")))</f>
        <v>18-25</v>
      </c>
      <c r="G2033" t="s">
        <v>54</v>
      </c>
      <c r="H2033" t="s">
        <v>55</v>
      </c>
      <c r="I2033" t="s">
        <v>56</v>
      </c>
      <c r="J2033" t="s">
        <v>27</v>
      </c>
      <c r="K2033" t="s">
        <v>480</v>
      </c>
      <c r="L2033">
        <v>7</v>
      </c>
      <c r="M2033">
        <v>1269.1099999999999</v>
      </c>
      <c r="N2033">
        <v>0.2</v>
      </c>
      <c r="O2033">
        <v>8655.36</v>
      </c>
      <c r="P2033">
        <v>3040.64</v>
      </c>
      <c r="Q2033">
        <v>22.45</v>
      </c>
      <c r="R2033" t="s">
        <v>92</v>
      </c>
      <c r="S2033">
        <v>3</v>
      </c>
      <c r="T2033" t="b">
        <v>0</v>
      </c>
      <c r="U2033" t="s">
        <v>30</v>
      </c>
      <c r="V2033">
        <v>5</v>
      </c>
    </row>
    <row r="2034" spans="1:22" x14ac:dyDescent="0.25">
      <c r="A2034" t="s">
        <v>4559</v>
      </c>
      <c r="B2034" s="1">
        <v>44958</v>
      </c>
      <c r="C2034" t="s">
        <v>4560</v>
      </c>
      <c r="D2034" t="s">
        <v>392</v>
      </c>
      <c r="E2034">
        <v>47</v>
      </c>
      <c r="F2034" t="str">
        <f>IF(Table1[[#This Row],[age]]&lt;=25,"18-25",IF(Table1[[#This Row],[age]]&lt;=35,"26-35",IF(Table1[[#This Row],[age]]&lt;=50,"36-50","51+")))</f>
        <v>36-50</v>
      </c>
      <c r="G2034" t="s">
        <v>34</v>
      </c>
      <c r="H2034" t="s">
        <v>25</v>
      </c>
      <c r="I2034" t="s">
        <v>26</v>
      </c>
      <c r="J2034" t="s">
        <v>36</v>
      </c>
      <c r="K2034" t="s">
        <v>37</v>
      </c>
      <c r="L2034">
        <v>4</v>
      </c>
      <c r="M2034">
        <v>23419.55</v>
      </c>
      <c r="N2034">
        <v>0.31</v>
      </c>
      <c r="O2034">
        <v>74390.92</v>
      </c>
      <c r="P2034">
        <v>24893.16</v>
      </c>
      <c r="Q2034">
        <v>60.16</v>
      </c>
      <c r="R2034" t="s">
        <v>49</v>
      </c>
      <c r="S2034">
        <v>3</v>
      </c>
      <c r="T2034" t="b">
        <v>0</v>
      </c>
      <c r="U2034" t="s">
        <v>93</v>
      </c>
      <c r="V2034">
        <v>10</v>
      </c>
    </row>
    <row r="2035" spans="1:22" x14ac:dyDescent="0.25">
      <c r="A2035" t="s">
        <v>4561</v>
      </c>
      <c r="B2035" s="1">
        <v>45295</v>
      </c>
      <c r="C2035" t="s">
        <v>4562</v>
      </c>
      <c r="D2035" t="s">
        <v>849</v>
      </c>
      <c r="E2035">
        <v>63</v>
      </c>
      <c r="F2035" t="str">
        <f>IF(Table1[[#This Row],[age]]&lt;=25,"18-25",IF(Table1[[#This Row],[age]]&lt;=35,"26-35",IF(Table1[[#This Row],[age]]&lt;=50,"36-50","51+")))</f>
        <v>51+</v>
      </c>
      <c r="G2035" t="s">
        <v>54</v>
      </c>
      <c r="H2035" t="s">
        <v>55</v>
      </c>
      <c r="I2035" t="s">
        <v>97</v>
      </c>
      <c r="J2035" t="s">
        <v>27</v>
      </c>
      <c r="K2035" t="s">
        <v>28</v>
      </c>
      <c r="L2035">
        <v>4</v>
      </c>
      <c r="M2035">
        <v>2223.64</v>
      </c>
      <c r="N2035">
        <v>0.15</v>
      </c>
      <c r="O2035">
        <v>6525.42</v>
      </c>
      <c r="P2035">
        <v>3524.54</v>
      </c>
      <c r="Q2035">
        <v>33.24</v>
      </c>
      <c r="R2035" t="s">
        <v>43</v>
      </c>
      <c r="S2035">
        <v>2</v>
      </c>
      <c r="T2035" t="b">
        <v>0</v>
      </c>
      <c r="U2035" t="s">
        <v>30</v>
      </c>
      <c r="V2035">
        <v>9</v>
      </c>
    </row>
    <row r="2036" spans="1:22" x14ac:dyDescent="0.25">
      <c r="A2036" t="s">
        <v>4563</v>
      </c>
      <c r="B2036" s="1">
        <v>44823</v>
      </c>
      <c r="C2036" t="s">
        <v>4564</v>
      </c>
      <c r="D2036" t="s">
        <v>3701</v>
      </c>
      <c r="E2036">
        <v>44</v>
      </c>
      <c r="F2036" t="str">
        <f>IF(Table1[[#This Row],[age]]&lt;=25,"18-25",IF(Table1[[#This Row],[age]]&lt;=35,"26-35",IF(Table1[[#This Row],[age]]&lt;=50,"36-50","51+")))</f>
        <v>36-50</v>
      </c>
      <c r="G2036" t="s">
        <v>24</v>
      </c>
      <c r="H2036" t="s">
        <v>80</v>
      </c>
      <c r="I2036" t="s">
        <v>86</v>
      </c>
      <c r="J2036" t="s">
        <v>63</v>
      </c>
      <c r="K2036" t="s">
        <v>82</v>
      </c>
      <c r="L2036">
        <v>8</v>
      </c>
      <c r="M2036">
        <v>598.22</v>
      </c>
      <c r="N2036">
        <v>0.37</v>
      </c>
      <c r="O2036">
        <v>3507.68</v>
      </c>
      <c r="P2036">
        <v>1290.6400000000001</v>
      </c>
      <c r="Q2036">
        <v>67.180000000000007</v>
      </c>
      <c r="R2036" t="s">
        <v>65</v>
      </c>
      <c r="S2036">
        <v>5</v>
      </c>
      <c r="T2036" t="b">
        <v>0</v>
      </c>
      <c r="U2036" t="s">
        <v>30</v>
      </c>
      <c r="V2036">
        <v>7</v>
      </c>
    </row>
    <row r="2037" spans="1:22" x14ac:dyDescent="0.25">
      <c r="A2037" t="s">
        <v>4565</v>
      </c>
      <c r="B2037" s="1">
        <v>44236</v>
      </c>
      <c r="C2037" t="s">
        <v>4566</v>
      </c>
      <c r="D2037" t="s">
        <v>871</v>
      </c>
      <c r="E2037">
        <v>46</v>
      </c>
      <c r="F2037" t="str">
        <f>IF(Table1[[#This Row],[age]]&lt;=25,"18-25",IF(Table1[[#This Row],[age]]&lt;=35,"26-35",IF(Table1[[#This Row],[age]]&lt;=50,"36-50","51+")))</f>
        <v>36-50</v>
      </c>
      <c r="G2037" t="s">
        <v>54</v>
      </c>
      <c r="H2037" t="s">
        <v>25</v>
      </c>
      <c r="I2037" t="s">
        <v>26</v>
      </c>
      <c r="J2037" t="s">
        <v>106</v>
      </c>
      <c r="K2037" t="s">
        <v>331</v>
      </c>
      <c r="L2037">
        <v>6</v>
      </c>
      <c r="M2037">
        <v>442.45</v>
      </c>
      <c r="N2037">
        <v>0.28000000000000003</v>
      </c>
      <c r="O2037">
        <v>1791.03</v>
      </c>
      <c r="P2037">
        <v>144.22</v>
      </c>
      <c r="Q2037">
        <v>60.22</v>
      </c>
      <c r="R2037" t="s">
        <v>43</v>
      </c>
      <c r="S2037">
        <v>2</v>
      </c>
      <c r="T2037" t="b">
        <v>0</v>
      </c>
      <c r="U2037" t="s">
        <v>71</v>
      </c>
      <c r="V2037">
        <v>1</v>
      </c>
    </row>
    <row r="2038" spans="1:22" x14ac:dyDescent="0.25">
      <c r="A2038" t="s">
        <v>4567</v>
      </c>
      <c r="B2038" s="1">
        <v>45149</v>
      </c>
      <c r="C2038" t="s">
        <v>4568</v>
      </c>
      <c r="D2038" t="s">
        <v>1030</v>
      </c>
      <c r="E2038">
        <v>34</v>
      </c>
      <c r="F2038" t="str">
        <f>IF(Table1[[#This Row],[age]]&lt;=25,"18-25",IF(Table1[[#This Row],[age]]&lt;=35,"26-35",IF(Table1[[#This Row],[age]]&lt;=50,"36-50","51+")))</f>
        <v>26-35</v>
      </c>
      <c r="G2038" t="s">
        <v>34</v>
      </c>
      <c r="H2038" t="s">
        <v>61</v>
      </c>
      <c r="I2038" t="s">
        <v>141</v>
      </c>
      <c r="J2038" t="s">
        <v>101</v>
      </c>
      <c r="K2038" t="s">
        <v>164</v>
      </c>
      <c r="L2038">
        <v>10</v>
      </c>
      <c r="M2038">
        <v>12222.2</v>
      </c>
      <c r="N2038">
        <v>0.28000000000000003</v>
      </c>
      <c r="O2038">
        <v>131369.75</v>
      </c>
      <c r="P2038">
        <v>28537.32</v>
      </c>
      <c r="Q2038">
        <v>26.86</v>
      </c>
      <c r="R2038" t="s">
        <v>29</v>
      </c>
      <c r="S2038">
        <v>5</v>
      </c>
      <c r="T2038" t="b">
        <v>0</v>
      </c>
      <c r="U2038" t="s">
        <v>30</v>
      </c>
      <c r="V2038">
        <v>8</v>
      </c>
    </row>
    <row r="2039" spans="1:22" x14ac:dyDescent="0.25">
      <c r="A2039" t="s">
        <v>4569</v>
      </c>
      <c r="B2039" s="1">
        <v>45128</v>
      </c>
      <c r="C2039" t="s">
        <v>4570</v>
      </c>
      <c r="D2039" t="s">
        <v>1051</v>
      </c>
      <c r="E2039">
        <v>38</v>
      </c>
      <c r="F2039" t="str">
        <f>IF(Table1[[#This Row],[age]]&lt;=25,"18-25",IF(Table1[[#This Row],[age]]&lt;=35,"26-35",IF(Table1[[#This Row],[age]]&lt;=50,"36-50","51+")))</f>
        <v>36-50</v>
      </c>
      <c r="G2039" t="s">
        <v>54</v>
      </c>
      <c r="H2039" t="s">
        <v>61</v>
      </c>
      <c r="I2039" t="s">
        <v>91</v>
      </c>
      <c r="J2039" t="s">
        <v>101</v>
      </c>
      <c r="K2039" t="s">
        <v>214</v>
      </c>
      <c r="L2039">
        <v>7</v>
      </c>
      <c r="M2039">
        <v>14576.84</v>
      </c>
      <c r="N2039">
        <v>0.04</v>
      </c>
      <c r="O2039">
        <v>162740.76</v>
      </c>
      <c r="P2039">
        <v>34015.33</v>
      </c>
      <c r="Q2039">
        <v>54.66</v>
      </c>
      <c r="R2039" t="s">
        <v>57</v>
      </c>
      <c r="S2039">
        <v>3</v>
      </c>
      <c r="T2039" t="b">
        <v>0</v>
      </c>
      <c r="U2039" t="s">
        <v>93</v>
      </c>
      <c r="V2039">
        <v>4</v>
      </c>
    </row>
    <row r="2040" spans="1:22" x14ac:dyDescent="0.25">
      <c r="A2040" t="s">
        <v>4571</v>
      </c>
      <c r="B2040" s="1">
        <v>44211</v>
      </c>
      <c r="C2040" t="s">
        <v>4572</v>
      </c>
      <c r="D2040" t="s">
        <v>268</v>
      </c>
      <c r="E2040">
        <v>43</v>
      </c>
      <c r="F2040" t="str">
        <f>IF(Table1[[#This Row],[age]]&lt;=25,"18-25",IF(Table1[[#This Row],[age]]&lt;=35,"26-35",IF(Table1[[#This Row],[age]]&lt;=50,"36-50","51+")))</f>
        <v>36-50</v>
      </c>
      <c r="G2040" t="s">
        <v>24</v>
      </c>
      <c r="H2040" t="s">
        <v>80</v>
      </c>
      <c r="I2040" t="s">
        <v>81</v>
      </c>
      <c r="J2040" t="s">
        <v>36</v>
      </c>
      <c r="K2040" t="s">
        <v>37</v>
      </c>
      <c r="L2040">
        <v>10</v>
      </c>
      <c r="M2040">
        <v>15368.38</v>
      </c>
      <c r="N2040">
        <v>0.3</v>
      </c>
      <c r="O2040">
        <v>93128.19</v>
      </c>
      <c r="P2040">
        <v>25001.119999999999</v>
      </c>
      <c r="Q2040">
        <v>71.290000000000006</v>
      </c>
      <c r="R2040" t="s">
        <v>65</v>
      </c>
      <c r="S2040">
        <v>2</v>
      </c>
      <c r="T2040" t="b">
        <v>0</v>
      </c>
      <c r="U2040" t="s">
        <v>30</v>
      </c>
      <c r="V2040">
        <v>6</v>
      </c>
    </row>
    <row r="2041" spans="1:22" x14ac:dyDescent="0.25">
      <c r="A2041" t="s">
        <v>4573</v>
      </c>
      <c r="B2041" s="1">
        <v>44786</v>
      </c>
      <c r="C2041" t="s">
        <v>4574</v>
      </c>
      <c r="D2041" t="s">
        <v>654</v>
      </c>
      <c r="E2041">
        <v>50</v>
      </c>
      <c r="F2041" t="str">
        <f>IF(Table1[[#This Row],[age]]&lt;=25,"18-25",IF(Table1[[#This Row],[age]]&lt;=35,"26-35",IF(Table1[[#This Row],[age]]&lt;=50,"36-50","51+")))</f>
        <v>36-50</v>
      </c>
      <c r="G2041" t="s">
        <v>24</v>
      </c>
      <c r="H2041" t="s">
        <v>61</v>
      </c>
      <c r="I2041" t="s">
        <v>163</v>
      </c>
      <c r="J2041" t="s">
        <v>115</v>
      </c>
      <c r="K2041" t="s">
        <v>116</v>
      </c>
      <c r="L2041">
        <v>6</v>
      </c>
      <c r="M2041">
        <v>6117.71</v>
      </c>
      <c r="N2041">
        <v>0.16</v>
      </c>
      <c r="O2041">
        <v>40557.08</v>
      </c>
      <c r="P2041">
        <v>4428.08</v>
      </c>
      <c r="Q2041">
        <v>28.16</v>
      </c>
      <c r="R2041" t="s">
        <v>29</v>
      </c>
      <c r="S2041">
        <v>3</v>
      </c>
      <c r="T2041" t="b">
        <v>0</v>
      </c>
      <c r="U2041" t="s">
        <v>93</v>
      </c>
      <c r="V2041">
        <v>4</v>
      </c>
    </row>
    <row r="2042" spans="1:22" x14ac:dyDescent="0.25">
      <c r="A2042" t="s">
        <v>4575</v>
      </c>
      <c r="B2042" s="1">
        <v>45513</v>
      </c>
      <c r="C2042" t="s">
        <v>4576</v>
      </c>
      <c r="D2042" t="s">
        <v>361</v>
      </c>
      <c r="E2042">
        <v>36</v>
      </c>
      <c r="F2042" t="str">
        <f>IF(Table1[[#This Row],[age]]&lt;=25,"18-25",IF(Table1[[#This Row],[age]]&lt;=35,"26-35",IF(Table1[[#This Row],[age]]&lt;=50,"36-50","51+")))</f>
        <v>36-50</v>
      </c>
      <c r="G2042" t="s">
        <v>34</v>
      </c>
      <c r="H2042" t="s">
        <v>55</v>
      </c>
      <c r="I2042" t="s">
        <v>114</v>
      </c>
      <c r="J2042" t="s">
        <v>106</v>
      </c>
      <c r="K2042" t="s">
        <v>331</v>
      </c>
      <c r="L2042">
        <v>2</v>
      </c>
      <c r="M2042">
        <v>66.77</v>
      </c>
      <c r="N2042">
        <v>0.01</v>
      </c>
      <c r="O2042">
        <v>216.47</v>
      </c>
      <c r="P2042">
        <v>11.57</v>
      </c>
      <c r="Q2042">
        <v>50.95</v>
      </c>
      <c r="R2042" t="s">
        <v>49</v>
      </c>
      <c r="S2042">
        <v>3</v>
      </c>
      <c r="T2042" t="b">
        <v>0</v>
      </c>
      <c r="U2042" t="s">
        <v>30</v>
      </c>
      <c r="V2042">
        <v>8</v>
      </c>
    </row>
    <row r="2043" spans="1:22" x14ac:dyDescent="0.25">
      <c r="A2043" t="s">
        <v>4577</v>
      </c>
      <c r="B2043" s="1">
        <v>43973</v>
      </c>
      <c r="C2043" t="s">
        <v>4578</v>
      </c>
      <c r="D2043" t="s">
        <v>1478</v>
      </c>
      <c r="E2043">
        <v>33</v>
      </c>
      <c r="F2043" t="str">
        <f>IF(Table1[[#This Row],[age]]&lt;=25,"18-25",IF(Table1[[#This Row],[age]]&lt;=35,"26-35",IF(Table1[[#This Row],[age]]&lt;=50,"36-50","51+")))</f>
        <v>26-35</v>
      </c>
      <c r="G2043" t="s">
        <v>34</v>
      </c>
      <c r="H2043" t="s">
        <v>61</v>
      </c>
      <c r="I2043" t="s">
        <v>62</v>
      </c>
      <c r="J2043" t="s">
        <v>115</v>
      </c>
      <c r="K2043" t="s">
        <v>398</v>
      </c>
      <c r="L2043">
        <v>9</v>
      </c>
      <c r="M2043">
        <v>45918.69</v>
      </c>
      <c r="N2043">
        <v>0.28999999999999998</v>
      </c>
      <c r="O2043">
        <v>357689.69</v>
      </c>
      <c r="P2043">
        <v>29447.82</v>
      </c>
      <c r="Q2043">
        <v>48.88</v>
      </c>
      <c r="R2043" t="s">
        <v>92</v>
      </c>
      <c r="S2043">
        <v>4</v>
      </c>
      <c r="T2043" t="b">
        <v>0</v>
      </c>
      <c r="U2043" t="s">
        <v>30</v>
      </c>
      <c r="V2043">
        <v>6</v>
      </c>
    </row>
    <row r="2044" spans="1:22" x14ac:dyDescent="0.25">
      <c r="A2044" t="s">
        <v>4579</v>
      </c>
      <c r="B2044" s="1">
        <v>44819</v>
      </c>
      <c r="C2044" t="s">
        <v>4580</v>
      </c>
      <c r="D2044" t="s">
        <v>2317</v>
      </c>
      <c r="E2044">
        <v>36</v>
      </c>
      <c r="F2044" t="str">
        <f>IF(Table1[[#This Row],[age]]&lt;=25,"18-25",IF(Table1[[#This Row],[age]]&lt;=35,"26-35",IF(Table1[[#This Row],[age]]&lt;=50,"36-50","51+")))</f>
        <v>36-50</v>
      </c>
      <c r="G2044" t="s">
        <v>54</v>
      </c>
      <c r="H2044" t="s">
        <v>55</v>
      </c>
      <c r="I2044" t="s">
        <v>97</v>
      </c>
      <c r="J2044" t="s">
        <v>47</v>
      </c>
      <c r="K2044" t="s">
        <v>272</v>
      </c>
      <c r="L2044">
        <v>9</v>
      </c>
      <c r="M2044">
        <v>1131.92</v>
      </c>
      <c r="N2044">
        <v>0.12</v>
      </c>
      <c r="O2044">
        <v>10966.62</v>
      </c>
      <c r="P2044">
        <v>3680.22</v>
      </c>
      <c r="Q2044">
        <v>39.840000000000003</v>
      </c>
      <c r="R2044" t="s">
        <v>43</v>
      </c>
      <c r="S2044">
        <v>3</v>
      </c>
      <c r="T2044" t="b">
        <v>0</v>
      </c>
      <c r="U2044" t="s">
        <v>30</v>
      </c>
      <c r="V2044">
        <v>7</v>
      </c>
    </row>
    <row r="2045" spans="1:22" x14ac:dyDescent="0.25">
      <c r="A2045" t="s">
        <v>4581</v>
      </c>
      <c r="B2045" s="1">
        <v>44653</v>
      </c>
      <c r="C2045" t="s">
        <v>4582</v>
      </c>
      <c r="D2045" t="s">
        <v>1092</v>
      </c>
      <c r="E2045">
        <v>44</v>
      </c>
      <c r="F2045" t="str">
        <f>IF(Table1[[#This Row],[age]]&lt;=25,"18-25",IF(Table1[[#This Row],[age]]&lt;=35,"26-35",IF(Table1[[#This Row],[age]]&lt;=50,"36-50","51+")))</f>
        <v>36-50</v>
      </c>
      <c r="G2045" t="s">
        <v>54</v>
      </c>
      <c r="H2045" t="s">
        <v>61</v>
      </c>
      <c r="I2045" t="s">
        <v>141</v>
      </c>
      <c r="J2045" t="s">
        <v>115</v>
      </c>
      <c r="K2045" t="s">
        <v>116</v>
      </c>
      <c r="L2045">
        <v>6</v>
      </c>
      <c r="M2045">
        <v>8309.27</v>
      </c>
      <c r="N2045">
        <v>0.28000000000000003</v>
      </c>
      <c r="O2045">
        <v>51030.14</v>
      </c>
      <c r="P2045">
        <v>6755.64</v>
      </c>
      <c r="Q2045">
        <v>53.74</v>
      </c>
      <c r="R2045" t="s">
        <v>29</v>
      </c>
      <c r="S2045">
        <v>5</v>
      </c>
      <c r="T2045" t="b">
        <v>0</v>
      </c>
      <c r="U2045" t="s">
        <v>30</v>
      </c>
      <c r="V2045">
        <v>8</v>
      </c>
    </row>
    <row r="2046" spans="1:22" x14ac:dyDescent="0.25">
      <c r="A2046" t="s">
        <v>4583</v>
      </c>
      <c r="B2046" s="1">
        <v>45326</v>
      </c>
      <c r="C2046" t="s">
        <v>4584</v>
      </c>
      <c r="D2046" t="s">
        <v>3692</v>
      </c>
      <c r="E2046">
        <v>53</v>
      </c>
      <c r="F2046" t="str">
        <f>IF(Table1[[#This Row],[age]]&lt;=25,"18-25",IF(Table1[[#This Row],[age]]&lt;=35,"26-35",IF(Table1[[#This Row],[age]]&lt;=50,"36-50","51+")))</f>
        <v>51+</v>
      </c>
      <c r="G2046" t="s">
        <v>54</v>
      </c>
      <c r="H2046" t="s">
        <v>61</v>
      </c>
      <c r="I2046" t="s">
        <v>62</v>
      </c>
      <c r="J2046" t="s">
        <v>63</v>
      </c>
      <c r="K2046" t="s">
        <v>434</v>
      </c>
      <c r="L2046">
        <v>9</v>
      </c>
      <c r="M2046">
        <v>1260.1600000000001</v>
      </c>
      <c r="N2046">
        <v>0.28999999999999998</v>
      </c>
      <c r="O2046">
        <v>9260.74</v>
      </c>
      <c r="P2046">
        <v>1885.34</v>
      </c>
      <c r="Q2046">
        <v>43.16</v>
      </c>
      <c r="R2046" t="s">
        <v>29</v>
      </c>
      <c r="S2046">
        <v>3</v>
      </c>
      <c r="T2046" t="b">
        <v>0</v>
      </c>
      <c r="U2046" t="s">
        <v>30</v>
      </c>
      <c r="V2046">
        <v>3</v>
      </c>
    </row>
    <row r="2047" spans="1:22" x14ac:dyDescent="0.25">
      <c r="A2047" t="s">
        <v>4585</v>
      </c>
      <c r="B2047" s="1">
        <v>44340</v>
      </c>
      <c r="C2047" t="s">
        <v>4586</v>
      </c>
      <c r="D2047" t="s">
        <v>2423</v>
      </c>
      <c r="E2047">
        <v>43</v>
      </c>
      <c r="F2047" t="str">
        <f>IF(Table1[[#This Row],[age]]&lt;=25,"18-25",IF(Table1[[#This Row],[age]]&lt;=35,"26-35",IF(Table1[[#This Row],[age]]&lt;=50,"36-50","51+")))</f>
        <v>36-50</v>
      </c>
      <c r="G2047" t="s">
        <v>54</v>
      </c>
      <c r="H2047" t="s">
        <v>61</v>
      </c>
      <c r="I2047" t="s">
        <v>163</v>
      </c>
      <c r="J2047" t="s">
        <v>63</v>
      </c>
      <c r="K2047" t="s">
        <v>152</v>
      </c>
      <c r="L2047">
        <v>7</v>
      </c>
      <c r="M2047">
        <v>2698.4</v>
      </c>
      <c r="N2047">
        <v>0.21</v>
      </c>
      <c r="O2047">
        <v>23690.17</v>
      </c>
      <c r="P2047">
        <v>9129.7000000000007</v>
      </c>
      <c r="Q2047">
        <v>40.03</v>
      </c>
      <c r="R2047" t="s">
        <v>65</v>
      </c>
      <c r="S2047">
        <v>4</v>
      </c>
      <c r="T2047" t="b">
        <v>0</v>
      </c>
      <c r="U2047" t="s">
        <v>30</v>
      </c>
      <c r="V2047">
        <v>4</v>
      </c>
    </row>
    <row r="2048" spans="1:22" x14ac:dyDescent="0.25">
      <c r="A2048" t="s">
        <v>4587</v>
      </c>
      <c r="B2048" s="1">
        <v>44509</v>
      </c>
      <c r="C2048" t="s">
        <v>4588</v>
      </c>
      <c r="D2048" t="s">
        <v>1423</v>
      </c>
      <c r="E2048">
        <v>49</v>
      </c>
      <c r="F2048" t="str">
        <f>IF(Table1[[#This Row],[age]]&lt;=25,"18-25",IF(Table1[[#This Row],[age]]&lt;=35,"26-35",IF(Table1[[#This Row],[age]]&lt;=50,"36-50","51+")))</f>
        <v>36-50</v>
      </c>
      <c r="G2048" t="s">
        <v>24</v>
      </c>
      <c r="H2048" t="s">
        <v>25</v>
      </c>
      <c r="I2048" t="s">
        <v>26</v>
      </c>
      <c r="J2048" t="s">
        <v>27</v>
      </c>
      <c r="K2048" t="s">
        <v>168</v>
      </c>
      <c r="L2048">
        <v>2</v>
      </c>
      <c r="M2048">
        <v>1889.82</v>
      </c>
      <c r="N2048">
        <v>0.31</v>
      </c>
      <c r="O2048">
        <v>2196.85</v>
      </c>
      <c r="P2048">
        <v>602</v>
      </c>
      <c r="Q2048">
        <v>54.82</v>
      </c>
      <c r="R2048" t="s">
        <v>43</v>
      </c>
      <c r="S2048">
        <v>5</v>
      </c>
      <c r="T2048" t="b">
        <v>0</v>
      </c>
      <c r="U2048" t="s">
        <v>30</v>
      </c>
      <c r="V2048">
        <v>6</v>
      </c>
    </row>
    <row r="2049" spans="1:22" x14ac:dyDescent="0.25">
      <c r="A2049" t="s">
        <v>4589</v>
      </c>
      <c r="B2049" s="1">
        <v>43962</v>
      </c>
      <c r="C2049" t="s">
        <v>4590</v>
      </c>
      <c r="D2049" t="s">
        <v>1365</v>
      </c>
      <c r="E2049">
        <v>26</v>
      </c>
      <c r="F2049" t="str">
        <f>IF(Table1[[#This Row],[age]]&lt;=25,"18-25",IF(Table1[[#This Row],[age]]&lt;=35,"26-35",IF(Table1[[#This Row],[age]]&lt;=50,"36-50","51+")))</f>
        <v>26-35</v>
      </c>
      <c r="G2049" t="s">
        <v>54</v>
      </c>
      <c r="H2049" t="s">
        <v>55</v>
      </c>
      <c r="I2049" t="s">
        <v>75</v>
      </c>
      <c r="J2049" t="s">
        <v>115</v>
      </c>
      <c r="K2049" t="s">
        <v>137</v>
      </c>
      <c r="L2049">
        <v>8</v>
      </c>
      <c r="M2049">
        <v>40911.480000000003</v>
      </c>
      <c r="N2049">
        <v>0.09</v>
      </c>
      <c r="O2049">
        <v>361315.62</v>
      </c>
      <c r="P2049">
        <v>40799.74</v>
      </c>
      <c r="Q2049">
        <v>67.150000000000006</v>
      </c>
      <c r="R2049" t="s">
        <v>29</v>
      </c>
      <c r="S2049">
        <v>1</v>
      </c>
      <c r="T2049" t="b">
        <v>0</v>
      </c>
      <c r="U2049" t="s">
        <v>30</v>
      </c>
      <c r="V2049">
        <v>4</v>
      </c>
    </row>
    <row r="2050" spans="1:22" x14ac:dyDescent="0.25">
      <c r="A2050" t="s">
        <v>4591</v>
      </c>
      <c r="B2050" s="1">
        <v>44306</v>
      </c>
      <c r="C2050" t="s">
        <v>4592</v>
      </c>
      <c r="D2050" t="s">
        <v>1736</v>
      </c>
      <c r="E2050">
        <v>45</v>
      </c>
      <c r="F2050" t="str">
        <f>IF(Table1[[#This Row],[age]]&lt;=25,"18-25",IF(Table1[[#This Row],[age]]&lt;=35,"26-35",IF(Table1[[#This Row],[age]]&lt;=50,"36-50","51+")))</f>
        <v>36-50</v>
      </c>
      <c r="G2050" t="s">
        <v>34</v>
      </c>
      <c r="H2050" t="s">
        <v>61</v>
      </c>
      <c r="I2050" t="s">
        <v>91</v>
      </c>
      <c r="J2050" t="s">
        <v>101</v>
      </c>
      <c r="K2050" t="s">
        <v>456</v>
      </c>
      <c r="L2050">
        <v>9</v>
      </c>
      <c r="M2050">
        <v>11805.28</v>
      </c>
      <c r="N2050">
        <v>0.27</v>
      </c>
      <c r="O2050">
        <v>86430.39</v>
      </c>
      <c r="P2050">
        <v>29866.83</v>
      </c>
      <c r="Q2050">
        <v>49.92</v>
      </c>
      <c r="R2050" t="s">
        <v>49</v>
      </c>
      <c r="S2050">
        <v>1</v>
      </c>
      <c r="T2050" t="b">
        <v>0</v>
      </c>
      <c r="U2050" t="s">
        <v>30</v>
      </c>
      <c r="V2050">
        <v>8</v>
      </c>
    </row>
    <row r="2051" spans="1:22" x14ac:dyDescent="0.25">
      <c r="A2051" t="s">
        <v>4593</v>
      </c>
      <c r="B2051" s="1">
        <v>44818</v>
      </c>
      <c r="C2051" t="s">
        <v>4594</v>
      </c>
      <c r="D2051" t="s">
        <v>2481</v>
      </c>
      <c r="E2051">
        <v>28</v>
      </c>
      <c r="F2051" t="str">
        <f>IF(Table1[[#This Row],[age]]&lt;=25,"18-25",IF(Table1[[#This Row],[age]]&lt;=35,"26-35",IF(Table1[[#This Row],[age]]&lt;=50,"36-50","51+")))</f>
        <v>26-35</v>
      </c>
      <c r="G2051" t="s">
        <v>24</v>
      </c>
      <c r="H2051" t="s">
        <v>61</v>
      </c>
      <c r="I2051" t="s">
        <v>141</v>
      </c>
      <c r="J2051" t="s">
        <v>27</v>
      </c>
      <c r="K2051" t="s">
        <v>28</v>
      </c>
      <c r="L2051">
        <v>10</v>
      </c>
      <c r="M2051">
        <v>537.83000000000004</v>
      </c>
      <c r="N2051">
        <v>0.23</v>
      </c>
      <c r="O2051">
        <v>4825.68</v>
      </c>
      <c r="P2051">
        <v>2340.29</v>
      </c>
      <c r="Q2051">
        <v>51.8</v>
      </c>
      <c r="R2051" t="s">
        <v>92</v>
      </c>
      <c r="S2051">
        <v>5</v>
      </c>
      <c r="T2051" t="b">
        <v>0</v>
      </c>
      <c r="U2051" t="s">
        <v>30</v>
      </c>
      <c r="V2051">
        <v>10</v>
      </c>
    </row>
    <row r="2052" spans="1:22" x14ac:dyDescent="0.25">
      <c r="A2052" t="s">
        <v>4595</v>
      </c>
      <c r="B2052" s="1">
        <v>45366</v>
      </c>
      <c r="C2052" t="s">
        <v>4596</v>
      </c>
      <c r="D2052" t="s">
        <v>1901</v>
      </c>
      <c r="E2052">
        <v>27</v>
      </c>
      <c r="F2052" t="str">
        <f>IF(Table1[[#This Row],[age]]&lt;=25,"18-25",IF(Table1[[#This Row],[age]]&lt;=35,"26-35",IF(Table1[[#This Row],[age]]&lt;=50,"36-50","51+")))</f>
        <v>26-35</v>
      </c>
      <c r="G2052" t="s">
        <v>34</v>
      </c>
      <c r="H2052" t="s">
        <v>80</v>
      </c>
      <c r="I2052" t="s">
        <v>236</v>
      </c>
      <c r="J2052" t="s">
        <v>27</v>
      </c>
      <c r="K2052" t="s">
        <v>192</v>
      </c>
      <c r="L2052">
        <v>3</v>
      </c>
      <c r="M2052">
        <v>1642.41</v>
      </c>
      <c r="N2052">
        <v>0.08</v>
      </c>
      <c r="O2052">
        <v>5813.31</v>
      </c>
      <c r="P2052">
        <v>2075.4499999999998</v>
      </c>
      <c r="Q2052">
        <v>71.2</v>
      </c>
      <c r="R2052" t="s">
        <v>65</v>
      </c>
      <c r="S2052">
        <v>3</v>
      </c>
      <c r="T2052" t="b">
        <v>1</v>
      </c>
      <c r="U2052" t="s">
        <v>50</v>
      </c>
      <c r="V2052">
        <v>5</v>
      </c>
    </row>
    <row r="2053" spans="1:22" x14ac:dyDescent="0.25">
      <c r="A2053" t="s">
        <v>4597</v>
      </c>
      <c r="B2053" s="1">
        <v>44675</v>
      </c>
      <c r="C2053" t="s">
        <v>4598</v>
      </c>
      <c r="D2053" t="s">
        <v>2423</v>
      </c>
      <c r="E2053">
        <v>37</v>
      </c>
      <c r="F2053" t="str">
        <f>IF(Table1[[#This Row],[age]]&lt;=25,"18-25",IF(Table1[[#This Row],[age]]&lt;=35,"26-35",IF(Table1[[#This Row],[age]]&lt;=50,"36-50","51+")))</f>
        <v>36-50</v>
      </c>
      <c r="G2053" t="s">
        <v>34</v>
      </c>
      <c r="H2053" t="s">
        <v>61</v>
      </c>
      <c r="I2053" t="s">
        <v>62</v>
      </c>
      <c r="J2053" t="s">
        <v>47</v>
      </c>
      <c r="K2053" t="s">
        <v>156</v>
      </c>
      <c r="L2053">
        <v>10</v>
      </c>
      <c r="M2053">
        <v>549.69000000000005</v>
      </c>
      <c r="N2053">
        <v>0.15</v>
      </c>
      <c r="O2053">
        <v>6379.06</v>
      </c>
      <c r="P2053">
        <v>2818.11</v>
      </c>
      <c r="Q2053">
        <v>41.87</v>
      </c>
      <c r="R2053" t="s">
        <v>43</v>
      </c>
      <c r="S2053">
        <v>2</v>
      </c>
      <c r="T2053" t="b">
        <v>1</v>
      </c>
      <c r="U2053" t="s">
        <v>50</v>
      </c>
      <c r="V2053">
        <v>5</v>
      </c>
    </row>
    <row r="2054" spans="1:22" x14ac:dyDescent="0.25">
      <c r="A2054" t="s">
        <v>4599</v>
      </c>
      <c r="B2054" s="1">
        <v>44319</v>
      </c>
      <c r="C2054" t="s">
        <v>4600</v>
      </c>
      <c r="D2054" t="s">
        <v>180</v>
      </c>
      <c r="E2054">
        <v>38</v>
      </c>
      <c r="F2054" t="str">
        <f>IF(Table1[[#This Row],[age]]&lt;=25,"18-25",IF(Table1[[#This Row],[age]]&lt;=35,"26-35",IF(Table1[[#This Row],[age]]&lt;=50,"36-50","51+")))</f>
        <v>36-50</v>
      </c>
      <c r="G2054" t="s">
        <v>54</v>
      </c>
      <c r="H2054" t="s">
        <v>55</v>
      </c>
      <c r="I2054" t="s">
        <v>97</v>
      </c>
      <c r="J2054" t="s">
        <v>27</v>
      </c>
      <c r="K2054" t="s">
        <v>28</v>
      </c>
      <c r="L2054">
        <v>9</v>
      </c>
      <c r="M2054">
        <v>1894.31</v>
      </c>
      <c r="N2054">
        <v>0.16</v>
      </c>
      <c r="O2054">
        <v>22532.03</v>
      </c>
      <c r="P2054">
        <v>10031.98</v>
      </c>
      <c r="Q2054">
        <v>58.22</v>
      </c>
      <c r="R2054" t="s">
        <v>43</v>
      </c>
      <c r="S2054">
        <v>4</v>
      </c>
      <c r="T2054" t="b">
        <v>0</v>
      </c>
      <c r="U2054" t="s">
        <v>193</v>
      </c>
      <c r="V2054">
        <v>4</v>
      </c>
    </row>
    <row r="2055" spans="1:22" x14ac:dyDescent="0.25">
      <c r="A2055" t="s">
        <v>4601</v>
      </c>
      <c r="B2055" s="1">
        <v>44043</v>
      </c>
      <c r="C2055" t="s">
        <v>4602</v>
      </c>
      <c r="D2055" t="s">
        <v>982</v>
      </c>
      <c r="E2055">
        <v>41</v>
      </c>
      <c r="F2055" t="str">
        <f>IF(Table1[[#This Row],[age]]&lt;=25,"18-25",IF(Table1[[#This Row],[age]]&lt;=35,"26-35",IF(Table1[[#This Row],[age]]&lt;=50,"36-50","51+")))</f>
        <v>36-50</v>
      </c>
      <c r="G2055" t="s">
        <v>54</v>
      </c>
      <c r="H2055" t="s">
        <v>25</v>
      </c>
      <c r="I2055" t="s">
        <v>35</v>
      </c>
      <c r="J2055" t="s">
        <v>27</v>
      </c>
      <c r="K2055" t="s">
        <v>28</v>
      </c>
      <c r="L2055">
        <v>1</v>
      </c>
      <c r="M2055">
        <v>765.68</v>
      </c>
      <c r="N2055">
        <v>0.21</v>
      </c>
      <c r="O2055">
        <v>780.12</v>
      </c>
      <c r="P2055">
        <v>338.31</v>
      </c>
      <c r="Q2055">
        <v>66.83</v>
      </c>
      <c r="R2055" t="s">
        <v>49</v>
      </c>
      <c r="S2055">
        <v>4</v>
      </c>
      <c r="T2055" t="b">
        <v>0</v>
      </c>
      <c r="U2055" t="s">
        <v>30</v>
      </c>
      <c r="V2055">
        <v>1</v>
      </c>
    </row>
    <row r="2056" spans="1:22" x14ac:dyDescent="0.25">
      <c r="A2056" t="s">
        <v>4603</v>
      </c>
      <c r="B2056" s="1">
        <v>45513</v>
      </c>
      <c r="C2056" t="s">
        <v>4604</v>
      </c>
      <c r="D2056" t="s">
        <v>2031</v>
      </c>
      <c r="E2056">
        <v>45</v>
      </c>
      <c r="F2056" t="str">
        <f>IF(Table1[[#This Row],[age]]&lt;=25,"18-25",IF(Table1[[#This Row],[age]]&lt;=35,"26-35",IF(Table1[[#This Row],[age]]&lt;=50,"36-50","51+")))</f>
        <v>36-50</v>
      </c>
      <c r="G2056" t="s">
        <v>54</v>
      </c>
      <c r="H2056" t="s">
        <v>55</v>
      </c>
      <c r="I2056" t="s">
        <v>75</v>
      </c>
      <c r="J2056" t="s">
        <v>115</v>
      </c>
      <c r="K2056" t="s">
        <v>398</v>
      </c>
      <c r="L2056">
        <v>9</v>
      </c>
      <c r="M2056">
        <v>15767.46</v>
      </c>
      <c r="N2056">
        <v>0.02</v>
      </c>
      <c r="O2056">
        <v>198910.86</v>
      </c>
      <c r="P2056">
        <v>22958.1</v>
      </c>
      <c r="Q2056">
        <v>44.62</v>
      </c>
      <c r="R2056" t="s">
        <v>57</v>
      </c>
      <c r="S2056">
        <v>3</v>
      </c>
      <c r="T2056" t="b">
        <v>1</v>
      </c>
      <c r="U2056" t="s">
        <v>50</v>
      </c>
      <c r="V2056">
        <v>6</v>
      </c>
    </row>
    <row r="2057" spans="1:22" x14ac:dyDescent="0.25">
      <c r="A2057" t="s">
        <v>4605</v>
      </c>
      <c r="B2057" s="1">
        <v>44432</v>
      </c>
      <c r="C2057" t="s">
        <v>4606</v>
      </c>
      <c r="D2057" t="s">
        <v>711</v>
      </c>
      <c r="E2057">
        <v>32</v>
      </c>
      <c r="F2057" t="str">
        <f>IF(Table1[[#This Row],[age]]&lt;=25,"18-25",IF(Table1[[#This Row],[age]]&lt;=35,"26-35",IF(Table1[[#This Row],[age]]&lt;=50,"36-50","51+")))</f>
        <v>26-35</v>
      </c>
      <c r="G2057" t="s">
        <v>54</v>
      </c>
      <c r="H2057" t="s">
        <v>80</v>
      </c>
      <c r="I2057" t="s">
        <v>242</v>
      </c>
      <c r="J2057" t="s">
        <v>27</v>
      </c>
      <c r="K2057" t="s">
        <v>128</v>
      </c>
      <c r="L2057">
        <v>4</v>
      </c>
      <c r="M2057">
        <v>154.86000000000001</v>
      </c>
      <c r="N2057">
        <v>0.33</v>
      </c>
      <c r="O2057">
        <v>476.99</v>
      </c>
      <c r="P2057">
        <v>235.99</v>
      </c>
      <c r="Q2057">
        <v>64.400000000000006</v>
      </c>
      <c r="R2057" t="s">
        <v>29</v>
      </c>
      <c r="S2057">
        <v>3</v>
      </c>
      <c r="T2057" t="b">
        <v>0</v>
      </c>
      <c r="U2057" t="s">
        <v>30</v>
      </c>
      <c r="V2057">
        <v>100</v>
      </c>
    </row>
    <row r="2058" spans="1:22" x14ac:dyDescent="0.25">
      <c r="A2058" t="s">
        <v>4607</v>
      </c>
      <c r="B2058" s="1">
        <v>44057</v>
      </c>
      <c r="C2058" t="s">
        <v>4608</v>
      </c>
      <c r="D2058" t="s">
        <v>505</v>
      </c>
      <c r="E2058">
        <v>44</v>
      </c>
      <c r="F2058" t="str">
        <f>IF(Table1[[#This Row],[age]]&lt;=25,"18-25",IF(Table1[[#This Row],[age]]&lt;=35,"26-35",IF(Table1[[#This Row],[age]]&lt;=50,"36-50","51+")))</f>
        <v>36-50</v>
      </c>
      <c r="G2058" t="s">
        <v>24</v>
      </c>
      <c r="H2058" t="s">
        <v>61</v>
      </c>
      <c r="I2058" t="s">
        <v>91</v>
      </c>
      <c r="J2058" t="s">
        <v>63</v>
      </c>
      <c r="K2058" t="s">
        <v>434</v>
      </c>
      <c r="L2058">
        <v>8</v>
      </c>
      <c r="M2058">
        <v>310.3</v>
      </c>
      <c r="N2058">
        <v>0.25</v>
      </c>
      <c r="O2058">
        <v>2033.35</v>
      </c>
      <c r="P2058">
        <v>737.69</v>
      </c>
      <c r="Q2058">
        <v>67.739999999999995</v>
      </c>
      <c r="R2058" t="s">
        <v>57</v>
      </c>
      <c r="S2058">
        <v>2</v>
      </c>
      <c r="T2058" t="b">
        <v>0</v>
      </c>
      <c r="U2058" t="s">
        <v>30</v>
      </c>
      <c r="V2058">
        <v>1</v>
      </c>
    </row>
    <row r="2059" spans="1:22" x14ac:dyDescent="0.25">
      <c r="A2059" t="s">
        <v>4609</v>
      </c>
      <c r="B2059" s="1">
        <v>44227</v>
      </c>
      <c r="C2059" t="s">
        <v>4610</v>
      </c>
      <c r="D2059" t="s">
        <v>1433</v>
      </c>
      <c r="E2059">
        <v>56</v>
      </c>
      <c r="F2059" t="str">
        <f>IF(Table1[[#This Row],[age]]&lt;=25,"18-25",IF(Table1[[#This Row],[age]]&lt;=35,"26-35",IF(Table1[[#This Row],[age]]&lt;=50,"36-50","51+")))</f>
        <v>51+</v>
      </c>
      <c r="G2059" t="s">
        <v>34</v>
      </c>
      <c r="H2059" t="s">
        <v>25</v>
      </c>
      <c r="I2059" t="s">
        <v>41</v>
      </c>
      <c r="J2059" t="s">
        <v>63</v>
      </c>
      <c r="K2059" t="s">
        <v>152</v>
      </c>
      <c r="L2059">
        <v>9</v>
      </c>
      <c r="M2059">
        <v>3487.25</v>
      </c>
      <c r="N2059">
        <v>0.28000000000000003</v>
      </c>
      <c r="O2059">
        <v>17823.41</v>
      </c>
      <c r="P2059">
        <v>4665.95</v>
      </c>
      <c r="Q2059">
        <v>82.7</v>
      </c>
      <c r="R2059" t="s">
        <v>49</v>
      </c>
      <c r="S2059">
        <v>3</v>
      </c>
      <c r="T2059" t="b">
        <v>0</v>
      </c>
      <c r="U2059" t="s">
        <v>193</v>
      </c>
      <c r="V2059">
        <v>1</v>
      </c>
    </row>
    <row r="2060" spans="1:22" x14ac:dyDescent="0.25">
      <c r="A2060" t="s">
        <v>4611</v>
      </c>
      <c r="B2060" s="1">
        <v>44898</v>
      </c>
      <c r="C2060" t="s">
        <v>4612</v>
      </c>
      <c r="D2060" t="s">
        <v>127</v>
      </c>
      <c r="E2060">
        <v>53</v>
      </c>
      <c r="F2060" t="str">
        <f>IF(Table1[[#This Row],[age]]&lt;=25,"18-25",IF(Table1[[#This Row],[age]]&lt;=35,"26-35",IF(Table1[[#This Row],[age]]&lt;=50,"36-50","51+")))</f>
        <v>51+</v>
      </c>
      <c r="G2060" t="s">
        <v>34</v>
      </c>
      <c r="H2060" t="s">
        <v>80</v>
      </c>
      <c r="I2060" t="s">
        <v>86</v>
      </c>
      <c r="J2060" t="s">
        <v>36</v>
      </c>
      <c r="K2060" t="s">
        <v>37</v>
      </c>
      <c r="L2060">
        <v>8</v>
      </c>
      <c r="M2060">
        <v>18080.060000000001</v>
      </c>
      <c r="N2060">
        <v>0.05</v>
      </c>
      <c r="O2060">
        <v>115257.52</v>
      </c>
      <c r="P2060">
        <v>35354.74</v>
      </c>
      <c r="Q2060">
        <v>73.790000000000006</v>
      </c>
      <c r="R2060" t="s">
        <v>57</v>
      </c>
      <c r="S2060">
        <v>4</v>
      </c>
      <c r="T2060" t="b">
        <v>0</v>
      </c>
      <c r="U2060" t="s">
        <v>193</v>
      </c>
      <c r="V2060">
        <v>8</v>
      </c>
    </row>
    <row r="2061" spans="1:22" x14ac:dyDescent="0.25">
      <c r="A2061" t="s">
        <v>4613</v>
      </c>
      <c r="B2061" s="1">
        <v>45426</v>
      </c>
      <c r="C2061" t="s">
        <v>4614</v>
      </c>
      <c r="D2061" t="s">
        <v>2008</v>
      </c>
      <c r="E2061">
        <v>31</v>
      </c>
      <c r="F2061" t="str">
        <f>IF(Table1[[#This Row],[age]]&lt;=25,"18-25",IF(Table1[[#This Row],[age]]&lt;=35,"26-35",IF(Table1[[#This Row],[age]]&lt;=50,"36-50","51+")))</f>
        <v>26-35</v>
      </c>
      <c r="G2061" t="s">
        <v>54</v>
      </c>
      <c r="H2061" t="s">
        <v>25</v>
      </c>
      <c r="I2061" t="s">
        <v>35</v>
      </c>
      <c r="J2061" t="s">
        <v>106</v>
      </c>
      <c r="K2061" t="s">
        <v>247</v>
      </c>
      <c r="L2061">
        <v>9</v>
      </c>
      <c r="M2061">
        <v>452.08</v>
      </c>
      <c r="N2061">
        <v>0.37</v>
      </c>
      <c r="O2061">
        <v>4593.7</v>
      </c>
      <c r="P2061">
        <v>347.56</v>
      </c>
      <c r="Q2061">
        <v>25.04</v>
      </c>
      <c r="R2061" t="s">
        <v>43</v>
      </c>
      <c r="S2061">
        <v>3</v>
      </c>
      <c r="T2061" t="b">
        <v>1</v>
      </c>
      <c r="U2061" t="s">
        <v>50</v>
      </c>
      <c r="V2061">
        <v>8</v>
      </c>
    </row>
    <row r="2062" spans="1:22" x14ac:dyDescent="0.25">
      <c r="A2062" t="s">
        <v>4615</v>
      </c>
      <c r="B2062" s="1">
        <v>44463</v>
      </c>
      <c r="C2062" t="s">
        <v>4616</v>
      </c>
      <c r="D2062" t="s">
        <v>346</v>
      </c>
      <c r="E2062">
        <v>22</v>
      </c>
      <c r="F2062" t="str">
        <f>IF(Table1[[#This Row],[age]]&lt;=25,"18-25",IF(Table1[[#This Row],[age]]&lt;=35,"26-35",IF(Table1[[#This Row],[age]]&lt;=50,"36-50","51+")))</f>
        <v>18-25</v>
      </c>
      <c r="G2062" t="s">
        <v>54</v>
      </c>
      <c r="H2062" t="s">
        <v>80</v>
      </c>
      <c r="I2062" t="s">
        <v>81</v>
      </c>
      <c r="J2062" t="s">
        <v>27</v>
      </c>
      <c r="K2062" t="s">
        <v>192</v>
      </c>
      <c r="L2062">
        <v>6</v>
      </c>
      <c r="M2062">
        <v>669.59</v>
      </c>
      <c r="N2062">
        <v>0.13</v>
      </c>
      <c r="O2062">
        <v>3355.53</v>
      </c>
      <c r="P2062">
        <v>1841.16</v>
      </c>
      <c r="Q2062">
        <v>75.650000000000006</v>
      </c>
      <c r="R2062" t="s">
        <v>92</v>
      </c>
      <c r="S2062">
        <v>3</v>
      </c>
      <c r="T2062" t="b">
        <v>0</v>
      </c>
      <c r="U2062" t="s">
        <v>30</v>
      </c>
      <c r="V2062">
        <v>9</v>
      </c>
    </row>
    <row r="2063" spans="1:22" x14ac:dyDescent="0.25">
      <c r="A2063" t="s">
        <v>4617</v>
      </c>
      <c r="B2063" s="1">
        <v>44835</v>
      </c>
      <c r="C2063" t="s">
        <v>4618</v>
      </c>
      <c r="D2063" t="s">
        <v>643</v>
      </c>
      <c r="E2063">
        <v>44</v>
      </c>
      <c r="F2063" t="str">
        <f>IF(Table1[[#This Row],[age]]&lt;=25,"18-25",IF(Table1[[#This Row],[age]]&lt;=35,"26-35",IF(Table1[[#This Row],[age]]&lt;=50,"36-50","51+")))</f>
        <v>36-50</v>
      </c>
      <c r="G2063" t="s">
        <v>24</v>
      </c>
      <c r="H2063" t="s">
        <v>61</v>
      </c>
      <c r="I2063" t="s">
        <v>62</v>
      </c>
      <c r="J2063" t="s">
        <v>36</v>
      </c>
      <c r="K2063" t="s">
        <v>42</v>
      </c>
      <c r="L2063">
        <v>3</v>
      </c>
      <c r="M2063">
        <v>27210.05</v>
      </c>
      <c r="N2063">
        <v>0.19</v>
      </c>
      <c r="O2063">
        <v>62722.39</v>
      </c>
      <c r="P2063">
        <v>17708.259999999998</v>
      </c>
      <c r="Q2063">
        <v>59.37</v>
      </c>
      <c r="R2063" t="s">
        <v>92</v>
      </c>
      <c r="S2063">
        <v>2</v>
      </c>
      <c r="T2063" t="b">
        <v>0</v>
      </c>
      <c r="U2063" t="s">
        <v>30</v>
      </c>
      <c r="V2063">
        <v>3</v>
      </c>
    </row>
    <row r="2064" spans="1:22" x14ac:dyDescent="0.25">
      <c r="A2064" t="s">
        <v>4619</v>
      </c>
      <c r="B2064" s="1">
        <v>44312</v>
      </c>
      <c r="C2064" t="s">
        <v>4620</v>
      </c>
      <c r="D2064" t="s">
        <v>2481</v>
      </c>
      <c r="E2064">
        <v>35</v>
      </c>
      <c r="F2064" t="str">
        <f>IF(Table1[[#This Row],[age]]&lt;=25,"18-25",IF(Table1[[#This Row],[age]]&lt;=35,"26-35",IF(Table1[[#This Row],[age]]&lt;=50,"36-50","51+")))</f>
        <v>26-35</v>
      </c>
      <c r="G2064" t="s">
        <v>54</v>
      </c>
      <c r="H2064" t="s">
        <v>55</v>
      </c>
      <c r="I2064" t="s">
        <v>114</v>
      </c>
      <c r="J2064" t="s">
        <v>27</v>
      </c>
      <c r="K2064" t="s">
        <v>168</v>
      </c>
      <c r="L2064">
        <v>7</v>
      </c>
      <c r="M2064">
        <v>2147.13</v>
      </c>
      <c r="N2064">
        <v>0.14000000000000001</v>
      </c>
      <c r="O2064">
        <v>15222.32</v>
      </c>
      <c r="P2064">
        <v>7449.79</v>
      </c>
      <c r="Q2064">
        <v>44.3</v>
      </c>
      <c r="R2064" t="s">
        <v>43</v>
      </c>
      <c r="S2064">
        <v>1</v>
      </c>
      <c r="T2064" t="b">
        <v>1</v>
      </c>
      <c r="U2064" t="s">
        <v>50</v>
      </c>
      <c r="V2064">
        <v>6</v>
      </c>
    </row>
    <row r="2065" spans="1:22" x14ac:dyDescent="0.25">
      <c r="A2065" t="s">
        <v>4621</v>
      </c>
      <c r="B2065" s="1">
        <v>45361</v>
      </c>
      <c r="C2065" t="s">
        <v>4622</v>
      </c>
      <c r="D2065" t="s">
        <v>3477</v>
      </c>
      <c r="E2065">
        <v>25</v>
      </c>
      <c r="F2065" t="str">
        <f>IF(Table1[[#This Row],[age]]&lt;=25,"18-25",IF(Table1[[#This Row],[age]]&lt;=35,"26-35",IF(Table1[[#This Row],[age]]&lt;=50,"36-50","51+")))</f>
        <v>18-25</v>
      </c>
      <c r="G2065" t="s">
        <v>24</v>
      </c>
      <c r="H2065" t="s">
        <v>69</v>
      </c>
      <c r="I2065" t="s">
        <v>181</v>
      </c>
      <c r="J2065" t="s">
        <v>27</v>
      </c>
      <c r="K2065" t="s">
        <v>192</v>
      </c>
      <c r="L2065">
        <v>8</v>
      </c>
      <c r="M2065">
        <v>2047.88</v>
      </c>
      <c r="N2065">
        <v>0.33</v>
      </c>
      <c r="O2065">
        <v>14345.76</v>
      </c>
      <c r="P2065">
        <v>7218</v>
      </c>
      <c r="Q2065">
        <v>91.61</v>
      </c>
      <c r="R2065" t="s">
        <v>65</v>
      </c>
      <c r="S2065">
        <v>4</v>
      </c>
      <c r="T2065" t="b">
        <v>0</v>
      </c>
      <c r="U2065" t="s">
        <v>30</v>
      </c>
      <c r="V2065">
        <v>7</v>
      </c>
    </row>
    <row r="2066" spans="1:22" x14ac:dyDescent="0.25">
      <c r="A2066" t="s">
        <v>4623</v>
      </c>
      <c r="B2066" s="1">
        <v>44343</v>
      </c>
      <c r="C2066" t="s">
        <v>4624</v>
      </c>
      <c r="D2066" t="s">
        <v>1370</v>
      </c>
      <c r="E2066">
        <v>46</v>
      </c>
      <c r="F2066" t="str">
        <f>IF(Table1[[#This Row],[age]]&lt;=25,"18-25",IF(Table1[[#This Row],[age]]&lt;=35,"26-35",IF(Table1[[#This Row],[age]]&lt;=50,"36-50","51+")))</f>
        <v>36-50</v>
      </c>
      <c r="G2066" t="s">
        <v>54</v>
      </c>
      <c r="H2066" t="s">
        <v>25</v>
      </c>
      <c r="I2066" t="s">
        <v>298</v>
      </c>
      <c r="J2066" t="s">
        <v>63</v>
      </c>
      <c r="K2066" t="s">
        <v>111</v>
      </c>
      <c r="L2066">
        <v>1</v>
      </c>
      <c r="M2066">
        <v>1888.98</v>
      </c>
      <c r="N2066">
        <v>0.35</v>
      </c>
      <c r="O2066">
        <v>2013.48</v>
      </c>
      <c r="P2066">
        <v>657.59</v>
      </c>
      <c r="Q2066">
        <v>53.7</v>
      </c>
      <c r="R2066" t="s">
        <v>57</v>
      </c>
      <c r="S2066">
        <v>2</v>
      </c>
      <c r="T2066" t="b">
        <v>0</v>
      </c>
      <c r="U2066" t="s">
        <v>30</v>
      </c>
      <c r="V2066">
        <v>7</v>
      </c>
    </row>
    <row r="2067" spans="1:22" x14ac:dyDescent="0.25">
      <c r="A2067" t="s">
        <v>4625</v>
      </c>
      <c r="B2067" s="1">
        <v>44195</v>
      </c>
      <c r="C2067" t="s">
        <v>4626</v>
      </c>
      <c r="D2067" t="s">
        <v>1677</v>
      </c>
      <c r="E2067">
        <v>23</v>
      </c>
      <c r="F2067" t="str">
        <f>IF(Table1[[#This Row],[age]]&lt;=25,"18-25",IF(Table1[[#This Row],[age]]&lt;=35,"26-35",IF(Table1[[#This Row],[age]]&lt;=50,"36-50","51+")))</f>
        <v>18-25</v>
      </c>
      <c r="G2067" t="s">
        <v>54</v>
      </c>
      <c r="H2067" t="s">
        <v>55</v>
      </c>
      <c r="I2067" t="s">
        <v>97</v>
      </c>
      <c r="J2067" t="s">
        <v>101</v>
      </c>
      <c r="K2067" t="s">
        <v>124</v>
      </c>
      <c r="L2067">
        <v>3</v>
      </c>
      <c r="M2067">
        <v>642.91</v>
      </c>
      <c r="N2067">
        <v>0.33</v>
      </c>
      <c r="O2067">
        <v>879.77</v>
      </c>
      <c r="P2067">
        <v>176.34</v>
      </c>
      <c r="Q2067">
        <v>61.52</v>
      </c>
      <c r="R2067" t="s">
        <v>29</v>
      </c>
      <c r="S2067">
        <v>2</v>
      </c>
      <c r="T2067" t="b">
        <v>1</v>
      </c>
      <c r="U2067" t="s">
        <v>50</v>
      </c>
      <c r="V2067">
        <v>6</v>
      </c>
    </row>
    <row r="2068" spans="1:22" x14ac:dyDescent="0.25">
      <c r="A2068" t="s">
        <v>4627</v>
      </c>
      <c r="B2068" s="1">
        <v>44785</v>
      </c>
      <c r="C2068" t="s">
        <v>4628</v>
      </c>
      <c r="D2068" t="s">
        <v>1578</v>
      </c>
      <c r="E2068">
        <v>64</v>
      </c>
      <c r="F2068" t="str">
        <f>IF(Table1[[#This Row],[age]]&lt;=25,"18-25",IF(Table1[[#This Row],[age]]&lt;=35,"26-35",IF(Table1[[#This Row],[age]]&lt;=50,"36-50","51+")))</f>
        <v>51+</v>
      </c>
      <c r="G2068" t="s">
        <v>54</v>
      </c>
      <c r="H2068" t="s">
        <v>80</v>
      </c>
      <c r="I2068" t="s">
        <v>81</v>
      </c>
      <c r="J2068" t="s">
        <v>47</v>
      </c>
      <c r="K2068" t="s">
        <v>600</v>
      </c>
      <c r="L2068">
        <v>5</v>
      </c>
      <c r="M2068">
        <v>923.72</v>
      </c>
      <c r="N2068">
        <v>0.19</v>
      </c>
      <c r="O2068">
        <v>4931.75</v>
      </c>
      <c r="P2068">
        <v>2749.25</v>
      </c>
      <c r="Q2068">
        <v>63.68</v>
      </c>
      <c r="R2068" t="s">
        <v>92</v>
      </c>
      <c r="S2068">
        <v>2</v>
      </c>
      <c r="T2068" t="b">
        <v>1</v>
      </c>
      <c r="U2068" t="s">
        <v>50</v>
      </c>
      <c r="V2068">
        <v>1</v>
      </c>
    </row>
    <row r="2069" spans="1:22" x14ac:dyDescent="0.25">
      <c r="A2069" t="s">
        <v>4629</v>
      </c>
      <c r="B2069" s="1">
        <v>44635</v>
      </c>
      <c r="C2069" t="s">
        <v>4630</v>
      </c>
      <c r="D2069" t="s">
        <v>674</v>
      </c>
      <c r="E2069">
        <v>44</v>
      </c>
      <c r="F2069" t="str">
        <f>IF(Table1[[#This Row],[age]]&lt;=25,"18-25",IF(Table1[[#This Row],[age]]&lt;=35,"26-35",IF(Table1[[#This Row],[age]]&lt;=50,"36-50","51+")))</f>
        <v>36-50</v>
      </c>
      <c r="G2069" t="s">
        <v>34</v>
      </c>
      <c r="H2069" t="s">
        <v>61</v>
      </c>
      <c r="I2069" t="s">
        <v>141</v>
      </c>
      <c r="J2069" t="s">
        <v>63</v>
      </c>
      <c r="K2069" t="s">
        <v>64</v>
      </c>
      <c r="L2069">
        <v>2</v>
      </c>
      <c r="M2069">
        <v>348.61</v>
      </c>
      <c r="N2069">
        <v>0.37</v>
      </c>
      <c r="O2069">
        <v>468.08</v>
      </c>
      <c r="P2069">
        <v>156.44</v>
      </c>
      <c r="Q2069">
        <v>76.849999999999994</v>
      </c>
      <c r="R2069" t="s">
        <v>43</v>
      </c>
      <c r="S2069">
        <v>3</v>
      </c>
      <c r="T2069" t="b">
        <v>0</v>
      </c>
      <c r="U2069" t="s">
        <v>30</v>
      </c>
      <c r="V2069">
        <v>6</v>
      </c>
    </row>
    <row r="2070" spans="1:22" x14ac:dyDescent="0.25">
      <c r="A2070" t="s">
        <v>4631</v>
      </c>
      <c r="B2070" s="1">
        <v>44057</v>
      </c>
      <c r="C2070" t="s">
        <v>4632</v>
      </c>
      <c r="D2070" t="s">
        <v>210</v>
      </c>
      <c r="E2070">
        <v>39</v>
      </c>
      <c r="F2070" t="str">
        <f>IF(Table1[[#This Row],[age]]&lt;=25,"18-25",IF(Table1[[#This Row],[age]]&lt;=35,"26-35",IF(Table1[[#This Row],[age]]&lt;=50,"36-50","51+")))</f>
        <v>36-50</v>
      </c>
      <c r="G2070" t="s">
        <v>34</v>
      </c>
      <c r="H2070" t="s">
        <v>61</v>
      </c>
      <c r="I2070" t="s">
        <v>62</v>
      </c>
      <c r="J2070" t="s">
        <v>106</v>
      </c>
      <c r="K2070" t="s">
        <v>247</v>
      </c>
      <c r="L2070">
        <v>7</v>
      </c>
      <c r="M2070">
        <v>406.08</v>
      </c>
      <c r="N2070">
        <v>0.37</v>
      </c>
      <c r="O2070">
        <v>2000.38</v>
      </c>
      <c r="P2070">
        <v>109.82</v>
      </c>
      <c r="Q2070">
        <v>1.6</v>
      </c>
      <c r="R2070" t="s">
        <v>57</v>
      </c>
      <c r="S2070">
        <v>5</v>
      </c>
      <c r="T2070" t="b">
        <v>0</v>
      </c>
      <c r="U2070" t="s">
        <v>30</v>
      </c>
      <c r="V2070">
        <v>7</v>
      </c>
    </row>
    <row r="2071" spans="1:22" x14ac:dyDescent="0.25">
      <c r="A2071" t="s">
        <v>4633</v>
      </c>
      <c r="B2071" s="1">
        <v>44896</v>
      </c>
      <c r="C2071" t="s">
        <v>4634</v>
      </c>
      <c r="D2071" t="s">
        <v>3384</v>
      </c>
      <c r="E2071">
        <v>24</v>
      </c>
      <c r="F2071" t="str">
        <f>IF(Table1[[#This Row],[age]]&lt;=25,"18-25",IF(Table1[[#This Row],[age]]&lt;=35,"26-35",IF(Table1[[#This Row],[age]]&lt;=50,"36-50","51+")))</f>
        <v>18-25</v>
      </c>
      <c r="G2071" t="s">
        <v>54</v>
      </c>
      <c r="H2071" t="s">
        <v>69</v>
      </c>
      <c r="I2071" t="s">
        <v>70</v>
      </c>
      <c r="J2071" t="s">
        <v>101</v>
      </c>
      <c r="K2071" t="s">
        <v>456</v>
      </c>
      <c r="L2071">
        <v>3</v>
      </c>
      <c r="M2071">
        <v>8281.49</v>
      </c>
      <c r="N2071">
        <v>0.28000000000000003</v>
      </c>
      <c r="O2071">
        <v>14650.55</v>
      </c>
      <c r="P2071">
        <v>4700.0200000000004</v>
      </c>
      <c r="Q2071">
        <v>73.150000000000006</v>
      </c>
      <c r="R2071" t="s">
        <v>65</v>
      </c>
      <c r="S2071">
        <v>3</v>
      </c>
      <c r="T2071" t="b">
        <v>0</v>
      </c>
      <c r="U2071" t="s">
        <v>30</v>
      </c>
      <c r="V2071">
        <v>2</v>
      </c>
    </row>
    <row r="2072" spans="1:22" x14ac:dyDescent="0.25">
      <c r="A2072" t="s">
        <v>4635</v>
      </c>
      <c r="B2072" s="1">
        <v>45410</v>
      </c>
      <c r="C2072" t="s">
        <v>4636</v>
      </c>
      <c r="D2072" t="s">
        <v>502</v>
      </c>
      <c r="E2072">
        <v>26</v>
      </c>
      <c r="F2072" t="str">
        <f>IF(Table1[[#This Row],[age]]&lt;=25,"18-25",IF(Table1[[#This Row],[age]]&lt;=35,"26-35",IF(Table1[[#This Row],[age]]&lt;=50,"36-50","51+")))</f>
        <v>26-35</v>
      </c>
      <c r="G2072" t="s">
        <v>54</v>
      </c>
      <c r="H2072" t="s">
        <v>69</v>
      </c>
      <c r="I2072" t="s">
        <v>70</v>
      </c>
      <c r="J2072" t="s">
        <v>106</v>
      </c>
      <c r="K2072" t="s">
        <v>331</v>
      </c>
      <c r="L2072">
        <v>2</v>
      </c>
      <c r="M2072">
        <v>180.86</v>
      </c>
      <c r="N2072">
        <v>0.04</v>
      </c>
      <c r="O2072">
        <v>487.22</v>
      </c>
      <c r="P2072">
        <v>40.04</v>
      </c>
      <c r="Q2072">
        <v>88.04</v>
      </c>
      <c r="R2072" t="s">
        <v>57</v>
      </c>
      <c r="S2072">
        <v>4</v>
      </c>
      <c r="T2072" t="b">
        <v>0</v>
      </c>
      <c r="U2072" t="s">
        <v>30</v>
      </c>
      <c r="V2072">
        <v>5</v>
      </c>
    </row>
    <row r="2073" spans="1:22" x14ac:dyDescent="0.25">
      <c r="A2073" t="s">
        <v>4637</v>
      </c>
      <c r="B2073" s="1">
        <v>44164</v>
      </c>
      <c r="C2073" t="s">
        <v>4638</v>
      </c>
      <c r="D2073" t="s">
        <v>702</v>
      </c>
      <c r="E2073">
        <v>40</v>
      </c>
      <c r="F2073" t="str">
        <f>IF(Table1[[#This Row],[age]]&lt;=25,"18-25",IF(Table1[[#This Row],[age]]&lt;=35,"26-35",IF(Table1[[#This Row],[age]]&lt;=50,"36-50","51+")))</f>
        <v>36-50</v>
      </c>
      <c r="G2073" t="s">
        <v>24</v>
      </c>
      <c r="H2073" t="s">
        <v>25</v>
      </c>
      <c r="I2073" t="s">
        <v>41</v>
      </c>
      <c r="J2073" t="s">
        <v>106</v>
      </c>
      <c r="K2073" t="s">
        <v>718</v>
      </c>
      <c r="L2073">
        <v>7</v>
      </c>
      <c r="M2073">
        <v>486.89</v>
      </c>
      <c r="N2073">
        <v>0.23</v>
      </c>
      <c r="O2073">
        <v>1947.86</v>
      </c>
      <c r="P2073">
        <v>122.41</v>
      </c>
      <c r="Q2073">
        <v>56.74</v>
      </c>
      <c r="R2073" t="s">
        <v>29</v>
      </c>
      <c r="S2073">
        <v>5</v>
      </c>
      <c r="T2073" t="b">
        <v>0</v>
      </c>
      <c r="U2073" t="s">
        <v>30</v>
      </c>
      <c r="V2073">
        <v>4</v>
      </c>
    </row>
    <row r="2074" spans="1:22" x14ac:dyDescent="0.25">
      <c r="A2074" t="s">
        <v>4639</v>
      </c>
      <c r="B2074" s="1">
        <v>45456</v>
      </c>
      <c r="C2074" t="s">
        <v>4640</v>
      </c>
      <c r="D2074" t="s">
        <v>1039</v>
      </c>
      <c r="E2074">
        <v>47</v>
      </c>
      <c r="F2074" t="str">
        <f>IF(Table1[[#This Row],[age]]&lt;=25,"18-25",IF(Table1[[#This Row],[age]]&lt;=35,"26-35",IF(Table1[[#This Row],[age]]&lt;=50,"36-50","51+")))</f>
        <v>36-50</v>
      </c>
      <c r="G2074" t="s">
        <v>34</v>
      </c>
      <c r="H2074" t="s">
        <v>80</v>
      </c>
      <c r="I2074" t="s">
        <v>242</v>
      </c>
      <c r="J2074" t="s">
        <v>27</v>
      </c>
      <c r="K2074" t="s">
        <v>168</v>
      </c>
      <c r="L2074">
        <v>4</v>
      </c>
      <c r="M2074">
        <v>1180.8399999999999</v>
      </c>
      <c r="N2074">
        <v>0.39</v>
      </c>
      <c r="O2074">
        <v>5917.92</v>
      </c>
      <c r="P2074">
        <v>3098.15</v>
      </c>
      <c r="Q2074">
        <v>55.9</v>
      </c>
      <c r="R2074" t="s">
        <v>43</v>
      </c>
      <c r="S2074">
        <v>3</v>
      </c>
      <c r="T2074" t="b">
        <v>0</v>
      </c>
      <c r="U2074" t="s">
        <v>30</v>
      </c>
      <c r="V2074">
        <v>6</v>
      </c>
    </row>
    <row r="2075" spans="1:22" x14ac:dyDescent="0.25">
      <c r="A2075" t="s">
        <v>4641</v>
      </c>
      <c r="B2075" s="1">
        <v>44651</v>
      </c>
      <c r="C2075" t="s">
        <v>4642</v>
      </c>
      <c r="D2075" t="s">
        <v>536</v>
      </c>
      <c r="E2075">
        <v>22</v>
      </c>
      <c r="F2075" t="str">
        <f>IF(Table1[[#This Row],[age]]&lt;=25,"18-25",IF(Table1[[#This Row],[age]]&lt;=35,"26-35",IF(Table1[[#This Row],[age]]&lt;=50,"36-50","51+")))</f>
        <v>18-25</v>
      </c>
      <c r="G2075" t="s">
        <v>34</v>
      </c>
      <c r="H2075" t="s">
        <v>69</v>
      </c>
      <c r="I2075" t="s">
        <v>136</v>
      </c>
      <c r="J2075" t="s">
        <v>115</v>
      </c>
      <c r="K2075" t="s">
        <v>116</v>
      </c>
      <c r="L2075">
        <v>9</v>
      </c>
      <c r="M2075">
        <v>51210.29</v>
      </c>
      <c r="N2075">
        <v>0.26</v>
      </c>
      <c r="O2075">
        <v>431521.81</v>
      </c>
      <c r="P2075">
        <v>47793.41</v>
      </c>
      <c r="Q2075">
        <v>80.02</v>
      </c>
      <c r="R2075" t="s">
        <v>43</v>
      </c>
      <c r="S2075">
        <v>3</v>
      </c>
      <c r="T2075" t="b">
        <v>0</v>
      </c>
      <c r="U2075" t="s">
        <v>30</v>
      </c>
      <c r="V2075">
        <v>7</v>
      </c>
    </row>
    <row r="2076" spans="1:22" x14ac:dyDescent="0.25">
      <c r="A2076" t="s">
        <v>4643</v>
      </c>
      <c r="B2076" s="1">
        <v>45496</v>
      </c>
      <c r="C2076" t="s">
        <v>4644</v>
      </c>
      <c r="D2076" t="s">
        <v>646</v>
      </c>
      <c r="E2076">
        <v>37</v>
      </c>
      <c r="F2076" t="str">
        <f>IF(Table1[[#This Row],[age]]&lt;=25,"18-25",IF(Table1[[#This Row],[age]]&lt;=35,"26-35",IF(Table1[[#This Row],[age]]&lt;=50,"36-50","51+")))</f>
        <v>36-50</v>
      </c>
      <c r="G2076" t="s">
        <v>24</v>
      </c>
      <c r="H2076" t="s">
        <v>25</v>
      </c>
      <c r="I2076" t="s">
        <v>41</v>
      </c>
      <c r="J2076" t="s">
        <v>101</v>
      </c>
      <c r="K2076" t="s">
        <v>124</v>
      </c>
      <c r="L2076">
        <v>1</v>
      </c>
      <c r="M2076">
        <v>9065.16</v>
      </c>
      <c r="N2076">
        <v>0.15</v>
      </c>
      <c r="O2076">
        <v>13700.29</v>
      </c>
      <c r="P2076">
        <v>2690</v>
      </c>
      <c r="Q2076">
        <v>73.709999999999994</v>
      </c>
      <c r="R2076" t="s">
        <v>92</v>
      </c>
      <c r="S2076">
        <v>4</v>
      </c>
      <c r="T2076" t="b">
        <v>0</v>
      </c>
      <c r="U2076" t="s">
        <v>30</v>
      </c>
      <c r="V2076">
        <v>4</v>
      </c>
    </row>
    <row r="2077" spans="1:22" x14ac:dyDescent="0.25">
      <c r="A2077" t="s">
        <v>4645</v>
      </c>
      <c r="B2077" s="1">
        <v>44176</v>
      </c>
      <c r="C2077" t="s">
        <v>4646</v>
      </c>
      <c r="D2077" t="s">
        <v>40</v>
      </c>
      <c r="E2077">
        <v>27</v>
      </c>
      <c r="F2077" t="str">
        <f>IF(Table1[[#This Row],[age]]&lt;=25,"18-25",IF(Table1[[#This Row],[age]]&lt;=35,"26-35",IF(Table1[[#This Row],[age]]&lt;=50,"36-50","51+")))</f>
        <v>26-35</v>
      </c>
      <c r="G2077" t="s">
        <v>34</v>
      </c>
      <c r="H2077" t="s">
        <v>80</v>
      </c>
      <c r="I2077" t="s">
        <v>86</v>
      </c>
      <c r="J2077" t="s">
        <v>106</v>
      </c>
      <c r="K2077" t="s">
        <v>331</v>
      </c>
      <c r="L2077">
        <v>10</v>
      </c>
      <c r="M2077">
        <v>315.3</v>
      </c>
      <c r="N2077">
        <v>0.28999999999999998</v>
      </c>
      <c r="O2077">
        <v>1585.06</v>
      </c>
      <c r="P2077">
        <v>111.69</v>
      </c>
      <c r="Q2077">
        <v>63.67</v>
      </c>
      <c r="R2077" t="s">
        <v>29</v>
      </c>
      <c r="S2077">
        <v>2</v>
      </c>
      <c r="T2077" t="b">
        <v>0</v>
      </c>
      <c r="U2077" t="s">
        <v>71</v>
      </c>
      <c r="V2077">
        <v>3</v>
      </c>
    </row>
    <row r="2078" spans="1:22" x14ac:dyDescent="0.25">
      <c r="A2078" t="s">
        <v>4647</v>
      </c>
      <c r="B2078" s="1">
        <v>44556</v>
      </c>
      <c r="C2078" t="s">
        <v>4648</v>
      </c>
      <c r="D2078" t="s">
        <v>284</v>
      </c>
      <c r="E2078">
        <v>44</v>
      </c>
      <c r="F2078" t="str">
        <f>IF(Table1[[#This Row],[age]]&lt;=25,"18-25",IF(Table1[[#This Row],[age]]&lt;=35,"26-35",IF(Table1[[#This Row],[age]]&lt;=50,"36-50","51+")))</f>
        <v>36-50</v>
      </c>
      <c r="G2078" t="s">
        <v>24</v>
      </c>
      <c r="H2078" t="s">
        <v>55</v>
      </c>
      <c r="I2078" t="s">
        <v>75</v>
      </c>
      <c r="J2078" t="s">
        <v>63</v>
      </c>
      <c r="K2078" t="s">
        <v>434</v>
      </c>
      <c r="L2078">
        <v>7</v>
      </c>
      <c r="M2078">
        <v>2270</v>
      </c>
      <c r="N2078">
        <v>0.09</v>
      </c>
      <c r="O2078">
        <v>11066.01</v>
      </c>
      <c r="P2078">
        <v>3221.05</v>
      </c>
      <c r="Q2078">
        <v>55.24</v>
      </c>
      <c r="R2078" t="s">
        <v>49</v>
      </c>
      <c r="S2078">
        <v>5</v>
      </c>
      <c r="T2078" t="b">
        <v>0</v>
      </c>
      <c r="U2078" t="s">
        <v>30</v>
      </c>
      <c r="V2078">
        <v>8</v>
      </c>
    </row>
    <row r="2079" spans="1:22" x14ac:dyDescent="0.25">
      <c r="A2079" t="s">
        <v>4649</v>
      </c>
      <c r="B2079" s="1">
        <v>44103</v>
      </c>
      <c r="C2079" t="s">
        <v>4650</v>
      </c>
      <c r="D2079" t="s">
        <v>777</v>
      </c>
      <c r="E2079">
        <v>54</v>
      </c>
      <c r="F2079" t="str">
        <f>IF(Table1[[#This Row],[age]]&lt;=25,"18-25",IF(Table1[[#This Row],[age]]&lt;=35,"26-35",IF(Table1[[#This Row],[age]]&lt;=50,"36-50","51+")))</f>
        <v>51+</v>
      </c>
      <c r="G2079" t="s">
        <v>24</v>
      </c>
      <c r="H2079" t="s">
        <v>80</v>
      </c>
      <c r="I2079" t="s">
        <v>86</v>
      </c>
      <c r="J2079" t="s">
        <v>36</v>
      </c>
      <c r="K2079" t="s">
        <v>37</v>
      </c>
      <c r="L2079">
        <v>10</v>
      </c>
      <c r="M2079">
        <v>2744.45</v>
      </c>
      <c r="N2079">
        <v>0.38</v>
      </c>
      <c r="O2079">
        <v>17674.13</v>
      </c>
      <c r="P2079">
        <v>7107.97</v>
      </c>
      <c r="Q2079">
        <v>63.51</v>
      </c>
      <c r="R2079" t="s">
        <v>49</v>
      </c>
      <c r="S2079">
        <v>4</v>
      </c>
      <c r="T2079" t="b">
        <v>0</v>
      </c>
      <c r="U2079" t="s">
        <v>30</v>
      </c>
      <c r="V2079">
        <v>1</v>
      </c>
    </row>
    <row r="2080" spans="1:22" x14ac:dyDescent="0.25">
      <c r="A2080" t="s">
        <v>4651</v>
      </c>
      <c r="B2080" s="1">
        <v>45037</v>
      </c>
      <c r="C2080" t="s">
        <v>4652</v>
      </c>
      <c r="D2080" t="s">
        <v>643</v>
      </c>
      <c r="E2080">
        <v>43</v>
      </c>
      <c r="F2080" t="str">
        <f>IF(Table1[[#This Row],[age]]&lt;=25,"18-25",IF(Table1[[#This Row],[age]]&lt;=35,"26-35",IF(Table1[[#This Row],[age]]&lt;=50,"36-50","51+")))</f>
        <v>36-50</v>
      </c>
      <c r="G2080" t="s">
        <v>24</v>
      </c>
      <c r="H2080" t="s">
        <v>61</v>
      </c>
      <c r="I2080" t="s">
        <v>163</v>
      </c>
      <c r="J2080" t="s">
        <v>101</v>
      </c>
      <c r="K2080" t="s">
        <v>456</v>
      </c>
      <c r="L2080">
        <v>1</v>
      </c>
      <c r="M2080">
        <v>3242.71</v>
      </c>
      <c r="N2080">
        <v>0.34</v>
      </c>
      <c r="O2080">
        <v>3023</v>
      </c>
      <c r="P2080">
        <v>605.12</v>
      </c>
      <c r="Q2080">
        <v>37.04</v>
      </c>
      <c r="R2080" t="s">
        <v>49</v>
      </c>
      <c r="S2080">
        <v>3</v>
      </c>
      <c r="T2080" t="b">
        <v>0</v>
      </c>
      <c r="U2080" t="s">
        <v>30</v>
      </c>
      <c r="V2080">
        <v>2</v>
      </c>
    </row>
    <row r="2081" spans="1:22" x14ac:dyDescent="0.25">
      <c r="A2081" t="s">
        <v>4653</v>
      </c>
      <c r="B2081" s="1">
        <v>44777</v>
      </c>
      <c r="C2081" t="s">
        <v>4654</v>
      </c>
      <c r="D2081" t="s">
        <v>449</v>
      </c>
      <c r="E2081">
        <v>20</v>
      </c>
      <c r="F2081" t="str">
        <f>IF(Table1[[#This Row],[age]]&lt;=25,"18-25",IF(Table1[[#This Row],[age]]&lt;=35,"26-35",IF(Table1[[#This Row],[age]]&lt;=50,"36-50","51+")))</f>
        <v>18-25</v>
      </c>
      <c r="G2081" t="s">
        <v>54</v>
      </c>
      <c r="H2081" t="s">
        <v>25</v>
      </c>
      <c r="I2081" t="s">
        <v>35</v>
      </c>
      <c r="J2081" t="s">
        <v>27</v>
      </c>
      <c r="K2081" t="s">
        <v>480</v>
      </c>
      <c r="L2081">
        <v>6</v>
      </c>
      <c r="M2081">
        <v>2223.4</v>
      </c>
      <c r="N2081">
        <v>0.39</v>
      </c>
      <c r="O2081">
        <v>10336.77</v>
      </c>
      <c r="P2081">
        <v>4822.67</v>
      </c>
      <c r="Q2081">
        <v>54.1</v>
      </c>
      <c r="R2081" t="s">
        <v>65</v>
      </c>
      <c r="S2081">
        <v>1</v>
      </c>
      <c r="T2081" t="b">
        <v>0</v>
      </c>
      <c r="U2081" t="s">
        <v>30</v>
      </c>
      <c r="V2081">
        <v>1</v>
      </c>
    </row>
    <row r="2082" spans="1:22" x14ac:dyDescent="0.25">
      <c r="A2082" t="s">
        <v>4655</v>
      </c>
      <c r="B2082" s="1">
        <v>44766</v>
      </c>
      <c r="C2082" t="s">
        <v>4656</v>
      </c>
      <c r="D2082" t="s">
        <v>1478</v>
      </c>
      <c r="E2082">
        <v>33</v>
      </c>
      <c r="F2082" t="str">
        <f>IF(Table1[[#This Row],[age]]&lt;=25,"18-25",IF(Table1[[#This Row],[age]]&lt;=35,"26-35",IF(Table1[[#This Row],[age]]&lt;=50,"36-50","51+")))</f>
        <v>26-35</v>
      </c>
      <c r="G2082" t="s">
        <v>34</v>
      </c>
      <c r="H2082" t="s">
        <v>55</v>
      </c>
      <c r="I2082" t="s">
        <v>56</v>
      </c>
      <c r="J2082" t="s">
        <v>106</v>
      </c>
      <c r="K2082" t="s">
        <v>247</v>
      </c>
      <c r="L2082">
        <v>4</v>
      </c>
      <c r="M2082">
        <v>63.82</v>
      </c>
      <c r="N2082">
        <v>0.37</v>
      </c>
      <c r="O2082">
        <v>257.56</v>
      </c>
      <c r="P2082">
        <v>22.21</v>
      </c>
      <c r="Q2082">
        <v>49.45</v>
      </c>
      <c r="R2082" t="s">
        <v>65</v>
      </c>
      <c r="S2082">
        <v>4</v>
      </c>
      <c r="T2082" t="b">
        <v>1</v>
      </c>
      <c r="U2082" t="s">
        <v>50</v>
      </c>
      <c r="V2082">
        <v>10</v>
      </c>
    </row>
    <row r="2083" spans="1:22" x14ac:dyDescent="0.25">
      <c r="A2083" t="s">
        <v>4657</v>
      </c>
      <c r="B2083" s="1">
        <v>45285</v>
      </c>
      <c r="C2083" t="s">
        <v>4658</v>
      </c>
      <c r="D2083" t="s">
        <v>96</v>
      </c>
      <c r="E2083">
        <v>37</v>
      </c>
      <c r="F2083" t="str">
        <f>IF(Table1[[#This Row],[age]]&lt;=25,"18-25",IF(Table1[[#This Row],[age]]&lt;=35,"26-35",IF(Table1[[#This Row],[age]]&lt;=50,"36-50","51+")))</f>
        <v>36-50</v>
      </c>
      <c r="G2083" t="s">
        <v>24</v>
      </c>
      <c r="H2083" t="s">
        <v>69</v>
      </c>
      <c r="I2083" t="s">
        <v>221</v>
      </c>
      <c r="J2083" t="s">
        <v>115</v>
      </c>
      <c r="K2083" t="s">
        <v>137</v>
      </c>
      <c r="L2083">
        <v>3</v>
      </c>
      <c r="M2083">
        <v>24262.65</v>
      </c>
      <c r="N2083">
        <v>0.02</v>
      </c>
      <c r="O2083">
        <v>65587.56</v>
      </c>
      <c r="P2083">
        <v>9960.8700000000008</v>
      </c>
      <c r="Q2083">
        <v>61.25</v>
      </c>
      <c r="R2083" t="s">
        <v>92</v>
      </c>
      <c r="S2083">
        <v>2</v>
      </c>
      <c r="T2083" t="b">
        <v>0</v>
      </c>
      <c r="U2083" t="s">
        <v>30</v>
      </c>
      <c r="V2083">
        <v>10</v>
      </c>
    </row>
    <row r="2084" spans="1:22" x14ac:dyDescent="0.25">
      <c r="A2084" t="s">
        <v>4659</v>
      </c>
      <c r="B2084" s="1">
        <v>44764</v>
      </c>
      <c r="C2084" t="s">
        <v>4660</v>
      </c>
      <c r="D2084" t="s">
        <v>1756</v>
      </c>
      <c r="E2084">
        <v>21</v>
      </c>
      <c r="F2084" t="str">
        <f>IF(Table1[[#This Row],[age]]&lt;=25,"18-25",IF(Table1[[#This Row],[age]]&lt;=35,"26-35",IF(Table1[[#This Row],[age]]&lt;=50,"36-50","51+")))</f>
        <v>18-25</v>
      </c>
      <c r="G2084" t="s">
        <v>34</v>
      </c>
      <c r="H2084" t="s">
        <v>55</v>
      </c>
      <c r="I2084" t="s">
        <v>75</v>
      </c>
      <c r="J2084" t="s">
        <v>101</v>
      </c>
      <c r="K2084" t="s">
        <v>214</v>
      </c>
      <c r="L2084">
        <v>5</v>
      </c>
      <c r="M2084">
        <v>11099.1</v>
      </c>
      <c r="N2084">
        <v>0.05</v>
      </c>
      <c r="O2084">
        <v>82679.97</v>
      </c>
      <c r="P2084">
        <v>21389.61</v>
      </c>
      <c r="Q2084">
        <v>42.92</v>
      </c>
      <c r="R2084" t="s">
        <v>43</v>
      </c>
      <c r="S2084">
        <v>2</v>
      </c>
      <c r="T2084" t="b">
        <v>0</v>
      </c>
      <c r="U2084" t="s">
        <v>30</v>
      </c>
      <c r="V2084">
        <v>7</v>
      </c>
    </row>
    <row r="2085" spans="1:22" x14ac:dyDescent="0.25">
      <c r="A2085" t="s">
        <v>4661</v>
      </c>
      <c r="B2085" s="1">
        <v>44847</v>
      </c>
      <c r="C2085" t="s">
        <v>4662</v>
      </c>
      <c r="D2085" t="s">
        <v>23</v>
      </c>
      <c r="E2085">
        <v>47</v>
      </c>
      <c r="F2085" t="str">
        <f>IF(Table1[[#This Row],[age]]&lt;=25,"18-25",IF(Table1[[#This Row],[age]]&lt;=35,"26-35",IF(Table1[[#This Row],[age]]&lt;=50,"36-50","51+")))</f>
        <v>36-50</v>
      </c>
      <c r="G2085" t="s">
        <v>34</v>
      </c>
      <c r="H2085" t="s">
        <v>25</v>
      </c>
      <c r="I2085" t="s">
        <v>35</v>
      </c>
      <c r="J2085" t="s">
        <v>106</v>
      </c>
      <c r="K2085" t="s">
        <v>331</v>
      </c>
      <c r="L2085">
        <v>2</v>
      </c>
      <c r="M2085">
        <v>463.54</v>
      </c>
      <c r="N2085">
        <v>0.14000000000000001</v>
      </c>
      <c r="O2085">
        <v>751.49</v>
      </c>
      <c r="P2085">
        <v>62.99</v>
      </c>
      <c r="Q2085">
        <v>75.64</v>
      </c>
      <c r="R2085" t="s">
        <v>92</v>
      </c>
      <c r="S2085">
        <v>5</v>
      </c>
      <c r="T2085" t="b">
        <v>0</v>
      </c>
      <c r="U2085" t="s">
        <v>30</v>
      </c>
      <c r="V2085">
        <v>2</v>
      </c>
    </row>
    <row r="2086" spans="1:22" x14ac:dyDescent="0.25">
      <c r="A2086" t="s">
        <v>4663</v>
      </c>
      <c r="B2086" s="1">
        <v>44348</v>
      </c>
      <c r="C2086" t="s">
        <v>4664</v>
      </c>
      <c r="D2086" t="s">
        <v>423</v>
      </c>
      <c r="E2086">
        <v>57</v>
      </c>
      <c r="F2086" t="str">
        <f>IF(Table1[[#This Row],[age]]&lt;=25,"18-25",IF(Table1[[#This Row],[age]]&lt;=35,"26-35",IF(Table1[[#This Row],[age]]&lt;=50,"36-50","51+")))</f>
        <v>51+</v>
      </c>
      <c r="G2086" t="s">
        <v>34</v>
      </c>
      <c r="H2086" t="s">
        <v>61</v>
      </c>
      <c r="I2086" t="s">
        <v>141</v>
      </c>
      <c r="J2086" t="s">
        <v>36</v>
      </c>
      <c r="K2086" t="s">
        <v>230</v>
      </c>
      <c r="L2086">
        <v>7</v>
      </c>
      <c r="M2086">
        <v>16753.46</v>
      </c>
      <c r="N2086">
        <v>0.32</v>
      </c>
      <c r="O2086">
        <v>120954.22</v>
      </c>
      <c r="P2086">
        <v>36178.46</v>
      </c>
      <c r="Q2086">
        <v>49.72</v>
      </c>
      <c r="R2086" t="s">
        <v>65</v>
      </c>
      <c r="S2086">
        <v>1</v>
      </c>
      <c r="T2086" t="b">
        <v>0</v>
      </c>
      <c r="U2086" t="s">
        <v>30</v>
      </c>
      <c r="V2086">
        <v>4</v>
      </c>
    </row>
    <row r="2087" spans="1:22" x14ac:dyDescent="0.25">
      <c r="A2087" t="s">
        <v>4665</v>
      </c>
      <c r="B2087" s="1">
        <v>44594</v>
      </c>
      <c r="C2087" t="s">
        <v>4666</v>
      </c>
      <c r="D2087" t="s">
        <v>364</v>
      </c>
      <c r="E2087">
        <v>36</v>
      </c>
      <c r="F2087" t="str">
        <f>IF(Table1[[#This Row],[age]]&lt;=25,"18-25",IF(Table1[[#This Row],[age]]&lt;=35,"26-35",IF(Table1[[#This Row],[age]]&lt;=50,"36-50","51+")))</f>
        <v>36-50</v>
      </c>
      <c r="G2087" t="s">
        <v>34</v>
      </c>
      <c r="H2087" t="s">
        <v>61</v>
      </c>
      <c r="I2087" t="s">
        <v>163</v>
      </c>
      <c r="J2087" t="s">
        <v>101</v>
      </c>
      <c r="K2087" t="s">
        <v>124</v>
      </c>
      <c r="L2087">
        <v>3</v>
      </c>
      <c r="M2087">
        <v>1355.28</v>
      </c>
      <c r="N2087">
        <v>0.1</v>
      </c>
      <c r="O2087">
        <v>3611.47</v>
      </c>
      <c r="P2087">
        <v>631.16</v>
      </c>
      <c r="Q2087">
        <v>55.05</v>
      </c>
      <c r="R2087" t="s">
        <v>29</v>
      </c>
      <c r="S2087">
        <v>3</v>
      </c>
      <c r="T2087" t="b">
        <v>0</v>
      </c>
      <c r="U2087" t="s">
        <v>30</v>
      </c>
      <c r="V2087">
        <v>3</v>
      </c>
    </row>
    <row r="2088" spans="1:22" x14ac:dyDescent="0.25">
      <c r="A2088" t="s">
        <v>4667</v>
      </c>
      <c r="B2088" s="1">
        <v>43937</v>
      </c>
      <c r="C2088" t="s">
        <v>4668</v>
      </c>
      <c r="D2088" t="s">
        <v>210</v>
      </c>
      <c r="E2088">
        <v>30</v>
      </c>
      <c r="F2088" t="str">
        <f>IF(Table1[[#This Row],[age]]&lt;=25,"18-25",IF(Table1[[#This Row],[age]]&lt;=35,"26-35",IF(Table1[[#This Row],[age]]&lt;=50,"36-50","51+")))</f>
        <v>26-35</v>
      </c>
      <c r="G2088" t="s">
        <v>24</v>
      </c>
      <c r="H2088" t="s">
        <v>80</v>
      </c>
      <c r="I2088" t="s">
        <v>236</v>
      </c>
      <c r="J2088" t="s">
        <v>63</v>
      </c>
      <c r="K2088" t="s">
        <v>82</v>
      </c>
      <c r="L2088">
        <v>3</v>
      </c>
      <c r="M2088">
        <v>995.86</v>
      </c>
      <c r="N2088">
        <v>0.13</v>
      </c>
      <c r="O2088">
        <v>2883.96</v>
      </c>
      <c r="P2088">
        <v>919.54</v>
      </c>
      <c r="Q2088">
        <v>83.09</v>
      </c>
      <c r="R2088" t="s">
        <v>29</v>
      </c>
      <c r="S2088">
        <v>2</v>
      </c>
      <c r="T2088" t="b">
        <v>1</v>
      </c>
      <c r="U2088" t="s">
        <v>50</v>
      </c>
      <c r="V2088">
        <v>3</v>
      </c>
    </row>
    <row r="2089" spans="1:22" x14ac:dyDescent="0.25">
      <c r="A2089" t="s">
        <v>4669</v>
      </c>
      <c r="B2089" s="1">
        <v>43925</v>
      </c>
      <c r="C2089" t="s">
        <v>4670</v>
      </c>
      <c r="D2089" t="s">
        <v>2176</v>
      </c>
      <c r="E2089">
        <v>32</v>
      </c>
      <c r="F2089" t="str">
        <f>IF(Table1[[#This Row],[age]]&lt;=25,"18-25",IF(Table1[[#This Row],[age]]&lt;=35,"26-35",IF(Table1[[#This Row],[age]]&lt;=50,"36-50","51+")))</f>
        <v>26-35</v>
      </c>
      <c r="G2089" t="s">
        <v>24</v>
      </c>
      <c r="H2089" t="s">
        <v>61</v>
      </c>
      <c r="I2089" t="s">
        <v>62</v>
      </c>
      <c r="J2089" t="s">
        <v>106</v>
      </c>
      <c r="K2089" t="s">
        <v>107</v>
      </c>
      <c r="L2089">
        <v>4</v>
      </c>
      <c r="M2089">
        <v>274.86</v>
      </c>
      <c r="N2089">
        <v>0.34</v>
      </c>
      <c r="O2089">
        <v>738.23</v>
      </c>
      <c r="P2089">
        <v>64.05</v>
      </c>
      <c r="Q2089">
        <v>67.36</v>
      </c>
      <c r="R2089" t="s">
        <v>65</v>
      </c>
      <c r="S2089">
        <v>2</v>
      </c>
      <c r="T2089" t="b">
        <v>0</v>
      </c>
      <c r="U2089" t="s">
        <v>30</v>
      </c>
      <c r="V2089">
        <v>2</v>
      </c>
    </row>
    <row r="2090" spans="1:22" x14ac:dyDescent="0.25">
      <c r="A2090" t="s">
        <v>4671</v>
      </c>
      <c r="B2090" s="1">
        <v>44797</v>
      </c>
      <c r="C2090" t="s">
        <v>4672</v>
      </c>
      <c r="D2090" t="s">
        <v>1333</v>
      </c>
      <c r="E2090">
        <v>28</v>
      </c>
      <c r="F2090" t="str">
        <f>IF(Table1[[#This Row],[age]]&lt;=25,"18-25",IF(Table1[[#This Row],[age]]&lt;=35,"26-35",IF(Table1[[#This Row],[age]]&lt;=50,"36-50","51+")))</f>
        <v>26-35</v>
      </c>
      <c r="G2090" t="s">
        <v>54</v>
      </c>
      <c r="H2090" t="s">
        <v>69</v>
      </c>
      <c r="I2090" t="s">
        <v>136</v>
      </c>
      <c r="J2090" t="s">
        <v>115</v>
      </c>
      <c r="K2090" t="s">
        <v>137</v>
      </c>
      <c r="L2090">
        <v>1</v>
      </c>
      <c r="M2090">
        <v>51058.89</v>
      </c>
      <c r="N2090">
        <v>0.38</v>
      </c>
      <c r="O2090">
        <v>41545.589999999997</v>
      </c>
      <c r="P2090">
        <v>5436.55</v>
      </c>
      <c r="Q2090">
        <v>71.72</v>
      </c>
      <c r="R2090" t="s">
        <v>92</v>
      </c>
      <c r="S2090">
        <v>2</v>
      </c>
      <c r="T2090" t="b">
        <v>1</v>
      </c>
      <c r="U2090" t="s">
        <v>50</v>
      </c>
      <c r="V2090">
        <v>5</v>
      </c>
    </row>
    <row r="2091" spans="1:22" x14ac:dyDescent="0.25">
      <c r="A2091" t="s">
        <v>4673</v>
      </c>
      <c r="B2091" s="1">
        <v>44454</v>
      </c>
      <c r="C2091" t="s">
        <v>4674</v>
      </c>
      <c r="D2091" t="s">
        <v>3384</v>
      </c>
      <c r="E2091">
        <v>37</v>
      </c>
      <c r="F2091" t="str">
        <f>IF(Table1[[#This Row],[age]]&lt;=25,"18-25",IF(Table1[[#This Row],[age]]&lt;=35,"26-35",IF(Table1[[#This Row],[age]]&lt;=50,"36-50","51+")))</f>
        <v>36-50</v>
      </c>
      <c r="G2091" t="s">
        <v>54</v>
      </c>
      <c r="H2091" t="s">
        <v>25</v>
      </c>
      <c r="I2091" t="s">
        <v>35</v>
      </c>
      <c r="J2091" t="s">
        <v>27</v>
      </c>
      <c r="K2091" t="s">
        <v>28</v>
      </c>
      <c r="L2091">
        <v>6</v>
      </c>
      <c r="M2091">
        <v>386.4</v>
      </c>
      <c r="N2091">
        <v>0.05</v>
      </c>
      <c r="O2091">
        <v>2325.2199999999998</v>
      </c>
      <c r="P2091">
        <v>1189.6099999999999</v>
      </c>
      <c r="Q2091">
        <v>40.659999999999997</v>
      </c>
      <c r="R2091" t="s">
        <v>57</v>
      </c>
      <c r="S2091">
        <v>1</v>
      </c>
      <c r="T2091" t="b">
        <v>0</v>
      </c>
      <c r="U2091" t="s">
        <v>30</v>
      </c>
      <c r="V2091">
        <v>10</v>
      </c>
    </row>
    <row r="2092" spans="1:22" x14ac:dyDescent="0.25">
      <c r="A2092" t="s">
        <v>4675</v>
      </c>
      <c r="B2092" s="1">
        <v>45076</v>
      </c>
      <c r="C2092" t="s">
        <v>4676</v>
      </c>
      <c r="D2092" t="s">
        <v>564</v>
      </c>
      <c r="E2092">
        <v>19</v>
      </c>
      <c r="F2092" t="str">
        <f>IF(Table1[[#This Row],[age]]&lt;=25,"18-25",IF(Table1[[#This Row],[age]]&lt;=35,"26-35",IF(Table1[[#This Row],[age]]&lt;=50,"36-50","51+")))</f>
        <v>18-25</v>
      </c>
      <c r="G2092" t="s">
        <v>24</v>
      </c>
      <c r="H2092" t="s">
        <v>69</v>
      </c>
      <c r="I2092" t="s">
        <v>70</v>
      </c>
      <c r="J2092" t="s">
        <v>115</v>
      </c>
      <c r="K2092" t="s">
        <v>545</v>
      </c>
      <c r="L2092">
        <v>1</v>
      </c>
      <c r="M2092">
        <v>11340.22</v>
      </c>
      <c r="N2092">
        <v>0.33</v>
      </c>
      <c r="O2092">
        <v>11399.21</v>
      </c>
      <c r="P2092">
        <v>1893.42</v>
      </c>
      <c r="Q2092">
        <v>112.08</v>
      </c>
      <c r="R2092" t="s">
        <v>57</v>
      </c>
      <c r="S2092">
        <v>3</v>
      </c>
      <c r="T2092" t="b">
        <v>0</v>
      </c>
      <c r="U2092" t="s">
        <v>93</v>
      </c>
      <c r="V2092">
        <v>5</v>
      </c>
    </row>
    <row r="2093" spans="1:22" x14ac:dyDescent="0.25">
      <c r="A2093" t="s">
        <v>4677</v>
      </c>
      <c r="B2093" s="1">
        <v>44018</v>
      </c>
      <c r="C2093" t="s">
        <v>4678</v>
      </c>
      <c r="D2093" t="s">
        <v>471</v>
      </c>
      <c r="E2093">
        <v>50</v>
      </c>
      <c r="F2093" t="str">
        <f>IF(Table1[[#This Row],[age]]&lt;=25,"18-25",IF(Table1[[#This Row],[age]]&lt;=35,"26-35",IF(Table1[[#This Row],[age]]&lt;=50,"36-50","51+")))</f>
        <v>36-50</v>
      </c>
      <c r="G2093" t="s">
        <v>34</v>
      </c>
      <c r="H2093" t="s">
        <v>25</v>
      </c>
      <c r="I2093" t="s">
        <v>35</v>
      </c>
      <c r="J2093" t="s">
        <v>27</v>
      </c>
      <c r="K2093" t="s">
        <v>168</v>
      </c>
      <c r="L2093">
        <v>8</v>
      </c>
      <c r="M2093">
        <v>122.16</v>
      </c>
      <c r="N2093">
        <v>0.04</v>
      </c>
      <c r="O2093">
        <v>1352.85</v>
      </c>
      <c r="P2093">
        <v>624.96</v>
      </c>
      <c r="Q2093">
        <v>78.739999999999995</v>
      </c>
      <c r="R2093" t="s">
        <v>57</v>
      </c>
      <c r="S2093">
        <v>1</v>
      </c>
      <c r="T2093" t="b">
        <v>0</v>
      </c>
      <c r="U2093" t="s">
        <v>30</v>
      </c>
      <c r="V2093">
        <v>8</v>
      </c>
    </row>
    <row r="2094" spans="1:22" x14ac:dyDescent="0.25">
      <c r="A2094" t="s">
        <v>4679</v>
      </c>
      <c r="B2094" s="1">
        <v>44428</v>
      </c>
      <c r="C2094" t="s">
        <v>4680</v>
      </c>
      <c r="D2094" t="s">
        <v>556</v>
      </c>
      <c r="E2094">
        <v>43</v>
      </c>
      <c r="F2094" t="str">
        <f>IF(Table1[[#This Row],[age]]&lt;=25,"18-25",IF(Table1[[#This Row],[age]]&lt;=35,"26-35",IF(Table1[[#This Row],[age]]&lt;=50,"36-50","51+")))</f>
        <v>36-50</v>
      </c>
      <c r="G2094" t="s">
        <v>54</v>
      </c>
      <c r="H2094" t="s">
        <v>69</v>
      </c>
      <c r="I2094" t="s">
        <v>70</v>
      </c>
      <c r="J2094" t="s">
        <v>27</v>
      </c>
      <c r="K2094" t="s">
        <v>168</v>
      </c>
      <c r="L2094">
        <v>7</v>
      </c>
      <c r="M2094">
        <v>2072.71</v>
      </c>
      <c r="N2094">
        <v>0.36</v>
      </c>
      <c r="O2094">
        <v>11905.56</v>
      </c>
      <c r="P2094">
        <v>4495.7299999999996</v>
      </c>
      <c r="Q2094">
        <v>76.63</v>
      </c>
      <c r="R2094" t="s">
        <v>65</v>
      </c>
      <c r="S2094">
        <v>5</v>
      </c>
      <c r="T2094" t="b">
        <v>0</v>
      </c>
      <c r="U2094" t="s">
        <v>30</v>
      </c>
      <c r="V2094">
        <v>9</v>
      </c>
    </row>
    <row r="2095" spans="1:22" x14ac:dyDescent="0.25">
      <c r="A2095" t="s">
        <v>4681</v>
      </c>
      <c r="B2095" s="1">
        <v>45122</v>
      </c>
      <c r="C2095" t="s">
        <v>4682</v>
      </c>
      <c r="D2095" t="s">
        <v>381</v>
      </c>
      <c r="E2095">
        <v>59</v>
      </c>
      <c r="F2095" t="str">
        <f>IF(Table1[[#This Row],[age]]&lt;=25,"18-25",IF(Table1[[#This Row],[age]]&lt;=35,"26-35",IF(Table1[[#This Row],[age]]&lt;=50,"36-50","51+")))</f>
        <v>51+</v>
      </c>
      <c r="G2095" t="s">
        <v>34</v>
      </c>
      <c r="H2095" t="s">
        <v>69</v>
      </c>
      <c r="I2095" t="s">
        <v>221</v>
      </c>
      <c r="J2095" t="s">
        <v>106</v>
      </c>
      <c r="K2095" t="s">
        <v>247</v>
      </c>
      <c r="L2095">
        <v>1</v>
      </c>
      <c r="M2095">
        <v>420.19</v>
      </c>
      <c r="N2095">
        <v>0.04</v>
      </c>
      <c r="O2095">
        <v>592.96</v>
      </c>
      <c r="P2095">
        <v>70.709999999999994</v>
      </c>
      <c r="Q2095">
        <v>40.340000000000003</v>
      </c>
      <c r="R2095" t="s">
        <v>49</v>
      </c>
      <c r="S2095">
        <v>3</v>
      </c>
      <c r="T2095" t="b">
        <v>0</v>
      </c>
      <c r="U2095" t="s">
        <v>30</v>
      </c>
      <c r="V2095">
        <v>4</v>
      </c>
    </row>
    <row r="2096" spans="1:22" x14ac:dyDescent="0.25">
      <c r="A2096" t="s">
        <v>4683</v>
      </c>
      <c r="B2096" s="1">
        <v>44989</v>
      </c>
      <c r="C2096" t="s">
        <v>4684</v>
      </c>
      <c r="D2096" t="s">
        <v>370</v>
      </c>
      <c r="E2096">
        <v>28</v>
      </c>
      <c r="F2096" t="str">
        <f>IF(Table1[[#This Row],[age]]&lt;=25,"18-25",IF(Table1[[#This Row],[age]]&lt;=35,"26-35",IF(Table1[[#This Row],[age]]&lt;=50,"36-50","51+")))</f>
        <v>26-35</v>
      </c>
      <c r="G2096" t="s">
        <v>54</v>
      </c>
      <c r="H2096" t="s">
        <v>55</v>
      </c>
      <c r="I2096" t="s">
        <v>114</v>
      </c>
      <c r="J2096" t="s">
        <v>106</v>
      </c>
      <c r="K2096" t="s">
        <v>314</v>
      </c>
      <c r="L2096">
        <v>7</v>
      </c>
      <c r="M2096">
        <v>493.14</v>
      </c>
      <c r="N2096">
        <v>7.0000000000000007E-2</v>
      </c>
      <c r="O2096">
        <v>4089.53</v>
      </c>
      <c r="P2096">
        <v>366.06</v>
      </c>
      <c r="Q2096">
        <v>60.87</v>
      </c>
      <c r="R2096" t="s">
        <v>92</v>
      </c>
      <c r="S2096">
        <v>3</v>
      </c>
      <c r="T2096" t="b">
        <v>0</v>
      </c>
      <c r="U2096" t="s">
        <v>93</v>
      </c>
      <c r="V2096">
        <v>2</v>
      </c>
    </row>
    <row r="2097" spans="1:22" x14ac:dyDescent="0.25">
      <c r="A2097" t="s">
        <v>4685</v>
      </c>
      <c r="B2097" s="1">
        <v>44597</v>
      </c>
      <c r="C2097" t="s">
        <v>4686</v>
      </c>
      <c r="D2097" t="s">
        <v>513</v>
      </c>
      <c r="E2097">
        <v>25</v>
      </c>
      <c r="F2097" t="str">
        <f>IF(Table1[[#This Row],[age]]&lt;=25,"18-25",IF(Table1[[#This Row],[age]]&lt;=35,"26-35",IF(Table1[[#This Row],[age]]&lt;=50,"36-50","51+")))</f>
        <v>18-25</v>
      </c>
      <c r="G2097" t="s">
        <v>34</v>
      </c>
      <c r="H2097" t="s">
        <v>55</v>
      </c>
      <c r="I2097" t="s">
        <v>75</v>
      </c>
      <c r="J2097" t="s">
        <v>101</v>
      </c>
      <c r="K2097" t="s">
        <v>318</v>
      </c>
      <c r="L2097">
        <v>5</v>
      </c>
      <c r="M2097">
        <v>5502.6</v>
      </c>
      <c r="N2097">
        <v>0.01</v>
      </c>
      <c r="O2097">
        <v>28294.84</v>
      </c>
      <c r="P2097">
        <v>8865.25</v>
      </c>
      <c r="Q2097">
        <v>65.010000000000005</v>
      </c>
      <c r="R2097" t="s">
        <v>49</v>
      </c>
      <c r="S2097">
        <v>4</v>
      </c>
      <c r="T2097" t="b">
        <v>0</v>
      </c>
      <c r="U2097" t="s">
        <v>30</v>
      </c>
      <c r="V2097">
        <v>4</v>
      </c>
    </row>
    <row r="2098" spans="1:22" x14ac:dyDescent="0.25">
      <c r="A2098" t="s">
        <v>4687</v>
      </c>
      <c r="B2098" s="1">
        <v>44679</v>
      </c>
      <c r="C2098" t="s">
        <v>4688</v>
      </c>
      <c r="D2098" t="s">
        <v>923</v>
      </c>
      <c r="E2098">
        <v>35</v>
      </c>
      <c r="F2098" t="str">
        <f>IF(Table1[[#This Row],[age]]&lt;=25,"18-25",IF(Table1[[#This Row],[age]]&lt;=35,"26-35",IF(Table1[[#This Row],[age]]&lt;=50,"36-50","51+")))</f>
        <v>26-35</v>
      </c>
      <c r="G2098" t="s">
        <v>24</v>
      </c>
      <c r="H2098" t="s">
        <v>80</v>
      </c>
      <c r="I2098" t="s">
        <v>81</v>
      </c>
      <c r="J2098" t="s">
        <v>115</v>
      </c>
      <c r="K2098" t="s">
        <v>545</v>
      </c>
      <c r="L2098">
        <v>6</v>
      </c>
      <c r="M2098">
        <v>39743.58</v>
      </c>
      <c r="N2098">
        <v>0.06</v>
      </c>
      <c r="O2098">
        <v>290848.39</v>
      </c>
      <c r="P2098">
        <v>32188.69</v>
      </c>
      <c r="Q2098">
        <v>78.099999999999994</v>
      </c>
      <c r="R2098" t="s">
        <v>65</v>
      </c>
      <c r="S2098">
        <v>5</v>
      </c>
      <c r="T2098" t="b">
        <v>0</v>
      </c>
      <c r="U2098" t="s">
        <v>30</v>
      </c>
      <c r="V2098">
        <v>45</v>
      </c>
    </row>
    <row r="2099" spans="1:22" x14ac:dyDescent="0.25">
      <c r="A2099" t="s">
        <v>4689</v>
      </c>
      <c r="B2099" s="1">
        <v>44580</v>
      </c>
      <c r="C2099" t="s">
        <v>4690</v>
      </c>
      <c r="D2099" t="s">
        <v>2021</v>
      </c>
      <c r="E2099">
        <v>36</v>
      </c>
      <c r="F2099" t="str">
        <f>IF(Table1[[#This Row],[age]]&lt;=25,"18-25",IF(Table1[[#This Row],[age]]&lt;=35,"26-35",IF(Table1[[#This Row],[age]]&lt;=50,"36-50","51+")))</f>
        <v>36-50</v>
      </c>
      <c r="G2099" t="s">
        <v>54</v>
      </c>
      <c r="H2099" t="s">
        <v>80</v>
      </c>
      <c r="I2099" t="s">
        <v>236</v>
      </c>
      <c r="J2099" t="s">
        <v>47</v>
      </c>
      <c r="K2099" t="s">
        <v>272</v>
      </c>
      <c r="L2099">
        <v>7</v>
      </c>
      <c r="M2099">
        <v>903.3</v>
      </c>
      <c r="N2099">
        <v>0.22</v>
      </c>
      <c r="O2099">
        <v>4147.54</v>
      </c>
      <c r="P2099">
        <v>1984.59</v>
      </c>
      <c r="Q2099">
        <v>55.08</v>
      </c>
      <c r="R2099" t="s">
        <v>65</v>
      </c>
      <c r="S2099">
        <v>2</v>
      </c>
      <c r="T2099" t="b">
        <v>0</v>
      </c>
      <c r="U2099" t="s">
        <v>30</v>
      </c>
      <c r="V2099">
        <v>3</v>
      </c>
    </row>
    <row r="2100" spans="1:22" x14ac:dyDescent="0.25">
      <c r="A2100" t="s">
        <v>4691</v>
      </c>
      <c r="B2100" s="1">
        <v>44141</v>
      </c>
      <c r="C2100" t="s">
        <v>4692</v>
      </c>
      <c r="D2100" t="s">
        <v>1644</v>
      </c>
      <c r="E2100">
        <v>39</v>
      </c>
      <c r="F2100" t="str">
        <f>IF(Table1[[#This Row],[age]]&lt;=25,"18-25",IF(Table1[[#This Row],[age]]&lt;=35,"26-35",IF(Table1[[#This Row],[age]]&lt;=50,"36-50","51+")))</f>
        <v>36-50</v>
      </c>
      <c r="G2100" t="s">
        <v>34</v>
      </c>
      <c r="H2100" t="s">
        <v>55</v>
      </c>
      <c r="I2100" t="s">
        <v>114</v>
      </c>
      <c r="J2100" t="s">
        <v>27</v>
      </c>
      <c r="K2100" t="s">
        <v>168</v>
      </c>
      <c r="L2100">
        <v>3</v>
      </c>
      <c r="M2100">
        <v>1239.17</v>
      </c>
      <c r="N2100">
        <v>0.37</v>
      </c>
      <c r="O2100">
        <v>1595.55</v>
      </c>
      <c r="P2100">
        <v>768.1</v>
      </c>
      <c r="Q2100">
        <v>50.76</v>
      </c>
      <c r="R2100" t="s">
        <v>65</v>
      </c>
      <c r="S2100">
        <v>3</v>
      </c>
      <c r="T2100" t="b">
        <v>0</v>
      </c>
      <c r="U2100" t="s">
        <v>30</v>
      </c>
      <c r="V2100">
        <v>5</v>
      </c>
    </row>
    <row r="2101" spans="1:22" x14ac:dyDescent="0.25">
      <c r="A2101" t="s">
        <v>4693</v>
      </c>
      <c r="B2101" s="1">
        <v>44623</v>
      </c>
      <c r="C2101" t="s">
        <v>4694</v>
      </c>
      <c r="D2101" t="s">
        <v>1719</v>
      </c>
      <c r="E2101">
        <v>26</v>
      </c>
      <c r="F2101" t="str">
        <f>IF(Table1[[#This Row],[age]]&lt;=25,"18-25",IF(Table1[[#This Row],[age]]&lt;=35,"26-35",IF(Table1[[#This Row],[age]]&lt;=50,"36-50","51+")))</f>
        <v>26-35</v>
      </c>
      <c r="G2101" t="s">
        <v>24</v>
      </c>
      <c r="H2101" t="s">
        <v>69</v>
      </c>
      <c r="I2101" t="s">
        <v>181</v>
      </c>
      <c r="J2101" t="s">
        <v>27</v>
      </c>
      <c r="K2101" t="s">
        <v>480</v>
      </c>
      <c r="L2101">
        <v>5</v>
      </c>
      <c r="M2101">
        <v>2389.7800000000002</v>
      </c>
      <c r="N2101">
        <v>0.27</v>
      </c>
      <c r="O2101">
        <v>9862.27</v>
      </c>
      <c r="P2101">
        <v>4445.3</v>
      </c>
      <c r="Q2101">
        <v>88.28</v>
      </c>
      <c r="R2101" t="s">
        <v>57</v>
      </c>
      <c r="S2101">
        <v>1</v>
      </c>
      <c r="T2101" t="b">
        <v>0</v>
      </c>
      <c r="U2101" t="s">
        <v>30</v>
      </c>
      <c r="V2101">
        <v>6</v>
      </c>
    </row>
    <row r="2102" spans="1:22" x14ac:dyDescent="0.25">
      <c r="A2102" t="s">
        <v>4695</v>
      </c>
      <c r="B2102" s="1">
        <v>45134</v>
      </c>
      <c r="C2102" t="s">
        <v>4696</v>
      </c>
      <c r="D2102" t="s">
        <v>2503</v>
      </c>
      <c r="E2102">
        <v>35</v>
      </c>
      <c r="F2102" t="str">
        <f>IF(Table1[[#This Row],[age]]&lt;=25,"18-25",IF(Table1[[#This Row],[age]]&lt;=35,"26-35",IF(Table1[[#This Row],[age]]&lt;=50,"36-50","51+")))</f>
        <v>26-35</v>
      </c>
      <c r="G2102" t="s">
        <v>54</v>
      </c>
      <c r="H2102" t="s">
        <v>80</v>
      </c>
      <c r="I2102" t="s">
        <v>236</v>
      </c>
      <c r="J2102" t="s">
        <v>101</v>
      </c>
      <c r="K2102" t="s">
        <v>318</v>
      </c>
      <c r="L2102">
        <v>10</v>
      </c>
      <c r="M2102">
        <v>14369.58</v>
      </c>
      <c r="N2102">
        <v>0.19</v>
      </c>
      <c r="O2102">
        <v>155449.26999999999</v>
      </c>
      <c r="P2102">
        <v>43778.31</v>
      </c>
      <c r="Q2102">
        <v>70.010000000000005</v>
      </c>
      <c r="R2102" t="s">
        <v>65</v>
      </c>
      <c r="S2102">
        <v>2</v>
      </c>
      <c r="T2102" t="b">
        <v>0</v>
      </c>
      <c r="U2102" t="s">
        <v>30</v>
      </c>
      <c r="V2102">
        <v>3</v>
      </c>
    </row>
    <row r="2103" spans="1:22" x14ac:dyDescent="0.25">
      <c r="A2103" t="s">
        <v>4697</v>
      </c>
      <c r="B2103" s="1">
        <v>44324</v>
      </c>
      <c r="C2103" t="s">
        <v>4698</v>
      </c>
      <c r="D2103" t="s">
        <v>1589</v>
      </c>
      <c r="E2103">
        <v>41</v>
      </c>
      <c r="F2103" t="str">
        <f>IF(Table1[[#This Row],[age]]&lt;=25,"18-25",IF(Table1[[#This Row],[age]]&lt;=35,"26-35",IF(Table1[[#This Row],[age]]&lt;=50,"36-50","51+")))</f>
        <v>36-50</v>
      </c>
      <c r="G2103" t="s">
        <v>24</v>
      </c>
      <c r="H2103" t="s">
        <v>80</v>
      </c>
      <c r="I2103" t="s">
        <v>242</v>
      </c>
      <c r="J2103" t="s">
        <v>106</v>
      </c>
      <c r="K2103" t="s">
        <v>188</v>
      </c>
      <c r="L2103">
        <v>7</v>
      </c>
      <c r="M2103">
        <v>299.11</v>
      </c>
      <c r="N2103">
        <v>0.28000000000000003</v>
      </c>
      <c r="O2103">
        <v>2191.0300000000002</v>
      </c>
      <c r="P2103">
        <v>148.75</v>
      </c>
      <c r="Q2103">
        <v>87.79</v>
      </c>
      <c r="R2103" t="s">
        <v>49</v>
      </c>
      <c r="S2103">
        <v>5</v>
      </c>
      <c r="T2103" t="b">
        <v>0</v>
      </c>
      <c r="U2103" t="s">
        <v>30</v>
      </c>
      <c r="V2103">
        <v>6</v>
      </c>
    </row>
    <row r="2104" spans="1:22" x14ac:dyDescent="0.25">
      <c r="A2104" t="s">
        <v>4699</v>
      </c>
      <c r="B2104" s="1">
        <v>45226</v>
      </c>
      <c r="C2104" t="s">
        <v>4700</v>
      </c>
      <c r="D2104" t="s">
        <v>516</v>
      </c>
      <c r="E2104">
        <v>47</v>
      </c>
      <c r="F2104" t="str">
        <f>IF(Table1[[#This Row],[age]]&lt;=25,"18-25",IF(Table1[[#This Row],[age]]&lt;=35,"26-35",IF(Table1[[#This Row],[age]]&lt;=50,"36-50","51+")))</f>
        <v>36-50</v>
      </c>
      <c r="G2104" t="s">
        <v>24</v>
      </c>
      <c r="H2104" t="s">
        <v>55</v>
      </c>
      <c r="I2104" t="s">
        <v>56</v>
      </c>
      <c r="J2104" t="s">
        <v>101</v>
      </c>
      <c r="K2104" t="s">
        <v>318</v>
      </c>
      <c r="L2104">
        <v>10</v>
      </c>
      <c r="M2104">
        <v>4956.92</v>
      </c>
      <c r="N2104">
        <v>0.26</v>
      </c>
      <c r="O2104">
        <v>37464.050000000003</v>
      </c>
      <c r="P2104">
        <v>10028.06</v>
      </c>
      <c r="Q2104">
        <v>55.21</v>
      </c>
      <c r="R2104" t="s">
        <v>43</v>
      </c>
      <c r="S2104">
        <v>2</v>
      </c>
      <c r="T2104" t="b">
        <v>0</v>
      </c>
      <c r="U2104" t="s">
        <v>30</v>
      </c>
      <c r="V2104">
        <v>6</v>
      </c>
    </row>
    <row r="2105" spans="1:22" x14ac:dyDescent="0.25">
      <c r="A2105" t="s">
        <v>4701</v>
      </c>
      <c r="B2105" s="1">
        <v>44253</v>
      </c>
      <c r="C2105" t="s">
        <v>4702</v>
      </c>
      <c r="D2105" t="s">
        <v>200</v>
      </c>
      <c r="E2105">
        <v>32</v>
      </c>
      <c r="F2105" t="str">
        <f>IF(Table1[[#This Row],[age]]&lt;=25,"18-25",IF(Table1[[#This Row],[age]]&lt;=35,"26-35",IF(Table1[[#This Row],[age]]&lt;=50,"36-50","51+")))</f>
        <v>26-35</v>
      </c>
      <c r="G2105" t="s">
        <v>54</v>
      </c>
      <c r="H2105" t="s">
        <v>61</v>
      </c>
      <c r="I2105" t="s">
        <v>62</v>
      </c>
      <c r="J2105" t="s">
        <v>36</v>
      </c>
      <c r="K2105" t="s">
        <v>42</v>
      </c>
      <c r="L2105">
        <v>3</v>
      </c>
      <c r="M2105">
        <v>26021.42</v>
      </c>
      <c r="N2105">
        <v>0.06</v>
      </c>
      <c r="O2105">
        <v>58084.97</v>
      </c>
      <c r="P2105">
        <v>15110.03</v>
      </c>
      <c r="Q2105">
        <v>29.22</v>
      </c>
      <c r="R2105" t="s">
        <v>57</v>
      </c>
      <c r="S2105">
        <v>3</v>
      </c>
      <c r="T2105" t="b">
        <v>0</v>
      </c>
      <c r="U2105" t="s">
        <v>30</v>
      </c>
      <c r="V2105">
        <v>1</v>
      </c>
    </row>
    <row r="2106" spans="1:22" x14ac:dyDescent="0.25">
      <c r="A2106" t="s">
        <v>4703</v>
      </c>
      <c r="B2106" s="1">
        <v>44358</v>
      </c>
      <c r="C2106" t="s">
        <v>4704</v>
      </c>
      <c r="D2106" t="s">
        <v>990</v>
      </c>
      <c r="E2106">
        <v>27</v>
      </c>
      <c r="F2106" t="str">
        <f>IF(Table1[[#This Row],[age]]&lt;=25,"18-25",IF(Table1[[#This Row],[age]]&lt;=35,"26-35",IF(Table1[[#This Row],[age]]&lt;=50,"36-50","51+")))</f>
        <v>26-35</v>
      </c>
      <c r="G2106" t="s">
        <v>24</v>
      </c>
      <c r="H2106" t="s">
        <v>69</v>
      </c>
      <c r="I2106" t="s">
        <v>70</v>
      </c>
      <c r="J2106" t="s">
        <v>47</v>
      </c>
      <c r="K2106" t="s">
        <v>120</v>
      </c>
      <c r="L2106">
        <v>9</v>
      </c>
      <c r="M2106">
        <v>1191.6199999999999</v>
      </c>
      <c r="N2106">
        <v>0.33</v>
      </c>
      <c r="O2106">
        <v>5257.68</v>
      </c>
      <c r="P2106">
        <v>2138.66</v>
      </c>
      <c r="Q2106">
        <v>54.25</v>
      </c>
      <c r="R2106" t="s">
        <v>92</v>
      </c>
      <c r="S2106">
        <v>2</v>
      </c>
      <c r="T2106" t="b">
        <v>0</v>
      </c>
      <c r="U2106" t="s">
        <v>71</v>
      </c>
      <c r="V2106">
        <v>7</v>
      </c>
    </row>
    <row r="2107" spans="1:22" x14ac:dyDescent="0.25">
      <c r="A2107" t="s">
        <v>4705</v>
      </c>
      <c r="B2107" s="1">
        <v>44644</v>
      </c>
      <c r="C2107" t="s">
        <v>4706</v>
      </c>
      <c r="D2107" t="s">
        <v>1215</v>
      </c>
      <c r="E2107">
        <v>27</v>
      </c>
      <c r="F2107" t="str">
        <f>IF(Table1[[#This Row],[age]]&lt;=25,"18-25",IF(Table1[[#This Row],[age]]&lt;=35,"26-35",IF(Table1[[#This Row],[age]]&lt;=50,"36-50","51+")))</f>
        <v>26-35</v>
      </c>
      <c r="G2107" t="s">
        <v>54</v>
      </c>
      <c r="H2107" t="s">
        <v>80</v>
      </c>
      <c r="I2107" t="s">
        <v>236</v>
      </c>
      <c r="J2107" t="s">
        <v>47</v>
      </c>
      <c r="K2107" t="s">
        <v>600</v>
      </c>
      <c r="L2107">
        <v>5</v>
      </c>
      <c r="M2107">
        <v>845.02</v>
      </c>
      <c r="N2107">
        <v>0.38</v>
      </c>
      <c r="O2107">
        <v>3063.76</v>
      </c>
      <c r="P2107">
        <v>1423.14</v>
      </c>
      <c r="Q2107">
        <v>65.17</v>
      </c>
      <c r="R2107" t="s">
        <v>43</v>
      </c>
      <c r="S2107">
        <v>3</v>
      </c>
      <c r="T2107" t="b">
        <v>0</v>
      </c>
      <c r="U2107" t="s">
        <v>30</v>
      </c>
      <c r="V2107">
        <v>7</v>
      </c>
    </row>
    <row r="2108" spans="1:22" x14ac:dyDescent="0.25">
      <c r="A2108" t="s">
        <v>4707</v>
      </c>
      <c r="B2108" s="1">
        <v>44750</v>
      </c>
      <c r="C2108" t="s">
        <v>4708</v>
      </c>
      <c r="D2108" t="s">
        <v>485</v>
      </c>
      <c r="E2108">
        <v>32</v>
      </c>
      <c r="F2108" t="str">
        <f>IF(Table1[[#This Row],[age]]&lt;=25,"18-25",IF(Table1[[#This Row],[age]]&lt;=35,"26-35",IF(Table1[[#This Row],[age]]&lt;=50,"36-50","51+")))</f>
        <v>26-35</v>
      </c>
      <c r="G2108" t="s">
        <v>24</v>
      </c>
      <c r="H2108" t="s">
        <v>25</v>
      </c>
      <c r="I2108" t="s">
        <v>41</v>
      </c>
      <c r="J2108" t="s">
        <v>36</v>
      </c>
      <c r="K2108" t="s">
        <v>76</v>
      </c>
      <c r="L2108">
        <v>4</v>
      </c>
      <c r="M2108">
        <v>34455.300000000003</v>
      </c>
      <c r="N2108">
        <v>0.15</v>
      </c>
      <c r="O2108">
        <v>170405.41</v>
      </c>
      <c r="P2108">
        <v>53474.69</v>
      </c>
      <c r="Q2108">
        <v>73.849999999999994</v>
      </c>
      <c r="R2108" t="s">
        <v>49</v>
      </c>
      <c r="S2108">
        <v>1</v>
      </c>
      <c r="T2108" t="b">
        <v>0</v>
      </c>
      <c r="U2108" t="s">
        <v>30</v>
      </c>
      <c r="V2108">
        <v>8</v>
      </c>
    </row>
    <row r="2109" spans="1:22" x14ac:dyDescent="0.25">
      <c r="A2109" t="s">
        <v>4709</v>
      </c>
      <c r="B2109" s="1">
        <v>44132</v>
      </c>
      <c r="C2109" t="s">
        <v>4710</v>
      </c>
      <c r="D2109" t="s">
        <v>1020</v>
      </c>
      <c r="E2109">
        <v>26</v>
      </c>
      <c r="F2109" t="str">
        <f>IF(Table1[[#This Row],[age]]&lt;=25,"18-25",IF(Table1[[#This Row],[age]]&lt;=35,"26-35",IF(Table1[[#This Row],[age]]&lt;=50,"36-50","51+")))</f>
        <v>26-35</v>
      </c>
      <c r="G2109" t="s">
        <v>54</v>
      </c>
      <c r="H2109" t="s">
        <v>61</v>
      </c>
      <c r="I2109" t="s">
        <v>91</v>
      </c>
      <c r="J2109" t="s">
        <v>101</v>
      </c>
      <c r="K2109" t="s">
        <v>214</v>
      </c>
      <c r="L2109">
        <v>5</v>
      </c>
      <c r="M2109">
        <v>1900.51</v>
      </c>
      <c r="N2109">
        <v>0.24</v>
      </c>
      <c r="O2109">
        <v>5891.51</v>
      </c>
      <c r="P2109">
        <v>1237.06</v>
      </c>
      <c r="Q2109">
        <v>31.46</v>
      </c>
      <c r="R2109" t="s">
        <v>57</v>
      </c>
      <c r="S2109">
        <v>1</v>
      </c>
      <c r="T2109" t="b">
        <v>0</v>
      </c>
      <c r="U2109" t="s">
        <v>30</v>
      </c>
      <c r="V2109">
        <v>10</v>
      </c>
    </row>
    <row r="2110" spans="1:22" x14ac:dyDescent="0.25">
      <c r="A2110" t="s">
        <v>4711</v>
      </c>
      <c r="B2110" s="1">
        <v>44534</v>
      </c>
      <c r="C2110" t="s">
        <v>4712</v>
      </c>
      <c r="D2110" t="s">
        <v>1898</v>
      </c>
      <c r="E2110">
        <v>43</v>
      </c>
      <c r="F2110" t="str">
        <f>IF(Table1[[#This Row],[age]]&lt;=25,"18-25",IF(Table1[[#This Row],[age]]&lt;=35,"26-35",IF(Table1[[#This Row],[age]]&lt;=50,"36-50","51+")))</f>
        <v>36-50</v>
      </c>
      <c r="G2110" t="s">
        <v>24</v>
      </c>
      <c r="H2110" t="s">
        <v>69</v>
      </c>
      <c r="I2110" t="s">
        <v>136</v>
      </c>
      <c r="J2110" t="s">
        <v>106</v>
      </c>
      <c r="K2110" t="s">
        <v>314</v>
      </c>
      <c r="L2110">
        <v>6</v>
      </c>
      <c r="M2110">
        <v>479.7</v>
      </c>
      <c r="N2110">
        <v>0.21</v>
      </c>
      <c r="O2110">
        <v>1769.61</v>
      </c>
      <c r="P2110">
        <v>138.58000000000001</v>
      </c>
      <c r="Q2110">
        <v>81.02</v>
      </c>
      <c r="R2110" t="s">
        <v>29</v>
      </c>
      <c r="S2110">
        <v>1</v>
      </c>
      <c r="T2110" t="b">
        <v>0</v>
      </c>
      <c r="U2110" t="s">
        <v>30</v>
      </c>
      <c r="V2110">
        <v>4</v>
      </c>
    </row>
    <row r="2111" spans="1:22" x14ac:dyDescent="0.25">
      <c r="A2111" t="s">
        <v>4713</v>
      </c>
      <c r="B2111" s="1">
        <v>44785</v>
      </c>
      <c r="C2111" t="s">
        <v>4714</v>
      </c>
      <c r="D2111" t="s">
        <v>2851</v>
      </c>
      <c r="E2111">
        <v>26</v>
      </c>
      <c r="F2111" t="str">
        <f>IF(Table1[[#This Row],[age]]&lt;=25,"18-25",IF(Table1[[#This Row],[age]]&lt;=35,"26-35",IF(Table1[[#This Row],[age]]&lt;=50,"36-50","51+")))</f>
        <v>26-35</v>
      </c>
      <c r="G2111" t="s">
        <v>24</v>
      </c>
      <c r="H2111" t="s">
        <v>55</v>
      </c>
      <c r="I2111" t="s">
        <v>97</v>
      </c>
      <c r="J2111" t="s">
        <v>101</v>
      </c>
      <c r="K2111" t="s">
        <v>164</v>
      </c>
      <c r="L2111">
        <v>3</v>
      </c>
      <c r="M2111">
        <v>13900.23</v>
      </c>
      <c r="N2111">
        <v>0.06</v>
      </c>
      <c r="O2111">
        <v>55053.72</v>
      </c>
      <c r="P2111">
        <v>12908.85</v>
      </c>
      <c r="Q2111">
        <v>55.5</v>
      </c>
      <c r="R2111" t="s">
        <v>57</v>
      </c>
      <c r="S2111">
        <v>5</v>
      </c>
      <c r="T2111" t="b">
        <v>0</v>
      </c>
      <c r="U2111" t="s">
        <v>30</v>
      </c>
      <c r="V2111">
        <v>3</v>
      </c>
    </row>
    <row r="2112" spans="1:22" x14ac:dyDescent="0.25">
      <c r="A2112" t="s">
        <v>4715</v>
      </c>
      <c r="B2112" s="1">
        <v>44387</v>
      </c>
      <c r="C2112" t="s">
        <v>4716</v>
      </c>
      <c r="D2112" t="s">
        <v>1333</v>
      </c>
      <c r="E2112">
        <v>48</v>
      </c>
      <c r="F2112" t="str">
        <f>IF(Table1[[#This Row],[age]]&lt;=25,"18-25",IF(Table1[[#This Row],[age]]&lt;=35,"26-35",IF(Table1[[#This Row],[age]]&lt;=50,"36-50","51+")))</f>
        <v>36-50</v>
      </c>
      <c r="G2112" t="s">
        <v>54</v>
      </c>
      <c r="H2112" t="s">
        <v>80</v>
      </c>
      <c r="I2112" t="s">
        <v>81</v>
      </c>
      <c r="J2112" t="s">
        <v>63</v>
      </c>
      <c r="K2112" t="s">
        <v>64</v>
      </c>
      <c r="L2112">
        <v>2</v>
      </c>
      <c r="M2112">
        <v>796.71</v>
      </c>
      <c r="N2112">
        <v>0.25</v>
      </c>
      <c r="O2112">
        <v>1565.52</v>
      </c>
      <c r="P2112">
        <v>494.29</v>
      </c>
      <c r="Q2112">
        <v>79.430000000000007</v>
      </c>
      <c r="R2112" t="s">
        <v>43</v>
      </c>
      <c r="S2112">
        <v>1</v>
      </c>
      <c r="T2112" t="b">
        <v>0</v>
      </c>
      <c r="U2112" t="s">
        <v>93</v>
      </c>
      <c r="V2112">
        <v>7</v>
      </c>
    </row>
    <row r="2113" spans="1:22" x14ac:dyDescent="0.25">
      <c r="A2113" t="s">
        <v>4717</v>
      </c>
      <c r="B2113" s="1">
        <v>45115</v>
      </c>
      <c r="C2113" t="s">
        <v>4718</v>
      </c>
      <c r="D2113" t="s">
        <v>324</v>
      </c>
      <c r="E2113">
        <v>39</v>
      </c>
      <c r="F2113" t="str">
        <f>IF(Table1[[#This Row],[age]]&lt;=25,"18-25",IF(Table1[[#This Row],[age]]&lt;=35,"26-35",IF(Table1[[#This Row],[age]]&lt;=50,"36-50","51+")))</f>
        <v>36-50</v>
      </c>
      <c r="G2113" t="s">
        <v>24</v>
      </c>
      <c r="H2113" t="s">
        <v>80</v>
      </c>
      <c r="I2113" t="s">
        <v>242</v>
      </c>
      <c r="J2113" t="s">
        <v>115</v>
      </c>
      <c r="K2113" t="s">
        <v>197</v>
      </c>
      <c r="L2113">
        <v>10</v>
      </c>
      <c r="M2113">
        <v>75218.460000000006</v>
      </c>
      <c r="N2113">
        <v>0.11</v>
      </c>
      <c r="O2113">
        <v>1071676.26</v>
      </c>
      <c r="P2113">
        <v>126516.22</v>
      </c>
      <c r="Q2113">
        <v>87.54</v>
      </c>
      <c r="R2113" t="s">
        <v>57</v>
      </c>
      <c r="S2113">
        <v>5</v>
      </c>
      <c r="T2113" t="b">
        <v>0</v>
      </c>
      <c r="U2113" t="s">
        <v>30</v>
      </c>
      <c r="V2113">
        <v>6</v>
      </c>
    </row>
    <row r="2114" spans="1:22" x14ac:dyDescent="0.25">
      <c r="A2114" t="s">
        <v>4719</v>
      </c>
      <c r="B2114" s="1">
        <v>44799</v>
      </c>
      <c r="C2114" t="s">
        <v>4720</v>
      </c>
      <c r="D2114" t="s">
        <v>3259</v>
      </c>
      <c r="E2114">
        <v>55</v>
      </c>
      <c r="F2114" t="str">
        <f>IF(Table1[[#This Row],[age]]&lt;=25,"18-25",IF(Table1[[#This Row],[age]]&lt;=35,"26-35",IF(Table1[[#This Row],[age]]&lt;=50,"36-50","51+")))</f>
        <v>51+</v>
      </c>
      <c r="G2114" t="s">
        <v>34</v>
      </c>
      <c r="H2114" t="s">
        <v>80</v>
      </c>
      <c r="I2114" t="s">
        <v>86</v>
      </c>
      <c r="J2114" t="s">
        <v>63</v>
      </c>
      <c r="K2114" t="s">
        <v>82</v>
      </c>
      <c r="L2114">
        <v>3</v>
      </c>
      <c r="M2114">
        <v>2275.89</v>
      </c>
      <c r="N2114">
        <v>0.37</v>
      </c>
      <c r="O2114">
        <v>5784.15</v>
      </c>
      <c r="P2114">
        <v>2003.88</v>
      </c>
      <c r="Q2114">
        <v>91.14</v>
      </c>
      <c r="R2114" t="s">
        <v>57</v>
      </c>
      <c r="S2114">
        <v>2</v>
      </c>
      <c r="T2114" t="b">
        <v>0</v>
      </c>
      <c r="U2114" t="s">
        <v>193</v>
      </c>
      <c r="V2114">
        <v>8</v>
      </c>
    </row>
    <row r="2115" spans="1:22" x14ac:dyDescent="0.25">
      <c r="A2115" t="s">
        <v>4721</v>
      </c>
      <c r="B2115" s="1">
        <v>43984</v>
      </c>
      <c r="C2115" t="s">
        <v>4722</v>
      </c>
      <c r="D2115" t="s">
        <v>502</v>
      </c>
      <c r="E2115">
        <v>35</v>
      </c>
      <c r="F2115" t="str">
        <f>IF(Table1[[#This Row],[age]]&lt;=25,"18-25",IF(Table1[[#This Row],[age]]&lt;=35,"26-35",IF(Table1[[#This Row],[age]]&lt;=50,"36-50","51+")))</f>
        <v>26-35</v>
      </c>
      <c r="G2115" t="s">
        <v>24</v>
      </c>
      <c r="H2115" t="s">
        <v>55</v>
      </c>
      <c r="I2115" t="s">
        <v>114</v>
      </c>
      <c r="J2115" t="s">
        <v>27</v>
      </c>
      <c r="K2115" t="s">
        <v>28</v>
      </c>
      <c r="L2115">
        <v>9</v>
      </c>
      <c r="M2115">
        <v>1088.49</v>
      </c>
      <c r="N2115">
        <v>0.18</v>
      </c>
      <c r="O2115">
        <v>9801.8700000000008</v>
      </c>
      <c r="P2115">
        <v>3831.73</v>
      </c>
      <c r="Q2115">
        <v>58.48</v>
      </c>
      <c r="R2115" t="s">
        <v>57</v>
      </c>
      <c r="S2115">
        <v>1</v>
      </c>
      <c r="T2115" t="b">
        <v>0</v>
      </c>
      <c r="U2115" t="s">
        <v>30</v>
      </c>
      <c r="V2115">
        <v>6</v>
      </c>
    </row>
    <row r="2116" spans="1:22" x14ac:dyDescent="0.25">
      <c r="A2116" t="s">
        <v>4723</v>
      </c>
      <c r="B2116" s="1">
        <v>44585</v>
      </c>
      <c r="C2116" t="s">
        <v>4724</v>
      </c>
      <c r="D2116" t="s">
        <v>307</v>
      </c>
      <c r="E2116">
        <v>47</v>
      </c>
      <c r="F2116" t="str">
        <f>IF(Table1[[#This Row],[age]]&lt;=25,"18-25",IF(Table1[[#This Row],[age]]&lt;=35,"26-35",IF(Table1[[#This Row],[age]]&lt;=50,"36-50","51+")))</f>
        <v>36-50</v>
      </c>
      <c r="G2116" t="s">
        <v>34</v>
      </c>
      <c r="H2116" t="s">
        <v>55</v>
      </c>
      <c r="I2116" t="s">
        <v>114</v>
      </c>
      <c r="J2116" t="s">
        <v>63</v>
      </c>
      <c r="K2116" t="s">
        <v>152</v>
      </c>
      <c r="L2116">
        <v>9</v>
      </c>
      <c r="M2116">
        <v>2676.81</v>
      </c>
      <c r="N2116">
        <v>0.06</v>
      </c>
      <c r="O2116">
        <v>20021.18</v>
      </c>
      <c r="P2116">
        <v>6907.31</v>
      </c>
      <c r="Q2116">
        <v>80.489999999999995</v>
      </c>
      <c r="R2116" t="s">
        <v>29</v>
      </c>
      <c r="S2116">
        <v>1</v>
      </c>
      <c r="T2116" t="b">
        <v>0</v>
      </c>
      <c r="U2116" t="s">
        <v>30</v>
      </c>
      <c r="V2116">
        <v>7</v>
      </c>
    </row>
    <row r="2117" spans="1:22" x14ac:dyDescent="0.25">
      <c r="A2117" t="s">
        <v>4725</v>
      </c>
      <c r="B2117" s="1">
        <v>44424</v>
      </c>
      <c r="C2117" t="s">
        <v>4726</v>
      </c>
      <c r="D2117" t="s">
        <v>459</v>
      </c>
      <c r="E2117">
        <v>27</v>
      </c>
      <c r="F2117" t="str">
        <f>IF(Table1[[#This Row],[age]]&lt;=25,"18-25",IF(Table1[[#This Row],[age]]&lt;=35,"26-35",IF(Table1[[#This Row],[age]]&lt;=50,"36-50","51+")))</f>
        <v>26-35</v>
      </c>
      <c r="G2117" t="s">
        <v>34</v>
      </c>
      <c r="H2117" t="s">
        <v>69</v>
      </c>
      <c r="I2117" t="s">
        <v>181</v>
      </c>
      <c r="J2117" t="s">
        <v>63</v>
      </c>
      <c r="K2117" t="s">
        <v>64</v>
      </c>
      <c r="L2117">
        <v>5</v>
      </c>
      <c r="M2117">
        <v>1016.27</v>
      </c>
      <c r="N2117">
        <v>0.31</v>
      </c>
      <c r="O2117">
        <v>3776.28</v>
      </c>
      <c r="P2117">
        <v>996.28</v>
      </c>
      <c r="Q2117">
        <v>80.84</v>
      </c>
      <c r="R2117" t="s">
        <v>65</v>
      </c>
      <c r="S2117">
        <v>3</v>
      </c>
      <c r="T2117" t="b">
        <v>0</v>
      </c>
      <c r="U2117" t="s">
        <v>30</v>
      </c>
      <c r="V2117">
        <v>8</v>
      </c>
    </row>
    <row r="2118" spans="1:22" x14ac:dyDescent="0.25">
      <c r="A2118" t="s">
        <v>4727</v>
      </c>
      <c r="B2118" s="1">
        <v>45502</v>
      </c>
      <c r="C2118" t="s">
        <v>4728</v>
      </c>
      <c r="D2118" t="s">
        <v>640</v>
      </c>
      <c r="E2118">
        <v>58</v>
      </c>
      <c r="F2118" t="str">
        <f>IF(Table1[[#This Row],[age]]&lt;=25,"18-25",IF(Table1[[#This Row],[age]]&lt;=35,"26-35",IF(Table1[[#This Row],[age]]&lt;=50,"36-50","51+")))</f>
        <v>51+</v>
      </c>
      <c r="G2118" t="s">
        <v>24</v>
      </c>
      <c r="H2118" t="s">
        <v>80</v>
      </c>
      <c r="I2118" t="s">
        <v>81</v>
      </c>
      <c r="J2118" t="s">
        <v>101</v>
      </c>
      <c r="K2118" t="s">
        <v>102</v>
      </c>
      <c r="L2118">
        <v>3</v>
      </c>
      <c r="M2118">
        <v>14603.58</v>
      </c>
      <c r="N2118">
        <v>0.26</v>
      </c>
      <c r="O2118">
        <v>55450.77</v>
      </c>
      <c r="P2118">
        <v>10463.09</v>
      </c>
      <c r="Q2118">
        <v>56.67</v>
      </c>
      <c r="R2118" t="s">
        <v>57</v>
      </c>
      <c r="S2118">
        <v>2</v>
      </c>
      <c r="T2118" t="b">
        <v>0</v>
      </c>
      <c r="U2118" t="s">
        <v>30</v>
      </c>
      <c r="V2118">
        <v>7</v>
      </c>
    </row>
    <row r="2119" spans="1:22" x14ac:dyDescent="0.25">
      <c r="A2119" t="s">
        <v>4729</v>
      </c>
      <c r="B2119" s="1">
        <v>45016</v>
      </c>
      <c r="C2119" t="s">
        <v>4730</v>
      </c>
      <c r="D2119" t="s">
        <v>2024</v>
      </c>
      <c r="E2119">
        <v>40</v>
      </c>
      <c r="F2119" t="str">
        <f>IF(Table1[[#This Row],[age]]&lt;=25,"18-25",IF(Table1[[#This Row],[age]]&lt;=35,"26-35",IF(Table1[[#This Row],[age]]&lt;=50,"36-50","51+")))</f>
        <v>36-50</v>
      </c>
      <c r="G2119" t="s">
        <v>34</v>
      </c>
      <c r="H2119" t="s">
        <v>61</v>
      </c>
      <c r="I2119" t="s">
        <v>141</v>
      </c>
      <c r="J2119" t="s">
        <v>115</v>
      </c>
      <c r="K2119" t="s">
        <v>197</v>
      </c>
      <c r="L2119">
        <v>6</v>
      </c>
      <c r="M2119">
        <v>51056.11</v>
      </c>
      <c r="N2119">
        <v>0.12</v>
      </c>
      <c r="O2119">
        <v>301146.21999999997</v>
      </c>
      <c r="P2119">
        <v>46670.71</v>
      </c>
      <c r="Q2119">
        <v>55.16</v>
      </c>
      <c r="R2119" t="s">
        <v>65</v>
      </c>
      <c r="S2119">
        <v>3</v>
      </c>
      <c r="T2119" t="b">
        <v>1</v>
      </c>
      <c r="U2119" t="s">
        <v>50</v>
      </c>
      <c r="V2119">
        <v>6</v>
      </c>
    </row>
    <row r="2120" spans="1:22" x14ac:dyDescent="0.25">
      <c r="A2120" t="s">
        <v>4731</v>
      </c>
      <c r="B2120" s="1">
        <v>44028</v>
      </c>
      <c r="C2120" t="s">
        <v>4732</v>
      </c>
      <c r="D2120" t="s">
        <v>167</v>
      </c>
      <c r="E2120">
        <v>45</v>
      </c>
      <c r="F2120" t="str">
        <f>IF(Table1[[#This Row],[age]]&lt;=25,"18-25",IF(Table1[[#This Row],[age]]&lt;=35,"26-35",IF(Table1[[#This Row],[age]]&lt;=50,"36-50","51+")))</f>
        <v>36-50</v>
      </c>
      <c r="G2120" t="s">
        <v>34</v>
      </c>
      <c r="H2120" t="s">
        <v>55</v>
      </c>
      <c r="I2120" t="s">
        <v>75</v>
      </c>
      <c r="J2120" t="s">
        <v>106</v>
      </c>
      <c r="K2120" t="s">
        <v>314</v>
      </c>
      <c r="L2120">
        <v>3</v>
      </c>
      <c r="M2120">
        <v>338.27</v>
      </c>
      <c r="N2120">
        <v>0.21</v>
      </c>
      <c r="O2120">
        <v>1105.54</v>
      </c>
      <c r="P2120">
        <v>91.98</v>
      </c>
      <c r="Q2120">
        <v>65.89</v>
      </c>
      <c r="R2120" t="s">
        <v>29</v>
      </c>
      <c r="S2120">
        <v>3</v>
      </c>
      <c r="T2120" t="b">
        <v>0</v>
      </c>
      <c r="U2120" t="s">
        <v>193</v>
      </c>
      <c r="V2120">
        <v>1</v>
      </c>
    </row>
    <row r="2121" spans="1:22" x14ac:dyDescent="0.25">
      <c r="A2121" t="s">
        <v>4733</v>
      </c>
      <c r="B2121" s="1">
        <v>44716</v>
      </c>
      <c r="C2121" t="s">
        <v>4734</v>
      </c>
      <c r="D2121" t="s">
        <v>1203</v>
      </c>
      <c r="E2121">
        <v>24</v>
      </c>
      <c r="F2121" t="str">
        <f>IF(Table1[[#This Row],[age]]&lt;=25,"18-25",IF(Table1[[#This Row],[age]]&lt;=35,"26-35",IF(Table1[[#This Row],[age]]&lt;=50,"36-50","51+")))</f>
        <v>18-25</v>
      </c>
      <c r="G2121" t="s">
        <v>54</v>
      </c>
      <c r="H2121" t="s">
        <v>61</v>
      </c>
      <c r="I2121" t="s">
        <v>163</v>
      </c>
      <c r="J2121" t="s">
        <v>47</v>
      </c>
      <c r="K2121" t="s">
        <v>120</v>
      </c>
      <c r="L2121">
        <v>5</v>
      </c>
      <c r="M2121">
        <v>1362.67</v>
      </c>
      <c r="N2121">
        <v>0.35</v>
      </c>
      <c r="O2121">
        <v>6858.54</v>
      </c>
      <c r="P2121">
        <v>3271.94</v>
      </c>
      <c r="Q2121">
        <v>53.41</v>
      </c>
      <c r="R2121" t="s">
        <v>92</v>
      </c>
      <c r="S2121">
        <v>2</v>
      </c>
      <c r="T2121" t="b">
        <v>0</v>
      </c>
      <c r="U2121" t="s">
        <v>30</v>
      </c>
      <c r="V2121">
        <v>7</v>
      </c>
    </row>
    <row r="2122" spans="1:22" x14ac:dyDescent="0.25">
      <c r="A2122" t="s">
        <v>4735</v>
      </c>
      <c r="B2122" s="1">
        <v>45455</v>
      </c>
      <c r="C2122" t="s">
        <v>4736</v>
      </c>
      <c r="D2122" t="s">
        <v>297</v>
      </c>
      <c r="E2122">
        <v>33</v>
      </c>
      <c r="F2122" t="str">
        <f>IF(Table1[[#This Row],[age]]&lt;=25,"18-25",IF(Table1[[#This Row],[age]]&lt;=35,"26-35",IF(Table1[[#This Row],[age]]&lt;=50,"36-50","51+")))</f>
        <v>26-35</v>
      </c>
      <c r="G2122" t="s">
        <v>34</v>
      </c>
      <c r="H2122" t="s">
        <v>61</v>
      </c>
      <c r="I2122" t="s">
        <v>163</v>
      </c>
      <c r="J2122" t="s">
        <v>36</v>
      </c>
      <c r="K2122" t="s">
        <v>230</v>
      </c>
      <c r="L2122">
        <v>8</v>
      </c>
      <c r="M2122">
        <v>24394.07</v>
      </c>
      <c r="N2122">
        <v>0.35</v>
      </c>
      <c r="O2122">
        <v>188753.55</v>
      </c>
      <c r="P2122">
        <v>52364.3</v>
      </c>
      <c r="Q2122">
        <v>37.42</v>
      </c>
      <c r="R2122" t="s">
        <v>49</v>
      </c>
      <c r="S2122">
        <v>1</v>
      </c>
      <c r="T2122" t="b">
        <v>0</v>
      </c>
      <c r="U2122" t="s">
        <v>30</v>
      </c>
      <c r="V2122">
        <v>2</v>
      </c>
    </row>
    <row r="2123" spans="1:22" x14ac:dyDescent="0.25">
      <c r="A2123" t="s">
        <v>4737</v>
      </c>
      <c r="B2123" s="1">
        <v>44995</v>
      </c>
      <c r="C2123" t="s">
        <v>4738</v>
      </c>
      <c r="D2123" t="s">
        <v>191</v>
      </c>
      <c r="E2123">
        <v>22</v>
      </c>
      <c r="F2123" t="str">
        <f>IF(Table1[[#This Row],[age]]&lt;=25,"18-25",IF(Table1[[#This Row],[age]]&lt;=35,"26-35",IF(Table1[[#This Row],[age]]&lt;=50,"36-50","51+")))</f>
        <v>18-25</v>
      </c>
      <c r="G2123" t="s">
        <v>54</v>
      </c>
      <c r="H2123" t="s">
        <v>61</v>
      </c>
      <c r="I2123" t="s">
        <v>91</v>
      </c>
      <c r="J2123" t="s">
        <v>63</v>
      </c>
      <c r="K2123" t="s">
        <v>434</v>
      </c>
      <c r="L2123">
        <v>9</v>
      </c>
      <c r="M2123">
        <v>2747.04</v>
      </c>
      <c r="N2123">
        <v>0.28999999999999998</v>
      </c>
      <c r="O2123">
        <v>21056.46</v>
      </c>
      <c r="P2123">
        <v>7428.62</v>
      </c>
      <c r="Q2123">
        <v>39.99</v>
      </c>
      <c r="R2123" t="s">
        <v>92</v>
      </c>
      <c r="S2123">
        <v>3</v>
      </c>
      <c r="T2123" t="b">
        <v>0</v>
      </c>
      <c r="U2123" t="s">
        <v>71</v>
      </c>
      <c r="V2123">
        <v>7</v>
      </c>
    </row>
    <row r="2124" spans="1:22" x14ac:dyDescent="0.25">
      <c r="A2124" t="s">
        <v>4739</v>
      </c>
      <c r="B2124" s="1">
        <v>44221</v>
      </c>
      <c r="C2124" t="s">
        <v>4740</v>
      </c>
      <c r="D2124" t="s">
        <v>1291</v>
      </c>
      <c r="E2124">
        <v>28</v>
      </c>
      <c r="F2124" t="str">
        <f>IF(Table1[[#This Row],[age]]&lt;=25,"18-25",IF(Table1[[#This Row],[age]]&lt;=35,"26-35",IF(Table1[[#This Row],[age]]&lt;=50,"36-50","51+")))</f>
        <v>26-35</v>
      </c>
      <c r="G2124" t="s">
        <v>34</v>
      </c>
      <c r="H2124" t="s">
        <v>55</v>
      </c>
      <c r="I2124" t="s">
        <v>97</v>
      </c>
      <c r="J2124" t="s">
        <v>101</v>
      </c>
      <c r="K2124" t="s">
        <v>214</v>
      </c>
      <c r="L2124">
        <v>4</v>
      </c>
      <c r="M2124">
        <v>11854.96</v>
      </c>
      <c r="N2124">
        <v>0</v>
      </c>
      <c r="O2124">
        <v>42761.49</v>
      </c>
      <c r="P2124">
        <v>9643.25</v>
      </c>
      <c r="Q2124">
        <v>65.47</v>
      </c>
      <c r="R2124" t="s">
        <v>92</v>
      </c>
      <c r="S2124">
        <v>2</v>
      </c>
      <c r="T2124" t="b">
        <v>0</v>
      </c>
      <c r="U2124" t="s">
        <v>30</v>
      </c>
      <c r="V2124">
        <v>3</v>
      </c>
    </row>
    <row r="2125" spans="1:22" x14ac:dyDescent="0.25">
      <c r="A2125" t="s">
        <v>4741</v>
      </c>
      <c r="B2125" s="1">
        <v>45458</v>
      </c>
      <c r="C2125" t="s">
        <v>4742</v>
      </c>
      <c r="D2125" t="s">
        <v>1074</v>
      </c>
      <c r="E2125">
        <v>24</v>
      </c>
      <c r="F2125" t="str">
        <f>IF(Table1[[#This Row],[age]]&lt;=25,"18-25",IF(Table1[[#This Row],[age]]&lt;=35,"26-35",IF(Table1[[#This Row],[age]]&lt;=50,"36-50","51+")))</f>
        <v>18-25</v>
      </c>
      <c r="G2125" t="s">
        <v>24</v>
      </c>
      <c r="H2125" t="s">
        <v>69</v>
      </c>
      <c r="I2125" t="s">
        <v>181</v>
      </c>
      <c r="J2125" t="s">
        <v>115</v>
      </c>
      <c r="K2125" t="s">
        <v>197</v>
      </c>
      <c r="L2125">
        <v>4</v>
      </c>
      <c r="M2125">
        <v>56393.82</v>
      </c>
      <c r="N2125">
        <v>0.37</v>
      </c>
      <c r="O2125">
        <v>238585.21</v>
      </c>
      <c r="P2125">
        <v>36073.620000000003</v>
      </c>
      <c r="Q2125">
        <v>49.73</v>
      </c>
      <c r="R2125" t="s">
        <v>65</v>
      </c>
      <c r="S2125">
        <v>2</v>
      </c>
      <c r="T2125" t="b">
        <v>0</v>
      </c>
      <c r="U2125" t="s">
        <v>30</v>
      </c>
      <c r="V2125">
        <v>10</v>
      </c>
    </row>
    <row r="2126" spans="1:22" x14ac:dyDescent="0.25">
      <c r="A2126" t="s">
        <v>4743</v>
      </c>
      <c r="B2126" s="1">
        <v>45299</v>
      </c>
      <c r="C2126" t="s">
        <v>4744</v>
      </c>
      <c r="D2126" t="s">
        <v>1136</v>
      </c>
      <c r="E2126">
        <v>53</v>
      </c>
      <c r="F2126" t="str">
        <f>IF(Table1[[#This Row],[age]]&lt;=25,"18-25",IF(Table1[[#This Row],[age]]&lt;=35,"26-35",IF(Table1[[#This Row],[age]]&lt;=50,"36-50","51+")))</f>
        <v>51+</v>
      </c>
      <c r="G2126" t="s">
        <v>24</v>
      </c>
      <c r="H2126" t="s">
        <v>69</v>
      </c>
      <c r="I2126" t="s">
        <v>221</v>
      </c>
      <c r="J2126" t="s">
        <v>106</v>
      </c>
      <c r="K2126" t="s">
        <v>331</v>
      </c>
      <c r="L2126">
        <v>8</v>
      </c>
      <c r="M2126">
        <v>300.87</v>
      </c>
      <c r="N2126">
        <v>0.35</v>
      </c>
      <c r="O2126">
        <v>1616.03</v>
      </c>
      <c r="P2126">
        <v>134.52000000000001</v>
      </c>
      <c r="Q2126">
        <v>86.63</v>
      </c>
      <c r="R2126" t="s">
        <v>29</v>
      </c>
      <c r="S2126">
        <v>2</v>
      </c>
      <c r="T2126" t="b">
        <v>0</v>
      </c>
      <c r="U2126" t="s">
        <v>71</v>
      </c>
      <c r="V2126">
        <v>10</v>
      </c>
    </row>
    <row r="2127" spans="1:22" x14ac:dyDescent="0.25">
      <c r="A2127" t="s">
        <v>4745</v>
      </c>
      <c r="B2127" s="1">
        <v>45630</v>
      </c>
      <c r="C2127" t="s">
        <v>4746</v>
      </c>
      <c r="D2127" t="s">
        <v>262</v>
      </c>
      <c r="E2127">
        <v>47</v>
      </c>
      <c r="F2127" t="str">
        <f>IF(Table1[[#This Row],[age]]&lt;=25,"18-25",IF(Table1[[#This Row],[age]]&lt;=35,"26-35",IF(Table1[[#This Row],[age]]&lt;=50,"36-50","51+")))</f>
        <v>36-50</v>
      </c>
      <c r="G2127" t="s">
        <v>24</v>
      </c>
      <c r="H2127" t="s">
        <v>55</v>
      </c>
      <c r="I2127" t="s">
        <v>75</v>
      </c>
      <c r="J2127" t="s">
        <v>27</v>
      </c>
      <c r="K2127" t="s">
        <v>480</v>
      </c>
      <c r="L2127">
        <v>9</v>
      </c>
      <c r="M2127">
        <v>173.38</v>
      </c>
      <c r="N2127">
        <v>0.35</v>
      </c>
      <c r="O2127">
        <v>967.63</v>
      </c>
      <c r="P2127">
        <v>355.07</v>
      </c>
      <c r="Q2127">
        <v>33.17</v>
      </c>
      <c r="R2127" t="s">
        <v>49</v>
      </c>
      <c r="S2127">
        <v>5</v>
      </c>
      <c r="T2127" t="b">
        <v>0</v>
      </c>
      <c r="U2127" t="s">
        <v>71</v>
      </c>
      <c r="V2127">
        <v>10</v>
      </c>
    </row>
    <row r="2128" spans="1:22" x14ac:dyDescent="0.25">
      <c r="A2128" t="s">
        <v>4747</v>
      </c>
      <c r="B2128" s="1">
        <v>45554</v>
      </c>
      <c r="C2128" t="s">
        <v>4748</v>
      </c>
      <c r="D2128" t="s">
        <v>3889</v>
      </c>
      <c r="E2128">
        <v>31</v>
      </c>
      <c r="F2128" t="str">
        <f>IF(Table1[[#This Row],[age]]&lt;=25,"18-25",IF(Table1[[#This Row],[age]]&lt;=35,"26-35",IF(Table1[[#This Row],[age]]&lt;=50,"36-50","51+")))</f>
        <v>26-35</v>
      </c>
      <c r="G2128" t="s">
        <v>54</v>
      </c>
      <c r="H2128" t="s">
        <v>80</v>
      </c>
      <c r="I2128" t="s">
        <v>242</v>
      </c>
      <c r="J2128" t="s">
        <v>27</v>
      </c>
      <c r="K2128" t="s">
        <v>168</v>
      </c>
      <c r="L2128">
        <v>10</v>
      </c>
      <c r="M2128">
        <v>1064.73</v>
      </c>
      <c r="N2128">
        <v>0.23</v>
      </c>
      <c r="O2128">
        <v>9344.7099999999991</v>
      </c>
      <c r="P2128">
        <v>3730.48</v>
      </c>
      <c r="Q2128">
        <v>58.78</v>
      </c>
      <c r="R2128" t="s">
        <v>57</v>
      </c>
      <c r="S2128">
        <v>2</v>
      </c>
      <c r="T2128" t="b">
        <v>0</v>
      </c>
      <c r="U2128" t="s">
        <v>71</v>
      </c>
      <c r="V2128">
        <v>2</v>
      </c>
    </row>
    <row r="2129" spans="1:22" x14ac:dyDescent="0.25">
      <c r="A2129" t="s">
        <v>4749</v>
      </c>
      <c r="B2129" s="1">
        <v>44748</v>
      </c>
      <c r="C2129" t="s">
        <v>4750</v>
      </c>
      <c r="D2129" t="s">
        <v>1825</v>
      </c>
      <c r="E2129">
        <v>50</v>
      </c>
      <c r="F2129" t="str">
        <f>IF(Table1[[#This Row],[age]]&lt;=25,"18-25",IF(Table1[[#This Row],[age]]&lt;=35,"26-35",IF(Table1[[#This Row],[age]]&lt;=50,"36-50","51+")))</f>
        <v>36-50</v>
      </c>
      <c r="G2129" t="s">
        <v>34</v>
      </c>
      <c r="H2129" t="s">
        <v>80</v>
      </c>
      <c r="I2129" t="s">
        <v>81</v>
      </c>
      <c r="J2129" t="s">
        <v>36</v>
      </c>
      <c r="K2129" t="s">
        <v>230</v>
      </c>
      <c r="L2129">
        <v>5</v>
      </c>
      <c r="M2129">
        <v>33788.21</v>
      </c>
      <c r="N2129">
        <v>0.14000000000000001</v>
      </c>
      <c r="O2129">
        <v>211505.45</v>
      </c>
      <c r="P2129">
        <v>61443.22</v>
      </c>
      <c r="Q2129">
        <v>95.75</v>
      </c>
      <c r="R2129" t="s">
        <v>49</v>
      </c>
      <c r="S2129">
        <v>3</v>
      </c>
      <c r="T2129" t="b">
        <v>1</v>
      </c>
      <c r="U2129" t="s">
        <v>50</v>
      </c>
      <c r="V2129">
        <v>7</v>
      </c>
    </row>
    <row r="2130" spans="1:22" x14ac:dyDescent="0.25">
      <c r="A2130" t="s">
        <v>4751</v>
      </c>
      <c r="B2130" s="1">
        <v>44545</v>
      </c>
      <c r="C2130" t="s">
        <v>4752</v>
      </c>
      <c r="D2130" t="s">
        <v>826</v>
      </c>
      <c r="E2130">
        <v>25</v>
      </c>
      <c r="F2130" t="str">
        <f>IF(Table1[[#This Row],[age]]&lt;=25,"18-25",IF(Table1[[#This Row],[age]]&lt;=35,"26-35",IF(Table1[[#This Row],[age]]&lt;=50,"36-50","51+")))</f>
        <v>18-25</v>
      </c>
      <c r="G2130" t="s">
        <v>34</v>
      </c>
      <c r="H2130" t="s">
        <v>25</v>
      </c>
      <c r="I2130" t="s">
        <v>298</v>
      </c>
      <c r="J2130" t="s">
        <v>27</v>
      </c>
      <c r="K2130" t="s">
        <v>480</v>
      </c>
      <c r="L2130">
        <v>4</v>
      </c>
      <c r="M2130">
        <v>2108.75</v>
      </c>
      <c r="N2130">
        <v>0.32</v>
      </c>
      <c r="O2130">
        <v>4272.12</v>
      </c>
      <c r="P2130">
        <v>1577.65</v>
      </c>
      <c r="Q2130">
        <v>74.62</v>
      </c>
      <c r="R2130" t="s">
        <v>43</v>
      </c>
      <c r="S2130">
        <v>2</v>
      </c>
      <c r="T2130" t="b">
        <v>0</v>
      </c>
      <c r="U2130" t="s">
        <v>30</v>
      </c>
      <c r="V2130">
        <v>6</v>
      </c>
    </row>
    <row r="2131" spans="1:22" x14ac:dyDescent="0.25">
      <c r="A2131" t="s">
        <v>4753</v>
      </c>
      <c r="B2131" s="1">
        <v>44782</v>
      </c>
      <c r="C2131" t="s">
        <v>4754</v>
      </c>
      <c r="D2131" t="s">
        <v>564</v>
      </c>
      <c r="E2131">
        <v>42</v>
      </c>
      <c r="F2131" t="str">
        <f>IF(Table1[[#This Row],[age]]&lt;=25,"18-25",IF(Table1[[#This Row],[age]]&lt;=35,"26-35",IF(Table1[[#This Row],[age]]&lt;=50,"36-50","51+")))</f>
        <v>36-50</v>
      </c>
      <c r="G2131" t="s">
        <v>34</v>
      </c>
      <c r="H2131" t="s">
        <v>55</v>
      </c>
      <c r="I2131" t="s">
        <v>97</v>
      </c>
      <c r="J2131" t="s">
        <v>47</v>
      </c>
      <c r="K2131" t="s">
        <v>48</v>
      </c>
      <c r="L2131">
        <v>3</v>
      </c>
      <c r="M2131">
        <v>969.7</v>
      </c>
      <c r="N2131">
        <v>0.1</v>
      </c>
      <c r="O2131">
        <v>3355.24</v>
      </c>
      <c r="P2131">
        <v>1386.74</v>
      </c>
      <c r="Q2131">
        <v>44.19</v>
      </c>
      <c r="R2131" t="s">
        <v>57</v>
      </c>
      <c r="S2131">
        <v>1</v>
      </c>
      <c r="T2131" t="b">
        <v>0</v>
      </c>
      <c r="U2131" t="s">
        <v>30</v>
      </c>
      <c r="V2131">
        <v>4</v>
      </c>
    </row>
    <row r="2132" spans="1:22" x14ac:dyDescent="0.25">
      <c r="A2132" t="s">
        <v>4755</v>
      </c>
      <c r="B2132" s="1">
        <v>45168</v>
      </c>
      <c r="C2132" t="s">
        <v>4756</v>
      </c>
      <c r="D2132" t="s">
        <v>2104</v>
      </c>
      <c r="E2132">
        <v>27</v>
      </c>
      <c r="F2132" t="str">
        <f>IF(Table1[[#This Row],[age]]&lt;=25,"18-25",IF(Table1[[#This Row],[age]]&lt;=35,"26-35",IF(Table1[[#This Row],[age]]&lt;=50,"36-50","51+")))</f>
        <v>26-35</v>
      </c>
      <c r="G2132" t="s">
        <v>54</v>
      </c>
      <c r="H2132" t="s">
        <v>55</v>
      </c>
      <c r="I2132" t="s">
        <v>97</v>
      </c>
      <c r="J2132" t="s">
        <v>27</v>
      </c>
      <c r="K2132" t="s">
        <v>335</v>
      </c>
      <c r="L2132">
        <v>10</v>
      </c>
      <c r="M2132">
        <v>427.76</v>
      </c>
      <c r="N2132">
        <v>0.04</v>
      </c>
      <c r="O2132">
        <v>4968.59</v>
      </c>
      <c r="P2132">
        <v>1801.67</v>
      </c>
      <c r="Q2132">
        <v>67.38</v>
      </c>
      <c r="R2132" t="s">
        <v>65</v>
      </c>
      <c r="S2132">
        <v>5</v>
      </c>
      <c r="T2132" t="b">
        <v>0</v>
      </c>
      <c r="U2132" t="s">
        <v>30</v>
      </c>
      <c r="V2132">
        <v>1</v>
      </c>
    </row>
    <row r="2133" spans="1:22" x14ac:dyDescent="0.25">
      <c r="A2133" t="s">
        <v>4757</v>
      </c>
      <c r="B2133" s="1">
        <v>45081</v>
      </c>
      <c r="C2133" t="s">
        <v>4758</v>
      </c>
      <c r="D2133" t="s">
        <v>1644</v>
      </c>
      <c r="E2133">
        <v>38</v>
      </c>
      <c r="F2133" t="str">
        <f>IF(Table1[[#This Row],[age]]&lt;=25,"18-25",IF(Table1[[#This Row],[age]]&lt;=35,"26-35",IF(Table1[[#This Row],[age]]&lt;=50,"36-50","51+")))</f>
        <v>36-50</v>
      </c>
      <c r="G2133" t="s">
        <v>54</v>
      </c>
      <c r="H2133" t="s">
        <v>55</v>
      </c>
      <c r="I2133" t="s">
        <v>75</v>
      </c>
      <c r="J2133" t="s">
        <v>106</v>
      </c>
      <c r="K2133" t="s">
        <v>247</v>
      </c>
      <c r="L2133">
        <v>9</v>
      </c>
      <c r="M2133">
        <v>458.95</v>
      </c>
      <c r="N2133">
        <v>0.24</v>
      </c>
      <c r="O2133">
        <v>5524.99</v>
      </c>
      <c r="P2133">
        <v>539.29999999999995</v>
      </c>
      <c r="Q2133">
        <v>58.47</v>
      </c>
      <c r="R2133" t="s">
        <v>65</v>
      </c>
      <c r="S2133">
        <v>2</v>
      </c>
      <c r="T2133" t="b">
        <v>1</v>
      </c>
      <c r="U2133" t="s">
        <v>50</v>
      </c>
      <c r="V2133">
        <v>9</v>
      </c>
    </row>
    <row r="2134" spans="1:22" x14ac:dyDescent="0.25">
      <c r="A2134" t="s">
        <v>4759</v>
      </c>
      <c r="B2134" s="1">
        <v>44510</v>
      </c>
      <c r="C2134" t="s">
        <v>4760</v>
      </c>
      <c r="D2134" t="s">
        <v>1566</v>
      </c>
      <c r="E2134">
        <v>62</v>
      </c>
      <c r="F2134" t="str">
        <f>IF(Table1[[#This Row],[age]]&lt;=25,"18-25",IF(Table1[[#This Row],[age]]&lt;=35,"26-35",IF(Table1[[#This Row],[age]]&lt;=50,"36-50","51+")))</f>
        <v>51+</v>
      </c>
      <c r="G2134" t="s">
        <v>54</v>
      </c>
      <c r="H2134" t="s">
        <v>80</v>
      </c>
      <c r="I2134" t="s">
        <v>86</v>
      </c>
      <c r="J2134" t="s">
        <v>106</v>
      </c>
      <c r="K2134" t="s">
        <v>331</v>
      </c>
      <c r="L2134">
        <v>2</v>
      </c>
      <c r="M2134">
        <v>331.43</v>
      </c>
      <c r="N2134">
        <v>0.15</v>
      </c>
      <c r="O2134">
        <v>388.61</v>
      </c>
      <c r="P2134">
        <v>21.42</v>
      </c>
      <c r="Q2134">
        <v>54.3</v>
      </c>
      <c r="R2134" t="s">
        <v>65</v>
      </c>
      <c r="S2134">
        <v>2</v>
      </c>
      <c r="T2134" t="b">
        <v>0</v>
      </c>
      <c r="U2134" t="s">
        <v>30</v>
      </c>
      <c r="V2134">
        <v>4</v>
      </c>
    </row>
    <row r="2135" spans="1:22" x14ac:dyDescent="0.25">
      <c r="A2135" t="s">
        <v>4761</v>
      </c>
      <c r="B2135" s="1">
        <v>44229</v>
      </c>
      <c r="C2135" t="s">
        <v>4762</v>
      </c>
      <c r="D2135" t="s">
        <v>485</v>
      </c>
      <c r="E2135">
        <v>41</v>
      </c>
      <c r="F2135" t="str">
        <f>IF(Table1[[#This Row],[age]]&lt;=25,"18-25",IF(Table1[[#This Row],[age]]&lt;=35,"26-35",IF(Table1[[#This Row],[age]]&lt;=50,"36-50","51+")))</f>
        <v>36-50</v>
      </c>
      <c r="G2135" t="s">
        <v>54</v>
      </c>
      <c r="H2135" t="s">
        <v>61</v>
      </c>
      <c r="I2135" t="s">
        <v>163</v>
      </c>
      <c r="J2135" t="s">
        <v>106</v>
      </c>
      <c r="K2135" t="s">
        <v>314</v>
      </c>
      <c r="L2135">
        <v>1</v>
      </c>
      <c r="M2135">
        <v>409.48</v>
      </c>
      <c r="N2135">
        <v>0.32</v>
      </c>
      <c r="O2135">
        <v>275.92</v>
      </c>
      <c r="P2135">
        <v>21.85</v>
      </c>
      <c r="Q2135">
        <v>52.01</v>
      </c>
      <c r="R2135" t="s">
        <v>65</v>
      </c>
      <c r="S2135">
        <v>5</v>
      </c>
      <c r="T2135" t="b">
        <v>0</v>
      </c>
      <c r="U2135" t="s">
        <v>71</v>
      </c>
      <c r="V2135">
        <v>5</v>
      </c>
    </row>
    <row r="2136" spans="1:22" x14ac:dyDescent="0.25">
      <c r="A2136" t="s">
        <v>4763</v>
      </c>
      <c r="B2136" s="1">
        <v>43993</v>
      </c>
      <c r="C2136" t="s">
        <v>4764</v>
      </c>
      <c r="D2136" t="s">
        <v>271</v>
      </c>
      <c r="E2136">
        <v>29</v>
      </c>
      <c r="F2136" t="str">
        <f>IF(Table1[[#This Row],[age]]&lt;=25,"18-25",IF(Table1[[#This Row],[age]]&lt;=35,"26-35",IF(Table1[[#This Row],[age]]&lt;=50,"36-50","51+")))</f>
        <v>26-35</v>
      </c>
      <c r="G2136" t="s">
        <v>24</v>
      </c>
      <c r="H2136" t="s">
        <v>25</v>
      </c>
      <c r="I2136" t="s">
        <v>35</v>
      </c>
      <c r="J2136" t="s">
        <v>101</v>
      </c>
      <c r="K2136" t="s">
        <v>164</v>
      </c>
      <c r="L2136">
        <v>7</v>
      </c>
      <c r="M2136">
        <v>9615.9</v>
      </c>
      <c r="N2136">
        <v>0.34</v>
      </c>
      <c r="O2136">
        <v>53730.92</v>
      </c>
      <c r="P2136">
        <v>13253.84</v>
      </c>
      <c r="Q2136">
        <v>48.62</v>
      </c>
      <c r="R2136" t="s">
        <v>43</v>
      </c>
      <c r="S2136">
        <v>3</v>
      </c>
      <c r="T2136" t="b">
        <v>1</v>
      </c>
      <c r="U2136" t="s">
        <v>50</v>
      </c>
      <c r="V2136">
        <v>8</v>
      </c>
    </row>
    <row r="2137" spans="1:22" x14ac:dyDescent="0.25">
      <c r="A2137" t="s">
        <v>4765</v>
      </c>
      <c r="B2137" s="1">
        <v>44971</v>
      </c>
      <c r="C2137" t="s">
        <v>4766</v>
      </c>
      <c r="D2137" t="s">
        <v>3259</v>
      </c>
      <c r="E2137">
        <v>30</v>
      </c>
      <c r="F2137" t="str">
        <f>IF(Table1[[#This Row],[age]]&lt;=25,"18-25",IF(Table1[[#This Row],[age]]&lt;=35,"26-35",IF(Table1[[#This Row],[age]]&lt;=50,"36-50","51+")))</f>
        <v>26-35</v>
      </c>
      <c r="G2137" t="s">
        <v>24</v>
      </c>
      <c r="H2137" t="s">
        <v>55</v>
      </c>
      <c r="I2137" t="s">
        <v>97</v>
      </c>
      <c r="J2137" t="s">
        <v>115</v>
      </c>
      <c r="K2137" t="s">
        <v>398</v>
      </c>
      <c r="L2137">
        <v>9</v>
      </c>
      <c r="M2137">
        <v>65519.43</v>
      </c>
      <c r="N2137">
        <v>0.23</v>
      </c>
      <c r="O2137">
        <v>483891.6</v>
      </c>
      <c r="P2137">
        <v>51648.1</v>
      </c>
      <c r="Q2137">
        <v>68.64</v>
      </c>
      <c r="R2137" t="s">
        <v>57</v>
      </c>
      <c r="S2137">
        <v>1</v>
      </c>
      <c r="T2137" t="b">
        <v>1</v>
      </c>
      <c r="U2137" t="s">
        <v>50</v>
      </c>
      <c r="V2137">
        <v>9</v>
      </c>
    </row>
    <row r="2138" spans="1:22" x14ac:dyDescent="0.25">
      <c r="A2138" t="s">
        <v>4767</v>
      </c>
      <c r="B2138" s="1">
        <v>45445</v>
      </c>
      <c r="C2138" t="s">
        <v>4768</v>
      </c>
      <c r="D2138" t="s">
        <v>1498</v>
      </c>
      <c r="E2138">
        <v>44</v>
      </c>
      <c r="F2138" t="str">
        <f>IF(Table1[[#This Row],[age]]&lt;=25,"18-25",IF(Table1[[#This Row],[age]]&lt;=35,"26-35",IF(Table1[[#This Row],[age]]&lt;=50,"36-50","51+")))</f>
        <v>36-50</v>
      </c>
      <c r="G2138" t="s">
        <v>54</v>
      </c>
      <c r="H2138" t="s">
        <v>69</v>
      </c>
      <c r="I2138" t="s">
        <v>221</v>
      </c>
      <c r="J2138" t="s">
        <v>63</v>
      </c>
      <c r="K2138" t="s">
        <v>434</v>
      </c>
      <c r="L2138">
        <v>2</v>
      </c>
      <c r="M2138">
        <v>843.73</v>
      </c>
      <c r="N2138">
        <v>0.32</v>
      </c>
      <c r="O2138">
        <v>1839.05</v>
      </c>
      <c r="P2138">
        <v>660.61</v>
      </c>
      <c r="Q2138">
        <v>92.53</v>
      </c>
      <c r="R2138" t="s">
        <v>65</v>
      </c>
      <c r="S2138">
        <v>5</v>
      </c>
      <c r="T2138" t="b">
        <v>0</v>
      </c>
      <c r="U2138" t="s">
        <v>30</v>
      </c>
      <c r="V2138">
        <v>10</v>
      </c>
    </row>
    <row r="2139" spans="1:22" x14ac:dyDescent="0.25">
      <c r="A2139" t="s">
        <v>4769</v>
      </c>
      <c r="B2139" s="1">
        <v>44955</v>
      </c>
      <c r="C2139" t="s">
        <v>4770</v>
      </c>
      <c r="D2139" t="s">
        <v>660</v>
      </c>
      <c r="E2139">
        <v>33</v>
      </c>
      <c r="F2139" t="str">
        <f>IF(Table1[[#This Row],[age]]&lt;=25,"18-25",IF(Table1[[#This Row],[age]]&lt;=35,"26-35",IF(Table1[[#This Row],[age]]&lt;=50,"36-50","51+")))</f>
        <v>26-35</v>
      </c>
      <c r="G2139" t="s">
        <v>24</v>
      </c>
      <c r="H2139" t="s">
        <v>80</v>
      </c>
      <c r="I2139" t="s">
        <v>81</v>
      </c>
      <c r="J2139" t="s">
        <v>106</v>
      </c>
      <c r="K2139" t="s">
        <v>107</v>
      </c>
      <c r="L2139">
        <v>3</v>
      </c>
      <c r="M2139">
        <v>443.89</v>
      </c>
      <c r="N2139">
        <v>0.01</v>
      </c>
      <c r="O2139">
        <v>1152.72</v>
      </c>
      <c r="P2139">
        <v>75.7</v>
      </c>
      <c r="Q2139">
        <v>66.88</v>
      </c>
      <c r="R2139" t="s">
        <v>49</v>
      </c>
      <c r="S2139">
        <v>4</v>
      </c>
      <c r="T2139" t="b">
        <v>0</v>
      </c>
      <c r="U2139" t="s">
        <v>30</v>
      </c>
      <c r="V2139">
        <v>9</v>
      </c>
    </row>
    <row r="2140" spans="1:22" x14ac:dyDescent="0.25">
      <c r="A2140" t="s">
        <v>4771</v>
      </c>
      <c r="B2140" s="1">
        <v>44662</v>
      </c>
      <c r="C2140" t="s">
        <v>4772</v>
      </c>
      <c r="D2140" t="s">
        <v>1566</v>
      </c>
      <c r="E2140">
        <v>62</v>
      </c>
      <c r="F2140" t="str">
        <f>IF(Table1[[#This Row],[age]]&lt;=25,"18-25",IF(Table1[[#This Row],[age]]&lt;=35,"26-35",IF(Table1[[#This Row],[age]]&lt;=50,"36-50","51+")))</f>
        <v>51+</v>
      </c>
      <c r="G2140" t="s">
        <v>54</v>
      </c>
      <c r="H2140" t="s">
        <v>25</v>
      </c>
      <c r="I2140" t="s">
        <v>298</v>
      </c>
      <c r="J2140" t="s">
        <v>27</v>
      </c>
      <c r="K2140" t="s">
        <v>335</v>
      </c>
      <c r="L2140">
        <v>7</v>
      </c>
      <c r="M2140">
        <v>519.13</v>
      </c>
      <c r="N2140">
        <v>0.35</v>
      </c>
      <c r="O2140">
        <v>3102.68</v>
      </c>
      <c r="P2140">
        <v>1514.19</v>
      </c>
      <c r="Q2140">
        <v>82.54</v>
      </c>
      <c r="R2140" t="s">
        <v>49</v>
      </c>
      <c r="S2140">
        <v>1</v>
      </c>
      <c r="T2140" t="b">
        <v>1</v>
      </c>
      <c r="U2140" t="s">
        <v>50</v>
      </c>
      <c r="V2140">
        <v>9</v>
      </c>
    </row>
    <row r="2141" spans="1:22" x14ac:dyDescent="0.25">
      <c r="A2141" t="s">
        <v>4773</v>
      </c>
      <c r="B2141" s="1">
        <v>44930</v>
      </c>
      <c r="C2141" t="s">
        <v>4774</v>
      </c>
      <c r="D2141" t="s">
        <v>643</v>
      </c>
      <c r="E2141">
        <v>36</v>
      </c>
      <c r="F2141" t="str">
        <f>IF(Table1[[#This Row],[age]]&lt;=25,"18-25",IF(Table1[[#This Row],[age]]&lt;=35,"26-35",IF(Table1[[#This Row],[age]]&lt;=50,"36-50","51+")))</f>
        <v>36-50</v>
      </c>
      <c r="G2141" t="s">
        <v>24</v>
      </c>
      <c r="H2141" t="s">
        <v>55</v>
      </c>
      <c r="I2141" t="s">
        <v>97</v>
      </c>
      <c r="J2141" t="s">
        <v>101</v>
      </c>
      <c r="K2141" t="s">
        <v>318</v>
      </c>
      <c r="L2141">
        <v>8</v>
      </c>
      <c r="M2141">
        <v>6382.18</v>
      </c>
      <c r="N2141">
        <v>0.37</v>
      </c>
      <c r="O2141">
        <v>26872.75</v>
      </c>
      <c r="P2141">
        <v>3931.39</v>
      </c>
      <c r="Q2141">
        <v>52.42</v>
      </c>
      <c r="R2141" t="s">
        <v>65</v>
      </c>
      <c r="S2141">
        <v>1</v>
      </c>
      <c r="T2141" t="b">
        <v>1</v>
      </c>
      <c r="U2141" t="s">
        <v>50</v>
      </c>
      <c r="V2141">
        <v>8</v>
      </c>
    </row>
    <row r="2142" spans="1:22" x14ac:dyDescent="0.25">
      <c r="A2142" t="s">
        <v>4775</v>
      </c>
      <c r="B2142" s="1">
        <v>44211</v>
      </c>
      <c r="C2142" t="s">
        <v>4776</v>
      </c>
      <c r="D2142" t="s">
        <v>313</v>
      </c>
      <c r="E2142">
        <v>42</v>
      </c>
      <c r="F2142" t="str">
        <f>IF(Table1[[#This Row],[age]]&lt;=25,"18-25",IF(Table1[[#This Row],[age]]&lt;=35,"26-35",IF(Table1[[#This Row],[age]]&lt;=50,"36-50","51+")))</f>
        <v>36-50</v>
      </c>
      <c r="G2142" t="s">
        <v>34</v>
      </c>
      <c r="H2142" t="s">
        <v>80</v>
      </c>
      <c r="I2142" t="s">
        <v>242</v>
      </c>
      <c r="J2142" t="s">
        <v>36</v>
      </c>
      <c r="K2142" t="s">
        <v>230</v>
      </c>
      <c r="L2142">
        <v>10</v>
      </c>
      <c r="M2142">
        <v>25214.06</v>
      </c>
      <c r="N2142">
        <v>0.36</v>
      </c>
      <c r="O2142">
        <v>131999.09</v>
      </c>
      <c r="P2142">
        <v>39084.78</v>
      </c>
      <c r="Q2142">
        <v>68.52</v>
      </c>
      <c r="R2142" t="s">
        <v>57</v>
      </c>
      <c r="S2142">
        <v>5</v>
      </c>
      <c r="T2142" t="b">
        <v>1</v>
      </c>
      <c r="U2142" t="s">
        <v>50</v>
      </c>
      <c r="V2142">
        <v>3</v>
      </c>
    </row>
    <row r="2143" spans="1:22" x14ac:dyDescent="0.25">
      <c r="A2143" t="s">
        <v>4777</v>
      </c>
      <c r="B2143" s="1">
        <v>44381</v>
      </c>
      <c r="C2143" t="s">
        <v>4778</v>
      </c>
      <c r="D2143" t="s">
        <v>637</v>
      </c>
      <c r="E2143">
        <v>27</v>
      </c>
      <c r="F2143" t="str">
        <f>IF(Table1[[#This Row],[age]]&lt;=25,"18-25",IF(Table1[[#This Row],[age]]&lt;=35,"26-35",IF(Table1[[#This Row],[age]]&lt;=50,"36-50","51+")))</f>
        <v>26-35</v>
      </c>
      <c r="G2143" t="s">
        <v>24</v>
      </c>
      <c r="H2143" t="s">
        <v>61</v>
      </c>
      <c r="I2143" t="s">
        <v>163</v>
      </c>
      <c r="J2143" t="s">
        <v>115</v>
      </c>
      <c r="K2143" t="s">
        <v>116</v>
      </c>
      <c r="L2143">
        <v>5</v>
      </c>
      <c r="M2143">
        <v>42777.53</v>
      </c>
      <c r="N2143">
        <v>0.21</v>
      </c>
      <c r="O2143">
        <v>192877.7</v>
      </c>
      <c r="P2143">
        <v>27062.25</v>
      </c>
      <c r="Q2143">
        <v>46.76</v>
      </c>
      <c r="R2143" t="s">
        <v>29</v>
      </c>
      <c r="S2143">
        <v>2</v>
      </c>
      <c r="T2143" t="b">
        <v>0</v>
      </c>
      <c r="U2143" t="s">
        <v>71</v>
      </c>
      <c r="V2143">
        <v>6</v>
      </c>
    </row>
    <row r="2144" spans="1:22" x14ac:dyDescent="0.25">
      <c r="A2144" t="s">
        <v>4779</v>
      </c>
      <c r="B2144" s="1">
        <v>45348</v>
      </c>
      <c r="C2144" t="s">
        <v>4780</v>
      </c>
      <c r="D2144" t="s">
        <v>2848</v>
      </c>
      <c r="E2144">
        <v>37</v>
      </c>
      <c r="F2144" t="str">
        <f>IF(Table1[[#This Row],[age]]&lt;=25,"18-25",IF(Table1[[#This Row],[age]]&lt;=35,"26-35",IF(Table1[[#This Row],[age]]&lt;=50,"36-50","51+")))</f>
        <v>36-50</v>
      </c>
      <c r="G2144" t="s">
        <v>24</v>
      </c>
      <c r="H2144" t="s">
        <v>80</v>
      </c>
      <c r="I2144" t="s">
        <v>242</v>
      </c>
      <c r="J2144" t="s">
        <v>106</v>
      </c>
      <c r="K2144" t="s">
        <v>107</v>
      </c>
      <c r="L2144">
        <v>10</v>
      </c>
      <c r="M2144">
        <v>150.97</v>
      </c>
      <c r="N2144">
        <v>0.35</v>
      </c>
      <c r="O2144">
        <v>1192.31</v>
      </c>
      <c r="P2144">
        <v>113.82</v>
      </c>
      <c r="Q2144">
        <v>61.55</v>
      </c>
      <c r="R2144" t="s">
        <v>65</v>
      </c>
      <c r="S2144">
        <v>2</v>
      </c>
      <c r="T2144" t="b">
        <v>0</v>
      </c>
      <c r="U2144" t="s">
        <v>30</v>
      </c>
      <c r="V2144">
        <v>7</v>
      </c>
    </row>
    <row r="2145" spans="1:22" x14ac:dyDescent="0.25">
      <c r="A2145" t="s">
        <v>4781</v>
      </c>
      <c r="B2145" s="1">
        <v>43964</v>
      </c>
      <c r="C2145" t="s">
        <v>4782</v>
      </c>
      <c r="D2145" t="s">
        <v>1359</v>
      </c>
      <c r="E2145">
        <v>27</v>
      </c>
      <c r="F2145" t="str">
        <f>IF(Table1[[#This Row],[age]]&lt;=25,"18-25",IF(Table1[[#This Row],[age]]&lt;=35,"26-35",IF(Table1[[#This Row],[age]]&lt;=50,"36-50","51+")))</f>
        <v>26-35</v>
      </c>
      <c r="G2145" t="s">
        <v>54</v>
      </c>
      <c r="H2145" t="s">
        <v>80</v>
      </c>
      <c r="I2145" t="s">
        <v>236</v>
      </c>
      <c r="J2145" t="s">
        <v>115</v>
      </c>
      <c r="K2145" t="s">
        <v>145</v>
      </c>
      <c r="L2145">
        <v>10</v>
      </c>
      <c r="M2145">
        <v>75021.17</v>
      </c>
      <c r="N2145">
        <v>0.13</v>
      </c>
      <c r="O2145">
        <v>834952.68</v>
      </c>
      <c r="P2145">
        <v>112520.6</v>
      </c>
      <c r="Q2145">
        <v>68.069999999999993</v>
      </c>
      <c r="R2145" t="s">
        <v>43</v>
      </c>
      <c r="S2145">
        <v>1</v>
      </c>
      <c r="T2145" t="b">
        <v>1</v>
      </c>
      <c r="U2145" t="s">
        <v>50</v>
      </c>
      <c r="V2145">
        <v>5</v>
      </c>
    </row>
    <row r="2146" spans="1:22" x14ac:dyDescent="0.25">
      <c r="A2146" t="s">
        <v>4783</v>
      </c>
      <c r="B2146" s="1">
        <v>45397</v>
      </c>
      <c r="C2146" t="s">
        <v>4784</v>
      </c>
      <c r="D2146" t="s">
        <v>1020</v>
      </c>
      <c r="E2146">
        <v>31</v>
      </c>
      <c r="F2146" t="str">
        <f>IF(Table1[[#This Row],[age]]&lt;=25,"18-25",IF(Table1[[#This Row],[age]]&lt;=35,"26-35",IF(Table1[[#This Row],[age]]&lt;=50,"36-50","51+")))</f>
        <v>26-35</v>
      </c>
      <c r="G2146" t="s">
        <v>54</v>
      </c>
      <c r="H2146" t="s">
        <v>55</v>
      </c>
      <c r="I2146" t="s">
        <v>97</v>
      </c>
      <c r="J2146" t="s">
        <v>101</v>
      </c>
      <c r="K2146" t="s">
        <v>124</v>
      </c>
      <c r="L2146">
        <v>4</v>
      </c>
      <c r="M2146">
        <v>713.59</v>
      </c>
      <c r="N2146">
        <v>0.08</v>
      </c>
      <c r="O2146">
        <v>3859.57</v>
      </c>
      <c r="P2146">
        <v>957</v>
      </c>
      <c r="Q2146">
        <v>84.62</v>
      </c>
      <c r="R2146" t="s">
        <v>49</v>
      </c>
      <c r="S2146">
        <v>5</v>
      </c>
      <c r="T2146" t="b">
        <v>0</v>
      </c>
      <c r="U2146" t="s">
        <v>30</v>
      </c>
      <c r="V2146">
        <v>8</v>
      </c>
    </row>
    <row r="2147" spans="1:22" x14ac:dyDescent="0.25">
      <c r="A2147" t="s">
        <v>4785</v>
      </c>
      <c r="B2147" s="1">
        <v>45507</v>
      </c>
      <c r="C2147" t="s">
        <v>4786</v>
      </c>
      <c r="D2147" t="s">
        <v>1566</v>
      </c>
      <c r="E2147">
        <v>53</v>
      </c>
      <c r="F2147" t="str">
        <f>IF(Table1[[#This Row],[age]]&lt;=25,"18-25",IF(Table1[[#This Row],[age]]&lt;=35,"26-35",IF(Table1[[#This Row],[age]]&lt;=50,"36-50","51+")))</f>
        <v>51+</v>
      </c>
      <c r="G2147" t="s">
        <v>54</v>
      </c>
      <c r="H2147" t="s">
        <v>25</v>
      </c>
      <c r="I2147" t="s">
        <v>26</v>
      </c>
      <c r="J2147" t="s">
        <v>36</v>
      </c>
      <c r="K2147" t="s">
        <v>243</v>
      </c>
      <c r="L2147">
        <v>8</v>
      </c>
      <c r="M2147">
        <v>26914.41</v>
      </c>
      <c r="N2147">
        <v>0.11</v>
      </c>
      <c r="O2147">
        <v>255026.97</v>
      </c>
      <c r="P2147">
        <v>79719.78</v>
      </c>
      <c r="Q2147">
        <v>50.27</v>
      </c>
      <c r="R2147" t="s">
        <v>57</v>
      </c>
      <c r="S2147">
        <v>5</v>
      </c>
      <c r="T2147" t="b">
        <v>0</v>
      </c>
      <c r="U2147" t="s">
        <v>30</v>
      </c>
      <c r="V2147">
        <v>4</v>
      </c>
    </row>
    <row r="2148" spans="1:22" x14ac:dyDescent="0.25">
      <c r="A2148" t="s">
        <v>4787</v>
      </c>
      <c r="B2148" s="1">
        <v>44056</v>
      </c>
      <c r="C2148" t="s">
        <v>4788</v>
      </c>
      <c r="D2148" t="s">
        <v>527</v>
      </c>
      <c r="E2148">
        <v>31</v>
      </c>
      <c r="F2148" t="str">
        <f>IF(Table1[[#This Row],[age]]&lt;=25,"18-25",IF(Table1[[#This Row],[age]]&lt;=35,"26-35",IF(Table1[[#This Row],[age]]&lt;=50,"36-50","51+")))</f>
        <v>26-35</v>
      </c>
      <c r="G2148" t="s">
        <v>34</v>
      </c>
      <c r="H2148" t="s">
        <v>80</v>
      </c>
      <c r="I2148" t="s">
        <v>242</v>
      </c>
      <c r="J2148" t="s">
        <v>101</v>
      </c>
      <c r="K2148" t="s">
        <v>456</v>
      </c>
      <c r="L2148">
        <v>6</v>
      </c>
      <c r="M2148">
        <v>1678.96</v>
      </c>
      <c r="N2148">
        <v>0.12</v>
      </c>
      <c r="O2148">
        <v>10018.4</v>
      </c>
      <c r="P2148">
        <v>2148.34</v>
      </c>
      <c r="Q2148">
        <v>65.84</v>
      </c>
      <c r="R2148" t="s">
        <v>49</v>
      </c>
      <c r="S2148">
        <v>5</v>
      </c>
      <c r="T2148" t="b">
        <v>0</v>
      </c>
      <c r="U2148" t="s">
        <v>30</v>
      </c>
      <c r="V2148">
        <v>2</v>
      </c>
    </row>
    <row r="2149" spans="1:22" x14ac:dyDescent="0.25">
      <c r="A2149" t="s">
        <v>4789</v>
      </c>
      <c r="B2149" s="1">
        <v>45328</v>
      </c>
      <c r="C2149" t="s">
        <v>4790</v>
      </c>
      <c r="D2149" t="s">
        <v>1156</v>
      </c>
      <c r="E2149">
        <v>46</v>
      </c>
      <c r="F2149" t="str">
        <f>IF(Table1[[#This Row],[age]]&lt;=25,"18-25",IF(Table1[[#This Row],[age]]&lt;=35,"26-35",IF(Table1[[#This Row],[age]]&lt;=50,"36-50","51+")))</f>
        <v>36-50</v>
      </c>
      <c r="G2149" t="s">
        <v>54</v>
      </c>
      <c r="H2149" t="s">
        <v>25</v>
      </c>
      <c r="I2149" t="s">
        <v>41</v>
      </c>
      <c r="J2149" t="s">
        <v>36</v>
      </c>
      <c r="K2149" t="s">
        <v>132</v>
      </c>
      <c r="L2149">
        <v>10</v>
      </c>
      <c r="M2149">
        <v>16254.1</v>
      </c>
      <c r="N2149">
        <v>0.26</v>
      </c>
      <c r="O2149">
        <v>125959.07</v>
      </c>
      <c r="P2149">
        <v>37227.54</v>
      </c>
      <c r="Q2149">
        <v>70.22</v>
      </c>
      <c r="R2149" t="s">
        <v>65</v>
      </c>
      <c r="S2149">
        <v>3</v>
      </c>
      <c r="T2149" t="b">
        <v>0</v>
      </c>
      <c r="U2149" t="s">
        <v>30</v>
      </c>
      <c r="V2149">
        <v>1</v>
      </c>
    </row>
    <row r="2150" spans="1:22" x14ac:dyDescent="0.25">
      <c r="A2150" t="s">
        <v>4791</v>
      </c>
      <c r="B2150" s="1">
        <v>44044</v>
      </c>
      <c r="C2150" t="s">
        <v>4792</v>
      </c>
      <c r="D2150" t="s">
        <v>378</v>
      </c>
      <c r="E2150">
        <v>19</v>
      </c>
      <c r="F2150" t="str">
        <f>IF(Table1[[#This Row],[age]]&lt;=25,"18-25",IF(Table1[[#This Row],[age]]&lt;=35,"26-35",IF(Table1[[#This Row],[age]]&lt;=50,"36-50","51+")))</f>
        <v>18-25</v>
      </c>
      <c r="G2150" t="s">
        <v>24</v>
      </c>
      <c r="H2150" t="s">
        <v>61</v>
      </c>
      <c r="I2150" t="s">
        <v>62</v>
      </c>
      <c r="J2150" t="s">
        <v>63</v>
      </c>
      <c r="K2150" t="s">
        <v>82</v>
      </c>
      <c r="L2150">
        <v>9</v>
      </c>
      <c r="M2150">
        <v>2544.25</v>
      </c>
      <c r="N2150">
        <v>0.11</v>
      </c>
      <c r="O2150">
        <v>21015.96</v>
      </c>
      <c r="P2150">
        <v>7378.5</v>
      </c>
      <c r="Q2150">
        <v>50.92</v>
      </c>
      <c r="R2150" t="s">
        <v>92</v>
      </c>
      <c r="S2150">
        <v>2</v>
      </c>
      <c r="T2150" t="b">
        <v>1</v>
      </c>
      <c r="U2150" t="s">
        <v>50</v>
      </c>
      <c r="V2150">
        <v>2</v>
      </c>
    </row>
    <row r="2151" spans="1:22" x14ac:dyDescent="0.25">
      <c r="A2151" t="s">
        <v>4793</v>
      </c>
      <c r="B2151" s="1">
        <v>44103</v>
      </c>
      <c r="C2151" t="s">
        <v>4794</v>
      </c>
      <c r="D2151" t="s">
        <v>1338</v>
      </c>
      <c r="E2151">
        <v>55</v>
      </c>
      <c r="F2151" t="str">
        <f>IF(Table1[[#This Row],[age]]&lt;=25,"18-25",IF(Table1[[#This Row],[age]]&lt;=35,"26-35",IF(Table1[[#This Row],[age]]&lt;=50,"36-50","51+")))</f>
        <v>51+</v>
      </c>
      <c r="G2151" t="s">
        <v>54</v>
      </c>
      <c r="H2151" t="s">
        <v>25</v>
      </c>
      <c r="I2151" t="s">
        <v>35</v>
      </c>
      <c r="J2151" t="s">
        <v>115</v>
      </c>
      <c r="K2151" t="s">
        <v>145</v>
      </c>
      <c r="L2151">
        <v>1</v>
      </c>
      <c r="M2151">
        <v>22610.21</v>
      </c>
      <c r="N2151">
        <v>0.08</v>
      </c>
      <c r="O2151">
        <v>20431.16</v>
      </c>
      <c r="P2151">
        <v>2517.0700000000002</v>
      </c>
      <c r="Q2151">
        <v>48.04</v>
      </c>
      <c r="R2151" t="s">
        <v>92</v>
      </c>
      <c r="S2151">
        <v>4</v>
      </c>
      <c r="T2151" t="b">
        <v>0</v>
      </c>
      <c r="U2151" t="s">
        <v>30</v>
      </c>
      <c r="V2151">
        <v>5</v>
      </c>
    </row>
    <row r="2152" spans="1:22" x14ac:dyDescent="0.25">
      <c r="A2152" t="s">
        <v>4795</v>
      </c>
      <c r="B2152" s="1">
        <v>44467</v>
      </c>
      <c r="C2152" t="s">
        <v>4796</v>
      </c>
      <c r="D2152" t="s">
        <v>301</v>
      </c>
      <c r="E2152">
        <v>41</v>
      </c>
      <c r="F2152" t="str">
        <f>IF(Table1[[#This Row],[age]]&lt;=25,"18-25",IF(Table1[[#This Row],[age]]&lt;=35,"26-35",IF(Table1[[#This Row],[age]]&lt;=50,"36-50","51+")))</f>
        <v>36-50</v>
      </c>
      <c r="G2152" t="s">
        <v>24</v>
      </c>
      <c r="H2152" t="s">
        <v>55</v>
      </c>
      <c r="I2152" t="s">
        <v>56</v>
      </c>
      <c r="J2152" t="s">
        <v>47</v>
      </c>
      <c r="K2152" t="s">
        <v>120</v>
      </c>
      <c r="L2152">
        <v>5</v>
      </c>
      <c r="M2152">
        <v>293.56</v>
      </c>
      <c r="N2152">
        <v>0.4</v>
      </c>
      <c r="O2152">
        <v>988.84</v>
      </c>
      <c r="P2152">
        <v>397.44</v>
      </c>
      <c r="Q2152">
        <v>61.09</v>
      </c>
      <c r="R2152" t="s">
        <v>57</v>
      </c>
      <c r="S2152">
        <v>4</v>
      </c>
      <c r="T2152" t="b">
        <v>0</v>
      </c>
      <c r="U2152" t="s">
        <v>71</v>
      </c>
      <c r="V2152">
        <v>5</v>
      </c>
    </row>
    <row r="2153" spans="1:22" x14ac:dyDescent="0.25">
      <c r="A2153" t="s">
        <v>4797</v>
      </c>
      <c r="B2153" s="1">
        <v>44409</v>
      </c>
      <c r="C2153" t="s">
        <v>4798</v>
      </c>
      <c r="D2153" t="s">
        <v>271</v>
      </c>
      <c r="E2153">
        <v>22</v>
      </c>
      <c r="F2153" t="str">
        <f>IF(Table1[[#This Row],[age]]&lt;=25,"18-25",IF(Table1[[#This Row],[age]]&lt;=35,"26-35",IF(Table1[[#This Row],[age]]&lt;=50,"36-50","51+")))</f>
        <v>18-25</v>
      </c>
      <c r="G2153" t="s">
        <v>24</v>
      </c>
      <c r="H2153" t="s">
        <v>55</v>
      </c>
      <c r="I2153" t="s">
        <v>97</v>
      </c>
      <c r="J2153" t="s">
        <v>101</v>
      </c>
      <c r="K2153" t="s">
        <v>214</v>
      </c>
      <c r="L2153">
        <v>7</v>
      </c>
      <c r="M2153">
        <v>5887.32</v>
      </c>
      <c r="N2153">
        <v>0.27</v>
      </c>
      <c r="O2153">
        <v>40536.35</v>
      </c>
      <c r="P2153">
        <v>9596.19</v>
      </c>
      <c r="Q2153">
        <v>68.83</v>
      </c>
      <c r="R2153" t="s">
        <v>57</v>
      </c>
      <c r="S2153">
        <v>5</v>
      </c>
      <c r="T2153" t="b">
        <v>0</v>
      </c>
      <c r="U2153" t="s">
        <v>30</v>
      </c>
      <c r="V2153">
        <v>8</v>
      </c>
    </row>
    <row r="2154" spans="1:22" x14ac:dyDescent="0.25">
      <c r="A2154" t="s">
        <v>4799</v>
      </c>
      <c r="B2154" s="1">
        <v>44391</v>
      </c>
      <c r="C2154" t="s">
        <v>4800</v>
      </c>
      <c r="D2154" t="s">
        <v>1647</v>
      </c>
      <c r="E2154">
        <v>47</v>
      </c>
      <c r="F2154" t="str">
        <f>IF(Table1[[#This Row],[age]]&lt;=25,"18-25",IF(Table1[[#This Row],[age]]&lt;=35,"26-35",IF(Table1[[#This Row],[age]]&lt;=50,"36-50","51+")))</f>
        <v>36-50</v>
      </c>
      <c r="G2154" t="s">
        <v>54</v>
      </c>
      <c r="H2154" t="s">
        <v>69</v>
      </c>
      <c r="I2154" t="s">
        <v>181</v>
      </c>
      <c r="J2154" t="s">
        <v>63</v>
      </c>
      <c r="K2154" t="s">
        <v>152</v>
      </c>
      <c r="L2154">
        <v>5</v>
      </c>
      <c r="M2154">
        <v>569.89</v>
      </c>
      <c r="N2154">
        <v>0.22</v>
      </c>
      <c r="O2154">
        <v>3040.97</v>
      </c>
      <c r="P2154">
        <v>986.27</v>
      </c>
      <c r="Q2154">
        <v>87.82</v>
      </c>
      <c r="R2154" t="s">
        <v>49</v>
      </c>
      <c r="S2154">
        <v>5</v>
      </c>
      <c r="T2154" t="b">
        <v>0</v>
      </c>
      <c r="U2154" t="s">
        <v>30</v>
      </c>
      <c r="V2154">
        <v>4</v>
      </c>
    </row>
    <row r="2155" spans="1:22" x14ac:dyDescent="0.25">
      <c r="A2155" t="s">
        <v>4801</v>
      </c>
      <c r="B2155" s="1">
        <v>45543</v>
      </c>
      <c r="C2155" t="s">
        <v>4802</v>
      </c>
      <c r="D2155" t="s">
        <v>1215</v>
      </c>
      <c r="E2155">
        <v>35</v>
      </c>
      <c r="F2155" t="str">
        <f>IF(Table1[[#This Row],[age]]&lt;=25,"18-25",IF(Table1[[#This Row],[age]]&lt;=35,"26-35",IF(Table1[[#This Row],[age]]&lt;=50,"36-50","51+")))</f>
        <v>26-35</v>
      </c>
      <c r="G2155" t="s">
        <v>34</v>
      </c>
      <c r="H2155" t="s">
        <v>69</v>
      </c>
      <c r="I2155" t="s">
        <v>221</v>
      </c>
      <c r="J2155" t="s">
        <v>27</v>
      </c>
      <c r="K2155" t="s">
        <v>168</v>
      </c>
      <c r="L2155">
        <v>2</v>
      </c>
      <c r="M2155">
        <v>1573.95</v>
      </c>
      <c r="N2155">
        <v>0.28999999999999998</v>
      </c>
      <c r="O2155">
        <v>3007.27</v>
      </c>
      <c r="P2155">
        <v>1137.44</v>
      </c>
      <c r="Q2155">
        <v>97.85</v>
      </c>
      <c r="R2155" t="s">
        <v>49</v>
      </c>
      <c r="S2155">
        <v>5</v>
      </c>
      <c r="T2155" t="b">
        <v>0</v>
      </c>
      <c r="U2155" t="s">
        <v>30</v>
      </c>
      <c r="V2155">
        <v>3</v>
      </c>
    </row>
    <row r="2156" spans="1:22" x14ac:dyDescent="0.25">
      <c r="A2156" t="s">
        <v>4803</v>
      </c>
      <c r="B2156" s="1">
        <v>45648</v>
      </c>
      <c r="C2156" t="s">
        <v>4804</v>
      </c>
      <c r="D2156" t="s">
        <v>477</v>
      </c>
      <c r="E2156">
        <v>47</v>
      </c>
      <c r="F2156" t="str">
        <f>IF(Table1[[#This Row],[age]]&lt;=25,"18-25",IF(Table1[[#This Row],[age]]&lt;=35,"26-35",IF(Table1[[#This Row],[age]]&lt;=50,"36-50","51+")))</f>
        <v>36-50</v>
      </c>
      <c r="G2156" t="s">
        <v>24</v>
      </c>
      <c r="H2156" t="s">
        <v>61</v>
      </c>
      <c r="I2156" t="s">
        <v>141</v>
      </c>
      <c r="J2156" t="s">
        <v>115</v>
      </c>
      <c r="K2156" t="s">
        <v>116</v>
      </c>
      <c r="L2156">
        <v>10</v>
      </c>
      <c r="M2156">
        <v>56887.12</v>
      </c>
      <c r="N2156">
        <v>0.33</v>
      </c>
      <c r="O2156">
        <v>320072.27</v>
      </c>
      <c r="P2156">
        <v>41433.480000000003</v>
      </c>
      <c r="Q2156">
        <v>58.41</v>
      </c>
      <c r="R2156" t="s">
        <v>92</v>
      </c>
      <c r="S2156">
        <v>1</v>
      </c>
      <c r="T2156" t="b">
        <v>0</v>
      </c>
      <c r="U2156" t="s">
        <v>30</v>
      </c>
      <c r="V2156">
        <v>6</v>
      </c>
    </row>
    <row r="2157" spans="1:22" x14ac:dyDescent="0.25">
      <c r="A2157" t="s">
        <v>4805</v>
      </c>
      <c r="B2157" s="1">
        <v>45601</v>
      </c>
      <c r="C2157" t="s">
        <v>4806</v>
      </c>
      <c r="D2157" t="s">
        <v>618</v>
      </c>
      <c r="E2157">
        <v>27</v>
      </c>
      <c r="F2157" t="str">
        <f>IF(Table1[[#This Row],[age]]&lt;=25,"18-25",IF(Table1[[#This Row],[age]]&lt;=35,"26-35",IF(Table1[[#This Row],[age]]&lt;=50,"36-50","51+")))</f>
        <v>26-35</v>
      </c>
      <c r="G2157" t="s">
        <v>34</v>
      </c>
      <c r="H2157" t="s">
        <v>69</v>
      </c>
      <c r="I2157" t="s">
        <v>136</v>
      </c>
      <c r="J2157" t="s">
        <v>115</v>
      </c>
      <c r="K2157" t="s">
        <v>145</v>
      </c>
      <c r="L2157">
        <v>3</v>
      </c>
      <c r="M2157">
        <v>44959.14</v>
      </c>
      <c r="N2157">
        <v>0.09</v>
      </c>
      <c r="O2157">
        <v>118547.82</v>
      </c>
      <c r="P2157">
        <v>8051.31</v>
      </c>
      <c r="Q2157">
        <v>75.400000000000006</v>
      </c>
      <c r="R2157" t="s">
        <v>57</v>
      </c>
      <c r="S2157">
        <v>1</v>
      </c>
      <c r="T2157" t="b">
        <v>0</v>
      </c>
      <c r="U2157" t="s">
        <v>30</v>
      </c>
      <c r="V2157">
        <v>6</v>
      </c>
    </row>
    <row r="2158" spans="1:22" x14ac:dyDescent="0.25">
      <c r="A2158" t="s">
        <v>4807</v>
      </c>
      <c r="B2158" s="1">
        <v>45459</v>
      </c>
      <c r="C2158" t="s">
        <v>4808</v>
      </c>
      <c r="D2158" t="s">
        <v>140</v>
      </c>
      <c r="E2158">
        <v>34</v>
      </c>
      <c r="F2158" t="str">
        <f>IF(Table1[[#This Row],[age]]&lt;=25,"18-25",IF(Table1[[#This Row],[age]]&lt;=35,"26-35",IF(Table1[[#This Row],[age]]&lt;=50,"36-50","51+")))</f>
        <v>26-35</v>
      </c>
      <c r="G2158" t="s">
        <v>54</v>
      </c>
      <c r="H2158" t="s">
        <v>69</v>
      </c>
      <c r="I2158" t="s">
        <v>181</v>
      </c>
      <c r="J2158" t="s">
        <v>106</v>
      </c>
      <c r="K2158" t="s">
        <v>247</v>
      </c>
      <c r="L2158">
        <v>8</v>
      </c>
      <c r="M2158">
        <v>164.21</v>
      </c>
      <c r="N2158">
        <v>0.25</v>
      </c>
      <c r="O2158">
        <v>1864.61</v>
      </c>
      <c r="P2158">
        <v>136.75</v>
      </c>
      <c r="Q2158">
        <v>81.599999999999994</v>
      </c>
      <c r="R2158" t="s">
        <v>29</v>
      </c>
      <c r="S2158">
        <v>4</v>
      </c>
      <c r="T2158" t="b">
        <v>0</v>
      </c>
      <c r="U2158" t="s">
        <v>93</v>
      </c>
      <c r="V2158">
        <v>10</v>
      </c>
    </row>
    <row r="2159" spans="1:22" x14ac:dyDescent="0.25">
      <c r="A2159" t="s">
        <v>4809</v>
      </c>
      <c r="B2159" s="1">
        <v>45313</v>
      </c>
      <c r="C2159" t="s">
        <v>4810</v>
      </c>
      <c r="D2159" t="s">
        <v>985</v>
      </c>
      <c r="E2159">
        <v>44</v>
      </c>
      <c r="F2159" t="str">
        <f>IF(Table1[[#This Row],[age]]&lt;=25,"18-25",IF(Table1[[#This Row],[age]]&lt;=35,"26-35",IF(Table1[[#This Row],[age]]&lt;=50,"36-50","51+")))</f>
        <v>36-50</v>
      </c>
      <c r="G2159" t="s">
        <v>24</v>
      </c>
      <c r="H2159" t="s">
        <v>25</v>
      </c>
      <c r="I2159" t="s">
        <v>35</v>
      </c>
      <c r="J2159" t="s">
        <v>101</v>
      </c>
      <c r="K2159" t="s">
        <v>124</v>
      </c>
      <c r="L2159">
        <v>9</v>
      </c>
      <c r="M2159">
        <v>2259.11</v>
      </c>
      <c r="N2159">
        <v>0.31</v>
      </c>
      <c r="O2159">
        <v>14997.8</v>
      </c>
      <c r="P2159">
        <v>3849.42</v>
      </c>
      <c r="Q2159">
        <v>64.989999999999995</v>
      </c>
      <c r="R2159" t="s">
        <v>29</v>
      </c>
      <c r="S2159">
        <v>1</v>
      </c>
      <c r="T2159" t="b">
        <v>0</v>
      </c>
      <c r="U2159" t="s">
        <v>30</v>
      </c>
      <c r="V2159">
        <v>5</v>
      </c>
    </row>
    <row r="2160" spans="1:22" x14ac:dyDescent="0.25">
      <c r="A2160" t="s">
        <v>4811</v>
      </c>
      <c r="B2160" s="1">
        <v>45254</v>
      </c>
      <c r="C2160" t="s">
        <v>4812</v>
      </c>
      <c r="D2160" t="s">
        <v>646</v>
      </c>
      <c r="E2160">
        <v>19</v>
      </c>
      <c r="F2160" t="str">
        <f>IF(Table1[[#This Row],[age]]&lt;=25,"18-25",IF(Table1[[#This Row],[age]]&lt;=35,"26-35",IF(Table1[[#This Row],[age]]&lt;=50,"36-50","51+")))</f>
        <v>18-25</v>
      </c>
      <c r="G2160" t="s">
        <v>34</v>
      </c>
      <c r="H2160" t="s">
        <v>61</v>
      </c>
      <c r="I2160" t="s">
        <v>62</v>
      </c>
      <c r="J2160" t="s">
        <v>27</v>
      </c>
      <c r="K2160" t="s">
        <v>192</v>
      </c>
      <c r="L2160">
        <v>7</v>
      </c>
      <c r="M2160">
        <v>1961.36</v>
      </c>
      <c r="N2160">
        <v>0.27</v>
      </c>
      <c r="O2160">
        <v>8020.15</v>
      </c>
      <c r="P2160">
        <v>4122.3</v>
      </c>
      <c r="Q2160">
        <v>73.28</v>
      </c>
      <c r="R2160" t="s">
        <v>43</v>
      </c>
      <c r="S2160">
        <v>5</v>
      </c>
      <c r="T2160" t="b">
        <v>0</v>
      </c>
      <c r="U2160" t="s">
        <v>30</v>
      </c>
      <c r="V2160">
        <v>3</v>
      </c>
    </row>
    <row r="2161" spans="1:22" x14ac:dyDescent="0.25">
      <c r="A2161" t="s">
        <v>4813</v>
      </c>
      <c r="B2161" s="1">
        <v>43844</v>
      </c>
      <c r="C2161" t="s">
        <v>4814</v>
      </c>
      <c r="D2161" t="s">
        <v>1436</v>
      </c>
      <c r="E2161">
        <v>48</v>
      </c>
      <c r="F2161" t="str">
        <f>IF(Table1[[#This Row],[age]]&lt;=25,"18-25",IF(Table1[[#This Row],[age]]&lt;=35,"26-35",IF(Table1[[#This Row],[age]]&lt;=50,"36-50","51+")))</f>
        <v>36-50</v>
      </c>
      <c r="G2161" t="s">
        <v>54</v>
      </c>
      <c r="H2161" t="s">
        <v>69</v>
      </c>
      <c r="I2161" t="s">
        <v>70</v>
      </c>
      <c r="J2161" t="s">
        <v>36</v>
      </c>
      <c r="K2161" t="s">
        <v>76</v>
      </c>
      <c r="L2161">
        <v>7</v>
      </c>
      <c r="M2161">
        <v>6792.29</v>
      </c>
      <c r="N2161">
        <v>0.32</v>
      </c>
      <c r="O2161">
        <v>21828</v>
      </c>
      <c r="P2161">
        <v>4870.2</v>
      </c>
      <c r="Q2161">
        <v>107.06</v>
      </c>
      <c r="R2161" t="s">
        <v>49</v>
      </c>
      <c r="S2161">
        <v>1</v>
      </c>
      <c r="T2161" t="b">
        <v>0</v>
      </c>
      <c r="U2161" t="s">
        <v>93</v>
      </c>
      <c r="V2161">
        <v>5</v>
      </c>
    </row>
    <row r="2162" spans="1:22" x14ac:dyDescent="0.25">
      <c r="A2162" t="s">
        <v>4815</v>
      </c>
      <c r="B2162" s="1">
        <v>44031</v>
      </c>
      <c r="C2162" t="s">
        <v>4816</v>
      </c>
      <c r="D2162" t="s">
        <v>1503</v>
      </c>
      <c r="E2162">
        <v>27</v>
      </c>
      <c r="F2162" t="str">
        <f>IF(Table1[[#This Row],[age]]&lt;=25,"18-25",IF(Table1[[#This Row],[age]]&lt;=35,"26-35",IF(Table1[[#This Row],[age]]&lt;=50,"36-50","51+")))</f>
        <v>26-35</v>
      </c>
      <c r="G2162" t="s">
        <v>24</v>
      </c>
      <c r="H2162" t="s">
        <v>69</v>
      </c>
      <c r="I2162" t="s">
        <v>70</v>
      </c>
      <c r="J2162" t="s">
        <v>106</v>
      </c>
      <c r="K2162" t="s">
        <v>107</v>
      </c>
      <c r="L2162">
        <v>1</v>
      </c>
      <c r="M2162">
        <v>456.21</v>
      </c>
      <c r="N2162">
        <v>0.05</v>
      </c>
      <c r="O2162">
        <v>516.4</v>
      </c>
      <c r="P2162">
        <v>43.61</v>
      </c>
      <c r="Q2162">
        <v>72.680000000000007</v>
      </c>
      <c r="R2162" t="s">
        <v>65</v>
      </c>
      <c r="S2162">
        <v>4</v>
      </c>
      <c r="T2162" t="b">
        <v>0</v>
      </c>
      <c r="U2162" t="s">
        <v>30</v>
      </c>
      <c r="V2162">
        <v>2</v>
      </c>
    </row>
    <row r="2163" spans="1:22" x14ac:dyDescent="0.25">
      <c r="A2163" t="s">
        <v>4817</v>
      </c>
      <c r="B2163" s="1">
        <v>44555</v>
      </c>
      <c r="C2163" t="s">
        <v>2970</v>
      </c>
      <c r="D2163" t="s">
        <v>596</v>
      </c>
      <c r="E2163">
        <v>19</v>
      </c>
      <c r="F2163" t="str">
        <f>IF(Table1[[#This Row],[age]]&lt;=25,"18-25",IF(Table1[[#This Row],[age]]&lt;=35,"26-35",IF(Table1[[#This Row],[age]]&lt;=50,"36-50","51+")))</f>
        <v>18-25</v>
      </c>
      <c r="G2163" t="s">
        <v>24</v>
      </c>
      <c r="H2163" t="s">
        <v>55</v>
      </c>
      <c r="I2163" t="s">
        <v>97</v>
      </c>
      <c r="J2163" t="s">
        <v>36</v>
      </c>
      <c r="K2163" t="s">
        <v>37</v>
      </c>
      <c r="L2163">
        <v>1</v>
      </c>
      <c r="M2163">
        <v>10289.790000000001</v>
      </c>
      <c r="N2163">
        <v>0.25</v>
      </c>
      <c r="O2163">
        <v>5945.61</v>
      </c>
      <c r="P2163">
        <v>1688.17</v>
      </c>
      <c r="Q2163">
        <v>44.08</v>
      </c>
      <c r="R2163" t="s">
        <v>29</v>
      </c>
      <c r="S2163">
        <v>2</v>
      </c>
      <c r="T2163" t="b">
        <v>0</v>
      </c>
      <c r="U2163" t="s">
        <v>193</v>
      </c>
      <c r="V2163">
        <v>7</v>
      </c>
    </row>
    <row r="2164" spans="1:22" x14ac:dyDescent="0.25">
      <c r="A2164" t="s">
        <v>4818</v>
      </c>
      <c r="B2164" s="1">
        <v>45380</v>
      </c>
      <c r="C2164" t="s">
        <v>4819</v>
      </c>
      <c r="D2164" t="s">
        <v>346</v>
      </c>
      <c r="E2164">
        <v>44</v>
      </c>
      <c r="F2164" t="str">
        <f>IF(Table1[[#This Row],[age]]&lt;=25,"18-25",IF(Table1[[#This Row],[age]]&lt;=35,"26-35",IF(Table1[[#This Row],[age]]&lt;=50,"36-50","51+")))</f>
        <v>36-50</v>
      </c>
      <c r="G2164" t="s">
        <v>34</v>
      </c>
      <c r="H2164" t="s">
        <v>80</v>
      </c>
      <c r="I2164" t="s">
        <v>242</v>
      </c>
      <c r="J2164" t="s">
        <v>115</v>
      </c>
      <c r="K2164" t="s">
        <v>398</v>
      </c>
      <c r="L2164">
        <v>3</v>
      </c>
      <c r="M2164">
        <v>66697.679999999993</v>
      </c>
      <c r="N2164">
        <v>0.14000000000000001</v>
      </c>
      <c r="O2164">
        <v>252177.93</v>
      </c>
      <c r="P2164">
        <v>18032.169999999998</v>
      </c>
      <c r="Q2164">
        <v>80.02</v>
      </c>
      <c r="R2164" t="s">
        <v>49</v>
      </c>
      <c r="S2164">
        <v>4</v>
      </c>
      <c r="T2164" t="b">
        <v>0</v>
      </c>
      <c r="U2164" t="s">
        <v>30</v>
      </c>
      <c r="V2164">
        <v>7</v>
      </c>
    </row>
    <row r="2165" spans="1:22" x14ac:dyDescent="0.25">
      <c r="A2165" t="s">
        <v>4820</v>
      </c>
      <c r="B2165" s="1">
        <v>44766</v>
      </c>
      <c r="C2165" t="s">
        <v>4821</v>
      </c>
      <c r="D2165" t="s">
        <v>1330</v>
      </c>
      <c r="E2165">
        <v>35</v>
      </c>
      <c r="F2165" t="str">
        <f>IF(Table1[[#This Row],[age]]&lt;=25,"18-25",IF(Table1[[#This Row],[age]]&lt;=35,"26-35",IF(Table1[[#This Row],[age]]&lt;=50,"36-50","51+")))</f>
        <v>26-35</v>
      </c>
      <c r="G2165" t="s">
        <v>34</v>
      </c>
      <c r="H2165" t="s">
        <v>80</v>
      </c>
      <c r="I2165" t="s">
        <v>236</v>
      </c>
      <c r="J2165" t="s">
        <v>47</v>
      </c>
      <c r="K2165" t="s">
        <v>600</v>
      </c>
      <c r="L2165">
        <v>4</v>
      </c>
      <c r="M2165">
        <v>278.07</v>
      </c>
      <c r="N2165">
        <v>0.38</v>
      </c>
      <c r="O2165">
        <v>1035.4000000000001</v>
      </c>
      <c r="P2165">
        <v>495.92</v>
      </c>
      <c r="Q2165">
        <v>99.54</v>
      </c>
      <c r="R2165" t="s">
        <v>49</v>
      </c>
      <c r="S2165">
        <v>2</v>
      </c>
      <c r="T2165" t="b">
        <v>0</v>
      </c>
      <c r="U2165" t="s">
        <v>30</v>
      </c>
      <c r="V2165">
        <v>2</v>
      </c>
    </row>
    <row r="2166" spans="1:22" x14ac:dyDescent="0.25">
      <c r="A2166" t="s">
        <v>4822</v>
      </c>
      <c r="B2166" s="1">
        <v>45181</v>
      </c>
      <c r="C2166" t="s">
        <v>4823</v>
      </c>
      <c r="D2166" t="s">
        <v>79</v>
      </c>
      <c r="E2166">
        <v>39</v>
      </c>
      <c r="F2166" t="str">
        <f>IF(Table1[[#This Row],[age]]&lt;=25,"18-25",IF(Table1[[#This Row],[age]]&lt;=35,"26-35",IF(Table1[[#This Row],[age]]&lt;=50,"36-50","51+")))</f>
        <v>36-50</v>
      </c>
      <c r="G2166" t="s">
        <v>24</v>
      </c>
      <c r="H2166" t="s">
        <v>69</v>
      </c>
      <c r="I2166" t="s">
        <v>221</v>
      </c>
      <c r="J2166" t="s">
        <v>101</v>
      </c>
      <c r="K2166" t="s">
        <v>214</v>
      </c>
      <c r="L2166">
        <v>5</v>
      </c>
      <c r="M2166">
        <v>1183.8699999999999</v>
      </c>
      <c r="N2166">
        <v>0.04</v>
      </c>
      <c r="O2166">
        <v>7684.63</v>
      </c>
      <c r="P2166">
        <v>1285.8599999999999</v>
      </c>
      <c r="Q2166">
        <v>76.95</v>
      </c>
      <c r="R2166" t="s">
        <v>29</v>
      </c>
      <c r="S2166">
        <v>1</v>
      </c>
      <c r="T2166" t="b">
        <v>0</v>
      </c>
      <c r="U2166" t="s">
        <v>30</v>
      </c>
      <c r="V2166">
        <v>5</v>
      </c>
    </row>
    <row r="2167" spans="1:22" x14ac:dyDescent="0.25">
      <c r="A2167" t="s">
        <v>4824</v>
      </c>
      <c r="B2167" s="1">
        <v>44592</v>
      </c>
      <c r="C2167" t="s">
        <v>4825</v>
      </c>
      <c r="D2167" t="s">
        <v>1291</v>
      </c>
      <c r="E2167">
        <v>38</v>
      </c>
      <c r="F2167" t="str">
        <f>IF(Table1[[#This Row],[age]]&lt;=25,"18-25",IF(Table1[[#This Row],[age]]&lt;=35,"26-35",IF(Table1[[#This Row],[age]]&lt;=50,"36-50","51+")))</f>
        <v>36-50</v>
      </c>
      <c r="G2167" t="s">
        <v>24</v>
      </c>
      <c r="H2167" t="s">
        <v>80</v>
      </c>
      <c r="I2167" t="s">
        <v>81</v>
      </c>
      <c r="J2167" t="s">
        <v>27</v>
      </c>
      <c r="K2167" t="s">
        <v>28</v>
      </c>
      <c r="L2167">
        <v>3</v>
      </c>
      <c r="M2167">
        <v>2463.48</v>
      </c>
      <c r="N2167">
        <v>0.09</v>
      </c>
      <c r="O2167">
        <v>5478.55</v>
      </c>
      <c r="P2167">
        <v>2170.17</v>
      </c>
      <c r="Q2167">
        <v>88.35</v>
      </c>
      <c r="R2167" t="s">
        <v>49</v>
      </c>
      <c r="S2167">
        <v>1</v>
      </c>
      <c r="T2167" t="b">
        <v>1</v>
      </c>
      <c r="U2167" t="s">
        <v>50</v>
      </c>
      <c r="V2167">
        <v>3</v>
      </c>
    </row>
    <row r="2168" spans="1:22" x14ac:dyDescent="0.25">
      <c r="A2168" t="s">
        <v>4826</v>
      </c>
      <c r="B2168" s="1">
        <v>45357</v>
      </c>
      <c r="C2168" t="s">
        <v>4827</v>
      </c>
      <c r="D2168" t="s">
        <v>737</v>
      </c>
      <c r="E2168">
        <v>31</v>
      </c>
      <c r="F2168" t="str">
        <f>IF(Table1[[#This Row],[age]]&lt;=25,"18-25",IF(Table1[[#This Row],[age]]&lt;=35,"26-35",IF(Table1[[#This Row],[age]]&lt;=50,"36-50","51+")))</f>
        <v>26-35</v>
      </c>
      <c r="G2168" t="s">
        <v>54</v>
      </c>
      <c r="H2168" t="s">
        <v>25</v>
      </c>
      <c r="I2168" t="s">
        <v>298</v>
      </c>
      <c r="J2168" t="s">
        <v>36</v>
      </c>
      <c r="K2168" t="s">
        <v>76</v>
      </c>
      <c r="L2168">
        <v>4</v>
      </c>
      <c r="M2168">
        <v>27844.67</v>
      </c>
      <c r="N2168">
        <v>0.32</v>
      </c>
      <c r="O2168">
        <v>87292.37</v>
      </c>
      <c r="P2168">
        <v>18841.849999999999</v>
      </c>
      <c r="Q2168">
        <v>74.400000000000006</v>
      </c>
      <c r="R2168" t="s">
        <v>57</v>
      </c>
      <c r="S2168">
        <v>1</v>
      </c>
      <c r="T2168" t="b">
        <v>0</v>
      </c>
      <c r="U2168" t="s">
        <v>30</v>
      </c>
      <c r="V2168">
        <v>7</v>
      </c>
    </row>
    <row r="2169" spans="1:22" x14ac:dyDescent="0.25">
      <c r="A2169" t="s">
        <v>4828</v>
      </c>
      <c r="B2169" s="1">
        <v>44912</v>
      </c>
      <c r="C2169" t="s">
        <v>4829</v>
      </c>
      <c r="D2169" t="s">
        <v>663</v>
      </c>
      <c r="E2169">
        <v>20</v>
      </c>
      <c r="F2169" t="str">
        <f>IF(Table1[[#This Row],[age]]&lt;=25,"18-25",IF(Table1[[#This Row],[age]]&lt;=35,"26-35",IF(Table1[[#This Row],[age]]&lt;=50,"36-50","51+")))</f>
        <v>18-25</v>
      </c>
      <c r="G2169" t="s">
        <v>34</v>
      </c>
      <c r="H2169" t="s">
        <v>69</v>
      </c>
      <c r="I2169" t="s">
        <v>181</v>
      </c>
      <c r="J2169" t="s">
        <v>36</v>
      </c>
      <c r="K2169" t="s">
        <v>243</v>
      </c>
      <c r="L2169">
        <v>10</v>
      </c>
      <c r="M2169">
        <v>22462.93</v>
      </c>
      <c r="N2169">
        <v>0.21</v>
      </c>
      <c r="O2169">
        <v>157408.35</v>
      </c>
      <c r="P2169">
        <v>23243.23</v>
      </c>
      <c r="Q2169">
        <v>133.35</v>
      </c>
      <c r="R2169" t="s">
        <v>65</v>
      </c>
      <c r="S2169">
        <v>5</v>
      </c>
      <c r="T2169" t="b">
        <v>0</v>
      </c>
      <c r="U2169" t="s">
        <v>30</v>
      </c>
      <c r="V2169">
        <v>4</v>
      </c>
    </row>
    <row r="2170" spans="1:22" x14ac:dyDescent="0.25">
      <c r="A2170" t="s">
        <v>4830</v>
      </c>
      <c r="B2170" s="1">
        <v>45462</v>
      </c>
      <c r="C2170" t="s">
        <v>4831</v>
      </c>
      <c r="D2170" t="s">
        <v>367</v>
      </c>
      <c r="E2170">
        <v>39</v>
      </c>
      <c r="F2170" t="str">
        <f>IF(Table1[[#This Row],[age]]&lt;=25,"18-25",IF(Table1[[#This Row],[age]]&lt;=35,"26-35",IF(Table1[[#This Row],[age]]&lt;=50,"36-50","51+")))</f>
        <v>36-50</v>
      </c>
      <c r="G2170" t="s">
        <v>24</v>
      </c>
      <c r="H2170" t="s">
        <v>69</v>
      </c>
      <c r="I2170" t="s">
        <v>221</v>
      </c>
      <c r="J2170" t="s">
        <v>101</v>
      </c>
      <c r="K2170" t="s">
        <v>164</v>
      </c>
      <c r="L2170">
        <v>5</v>
      </c>
      <c r="M2170">
        <v>5213.22</v>
      </c>
      <c r="N2170">
        <v>0.05</v>
      </c>
      <c r="O2170">
        <v>34214.43</v>
      </c>
      <c r="P2170">
        <v>5897.04</v>
      </c>
      <c r="Q2170">
        <v>85.1</v>
      </c>
      <c r="R2170" t="s">
        <v>49</v>
      </c>
      <c r="S2170">
        <v>3</v>
      </c>
      <c r="T2170" t="b">
        <v>0</v>
      </c>
      <c r="U2170" t="s">
        <v>30</v>
      </c>
      <c r="V2170">
        <v>2</v>
      </c>
    </row>
    <row r="2171" spans="1:22" x14ac:dyDescent="0.25">
      <c r="A2171" t="s">
        <v>4832</v>
      </c>
      <c r="B2171" s="1">
        <v>44304</v>
      </c>
      <c r="C2171" t="s">
        <v>4833</v>
      </c>
      <c r="D2171" t="s">
        <v>998</v>
      </c>
      <c r="E2171">
        <v>34</v>
      </c>
      <c r="F2171" t="str">
        <f>IF(Table1[[#This Row],[age]]&lt;=25,"18-25",IF(Table1[[#This Row],[age]]&lt;=35,"26-35",IF(Table1[[#This Row],[age]]&lt;=50,"36-50","51+")))</f>
        <v>26-35</v>
      </c>
      <c r="G2171" t="s">
        <v>34</v>
      </c>
      <c r="H2171" t="s">
        <v>80</v>
      </c>
      <c r="I2171" t="s">
        <v>81</v>
      </c>
      <c r="J2171" t="s">
        <v>27</v>
      </c>
      <c r="K2171" t="s">
        <v>128</v>
      </c>
      <c r="L2171">
        <v>3</v>
      </c>
      <c r="M2171">
        <v>2006.91</v>
      </c>
      <c r="N2171">
        <v>0.1</v>
      </c>
      <c r="O2171">
        <v>6558.87</v>
      </c>
      <c r="P2171">
        <v>3118.91</v>
      </c>
      <c r="Q2171">
        <v>65.760000000000005</v>
      </c>
      <c r="R2171" t="s">
        <v>49</v>
      </c>
      <c r="S2171">
        <v>5</v>
      </c>
      <c r="T2171" t="b">
        <v>0</v>
      </c>
      <c r="U2171" t="s">
        <v>193</v>
      </c>
      <c r="V2171">
        <v>8</v>
      </c>
    </row>
    <row r="2172" spans="1:22" x14ac:dyDescent="0.25">
      <c r="A2172" t="s">
        <v>4834</v>
      </c>
      <c r="B2172" s="1">
        <v>44759</v>
      </c>
      <c r="C2172" t="s">
        <v>4835</v>
      </c>
      <c r="D2172" t="s">
        <v>513</v>
      </c>
      <c r="E2172">
        <v>41</v>
      </c>
      <c r="F2172" t="str">
        <f>IF(Table1[[#This Row],[age]]&lt;=25,"18-25",IF(Table1[[#This Row],[age]]&lt;=35,"26-35",IF(Table1[[#This Row],[age]]&lt;=50,"36-50","51+")))</f>
        <v>36-50</v>
      </c>
      <c r="G2172" t="s">
        <v>24</v>
      </c>
      <c r="H2172" t="s">
        <v>25</v>
      </c>
      <c r="I2172" t="s">
        <v>298</v>
      </c>
      <c r="J2172" t="s">
        <v>36</v>
      </c>
      <c r="K2172" t="s">
        <v>76</v>
      </c>
      <c r="L2172">
        <v>7</v>
      </c>
      <c r="M2172">
        <v>7570.52</v>
      </c>
      <c r="N2172">
        <v>0.33</v>
      </c>
      <c r="O2172">
        <v>50975.7</v>
      </c>
      <c r="P2172">
        <v>14523.56</v>
      </c>
      <c r="Q2172">
        <v>71.959999999999994</v>
      </c>
      <c r="R2172" t="s">
        <v>29</v>
      </c>
      <c r="S2172">
        <v>3</v>
      </c>
      <c r="T2172" t="b">
        <v>0</v>
      </c>
      <c r="U2172" t="s">
        <v>30</v>
      </c>
      <c r="V2172">
        <v>1</v>
      </c>
    </row>
    <row r="2173" spans="1:22" x14ac:dyDescent="0.25">
      <c r="A2173" t="s">
        <v>4836</v>
      </c>
      <c r="B2173" s="1">
        <v>44730</v>
      </c>
      <c r="C2173" t="s">
        <v>4837</v>
      </c>
      <c r="D2173" t="s">
        <v>572</v>
      </c>
      <c r="E2173">
        <v>31</v>
      </c>
      <c r="F2173" t="str">
        <f>IF(Table1[[#This Row],[age]]&lt;=25,"18-25",IF(Table1[[#This Row],[age]]&lt;=35,"26-35",IF(Table1[[#This Row],[age]]&lt;=50,"36-50","51+")))</f>
        <v>26-35</v>
      </c>
      <c r="G2173" t="s">
        <v>54</v>
      </c>
      <c r="H2173" t="s">
        <v>69</v>
      </c>
      <c r="I2173" t="s">
        <v>181</v>
      </c>
      <c r="J2173" t="s">
        <v>27</v>
      </c>
      <c r="K2173" t="s">
        <v>128</v>
      </c>
      <c r="L2173">
        <v>4</v>
      </c>
      <c r="M2173">
        <v>1974.29</v>
      </c>
      <c r="N2173">
        <v>0.37</v>
      </c>
      <c r="O2173">
        <v>8398</v>
      </c>
      <c r="P2173">
        <v>3117.66</v>
      </c>
      <c r="Q2173">
        <v>87.34</v>
      </c>
      <c r="R2173" t="s">
        <v>57</v>
      </c>
      <c r="S2173">
        <v>1</v>
      </c>
      <c r="T2173" t="b">
        <v>1</v>
      </c>
      <c r="U2173" t="s">
        <v>50</v>
      </c>
      <c r="V2173">
        <v>9</v>
      </c>
    </row>
    <row r="2174" spans="1:22" x14ac:dyDescent="0.25">
      <c r="A2174" t="s">
        <v>4838</v>
      </c>
      <c r="B2174" s="1">
        <v>45512</v>
      </c>
      <c r="C2174" t="s">
        <v>4839</v>
      </c>
      <c r="D2174" t="s">
        <v>253</v>
      </c>
      <c r="E2174">
        <v>27</v>
      </c>
      <c r="F2174" t="str">
        <f>IF(Table1[[#This Row],[age]]&lt;=25,"18-25",IF(Table1[[#This Row],[age]]&lt;=35,"26-35",IF(Table1[[#This Row],[age]]&lt;=50,"36-50","51+")))</f>
        <v>26-35</v>
      </c>
      <c r="G2174" t="s">
        <v>54</v>
      </c>
      <c r="H2174" t="s">
        <v>80</v>
      </c>
      <c r="I2174" t="s">
        <v>236</v>
      </c>
      <c r="J2174" t="s">
        <v>115</v>
      </c>
      <c r="K2174" t="s">
        <v>145</v>
      </c>
      <c r="L2174">
        <v>2</v>
      </c>
      <c r="M2174">
        <v>22369.95</v>
      </c>
      <c r="N2174">
        <v>0.35</v>
      </c>
      <c r="O2174">
        <v>42121.15</v>
      </c>
      <c r="P2174">
        <v>3831.16</v>
      </c>
      <c r="Q2174">
        <v>69.95</v>
      </c>
      <c r="R2174" t="s">
        <v>57</v>
      </c>
      <c r="S2174">
        <v>5</v>
      </c>
      <c r="T2174" t="b">
        <v>0</v>
      </c>
      <c r="U2174" t="s">
        <v>30</v>
      </c>
      <c r="V2174">
        <v>7</v>
      </c>
    </row>
    <row r="2175" spans="1:22" x14ac:dyDescent="0.25">
      <c r="A2175" t="s">
        <v>4840</v>
      </c>
      <c r="B2175" s="1">
        <v>44029</v>
      </c>
      <c r="C2175" t="s">
        <v>4841</v>
      </c>
      <c r="D2175" t="s">
        <v>3049</v>
      </c>
      <c r="E2175">
        <v>21</v>
      </c>
      <c r="F2175" t="str">
        <f>IF(Table1[[#This Row],[age]]&lt;=25,"18-25",IF(Table1[[#This Row],[age]]&lt;=35,"26-35",IF(Table1[[#This Row],[age]]&lt;=50,"36-50","51+")))</f>
        <v>18-25</v>
      </c>
      <c r="G2175" t="s">
        <v>54</v>
      </c>
      <c r="H2175" t="s">
        <v>61</v>
      </c>
      <c r="I2175" t="s">
        <v>91</v>
      </c>
      <c r="J2175" t="s">
        <v>115</v>
      </c>
      <c r="K2175" t="s">
        <v>145</v>
      </c>
      <c r="L2175">
        <v>6</v>
      </c>
      <c r="M2175">
        <v>71791.710000000006</v>
      </c>
      <c r="N2175">
        <v>0.22</v>
      </c>
      <c r="O2175">
        <v>410825.53</v>
      </c>
      <c r="P2175">
        <v>46770.76</v>
      </c>
      <c r="Q2175">
        <v>45.98</v>
      </c>
      <c r="R2175" t="s">
        <v>43</v>
      </c>
      <c r="S2175">
        <v>4</v>
      </c>
      <c r="T2175" t="b">
        <v>0</v>
      </c>
      <c r="U2175" t="s">
        <v>30</v>
      </c>
      <c r="V2175">
        <v>1</v>
      </c>
    </row>
    <row r="2176" spans="1:22" x14ac:dyDescent="0.25">
      <c r="A2176" t="s">
        <v>4842</v>
      </c>
      <c r="B2176" s="1">
        <v>44966</v>
      </c>
      <c r="C2176" t="s">
        <v>4843</v>
      </c>
      <c r="D2176" t="s">
        <v>1598</v>
      </c>
      <c r="E2176">
        <v>49</v>
      </c>
      <c r="F2176" t="str">
        <f>IF(Table1[[#This Row],[age]]&lt;=25,"18-25",IF(Table1[[#This Row],[age]]&lt;=35,"26-35",IF(Table1[[#This Row],[age]]&lt;=50,"36-50","51+")))</f>
        <v>36-50</v>
      </c>
      <c r="G2176" t="s">
        <v>54</v>
      </c>
      <c r="H2176" t="s">
        <v>25</v>
      </c>
      <c r="I2176" t="s">
        <v>298</v>
      </c>
      <c r="J2176" t="s">
        <v>27</v>
      </c>
      <c r="K2176" t="s">
        <v>128</v>
      </c>
      <c r="L2176">
        <v>1</v>
      </c>
      <c r="M2176">
        <v>1738.61</v>
      </c>
      <c r="N2176">
        <v>0.33</v>
      </c>
      <c r="O2176">
        <v>1259.18</v>
      </c>
      <c r="P2176">
        <v>545.39</v>
      </c>
      <c r="Q2176">
        <v>66.25</v>
      </c>
      <c r="R2176" t="s">
        <v>49</v>
      </c>
      <c r="S2176">
        <v>5</v>
      </c>
      <c r="T2176" t="b">
        <v>0</v>
      </c>
      <c r="U2176" t="s">
        <v>30</v>
      </c>
      <c r="V2176">
        <v>10</v>
      </c>
    </row>
    <row r="2177" spans="1:22" x14ac:dyDescent="0.25">
      <c r="A2177" t="s">
        <v>4844</v>
      </c>
      <c r="B2177" s="1">
        <v>45360</v>
      </c>
      <c r="C2177" t="s">
        <v>4845</v>
      </c>
      <c r="D2177" t="s">
        <v>1414</v>
      </c>
      <c r="E2177">
        <v>26</v>
      </c>
      <c r="F2177" t="str">
        <f>IF(Table1[[#This Row],[age]]&lt;=25,"18-25",IF(Table1[[#This Row],[age]]&lt;=35,"26-35",IF(Table1[[#This Row],[age]]&lt;=50,"36-50","51+")))</f>
        <v>26-35</v>
      </c>
      <c r="G2177" t="s">
        <v>24</v>
      </c>
      <c r="H2177" t="s">
        <v>61</v>
      </c>
      <c r="I2177" t="s">
        <v>62</v>
      </c>
      <c r="J2177" t="s">
        <v>115</v>
      </c>
      <c r="K2177" t="s">
        <v>398</v>
      </c>
      <c r="L2177">
        <v>7</v>
      </c>
      <c r="M2177">
        <v>27748.1</v>
      </c>
      <c r="N2177">
        <v>0.17</v>
      </c>
      <c r="O2177">
        <v>209289.38</v>
      </c>
      <c r="P2177">
        <v>28699.09</v>
      </c>
      <c r="Q2177">
        <v>42.72</v>
      </c>
      <c r="R2177" t="s">
        <v>29</v>
      </c>
      <c r="S2177">
        <v>1</v>
      </c>
      <c r="T2177" t="b">
        <v>1</v>
      </c>
      <c r="U2177" t="s">
        <v>50</v>
      </c>
      <c r="V2177">
        <v>8</v>
      </c>
    </row>
    <row r="2178" spans="1:22" x14ac:dyDescent="0.25">
      <c r="A2178" t="s">
        <v>4846</v>
      </c>
      <c r="B2178" s="1">
        <v>44227</v>
      </c>
      <c r="C2178" t="s">
        <v>4847</v>
      </c>
      <c r="D2178" t="s">
        <v>1054</v>
      </c>
      <c r="E2178">
        <v>54</v>
      </c>
      <c r="F2178" t="str">
        <f>IF(Table1[[#This Row],[age]]&lt;=25,"18-25",IF(Table1[[#This Row],[age]]&lt;=35,"26-35",IF(Table1[[#This Row],[age]]&lt;=50,"36-50","51+")))</f>
        <v>51+</v>
      </c>
      <c r="G2178" t="s">
        <v>54</v>
      </c>
      <c r="H2178" t="s">
        <v>69</v>
      </c>
      <c r="I2178" t="s">
        <v>181</v>
      </c>
      <c r="J2178" t="s">
        <v>115</v>
      </c>
      <c r="K2178" t="s">
        <v>137</v>
      </c>
      <c r="L2178">
        <v>2</v>
      </c>
      <c r="M2178">
        <v>15121.18</v>
      </c>
      <c r="N2178">
        <v>0.11</v>
      </c>
      <c r="O2178">
        <v>22753.66</v>
      </c>
      <c r="P2178">
        <v>2384.2199999999998</v>
      </c>
      <c r="Q2178">
        <v>94.45</v>
      </c>
      <c r="R2178" t="s">
        <v>57</v>
      </c>
      <c r="S2178">
        <v>1</v>
      </c>
      <c r="T2178" t="b">
        <v>0</v>
      </c>
      <c r="U2178" t="s">
        <v>30</v>
      </c>
      <c r="V2178">
        <v>8</v>
      </c>
    </row>
    <row r="2179" spans="1:22" x14ac:dyDescent="0.25">
      <c r="A2179" t="s">
        <v>4848</v>
      </c>
      <c r="B2179" s="1">
        <v>43943</v>
      </c>
      <c r="C2179" t="s">
        <v>4849</v>
      </c>
      <c r="D2179" t="s">
        <v>2317</v>
      </c>
      <c r="E2179">
        <v>47</v>
      </c>
      <c r="F2179" t="str">
        <f>IF(Table1[[#This Row],[age]]&lt;=25,"18-25",IF(Table1[[#This Row],[age]]&lt;=35,"26-35",IF(Table1[[#This Row],[age]]&lt;=50,"36-50","51+")))</f>
        <v>36-50</v>
      </c>
      <c r="G2179" t="s">
        <v>34</v>
      </c>
      <c r="H2179" t="s">
        <v>61</v>
      </c>
      <c r="I2179" t="s">
        <v>141</v>
      </c>
      <c r="J2179" t="s">
        <v>106</v>
      </c>
      <c r="K2179" t="s">
        <v>718</v>
      </c>
      <c r="L2179">
        <v>2</v>
      </c>
      <c r="M2179">
        <v>194.68</v>
      </c>
      <c r="N2179">
        <v>0.03</v>
      </c>
      <c r="O2179">
        <v>459.04</v>
      </c>
      <c r="P2179">
        <v>32.11</v>
      </c>
      <c r="Q2179">
        <v>16.100000000000001</v>
      </c>
      <c r="R2179" t="s">
        <v>65</v>
      </c>
      <c r="S2179">
        <v>3</v>
      </c>
      <c r="T2179" t="b">
        <v>0</v>
      </c>
      <c r="U2179" t="s">
        <v>71</v>
      </c>
      <c r="V2179">
        <v>4</v>
      </c>
    </row>
    <row r="2180" spans="1:22" x14ac:dyDescent="0.25">
      <c r="A2180" t="s">
        <v>4850</v>
      </c>
      <c r="B2180" s="1">
        <v>45552</v>
      </c>
      <c r="C2180" t="s">
        <v>4851</v>
      </c>
      <c r="D2180" t="s">
        <v>685</v>
      </c>
      <c r="E2180">
        <v>45</v>
      </c>
      <c r="F2180" t="str">
        <f>IF(Table1[[#This Row],[age]]&lt;=25,"18-25",IF(Table1[[#This Row],[age]]&lt;=35,"26-35",IF(Table1[[#This Row],[age]]&lt;=50,"36-50","51+")))</f>
        <v>36-50</v>
      </c>
      <c r="G2180" t="s">
        <v>24</v>
      </c>
      <c r="H2180" t="s">
        <v>55</v>
      </c>
      <c r="I2180" t="s">
        <v>114</v>
      </c>
      <c r="J2180" t="s">
        <v>106</v>
      </c>
      <c r="K2180" t="s">
        <v>718</v>
      </c>
      <c r="L2180">
        <v>2</v>
      </c>
      <c r="M2180">
        <v>233.21</v>
      </c>
      <c r="N2180">
        <v>0.33</v>
      </c>
      <c r="O2180">
        <v>470.15</v>
      </c>
      <c r="P2180">
        <v>27.24</v>
      </c>
      <c r="Q2180">
        <v>48.63</v>
      </c>
      <c r="R2180" t="s">
        <v>43</v>
      </c>
      <c r="S2180">
        <v>2</v>
      </c>
      <c r="T2180" t="b">
        <v>0</v>
      </c>
      <c r="U2180" t="s">
        <v>30</v>
      </c>
      <c r="V2180">
        <v>7</v>
      </c>
    </row>
    <row r="2181" spans="1:22" x14ac:dyDescent="0.25">
      <c r="A2181" t="s">
        <v>4852</v>
      </c>
      <c r="B2181" s="1">
        <v>44735</v>
      </c>
      <c r="C2181" t="s">
        <v>4853</v>
      </c>
      <c r="D2181" t="s">
        <v>539</v>
      </c>
      <c r="E2181">
        <v>41</v>
      </c>
      <c r="F2181" t="str">
        <f>IF(Table1[[#This Row],[age]]&lt;=25,"18-25",IF(Table1[[#This Row],[age]]&lt;=35,"26-35",IF(Table1[[#This Row],[age]]&lt;=50,"36-50","51+")))</f>
        <v>36-50</v>
      </c>
      <c r="G2181" t="s">
        <v>24</v>
      </c>
      <c r="H2181" t="s">
        <v>80</v>
      </c>
      <c r="I2181" t="s">
        <v>242</v>
      </c>
      <c r="J2181" t="s">
        <v>36</v>
      </c>
      <c r="K2181" t="s">
        <v>37</v>
      </c>
      <c r="L2181">
        <v>10</v>
      </c>
      <c r="M2181">
        <v>21783.3</v>
      </c>
      <c r="N2181">
        <v>0.09</v>
      </c>
      <c r="O2181">
        <v>276349.78999999998</v>
      </c>
      <c r="P2181">
        <v>53595.22</v>
      </c>
      <c r="Q2181">
        <v>73.39</v>
      </c>
      <c r="R2181" t="s">
        <v>49</v>
      </c>
      <c r="S2181">
        <v>4</v>
      </c>
      <c r="T2181" t="b">
        <v>1</v>
      </c>
      <c r="U2181" t="s">
        <v>50</v>
      </c>
      <c r="V2181">
        <v>2</v>
      </c>
    </row>
    <row r="2182" spans="1:22" x14ac:dyDescent="0.25">
      <c r="A2182" t="s">
        <v>4854</v>
      </c>
      <c r="B2182" s="1">
        <v>45317</v>
      </c>
      <c r="C2182" t="s">
        <v>4855</v>
      </c>
      <c r="D2182" t="s">
        <v>666</v>
      </c>
      <c r="E2182">
        <v>24</v>
      </c>
      <c r="F2182" t="str">
        <f>IF(Table1[[#This Row],[age]]&lt;=25,"18-25",IF(Table1[[#This Row],[age]]&lt;=35,"26-35",IF(Table1[[#This Row],[age]]&lt;=50,"36-50","51+")))</f>
        <v>18-25</v>
      </c>
      <c r="G2182" t="s">
        <v>34</v>
      </c>
      <c r="H2182" t="s">
        <v>80</v>
      </c>
      <c r="I2182" t="s">
        <v>81</v>
      </c>
      <c r="J2182" t="s">
        <v>47</v>
      </c>
      <c r="K2182" t="s">
        <v>156</v>
      </c>
      <c r="L2182">
        <v>2</v>
      </c>
      <c r="M2182">
        <v>1002.73</v>
      </c>
      <c r="N2182">
        <v>0</v>
      </c>
      <c r="O2182">
        <v>2026.66</v>
      </c>
      <c r="P2182">
        <v>998.39</v>
      </c>
      <c r="Q2182">
        <v>69.02</v>
      </c>
      <c r="R2182" t="s">
        <v>49</v>
      </c>
      <c r="S2182">
        <v>5</v>
      </c>
      <c r="T2182" t="b">
        <v>0</v>
      </c>
      <c r="U2182" t="s">
        <v>71</v>
      </c>
      <c r="V2182">
        <v>8</v>
      </c>
    </row>
    <row r="2183" spans="1:22" x14ac:dyDescent="0.25">
      <c r="A2183" t="s">
        <v>4856</v>
      </c>
      <c r="B2183" s="1">
        <v>44725</v>
      </c>
      <c r="C2183" t="s">
        <v>4857</v>
      </c>
      <c r="D2183" t="s">
        <v>2232</v>
      </c>
      <c r="E2183">
        <v>50</v>
      </c>
      <c r="F2183" t="str">
        <f>IF(Table1[[#This Row],[age]]&lt;=25,"18-25",IF(Table1[[#This Row],[age]]&lt;=35,"26-35",IF(Table1[[#This Row],[age]]&lt;=50,"36-50","51+")))</f>
        <v>36-50</v>
      </c>
      <c r="G2183" t="s">
        <v>54</v>
      </c>
      <c r="H2183" t="s">
        <v>80</v>
      </c>
      <c r="I2183" t="s">
        <v>242</v>
      </c>
      <c r="J2183" t="s">
        <v>36</v>
      </c>
      <c r="K2183" t="s">
        <v>243</v>
      </c>
      <c r="L2183">
        <v>3</v>
      </c>
      <c r="M2183">
        <v>16614.080000000002</v>
      </c>
      <c r="N2183">
        <v>0.33</v>
      </c>
      <c r="O2183">
        <v>50453.16</v>
      </c>
      <c r="P2183">
        <v>12964.62</v>
      </c>
      <c r="Q2183">
        <v>63.05</v>
      </c>
      <c r="R2183" t="s">
        <v>57</v>
      </c>
      <c r="S2183">
        <v>2</v>
      </c>
      <c r="T2183" t="b">
        <v>1</v>
      </c>
      <c r="U2183" t="s">
        <v>50</v>
      </c>
      <c r="V2183">
        <v>5</v>
      </c>
    </row>
    <row r="2184" spans="1:22" x14ac:dyDescent="0.25">
      <c r="A2184" t="s">
        <v>4858</v>
      </c>
      <c r="B2184" s="1">
        <v>43869</v>
      </c>
      <c r="C2184" t="s">
        <v>4859</v>
      </c>
      <c r="D2184" t="s">
        <v>203</v>
      </c>
      <c r="E2184">
        <v>20</v>
      </c>
      <c r="F2184" t="str">
        <f>IF(Table1[[#This Row],[age]]&lt;=25,"18-25",IF(Table1[[#This Row],[age]]&lt;=35,"26-35",IF(Table1[[#This Row],[age]]&lt;=50,"36-50","51+")))</f>
        <v>18-25</v>
      </c>
      <c r="G2184" t="s">
        <v>24</v>
      </c>
      <c r="H2184" t="s">
        <v>80</v>
      </c>
      <c r="I2184" t="s">
        <v>86</v>
      </c>
      <c r="J2184" t="s">
        <v>106</v>
      </c>
      <c r="K2184" t="s">
        <v>314</v>
      </c>
      <c r="L2184">
        <v>9</v>
      </c>
      <c r="M2184">
        <v>125.81</v>
      </c>
      <c r="N2184">
        <v>0.24</v>
      </c>
      <c r="O2184">
        <v>845.95</v>
      </c>
      <c r="P2184">
        <v>45.94</v>
      </c>
      <c r="Q2184">
        <v>75.38</v>
      </c>
      <c r="R2184" t="s">
        <v>29</v>
      </c>
      <c r="S2184">
        <v>1</v>
      </c>
      <c r="T2184" t="b">
        <v>0</v>
      </c>
      <c r="U2184" t="s">
        <v>93</v>
      </c>
      <c r="V2184">
        <v>3</v>
      </c>
    </row>
    <row r="2185" spans="1:22" x14ac:dyDescent="0.25">
      <c r="A2185" t="s">
        <v>4860</v>
      </c>
      <c r="B2185" s="1">
        <v>44736</v>
      </c>
      <c r="C2185" t="s">
        <v>4861</v>
      </c>
      <c r="D2185" t="s">
        <v>155</v>
      </c>
      <c r="E2185">
        <v>51</v>
      </c>
      <c r="F2185" t="str">
        <f>IF(Table1[[#This Row],[age]]&lt;=25,"18-25",IF(Table1[[#This Row],[age]]&lt;=35,"26-35",IF(Table1[[#This Row],[age]]&lt;=50,"36-50","51+")))</f>
        <v>51+</v>
      </c>
      <c r="G2185" t="s">
        <v>34</v>
      </c>
      <c r="H2185" t="s">
        <v>80</v>
      </c>
      <c r="I2185" t="s">
        <v>81</v>
      </c>
      <c r="J2185" t="s">
        <v>106</v>
      </c>
      <c r="K2185" t="s">
        <v>188</v>
      </c>
      <c r="L2185">
        <v>10</v>
      </c>
      <c r="M2185">
        <v>53.46</v>
      </c>
      <c r="N2185">
        <v>0.05</v>
      </c>
      <c r="O2185">
        <v>815.23</v>
      </c>
      <c r="P2185">
        <v>88.15</v>
      </c>
      <c r="Q2185">
        <v>67.319999999999993</v>
      </c>
      <c r="R2185" t="s">
        <v>29</v>
      </c>
      <c r="S2185">
        <v>1</v>
      </c>
      <c r="T2185" t="b">
        <v>0</v>
      </c>
      <c r="U2185" t="s">
        <v>71</v>
      </c>
      <c r="V2185">
        <v>9</v>
      </c>
    </row>
    <row r="2186" spans="1:22" x14ac:dyDescent="0.25">
      <c r="A2186" t="s">
        <v>4862</v>
      </c>
      <c r="B2186" s="1">
        <v>45156</v>
      </c>
      <c r="C2186" t="s">
        <v>4863</v>
      </c>
      <c r="D2186" t="s">
        <v>998</v>
      </c>
      <c r="E2186">
        <v>47</v>
      </c>
      <c r="F2186" t="str">
        <f>IF(Table1[[#This Row],[age]]&lt;=25,"18-25",IF(Table1[[#This Row],[age]]&lt;=35,"26-35",IF(Table1[[#This Row],[age]]&lt;=50,"36-50","51+")))</f>
        <v>36-50</v>
      </c>
      <c r="G2186" t="s">
        <v>54</v>
      </c>
      <c r="H2186" t="s">
        <v>80</v>
      </c>
      <c r="I2186" t="s">
        <v>86</v>
      </c>
      <c r="J2186" t="s">
        <v>101</v>
      </c>
      <c r="K2186" t="s">
        <v>164</v>
      </c>
      <c r="L2186">
        <v>8</v>
      </c>
      <c r="M2186">
        <v>11184.95</v>
      </c>
      <c r="N2186">
        <v>0.39</v>
      </c>
      <c r="O2186">
        <v>84179.79</v>
      </c>
      <c r="P2186">
        <v>26658.84</v>
      </c>
      <c r="Q2186">
        <v>58.07</v>
      </c>
      <c r="R2186" t="s">
        <v>92</v>
      </c>
      <c r="S2186">
        <v>4</v>
      </c>
      <c r="T2186" t="b">
        <v>0</v>
      </c>
      <c r="U2186" t="s">
        <v>93</v>
      </c>
      <c r="V2186">
        <v>8</v>
      </c>
    </row>
    <row r="2187" spans="1:22" x14ac:dyDescent="0.25">
      <c r="A2187" t="s">
        <v>4864</v>
      </c>
      <c r="B2187" s="1">
        <v>44749</v>
      </c>
      <c r="C2187" t="s">
        <v>4865</v>
      </c>
      <c r="D2187" t="s">
        <v>187</v>
      </c>
      <c r="E2187">
        <v>53</v>
      </c>
      <c r="F2187" t="str">
        <f>IF(Table1[[#This Row],[age]]&lt;=25,"18-25",IF(Table1[[#This Row],[age]]&lt;=35,"26-35",IF(Table1[[#This Row],[age]]&lt;=50,"36-50","51+")))</f>
        <v>51+</v>
      </c>
      <c r="G2187" t="s">
        <v>24</v>
      </c>
      <c r="H2187" t="s">
        <v>69</v>
      </c>
      <c r="I2187" t="s">
        <v>136</v>
      </c>
      <c r="J2187" t="s">
        <v>115</v>
      </c>
      <c r="K2187" t="s">
        <v>116</v>
      </c>
      <c r="L2187">
        <v>6</v>
      </c>
      <c r="M2187">
        <v>10929.88</v>
      </c>
      <c r="N2187">
        <v>0.16</v>
      </c>
      <c r="O2187">
        <v>85653.85</v>
      </c>
      <c r="P2187">
        <v>12561.33</v>
      </c>
      <c r="Q2187">
        <v>76.61</v>
      </c>
      <c r="R2187" t="s">
        <v>43</v>
      </c>
      <c r="S2187">
        <v>1</v>
      </c>
      <c r="T2187" t="b">
        <v>0</v>
      </c>
      <c r="U2187" t="s">
        <v>30</v>
      </c>
      <c r="V2187">
        <v>1</v>
      </c>
    </row>
    <row r="2188" spans="1:22" x14ac:dyDescent="0.25">
      <c r="A2188" t="s">
        <v>4866</v>
      </c>
      <c r="B2188" s="1">
        <v>44773</v>
      </c>
      <c r="C2188" t="s">
        <v>4867</v>
      </c>
      <c r="D2188" t="s">
        <v>1630</v>
      </c>
      <c r="E2188">
        <v>28</v>
      </c>
      <c r="F2188" t="str">
        <f>IF(Table1[[#This Row],[age]]&lt;=25,"18-25",IF(Table1[[#This Row],[age]]&lt;=35,"26-35",IF(Table1[[#This Row],[age]]&lt;=50,"36-50","51+")))</f>
        <v>26-35</v>
      </c>
      <c r="G2188" t="s">
        <v>54</v>
      </c>
      <c r="H2188" t="s">
        <v>25</v>
      </c>
      <c r="I2188" t="s">
        <v>35</v>
      </c>
      <c r="J2188" t="s">
        <v>47</v>
      </c>
      <c r="K2188" t="s">
        <v>272</v>
      </c>
      <c r="L2188">
        <v>5</v>
      </c>
      <c r="M2188">
        <v>539.41</v>
      </c>
      <c r="N2188">
        <v>0.11</v>
      </c>
      <c r="O2188">
        <v>3571.01</v>
      </c>
      <c r="P2188">
        <v>1290.67</v>
      </c>
      <c r="Q2188">
        <v>66.22</v>
      </c>
      <c r="R2188" t="s">
        <v>92</v>
      </c>
      <c r="S2188">
        <v>3</v>
      </c>
      <c r="T2188" t="b">
        <v>0</v>
      </c>
      <c r="U2188" t="s">
        <v>30</v>
      </c>
      <c r="V2188">
        <v>10</v>
      </c>
    </row>
    <row r="2189" spans="1:22" x14ac:dyDescent="0.25">
      <c r="A2189" t="s">
        <v>4868</v>
      </c>
      <c r="B2189" s="1">
        <v>44870</v>
      </c>
      <c r="C2189" t="s">
        <v>4869</v>
      </c>
      <c r="D2189" t="s">
        <v>754</v>
      </c>
      <c r="E2189">
        <v>19</v>
      </c>
      <c r="F2189" t="str">
        <f>IF(Table1[[#This Row],[age]]&lt;=25,"18-25",IF(Table1[[#This Row],[age]]&lt;=35,"26-35",IF(Table1[[#This Row],[age]]&lt;=50,"36-50","51+")))</f>
        <v>18-25</v>
      </c>
      <c r="G2189" t="s">
        <v>24</v>
      </c>
      <c r="H2189" t="s">
        <v>80</v>
      </c>
      <c r="I2189" t="s">
        <v>86</v>
      </c>
      <c r="J2189" t="s">
        <v>47</v>
      </c>
      <c r="K2189" t="s">
        <v>48</v>
      </c>
      <c r="L2189">
        <v>2</v>
      </c>
      <c r="M2189">
        <v>483.7</v>
      </c>
      <c r="N2189">
        <v>0.17</v>
      </c>
      <c r="O2189">
        <v>699.82</v>
      </c>
      <c r="P2189">
        <v>225.52</v>
      </c>
      <c r="Q2189">
        <v>101.82</v>
      </c>
      <c r="R2189" t="s">
        <v>92</v>
      </c>
      <c r="S2189">
        <v>2</v>
      </c>
      <c r="T2189" t="b">
        <v>0</v>
      </c>
      <c r="U2189" t="s">
        <v>30</v>
      </c>
      <c r="V2189">
        <v>1</v>
      </c>
    </row>
    <row r="2190" spans="1:22" x14ac:dyDescent="0.25">
      <c r="A2190" t="s">
        <v>4870</v>
      </c>
      <c r="B2190" s="1">
        <v>45378</v>
      </c>
      <c r="C2190" t="s">
        <v>4871</v>
      </c>
      <c r="D2190" t="s">
        <v>455</v>
      </c>
      <c r="E2190">
        <v>51</v>
      </c>
      <c r="F2190" t="str">
        <f>IF(Table1[[#This Row],[age]]&lt;=25,"18-25",IF(Table1[[#This Row],[age]]&lt;=35,"26-35",IF(Table1[[#This Row],[age]]&lt;=50,"36-50","51+")))</f>
        <v>51+</v>
      </c>
      <c r="G2190" t="s">
        <v>24</v>
      </c>
      <c r="H2190" t="s">
        <v>55</v>
      </c>
      <c r="I2190" t="s">
        <v>56</v>
      </c>
      <c r="J2190" t="s">
        <v>115</v>
      </c>
      <c r="K2190" t="s">
        <v>116</v>
      </c>
      <c r="L2190">
        <v>5</v>
      </c>
      <c r="M2190">
        <v>11709.91</v>
      </c>
      <c r="N2190">
        <v>0.31</v>
      </c>
      <c r="O2190">
        <v>50072.11</v>
      </c>
      <c r="P2190">
        <v>6899.28</v>
      </c>
      <c r="Q2190">
        <v>59.01</v>
      </c>
      <c r="R2190" t="s">
        <v>29</v>
      </c>
      <c r="S2190">
        <v>4</v>
      </c>
      <c r="T2190" t="b">
        <v>0</v>
      </c>
      <c r="U2190" t="s">
        <v>71</v>
      </c>
      <c r="V2190">
        <v>3</v>
      </c>
    </row>
    <row r="2191" spans="1:22" x14ac:dyDescent="0.25">
      <c r="A2191" t="s">
        <v>4872</v>
      </c>
      <c r="B2191" s="1">
        <v>44960</v>
      </c>
      <c r="C2191" t="s">
        <v>4873</v>
      </c>
      <c r="D2191" t="s">
        <v>1644</v>
      </c>
      <c r="E2191">
        <v>45</v>
      </c>
      <c r="F2191" t="str">
        <f>IF(Table1[[#This Row],[age]]&lt;=25,"18-25",IF(Table1[[#This Row],[age]]&lt;=35,"26-35",IF(Table1[[#This Row],[age]]&lt;=50,"36-50","51+")))</f>
        <v>36-50</v>
      </c>
      <c r="G2191" t="s">
        <v>34</v>
      </c>
      <c r="H2191" t="s">
        <v>61</v>
      </c>
      <c r="I2191" t="s">
        <v>141</v>
      </c>
      <c r="J2191" t="s">
        <v>63</v>
      </c>
      <c r="K2191" t="s">
        <v>434</v>
      </c>
      <c r="L2191">
        <v>8</v>
      </c>
      <c r="M2191">
        <v>772.69</v>
      </c>
      <c r="N2191">
        <v>0.15</v>
      </c>
      <c r="O2191">
        <v>5307.05</v>
      </c>
      <c r="P2191">
        <v>1907.75</v>
      </c>
      <c r="Q2191">
        <v>77.11</v>
      </c>
      <c r="R2191" t="s">
        <v>49</v>
      </c>
      <c r="S2191">
        <v>4</v>
      </c>
      <c r="T2191" t="b">
        <v>0</v>
      </c>
      <c r="U2191" t="s">
        <v>93</v>
      </c>
      <c r="V2191">
        <v>1</v>
      </c>
    </row>
    <row r="2192" spans="1:22" x14ac:dyDescent="0.25">
      <c r="A2192" t="s">
        <v>4874</v>
      </c>
      <c r="B2192" s="1">
        <v>44684</v>
      </c>
      <c r="C2192" t="s">
        <v>4875</v>
      </c>
      <c r="D2192" t="s">
        <v>1281</v>
      </c>
      <c r="E2192">
        <v>54</v>
      </c>
      <c r="F2192" t="str">
        <f>IF(Table1[[#This Row],[age]]&lt;=25,"18-25",IF(Table1[[#This Row],[age]]&lt;=35,"26-35",IF(Table1[[#This Row],[age]]&lt;=50,"36-50","51+")))</f>
        <v>51+</v>
      </c>
      <c r="G2192" t="s">
        <v>54</v>
      </c>
      <c r="H2192" t="s">
        <v>55</v>
      </c>
      <c r="I2192" t="s">
        <v>97</v>
      </c>
      <c r="J2192" t="s">
        <v>36</v>
      </c>
      <c r="K2192" t="s">
        <v>230</v>
      </c>
      <c r="L2192">
        <v>8</v>
      </c>
      <c r="M2192">
        <v>31153.02</v>
      </c>
      <c r="N2192">
        <v>0.2</v>
      </c>
      <c r="O2192">
        <v>268467.06</v>
      </c>
      <c r="P2192">
        <v>50396.19</v>
      </c>
      <c r="Q2192">
        <v>31.05</v>
      </c>
      <c r="R2192" t="s">
        <v>43</v>
      </c>
      <c r="S2192">
        <v>1</v>
      </c>
      <c r="T2192" t="b">
        <v>0</v>
      </c>
      <c r="U2192" t="s">
        <v>30</v>
      </c>
      <c r="V2192">
        <v>7</v>
      </c>
    </row>
    <row r="2193" spans="1:22" x14ac:dyDescent="0.25">
      <c r="A2193" t="s">
        <v>4876</v>
      </c>
      <c r="B2193" s="1">
        <v>43936</v>
      </c>
      <c r="C2193" t="s">
        <v>4877</v>
      </c>
      <c r="D2193" t="s">
        <v>79</v>
      </c>
      <c r="E2193">
        <v>49</v>
      </c>
      <c r="F2193" t="str">
        <f>IF(Table1[[#This Row],[age]]&lt;=25,"18-25",IF(Table1[[#This Row],[age]]&lt;=35,"26-35",IF(Table1[[#This Row],[age]]&lt;=50,"36-50","51+")))</f>
        <v>36-50</v>
      </c>
      <c r="G2193" t="s">
        <v>24</v>
      </c>
      <c r="H2193" t="s">
        <v>69</v>
      </c>
      <c r="I2193" t="s">
        <v>70</v>
      </c>
      <c r="J2193" t="s">
        <v>115</v>
      </c>
      <c r="K2193" t="s">
        <v>145</v>
      </c>
      <c r="L2193">
        <v>2</v>
      </c>
      <c r="M2193">
        <v>46584.639999999999</v>
      </c>
      <c r="N2193">
        <v>0.32</v>
      </c>
      <c r="O2193">
        <v>74700.63</v>
      </c>
      <c r="P2193">
        <v>5374.6</v>
      </c>
      <c r="Q2193">
        <v>75.260000000000005</v>
      </c>
      <c r="R2193" t="s">
        <v>65</v>
      </c>
      <c r="S2193">
        <v>1</v>
      </c>
      <c r="T2193" t="b">
        <v>0</v>
      </c>
      <c r="U2193" t="s">
        <v>30</v>
      </c>
      <c r="V2193">
        <v>4</v>
      </c>
    </row>
    <row r="2194" spans="1:22" x14ac:dyDescent="0.25">
      <c r="A2194" t="s">
        <v>4878</v>
      </c>
      <c r="B2194" s="1">
        <v>44704</v>
      </c>
      <c r="C2194" t="s">
        <v>4879</v>
      </c>
      <c r="D2194" t="s">
        <v>702</v>
      </c>
      <c r="E2194">
        <v>19</v>
      </c>
      <c r="F2194" t="str">
        <f>IF(Table1[[#This Row],[age]]&lt;=25,"18-25",IF(Table1[[#This Row],[age]]&lt;=35,"26-35",IF(Table1[[#This Row],[age]]&lt;=50,"36-50","51+")))</f>
        <v>18-25</v>
      </c>
      <c r="G2194" t="s">
        <v>24</v>
      </c>
      <c r="H2194" t="s">
        <v>80</v>
      </c>
      <c r="I2194" t="s">
        <v>236</v>
      </c>
      <c r="J2194" t="s">
        <v>47</v>
      </c>
      <c r="K2194" t="s">
        <v>600</v>
      </c>
      <c r="L2194">
        <v>2</v>
      </c>
      <c r="M2194">
        <v>925.2</v>
      </c>
      <c r="N2194">
        <v>0.09</v>
      </c>
      <c r="O2194">
        <v>2492.19</v>
      </c>
      <c r="P2194">
        <v>582.47</v>
      </c>
      <c r="Q2194">
        <v>86.46</v>
      </c>
      <c r="R2194" t="s">
        <v>29</v>
      </c>
      <c r="S2194">
        <v>5</v>
      </c>
      <c r="T2194" t="b">
        <v>0</v>
      </c>
      <c r="U2194" t="s">
        <v>71</v>
      </c>
      <c r="V2194">
        <v>10</v>
      </c>
    </row>
    <row r="2195" spans="1:22" x14ac:dyDescent="0.25">
      <c r="A2195" t="s">
        <v>4880</v>
      </c>
      <c r="B2195" s="1">
        <v>45336</v>
      </c>
      <c r="C2195" t="s">
        <v>4881</v>
      </c>
      <c r="D2195" t="s">
        <v>626</v>
      </c>
      <c r="E2195">
        <v>47</v>
      </c>
      <c r="F2195" t="str">
        <f>IF(Table1[[#This Row],[age]]&lt;=25,"18-25",IF(Table1[[#This Row],[age]]&lt;=35,"26-35",IF(Table1[[#This Row],[age]]&lt;=50,"36-50","51+")))</f>
        <v>36-50</v>
      </c>
      <c r="G2195" t="s">
        <v>54</v>
      </c>
      <c r="H2195" t="s">
        <v>69</v>
      </c>
      <c r="I2195" t="s">
        <v>136</v>
      </c>
      <c r="J2195" t="s">
        <v>115</v>
      </c>
      <c r="K2195" t="s">
        <v>116</v>
      </c>
      <c r="L2195">
        <v>7</v>
      </c>
      <c r="M2195">
        <v>27099.439999999999</v>
      </c>
      <c r="N2195">
        <v>0.32</v>
      </c>
      <c r="O2195">
        <v>138104.32999999999</v>
      </c>
      <c r="P2195">
        <v>17338.53</v>
      </c>
      <c r="Q2195">
        <v>53.54</v>
      </c>
      <c r="R2195" t="s">
        <v>65</v>
      </c>
      <c r="S2195">
        <v>4</v>
      </c>
      <c r="T2195" t="b">
        <v>1</v>
      </c>
      <c r="U2195" t="s">
        <v>50</v>
      </c>
      <c r="V2195">
        <v>4</v>
      </c>
    </row>
    <row r="2196" spans="1:22" x14ac:dyDescent="0.25">
      <c r="A2196" t="s">
        <v>4882</v>
      </c>
      <c r="B2196" s="1">
        <v>44681</v>
      </c>
      <c r="C2196" t="s">
        <v>4883</v>
      </c>
      <c r="D2196" t="s">
        <v>1503</v>
      </c>
      <c r="E2196">
        <v>51</v>
      </c>
      <c r="F2196" t="str">
        <f>IF(Table1[[#This Row],[age]]&lt;=25,"18-25",IF(Table1[[#This Row],[age]]&lt;=35,"26-35",IF(Table1[[#This Row],[age]]&lt;=50,"36-50","51+")))</f>
        <v>51+</v>
      </c>
      <c r="G2196" t="s">
        <v>24</v>
      </c>
      <c r="H2196" t="s">
        <v>25</v>
      </c>
      <c r="I2196" t="s">
        <v>35</v>
      </c>
      <c r="J2196" t="s">
        <v>106</v>
      </c>
      <c r="K2196" t="s">
        <v>107</v>
      </c>
      <c r="L2196">
        <v>1</v>
      </c>
      <c r="M2196">
        <v>478.65</v>
      </c>
      <c r="N2196">
        <v>0.01</v>
      </c>
      <c r="O2196">
        <v>646.28</v>
      </c>
      <c r="P2196">
        <v>61.75</v>
      </c>
      <c r="Q2196">
        <v>46.06</v>
      </c>
      <c r="R2196" t="s">
        <v>43</v>
      </c>
      <c r="S2196">
        <v>3</v>
      </c>
      <c r="T2196" t="b">
        <v>0</v>
      </c>
      <c r="U2196" t="s">
        <v>71</v>
      </c>
      <c r="V2196">
        <v>1</v>
      </c>
    </row>
    <row r="2197" spans="1:22" x14ac:dyDescent="0.25">
      <c r="A2197" t="s">
        <v>4884</v>
      </c>
      <c r="B2197" s="1">
        <v>45083</v>
      </c>
      <c r="C2197" t="s">
        <v>4885</v>
      </c>
      <c r="D2197" t="s">
        <v>455</v>
      </c>
      <c r="E2197">
        <v>24</v>
      </c>
      <c r="F2197" t="str">
        <f>IF(Table1[[#This Row],[age]]&lt;=25,"18-25",IF(Table1[[#This Row],[age]]&lt;=35,"26-35",IF(Table1[[#This Row],[age]]&lt;=50,"36-50","51+")))</f>
        <v>18-25</v>
      </c>
      <c r="G2197" t="s">
        <v>34</v>
      </c>
      <c r="H2197" t="s">
        <v>61</v>
      </c>
      <c r="I2197" t="s">
        <v>62</v>
      </c>
      <c r="J2197" t="s">
        <v>27</v>
      </c>
      <c r="K2197" t="s">
        <v>28</v>
      </c>
      <c r="L2197">
        <v>2</v>
      </c>
      <c r="M2197">
        <v>1742.14</v>
      </c>
      <c r="N2197">
        <v>0.33</v>
      </c>
      <c r="O2197">
        <v>4112.8900000000003</v>
      </c>
      <c r="P2197">
        <v>1802.05</v>
      </c>
      <c r="Q2197">
        <v>68.900000000000006</v>
      </c>
      <c r="R2197" t="s">
        <v>92</v>
      </c>
      <c r="S2197">
        <v>1</v>
      </c>
      <c r="T2197" t="b">
        <v>0</v>
      </c>
      <c r="U2197" t="s">
        <v>30</v>
      </c>
      <c r="V2197">
        <v>3</v>
      </c>
    </row>
    <row r="2198" spans="1:22" x14ac:dyDescent="0.25">
      <c r="A2198" t="s">
        <v>4886</v>
      </c>
      <c r="B2198" s="1">
        <v>45367</v>
      </c>
      <c r="C2198" t="s">
        <v>4887</v>
      </c>
      <c r="D2198" t="s">
        <v>330</v>
      </c>
      <c r="E2198">
        <v>24</v>
      </c>
      <c r="F2198" t="str">
        <f>IF(Table1[[#This Row],[age]]&lt;=25,"18-25",IF(Table1[[#This Row],[age]]&lt;=35,"26-35",IF(Table1[[#This Row],[age]]&lt;=50,"36-50","51+")))</f>
        <v>18-25</v>
      </c>
      <c r="G2198" t="s">
        <v>34</v>
      </c>
      <c r="H2198" t="s">
        <v>61</v>
      </c>
      <c r="I2198" t="s">
        <v>62</v>
      </c>
      <c r="J2198" t="s">
        <v>63</v>
      </c>
      <c r="K2198" t="s">
        <v>64</v>
      </c>
      <c r="L2198">
        <v>3</v>
      </c>
      <c r="M2198">
        <v>2335.6</v>
      </c>
      <c r="N2198">
        <v>0.24</v>
      </c>
      <c r="O2198">
        <v>6639.76</v>
      </c>
      <c r="P2198">
        <v>2659.96</v>
      </c>
      <c r="Q2198">
        <v>53.79</v>
      </c>
      <c r="R2198" t="s">
        <v>43</v>
      </c>
      <c r="S2198">
        <v>5</v>
      </c>
      <c r="T2198" t="b">
        <v>0</v>
      </c>
      <c r="U2198" t="s">
        <v>30</v>
      </c>
      <c r="V2198">
        <v>8</v>
      </c>
    </row>
    <row r="2199" spans="1:22" x14ac:dyDescent="0.25">
      <c r="A2199" t="s">
        <v>4888</v>
      </c>
      <c r="B2199" s="1">
        <v>45545</v>
      </c>
      <c r="C2199" t="s">
        <v>4889</v>
      </c>
      <c r="D2199" t="s">
        <v>1267</v>
      </c>
      <c r="E2199">
        <v>36</v>
      </c>
      <c r="F2199" t="str">
        <f>IF(Table1[[#This Row],[age]]&lt;=25,"18-25",IF(Table1[[#This Row],[age]]&lt;=35,"26-35",IF(Table1[[#This Row],[age]]&lt;=50,"36-50","51+")))</f>
        <v>36-50</v>
      </c>
      <c r="G2199" t="s">
        <v>34</v>
      </c>
      <c r="H2199" t="s">
        <v>69</v>
      </c>
      <c r="I2199" t="s">
        <v>70</v>
      </c>
      <c r="J2199" t="s">
        <v>47</v>
      </c>
      <c r="K2199" t="s">
        <v>600</v>
      </c>
      <c r="L2199">
        <v>2</v>
      </c>
      <c r="M2199">
        <v>1250.6500000000001</v>
      </c>
      <c r="N2199">
        <v>0.19</v>
      </c>
      <c r="O2199">
        <v>2194.66</v>
      </c>
      <c r="P2199">
        <v>1031.95</v>
      </c>
      <c r="Q2199">
        <v>96.46</v>
      </c>
      <c r="R2199" t="s">
        <v>43</v>
      </c>
      <c r="S2199">
        <v>5</v>
      </c>
      <c r="T2199" t="b">
        <v>0</v>
      </c>
      <c r="U2199" t="s">
        <v>30</v>
      </c>
      <c r="V2199">
        <v>3</v>
      </c>
    </row>
    <row r="2200" spans="1:22" x14ac:dyDescent="0.25">
      <c r="A2200" t="s">
        <v>4890</v>
      </c>
      <c r="B2200" s="1">
        <v>44237</v>
      </c>
      <c r="C2200" t="s">
        <v>4891</v>
      </c>
      <c r="D2200" t="s">
        <v>519</v>
      </c>
      <c r="E2200">
        <v>40</v>
      </c>
      <c r="F2200" t="str">
        <f>IF(Table1[[#This Row],[age]]&lt;=25,"18-25",IF(Table1[[#This Row],[age]]&lt;=35,"26-35",IF(Table1[[#This Row],[age]]&lt;=50,"36-50","51+")))</f>
        <v>36-50</v>
      </c>
      <c r="G2200" t="s">
        <v>24</v>
      </c>
      <c r="H2200" t="s">
        <v>61</v>
      </c>
      <c r="I2200" t="s">
        <v>141</v>
      </c>
      <c r="J2200" t="s">
        <v>101</v>
      </c>
      <c r="K2200" t="s">
        <v>102</v>
      </c>
      <c r="L2200">
        <v>2</v>
      </c>
      <c r="M2200">
        <v>660.31</v>
      </c>
      <c r="N2200">
        <v>0.11</v>
      </c>
      <c r="O2200">
        <v>1039.58</v>
      </c>
      <c r="P2200">
        <v>273.10000000000002</v>
      </c>
      <c r="Q2200">
        <v>41.05</v>
      </c>
      <c r="R2200" t="s">
        <v>92</v>
      </c>
      <c r="S2200">
        <v>2</v>
      </c>
      <c r="T2200" t="b">
        <v>0</v>
      </c>
      <c r="U2200" t="s">
        <v>30</v>
      </c>
      <c r="V2200">
        <v>3</v>
      </c>
    </row>
    <row r="2201" spans="1:22" x14ac:dyDescent="0.25">
      <c r="A2201" t="s">
        <v>4892</v>
      </c>
      <c r="B2201" s="1">
        <v>45466</v>
      </c>
      <c r="C2201" t="s">
        <v>4893</v>
      </c>
      <c r="D2201" t="s">
        <v>2031</v>
      </c>
      <c r="E2201">
        <v>18</v>
      </c>
      <c r="F2201" t="str">
        <f>IF(Table1[[#This Row],[age]]&lt;=25,"18-25",IF(Table1[[#This Row],[age]]&lt;=35,"26-35",IF(Table1[[#This Row],[age]]&lt;=50,"36-50","51+")))</f>
        <v>18-25</v>
      </c>
      <c r="G2201" t="s">
        <v>24</v>
      </c>
      <c r="H2201" t="s">
        <v>25</v>
      </c>
      <c r="I2201" t="s">
        <v>35</v>
      </c>
      <c r="J2201" t="s">
        <v>36</v>
      </c>
      <c r="K2201" t="s">
        <v>37</v>
      </c>
      <c r="L2201">
        <v>3</v>
      </c>
      <c r="M2201">
        <v>34248.61</v>
      </c>
      <c r="N2201">
        <v>0.02</v>
      </c>
      <c r="O2201">
        <v>172473.24</v>
      </c>
      <c r="P2201">
        <v>48852.27</v>
      </c>
      <c r="Q2201">
        <v>59.95</v>
      </c>
      <c r="R2201" t="s">
        <v>29</v>
      </c>
      <c r="S2201">
        <v>3</v>
      </c>
      <c r="T2201" t="b">
        <v>0</v>
      </c>
      <c r="U2201" t="s">
        <v>30</v>
      </c>
      <c r="V2201">
        <v>4</v>
      </c>
    </row>
    <row r="2202" spans="1:22" x14ac:dyDescent="0.25">
      <c r="A2202" t="s">
        <v>4894</v>
      </c>
      <c r="B2202" s="1">
        <v>44875</v>
      </c>
      <c r="C2202" t="s">
        <v>4895</v>
      </c>
      <c r="D2202" t="s">
        <v>2008</v>
      </c>
      <c r="E2202">
        <v>19</v>
      </c>
      <c r="F2202" t="str">
        <f>IF(Table1[[#This Row],[age]]&lt;=25,"18-25",IF(Table1[[#This Row],[age]]&lt;=35,"26-35",IF(Table1[[#This Row],[age]]&lt;=50,"36-50","51+")))</f>
        <v>18-25</v>
      </c>
      <c r="G2202" t="s">
        <v>54</v>
      </c>
      <c r="H2202" t="s">
        <v>61</v>
      </c>
      <c r="I2202" t="s">
        <v>91</v>
      </c>
      <c r="J2202" t="s">
        <v>36</v>
      </c>
      <c r="K2202" t="s">
        <v>230</v>
      </c>
      <c r="L2202">
        <v>10</v>
      </c>
      <c r="M2202">
        <v>12399.19</v>
      </c>
      <c r="N2202">
        <v>0.23</v>
      </c>
      <c r="O2202">
        <v>113748.97</v>
      </c>
      <c r="P2202">
        <v>36698.33</v>
      </c>
      <c r="Q2202">
        <v>41.96</v>
      </c>
      <c r="R2202" t="s">
        <v>43</v>
      </c>
      <c r="S2202">
        <v>1</v>
      </c>
      <c r="T2202" t="b">
        <v>1</v>
      </c>
      <c r="U2202" t="s">
        <v>50</v>
      </c>
      <c r="V2202">
        <v>5</v>
      </c>
    </row>
    <row r="2203" spans="1:22" x14ac:dyDescent="0.25">
      <c r="A2203" t="s">
        <v>4896</v>
      </c>
      <c r="B2203" s="1">
        <v>44000</v>
      </c>
      <c r="C2203" t="s">
        <v>4897</v>
      </c>
      <c r="D2203" t="s">
        <v>155</v>
      </c>
      <c r="E2203">
        <v>39</v>
      </c>
      <c r="F2203" t="str">
        <f>IF(Table1[[#This Row],[age]]&lt;=25,"18-25",IF(Table1[[#This Row],[age]]&lt;=35,"26-35",IF(Table1[[#This Row],[age]]&lt;=50,"36-50","51+")))</f>
        <v>36-50</v>
      </c>
      <c r="G2203" t="s">
        <v>24</v>
      </c>
      <c r="H2203" t="s">
        <v>61</v>
      </c>
      <c r="I2203" t="s">
        <v>91</v>
      </c>
      <c r="J2203" t="s">
        <v>106</v>
      </c>
      <c r="K2203" t="s">
        <v>247</v>
      </c>
      <c r="L2203">
        <v>2</v>
      </c>
      <c r="M2203">
        <v>99.94</v>
      </c>
      <c r="N2203">
        <v>0.39</v>
      </c>
      <c r="O2203">
        <v>144.81</v>
      </c>
      <c r="P2203">
        <v>11.4</v>
      </c>
      <c r="Q2203">
        <v>47.24</v>
      </c>
      <c r="R2203" t="s">
        <v>43</v>
      </c>
      <c r="S2203">
        <v>1</v>
      </c>
      <c r="T2203" t="b">
        <v>0</v>
      </c>
      <c r="U2203" t="s">
        <v>30</v>
      </c>
      <c r="V2203">
        <v>3</v>
      </c>
    </row>
    <row r="2204" spans="1:22" x14ac:dyDescent="0.25">
      <c r="A2204" t="s">
        <v>4898</v>
      </c>
      <c r="B2204" s="1">
        <v>45155</v>
      </c>
      <c r="C2204" t="s">
        <v>4899</v>
      </c>
      <c r="D2204" t="s">
        <v>967</v>
      </c>
      <c r="E2204">
        <v>32</v>
      </c>
      <c r="F2204" t="str">
        <f>IF(Table1[[#This Row],[age]]&lt;=25,"18-25",IF(Table1[[#This Row],[age]]&lt;=35,"26-35",IF(Table1[[#This Row],[age]]&lt;=50,"36-50","51+")))</f>
        <v>26-35</v>
      </c>
      <c r="G2204" t="s">
        <v>54</v>
      </c>
      <c r="H2204" t="s">
        <v>55</v>
      </c>
      <c r="I2204" t="s">
        <v>114</v>
      </c>
      <c r="J2204" t="s">
        <v>27</v>
      </c>
      <c r="K2204" t="s">
        <v>128</v>
      </c>
      <c r="L2204">
        <v>7</v>
      </c>
      <c r="M2204">
        <v>2030.6</v>
      </c>
      <c r="N2204">
        <v>0.32</v>
      </c>
      <c r="O2204">
        <v>15087.35</v>
      </c>
      <c r="P2204">
        <v>5363.62</v>
      </c>
      <c r="Q2204">
        <v>45.14</v>
      </c>
      <c r="R2204" t="s">
        <v>92</v>
      </c>
      <c r="S2204">
        <v>4</v>
      </c>
      <c r="T2204" t="b">
        <v>0</v>
      </c>
      <c r="U2204" t="s">
        <v>71</v>
      </c>
      <c r="V2204">
        <v>4</v>
      </c>
    </row>
    <row r="2205" spans="1:22" x14ac:dyDescent="0.25">
      <c r="A2205" t="s">
        <v>4900</v>
      </c>
      <c r="B2205" s="1">
        <v>44003</v>
      </c>
      <c r="C2205" t="s">
        <v>4901</v>
      </c>
      <c r="D2205" t="s">
        <v>657</v>
      </c>
      <c r="E2205">
        <v>35</v>
      </c>
      <c r="F2205" t="str">
        <f>IF(Table1[[#This Row],[age]]&lt;=25,"18-25",IF(Table1[[#This Row],[age]]&lt;=35,"26-35",IF(Table1[[#This Row],[age]]&lt;=50,"36-50","51+")))</f>
        <v>26-35</v>
      </c>
      <c r="G2205" t="s">
        <v>34</v>
      </c>
      <c r="H2205" t="s">
        <v>69</v>
      </c>
      <c r="I2205" t="s">
        <v>70</v>
      </c>
      <c r="J2205" t="s">
        <v>36</v>
      </c>
      <c r="K2205" t="s">
        <v>42</v>
      </c>
      <c r="L2205">
        <v>3</v>
      </c>
      <c r="M2205">
        <v>31841.24</v>
      </c>
      <c r="N2205">
        <v>0.32</v>
      </c>
      <c r="O2205">
        <v>78919.02</v>
      </c>
      <c r="P2205">
        <v>21204.15</v>
      </c>
      <c r="Q2205">
        <v>78.260000000000005</v>
      </c>
      <c r="R2205" t="s">
        <v>49</v>
      </c>
      <c r="S2205">
        <v>4</v>
      </c>
      <c r="T2205" t="b">
        <v>1</v>
      </c>
      <c r="U2205" t="s">
        <v>50</v>
      </c>
      <c r="V2205">
        <v>6</v>
      </c>
    </row>
    <row r="2206" spans="1:22" x14ac:dyDescent="0.25">
      <c r="A2206" t="s">
        <v>4902</v>
      </c>
      <c r="B2206" s="1">
        <v>45415</v>
      </c>
      <c r="C2206" t="s">
        <v>4903</v>
      </c>
      <c r="D2206" t="s">
        <v>180</v>
      </c>
      <c r="E2206">
        <v>26</v>
      </c>
      <c r="F2206" t="str">
        <f>IF(Table1[[#This Row],[age]]&lt;=25,"18-25",IF(Table1[[#This Row],[age]]&lt;=35,"26-35",IF(Table1[[#This Row],[age]]&lt;=50,"36-50","51+")))</f>
        <v>26-35</v>
      </c>
      <c r="G2206" t="s">
        <v>54</v>
      </c>
      <c r="H2206" t="s">
        <v>69</v>
      </c>
      <c r="I2206" t="s">
        <v>70</v>
      </c>
      <c r="J2206" t="s">
        <v>27</v>
      </c>
      <c r="K2206" t="s">
        <v>168</v>
      </c>
      <c r="L2206">
        <v>10</v>
      </c>
      <c r="M2206">
        <v>2273.9</v>
      </c>
      <c r="N2206">
        <v>0.21</v>
      </c>
      <c r="O2206">
        <v>30023.01</v>
      </c>
      <c r="P2206">
        <v>13458.53</v>
      </c>
      <c r="Q2206">
        <v>83.41</v>
      </c>
      <c r="R2206" t="s">
        <v>43</v>
      </c>
      <c r="S2206">
        <v>1</v>
      </c>
      <c r="T2206" t="b">
        <v>0</v>
      </c>
      <c r="U2206" t="s">
        <v>30</v>
      </c>
      <c r="V2206">
        <v>10</v>
      </c>
    </row>
    <row r="2207" spans="1:22" x14ac:dyDescent="0.25">
      <c r="A2207" t="s">
        <v>4904</v>
      </c>
      <c r="B2207" s="1">
        <v>44099</v>
      </c>
      <c r="C2207" t="s">
        <v>4905</v>
      </c>
      <c r="D2207" t="s">
        <v>932</v>
      </c>
      <c r="E2207">
        <v>33</v>
      </c>
      <c r="F2207" t="str">
        <f>IF(Table1[[#This Row],[age]]&lt;=25,"18-25",IF(Table1[[#This Row],[age]]&lt;=35,"26-35",IF(Table1[[#This Row],[age]]&lt;=50,"36-50","51+")))</f>
        <v>26-35</v>
      </c>
      <c r="G2207" t="s">
        <v>24</v>
      </c>
      <c r="H2207" t="s">
        <v>25</v>
      </c>
      <c r="I2207" t="s">
        <v>298</v>
      </c>
      <c r="J2207" t="s">
        <v>47</v>
      </c>
      <c r="K2207" t="s">
        <v>48</v>
      </c>
      <c r="L2207">
        <v>2</v>
      </c>
      <c r="M2207">
        <v>1462.19</v>
      </c>
      <c r="N2207">
        <v>0.35</v>
      </c>
      <c r="O2207">
        <v>2078.34</v>
      </c>
      <c r="P2207">
        <v>1202.05</v>
      </c>
      <c r="Q2207">
        <v>78.540000000000006</v>
      </c>
      <c r="R2207" t="s">
        <v>49</v>
      </c>
      <c r="S2207">
        <v>5</v>
      </c>
      <c r="T2207" t="b">
        <v>0</v>
      </c>
      <c r="U2207" t="s">
        <v>30</v>
      </c>
      <c r="V2207">
        <v>2</v>
      </c>
    </row>
    <row r="2208" spans="1:22" x14ac:dyDescent="0.25">
      <c r="A2208" t="s">
        <v>4906</v>
      </c>
      <c r="B2208" s="1">
        <v>44520</v>
      </c>
      <c r="C2208" t="s">
        <v>4907</v>
      </c>
      <c r="D2208" t="s">
        <v>1516</v>
      </c>
      <c r="E2208">
        <v>49</v>
      </c>
      <c r="F2208" t="str">
        <f>IF(Table1[[#This Row],[age]]&lt;=25,"18-25",IF(Table1[[#This Row],[age]]&lt;=35,"26-35",IF(Table1[[#This Row],[age]]&lt;=50,"36-50","51+")))</f>
        <v>36-50</v>
      </c>
      <c r="G2208" t="s">
        <v>54</v>
      </c>
      <c r="H2208" t="s">
        <v>80</v>
      </c>
      <c r="I2208" t="s">
        <v>86</v>
      </c>
      <c r="J2208" t="s">
        <v>115</v>
      </c>
      <c r="K2208" t="s">
        <v>137</v>
      </c>
      <c r="L2208">
        <v>5</v>
      </c>
      <c r="M2208">
        <v>40279.85</v>
      </c>
      <c r="N2208">
        <v>0.24</v>
      </c>
      <c r="O2208">
        <v>124328.85</v>
      </c>
      <c r="P2208">
        <v>18217.89</v>
      </c>
      <c r="Q2208">
        <v>89.76</v>
      </c>
      <c r="R2208" t="s">
        <v>92</v>
      </c>
      <c r="S2208">
        <v>3</v>
      </c>
      <c r="T2208" t="b">
        <v>0</v>
      </c>
      <c r="U2208" t="s">
        <v>30</v>
      </c>
      <c r="V2208">
        <v>9</v>
      </c>
    </row>
    <row r="2209" spans="1:22" x14ac:dyDescent="0.25">
      <c r="A2209" t="s">
        <v>4908</v>
      </c>
      <c r="B2209" s="1">
        <v>44107</v>
      </c>
      <c r="C2209" t="s">
        <v>4909</v>
      </c>
      <c r="D2209" t="s">
        <v>879</v>
      </c>
      <c r="E2209">
        <v>37</v>
      </c>
      <c r="F2209" t="str">
        <f>IF(Table1[[#This Row],[age]]&lt;=25,"18-25",IF(Table1[[#This Row],[age]]&lt;=35,"26-35",IF(Table1[[#This Row],[age]]&lt;=50,"36-50","51+")))</f>
        <v>36-50</v>
      </c>
      <c r="G2209" t="s">
        <v>54</v>
      </c>
      <c r="H2209" t="s">
        <v>25</v>
      </c>
      <c r="I2209" t="s">
        <v>41</v>
      </c>
      <c r="J2209" t="s">
        <v>106</v>
      </c>
      <c r="K2209" t="s">
        <v>188</v>
      </c>
      <c r="L2209">
        <v>1</v>
      </c>
      <c r="M2209">
        <v>128.76</v>
      </c>
      <c r="N2209">
        <v>0.28999999999999998</v>
      </c>
      <c r="O2209">
        <v>74.650000000000006</v>
      </c>
      <c r="P2209">
        <v>6.89</v>
      </c>
      <c r="Q2209">
        <v>68.06</v>
      </c>
      <c r="R2209" t="s">
        <v>43</v>
      </c>
      <c r="S2209">
        <v>2</v>
      </c>
      <c r="T2209" t="b">
        <v>0</v>
      </c>
      <c r="U2209" t="s">
        <v>30</v>
      </c>
      <c r="V2209">
        <v>1</v>
      </c>
    </row>
    <row r="2210" spans="1:22" x14ac:dyDescent="0.25">
      <c r="A2210" t="s">
        <v>4910</v>
      </c>
      <c r="B2210" s="1">
        <v>43989</v>
      </c>
      <c r="C2210" t="s">
        <v>4911</v>
      </c>
      <c r="D2210" t="s">
        <v>397</v>
      </c>
      <c r="E2210">
        <v>42</v>
      </c>
      <c r="F2210" t="str">
        <f>IF(Table1[[#This Row],[age]]&lt;=25,"18-25",IF(Table1[[#This Row],[age]]&lt;=35,"26-35",IF(Table1[[#This Row],[age]]&lt;=50,"36-50","51+")))</f>
        <v>36-50</v>
      </c>
      <c r="G2210" t="s">
        <v>24</v>
      </c>
      <c r="H2210" t="s">
        <v>80</v>
      </c>
      <c r="I2210" t="s">
        <v>81</v>
      </c>
      <c r="J2210" t="s">
        <v>27</v>
      </c>
      <c r="K2210" t="s">
        <v>168</v>
      </c>
      <c r="L2210">
        <v>1</v>
      </c>
      <c r="M2210">
        <v>304.89</v>
      </c>
      <c r="N2210">
        <v>0.26</v>
      </c>
      <c r="O2210">
        <v>259.14</v>
      </c>
      <c r="P2210">
        <v>106.14</v>
      </c>
      <c r="Q2210">
        <v>52.86</v>
      </c>
      <c r="R2210" t="s">
        <v>43</v>
      </c>
      <c r="S2210">
        <v>4</v>
      </c>
      <c r="T2210" t="b">
        <v>0</v>
      </c>
      <c r="U2210" t="s">
        <v>30</v>
      </c>
      <c r="V2210">
        <v>6</v>
      </c>
    </row>
    <row r="2211" spans="1:22" x14ac:dyDescent="0.25">
      <c r="A2211" t="s">
        <v>4912</v>
      </c>
      <c r="B2211" s="1">
        <v>44138</v>
      </c>
      <c r="C2211" t="s">
        <v>4913</v>
      </c>
      <c r="D2211" t="s">
        <v>148</v>
      </c>
      <c r="E2211">
        <v>36</v>
      </c>
      <c r="F2211" t="str">
        <f>IF(Table1[[#This Row],[age]]&lt;=25,"18-25",IF(Table1[[#This Row],[age]]&lt;=35,"26-35",IF(Table1[[#This Row],[age]]&lt;=50,"36-50","51+")))</f>
        <v>36-50</v>
      </c>
      <c r="G2211" t="s">
        <v>24</v>
      </c>
      <c r="H2211" t="s">
        <v>69</v>
      </c>
      <c r="I2211" t="s">
        <v>221</v>
      </c>
      <c r="J2211" t="s">
        <v>27</v>
      </c>
      <c r="K2211" t="s">
        <v>168</v>
      </c>
      <c r="L2211">
        <v>10</v>
      </c>
      <c r="M2211">
        <v>1113.9100000000001</v>
      </c>
      <c r="N2211">
        <v>0.25</v>
      </c>
      <c r="O2211">
        <v>5465.25</v>
      </c>
      <c r="P2211">
        <v>2411.46</v>
      </c>
      <c r="Q2211">
        <v>46.33</v>
      </c>
      <c r="R2211" t="s">
        <v>92</v>
      </c>
      <c r="S2211">
        <v>2</v>
      </c>
      <c r="T2211" t="b">
        <v>0</v>
      </c>
      <c r="U2211" t="s">
        <v>30</v>
      </c>
      <c r="V2211">
        <v>9</v>
      </c>
    </row>
    <row r="2212" spans="1:22" x14ac:dyDescent="0.25">
      <c r="A2212" t="s">
        <v>4914</v>
      </c>
      <c r="B2212" s="1">
        <v>44811</v>
      </c>
      <c r="C2212" t="s">
        <v>4915</v>
      </c>
      <c r="D2212" t="s">
        <v>734</v>
      </c>
      <c r="E2212">
        <v>47</v>
      </c>
      <c r="F2212" t="str">
        <f>IF(Table1[[#This Row],[age]]&lt;=25,"18-25",IF(Table1[[#This Row],[age]]&lt;=35,"26-35",IF(Table1[[#This Row],[age]]&lt;=50,"36-50","51+")))</f>
        <v>36-50</v>
      </c>
      <c r="G2212" t="s">
        <v>24</v>
      </c>
      <c r="H2212" t="s">
        <v>25</v>
      </c>
      <c r="I2212" t="s">
        <v>35</v>
      </c>
      <c r="J2212" t="s">
        <v>101</v>
      </c>
      <c r="K2212" t="s">
        <v>318</v>
      </c>
      <c r="L2212">
        <v>2</v>
      </c>
      <c r="M2212">
        <v>14129.5</v>
      </c>
      <c r="N2212">
        <v>0.01</v>
      </c>
      <c r="O2212">
        <v>34498.58</v>
      </c>
      <c r="P2212">
        <v>6979.34</v>
      </c>
      <c r="Q2212">
        <v>74.75</v>
      </c>
      <c r="R2212" t="s">
        <v>29</v>
      </c>
      <c r="S2212">
        <v>3</v>
      </c>
      <c r="T2212" t="b">
        <v>0</v>
      </c>
      <c r="U2212" t="s">
        <v>30</v>
      </c>
      <c r="V2212">
        <v>2</v>
      </c>
    </row>
    <row r="2213" spans="1:22" x14ac:dyDescent="0.25">
      <c r="A2213" t="s">
        <v>4916</v>
      </c>
      <c r="B2213" s="1">
        <v>45167</v>
      </c>
      <c r="C2213" t="s">
        <v>4917</v>
      </c>
      <c r="D2213" t="s">
        <v>135</v>
      </c>
      <c r="E2213">
        <v>36</v>
      </c>
      <c r="F2213" t="str">
        <f>IF(Table1[[#This Row],[age]]&lt;=25,"18-25",IF(Table1[[#This Row],[age]]&lt;=35,"26-35",IF(Table1[[#This Row],[age]]&lt;=50,"36-50","51+")))</f>
        <v>36-50</v>
      </c>
      <c r="G2213" t="s">
        <v>24</v>
      </c>
      <c r="H2213" t="s">
        <v>80</v>
      </c>
      <c r="I2213" t="s">
        <v>236</v>
      </c>
      <c r="J2213" t="s">
        <v>27</v>
      </c>
      <c r="K2213" t="s">
        <v>480</v>
      </c>
      <c r="L2213">
        <v>6</v>
      </c>
      <c r="M2213">
        <v>379.51</v>
      </c>
      <c r="N2213">
        <v>0.02</v>
      </c>
      <c r="O2213">
        <v>3520.77</v>
      </c>
      <c r="P2213">
        <v>1945.96</v>
      </c>
      <c r="Q2213">
        <v>53.34</v>
      </c>
      <c r="R2213" t="s">
        <v>29</v>
      </c>
      <c r="S2213">
        <v>3</v>
      </c>
      <c r="T2213" t="b">
        <v>0</v>
      </c>
      <c r="U2213" t="s">
        <v>30</v>
      </c>
      <c r="V2213">
        <v>8</v>
      </c>
    </row>
    <row r="2214" spans="1:22" x14ac:dyDescent="0.25">
      <c r="A2214" t="s">
        <v>4918</v>
      </c>
      <c r="B2214" s="1">
        <v>44334</v>
      </c>
      <c r="C2214" t="s">
        <v>4919</v>
      </c>
      <c r="D2214" t="s">
        <v>1503</v>
      </c>
      <c r="E2214">
        <v>35</v>
      </c>
      <c r="F2214" t="str">
        <f>IF(Table1[[#This Row],[age]]&lt;=25,"18-25",IF(Table1[[#This Row],[age]]&lt;=35,"26-35",IF(Table1[[#This Row],[age]]&lt;=50,"36-50","51+")))</f>
        <v>26-35</v>
      </c>
      <c r="G2214" t="s">
        <v>34</v>
      </c>
      <c r="H2214" t="s">
        <v>25</v>
      </c>
      <c r="I2214" t="s">
        <v>41</v>
      </c>
      <c r="J2214" t="s">
        <v>106</v>
      </c>
      <c r="K2214" t="s">
        <v>718</v>
      </c>
      <c r="L2214">
        <v>6</v>
      </c>
      <c r="M2214">
        <v>190.35</v>
      </c>
      <c r="N2214">
        <v>0.38</v>
      </c>
      <c r="O2214">
        <v>951.07</v>
      </c>
      <c r="P2214">
        <v>79.430000000000007</v>
      </c>
      <c r="Q2214">
        <v>70.42</v>
      </c>
      <c r="R2214" t="s">
        <v>92</v>
      </c>
      <c r="S2214">
        <v>3</v>
      </c>
      <c r="T2214" t="b">
        <v>0</v>
      </c>
      <c r="U2214" t="s">
        <v>30</v>
      </c>
      <c r="V2214">
        <v>10</v>
      </c>
    </row>
    <row r="2215" spans="1:22" x14ac:dyDescent="0.25">
      <c r="A2215" t="s">
        <v>4920</v>
      </c>
      <c r="B2215" s="1">
        <v>45514</v>
      </c>
      <c r="C2215" t="s">
        <v>4921</v>
      </c>
      <c r="D2215" t="s">
        <v>3740</v>
      </c>
      <c r="E2215">
        <v>34</v>
      </c>
      <c r="F2215" t="str">
        <f>IF(Table1[[#This Row],[age]]&lt;=25,"18-25",IF(Table1[[#This Row],[age]]&lt;=35,"26-35",IF(Table1[[#This Row],[age]]&lt;=50,"36-50","51+")))</f>
        <v>26-35</v>
      </c>
      <c r="G2215" t="s">
        <v>34</v>
      </c>
      <c r="H2215" t="s">
        <v>25</v>
      </c>
      <c r="I2215" t="s">
        <v>35</v>
      </c>
      <c r="J2215" t="s">
        <v>36</v>
      </c>
      <c r="K2215" t="s">
        <v>243</v>
      </c>
      <c r="L2215">
        <v>10</v>
      </c>
      <c r="M2215">
        <v>2485.94</v>
      </c>
      <c r="N2215">
        <v>0.21</v>
      </c>
      <c r="O2215">
        <v>31724.99</v>
      </c>
      <c r="P2215">
        <v>8743.0499999999993</v>
      </c>
      <c r="Q2215">
        <v>48.62</v>
      </c>
      <c r="R2215" t="s">
        <v>65</v>
      </c>
      <c r="S2215">
        <v>4</v>
      </c>
      <c r="T2215" t="b">
        <v>0</v>
      </c>
      <c r="U2215" t="s">
        <v>30</v>
      </c>
      <c r="V2215">
        <v>10</v>
      </c>
    </row>
    <row r="2216" spans="1:22" x14ac:dyDescent="0.25">
      <c r="A2216" t="s">
        <v>4922</v>
      </c>
      <c r="B2216" s="1">
        <v>45002</v>
      </c>
      <c r="C2216" t="s">
        <v>4923</v>
      </c>
      <c r="D2216" t="s">
        <v>1066</v>
      </c>
      <c r="E2216">
        <v>29</v>
      </c>
      <c r="F2216" t="str">
        <f>IF(Table1[[#This Row],[age]]&lt;=25,"18-25",IF(Table1[[#This Row],[age]]&lt;=35,"26-35",IF(Table1[[#This Row],[age]]&lt;=50,"36-50","51+")))</f>
        <v>26-35</v>
      </c>
      <c r="G2216" t="s">
        <v>34</v>
      </c>
      <c r="H2216" t="s">
        <v>69</v>
      </c>
      <c r="I2216" t="s">
        <v>221</v>
      </c>
      <c r="J2216" t="s">
        <v>115</v>
      </c>
      <c r="K2216" t="s">
        <v>398</v>
      </c>
      <c r="L2216">
        <v>1</v>
      </c>
      <c r="M2216">
        <v>11877.16</v>
      </c>
      <c r="N2216">
        <v>0.37</v>
      </c>
      <c r="O2216">
        <v>9956.83</v>
      </c>
      <c r="P2216">
        <v>1549.61</v>
      </c>
      <c r="Q2216">
        <v>72.81</v>
      </c>
      <c r="R2216" t="s">
        <v>57</v>
      </c>
      <c r="S2216">
        <v>4</v>
      </c>
      <c r="T2216" t="b">
        <v>0</v>
      </c>
      <c r="U2216" t="s">
        <v>30</v>
      </c>
      <c r="V2216">
        <v>8</v>
      </c>
    </row>
    <row r="2217" spans="1:22" x14ac:dyDescent="0.25">
      <c r="A2217" t="s">
        <v>4924</v>
      </c>
      <c r="B2217" s="1">
        <v>45109</v>
      </c>
      <c r="C2217" t="s">
        <v>4925</v>
      </c>
      <c r="D2217" t="s">
        <v>2031</v>
      </c>
      <c r="E2217">
        <v>35</v>
      </c>
      <c r="F2217" t="str">
        <f>IF(Table1[[#This Row],[age]]&lt;=25,"18-25",IF(Table1[[#This Row],[age]]&lt;=35,"26-35",IF(Table1[[#This Row],[age]]&lt;=50,"36-50","51+")))</f>
        <v>26-35</v>
      </c>
      <c r="G2217" t="s">
        <v>54</v>
      </c>
      <c r="H2217" t="s">
        <v>55</v>
      </c>
      <c r="I2217" t="s">
        <v>97</v>
      </c>
      <c r="J2217" t="s">
        <v>106</v>
      </c>
      <c r="K2217" t="s">
        <v>247</v>
      </c>
      <c r="L2217">
        <v>3</v>
      </c>
      <c r="M2217">
        <v>130.57</v>
      </c>
      <c r="N2217">
        <v>0.23</v>
      </c>
      <c r="O2217">
        <v>529.29999999999995</v>
      </c>
      <c r="P2217">
        <v>61.59</v>
      </c>
      <c r="Q2217">
        <v>41.29</v>
      </c>
      <c r="R2217" t="s">
        <v>92</v>
      </c>
      <c r="S2217">
        <v>1</v>
      </c>
      <c r="T2217" t="b">
        <v>0</v>
      </c>
      <c r="U2217" t="s">
        <v>71</v>
      </c>
      <c r="V2217">
        <v>8</v>
      </c>
    </row>
    <row r="2218" spans="1:22" x14ac:dyDescent="0.25">
      <c r="A2218" t="s">
        <v>4926</v>
      </c>
      <c r="B2218" s="1">
        <v>44714</v>
      </c>
      <c r="C2218" t="s">
        <v>4927</v>
      </c>
      <c r="D2218" t="s">
        <v>1267</v>
      </c>
      <c r="E2218">
        <v>24</v>
      </c>
      <c r="F2218" t="str">
        <f>IF(Table1[[#This Row],[age]]&lt;=25,"18-25",IF(Table1[[#This Row],[age]]&lt;=35,"26-35",IF(Table1[[#This Row],[age]]&lt;=50,"36-50","51+")))</f>
        <v>18-25</v>
      </c>
      <c r="G2218" t="s">
        <v>34</v>
      </c>
      <c r="H2218" t="s">
        <v>55</v>
      </c>
      <c r="I2218" t="s">
        <v>75</v>
      </c>
      <c r="J2218" t="s">
        <v>115</v>
      </c>
      <c r="K2218" t="s">
        <v>398</v>
      </c>
      <c r="L2218">
        <v>7</v>
      </c>
      <c r="M2218">
        <v>72204.479999999996</v>
      </c>
      <c r="N2218">
        <v>0.06</v>
      </c>
      <c r="O2218">
        <v>746567.96</v>
      </c>
      <c r="P2218">
        <v>96807.83</v>
      </c>
      <c r="Q2218">
        <v>51.76</v>
      </c>
      <c r="R2218" t="s">
        <v>92</v>
      </c>
      <c r="S2218">
        <v>4</v>
      </c>
      <c r="T2218" t="b">
        <v>0</v>
      </c>
      <c r="U2218" t="s">
        <v>30</v>
      </c>
      <c r="V2218">
        <v>3</v>
      </c>
    </row>
    <row r="2219" spans="1:22" x14ac:dyDescent="0.25">
      <c r="A2219" t="s">
        <v>4928</v>
      </c>
      <c r="B2219" s="1">
        <v>44463</v>
      </c>
      <c r="C2219" t="s">
        <v>4929</v>
      </c>
      <c r="D2219" t="s">
        <v>637</v>
      </c>
      <c r="E2219">
        <v>42</v>
      </c>
      <c r="F2219" t="str">
        <f>IF(Table1[[#This Row],[age]]&lt;=25,"18-25",IF(Table1[[#This Row],[age]]&lt;=35,"26-35",IF(Table1[[#This Row],[age]]&lt;=50,"36-50","51+")))</f>
        <v>36-50</v>
      </c>
      <c r="G2219" t="s">
        <v>54</v>
      </c>
      <c r="H2219" t="s">
        <v>69</v>
      </c>
      <c r="I2219" t="s">
        <v>181</v>
      </c>
      <c r="J2219" t="s">
        <v>106</v>
      </c>
      <c r="K2219" t="s">
        <v>188</v>
      </c>
      <c r="L2219">
        <v>10</v>
      </c>
      <c r="M2219">
        <v>245.92</v>
      </c>
      <c r="N2219">
        <v>0.04</v>
      </c>
      <c r="O2219">
        <v>2502.84</v>
      </c>
      <c r="P2219">
        <v>183.09</v>
      </c>
      <c r="Q2219">
        <v>76.22</v>
      </c>
      <c r="R2219" t="s">
        <v>92</v>
      </c>
      <c r="S2219">
        <v>5</v>
      </c>
      <c r="T2219" t="b">
        <v>0</v>
      </c>
      <c r="U2219" t="s">
        <v>193</v>
      </c>
      <c r="V2219">
        <v>5</v>
      </c>
    </row>
    <row r="2220" spans="1:22" x14ac:dyDescent="0.25">
      <c r="A2220" t="s">
        <v>4930</v>
      </c>
      <c r="B2220" s="1">
        <v>44661</v>
      </c>
      <c r="C2220" t="s">
        <v>4931</v>
      </c>
      <c r="D2220" t="s">
        <v>207</v>
      </c>
      <c r="E2220">
        <v>56</v>
      </c>
      <c r="F2220" t="str">
        <f>IF(Table1[[#This Row],[age]]&lt;=25,"18-25",IF(Table1[[#This Row],[age]]&lt;=35,"26-35",IF(Table1[[#This Row],[age]]&lt;=50,"36-50","51+")))</f>
        <v>51+</v>
      </c>
      <c r="G2220" t="s">
        <v>24</v>
      </c>
      <c r="H2220" t="s">
        <v>55</v>
      </c>
      <c r="I2220" t="s">
        <v>56</v>
      </c>
      <c r="J2220" t="s">
        <v>36</v>
      </c>
      <c r="K2220" t="s">
        <v>37</v>
      </c>
      <c r="L2220">
        <v>10</v>
      </c>
      <c r="M2220">
        <v>34008.99</v>
      </c>
      <c r="N2220">
        <v>0.11</v>
      </c>
      <c r="O2220">
        <v>426011.42</v>
      </c>
      <c r="P2220">
        <v>100494.87</v>
      </c>
      <c r="Q2220">
        <v>51.53</v>
      </c>
      <c r="R2220" t="s">
        <v>49</v>
      </c>
      <c r="S2220">
        <v>1</v>
      </c>
      <c r="T2220" t="b">
        <v>0</v>
      </c>
      <c r="U2220" t="s">
        <v>71</v>
      </c>
      <c r="V2220">
        <v>3</v>
      </c>
    </row>
    <row r="2221" spans="1:22" x14ac:dyDescent="0.25">
      <c r="A2221" t="s">
        <v>4932</v>
      </c>
      <c r="B2221" s="1">
        <v>45233</v>
      </c>
      <c r="C2221" t="s">
        <v>4933</v>
      </c>
      <c r="D2221" t="s">
        <v>734</v>
      </c>
      <c r="E2221">
        <v>46</v>
      </c>
      <c r="F2221" t="str">
        <f>IF(Table1[[#This Row],[age]]&lt;=25,"18-25",IF(Table1[[#This Row],[age]]&lt;=35,"26-35",IF(Table1[[#This Row],[age]]&lt;=50,"36-50","51+")))</f>
        <v>36-50</v>
      </c>
      <c r="G2221" t="s">
        <v>24</v>
      </c>
      <c r="H2221" t="s">
        <v>80</v>
      </c>
      <c r="I2221" t="s">
        <v>242</v>
      </c>
      <c r="J2221" t="s">
        <v>63</v>
      </c>
      <c r="K2221" t="s">
        <v>111</v>
      </c>
      <c r="L2221">
        <v>3</v>
      </c>
      <c r="M2221">
        <v>2706.45</v>
      </c>
      <c r="N2221">
        <v>0.39</v>
      </c>
      <c r="O2221">
        <v>4498.2299999999996</v>
      </c>
      <c r="P2221">
        <v>1415.33</v>
      </c>
      <c r="Q2221">
        <v>73.84</v>
      </c>
      <c r="R2221" t="s">
        <v>43</v>
      </c>
      <c r="S2221">
        <v>4</v>
      </c>
      <c r="T2221" t="b">
        <v>1</v>
      </c>
      <c r="U2221" t="s">
        <v>50</v>
      </c>
      <c r="V2221">
        <v>8</v>
      </c>
    </row>
    <row r="2222" spans="1:22" x14ac:dyDescent="0.25">
      <c r="A2222" t="s">
        <v>4934</v>
      </c>
      <c r="B2222" s="1">
        <v>43972</v>
      </c>
      <c r="C2222" t="s">
        <v>4935</v>
      </c>
      <c r="D2222" t="s">
        <v>85</v>
      </c>
      <c r="E2222">
        <v>31</v>
      </c>
      <c r="F2222" t="str">
        <f>IF(Table1[[#This Row],[age]]&lt;=25,"18-25",IF(Table1[[#This Row],[age]]&lt;=35,"26-35",IF(Table1[[#This Row],[age]]&lt;=50,"36-50","51+")))</f>
        <v>26-35</v>
      </c>
      <c r="G2222" t="s">
        <v>24</v>
      </c>
      <c r="H2222" t="s">
        <v>25</v>
      </c>
      <c r="I2222" t="s">
        <v>298</v>
      </c>
      <c r="J2222" t="s">
        <v>47</v>
      </c>
      <c r="K2222" t="s">
        <v>272</v>
      </c>
      <c r="L2222">
        <v>1</v>
      </c>
      <c r="M2222">
        <v>680.85</v>
      </c>
      <c r="N2222">
        <v>0.12</v>
      </c>
      <c r="O2222">
        <v>794.6</v>
      </c>
      <c r="P2222">
        <v>338.98</v>
      </c>
      <c r="Q2222">
        <v>44.99</v>
      </c>
      <c r="R2222" t="s">
        <v>29</v>
      </c>
      <c r="S2222">
        <v>3</v>
      </c>
      <c r="T2222" t="b">
        <v>0</v>
      </c>
      <c r="U2222" t="s">
        <v>30</v>
      </c>
      <c r="V2222">
        <v>2</v>
      </c>
    </row>
    <row r="2223" spans="1:22" x14ac:dyDescent="0.25">
      <c r="A2223" t="s">
        <v>4936</v>
      </c>
      <c r="B2223" s="1">
        <v>44658</v>
      </c>
      <c r="C2223" t="s">
        <v>4937</v>
      </c>
      <c r="D2223" t="s">
        <v>1095</v>
      </c>
      <c r="E2223">
        <v>30</v>
      </c>
      <c r="F2223" t="str">
        <f>IF(Table1[[#This Row],[age]]&lt;=25,"18-25",IF(Table1[[#This Row],[age]]&lt;=35,"26-35",IF(Table1[[#This Row],[age]]&lt;=50,"36-50","51+")))</f>
        <v>26-35</v>
      </c>
      <c r="G2223" t="s">
        <v>34</v>
      </c>
      <c r="H2223" t="s">
        <v>55</v>
      </c>
      <c r="I2223" t="s">
        <v>114</v>
      </c>
      <c r="J2223" t="s">
        <v>63</v>
      </c>
      <c r="K2223" t="s">
        <v>64</v>
      </c>
      <c r="L2223">
        <v>10</v>
      </c>
      <c r="M2223">
        <v>456.07</v>
      </c>
      <c r="N2223">
        <v>0.37</v>
      </c>
      <c r="O2223">
        <v>3899.94</v>
      </c>
      <c r="P2223">
        <v>1169.33</v>
      </c>
      <c r="Q2223">
        <v>45</v>
      </c>
      <c r="R2223" t="s">
        <v>49</v>
      </c>
      <c r="S2223">
        <v>5</v>
      </c>
      <c r="T2223" t="b">
        <v>0</v>
      </c>
      <c r="U2223" t="s">
        <v>30</v>
      </c>
      <c r="V2223">
        <v>9</v>
      </c>
    </row>
    <row r="2224" spans="1:22" x14ac:dyDescent="0.25">
      <c r="A2224" t="s">
        <v>4938</v>
      </c>
      <c r="B2224" s="1">
        <v>43929</v>
      </c>
      <c r="C2224" t="s">
        <v>4939</v>
      </c>
      <c r="D2224" t="s">
        <v>643</v>
      </c>
      <c r="E2224">
        <v>35</v>
      </c>
      <c r="F2224" t="str">
        <f>IF(Table1[[#This Row],[age]]&lt;=25,"18-25",IF(Table1[[#This Row],[age]]&lt;=35,"26-35",IF(Table1[[#This Row],[age]]&lt;=50,"36-50","51+")))</f>
        <v>26-35</v>
      </c>
      <c r="G2224" t="s">
        <v>24</v>
      </c>
      <c r="H2224" t="s">
        <v>55</v>
      </c>
      <c r="I2224" t="s">
        <v>97</v>
      </c>
      <c r="J2224" t="s">
        <v>115</v>
      </c>
      <c r="K2224" t="s">
        <v>545</v>
      </c>
      <c r="L2224">
        <v>10</v>
      </c>
      <c r="M2224">
        <v>19136.16</v>
      </c>
      <c r="N2224">
        <v>0</v>
      </c>
      <c r="O2224">
        <v>220448.39</v>
      </c>
      <c r="P2224">
        <v>31074.73</v>
      </c>
      <c r="Q2224">
        <v>24.88</v>
      </c>
      <c r="R2224" t="s">
        <v>29</v>
      </c>
      <c r="S2224">
        <v>3</v>
      </c>
      <c r="T2224" t="b">
        <v>0</v>
      </c>
      <c r="U2224" t="s">
        <v>30</v>
      </c>
      <c r="V2224">
        <v>4</v>
      </c>
    </row>
    <row r="2225" spans="1:22" x14ac:dyDescent="0.25">
      <c r="A2225" t="s">
        <v>4940</v>
      </c>
      <c r="B2225" s="1">
        <v>44067</v>
      </c>
      <c r="C2225" t="s">
        <v>4941</v>
      </c>
      <c r="D2225" t="s">
        <v>1409</v>
      </c>
      <c r="E2225">
        <v>48</v>
      </c>
      <c r="F2225" t="str">
        <f>IF(Table1[[#This Row],[age]]&lt;=25,"18-25",IF(Table1[[#This Row],[age]]&lt;=35,"26-35",IF(Table1[[#This Row],[age]]&lt;=50,"36-50","51+")))</f>
        <v>36-50</v>
      </c>
      <c r="G2225" t="s">
        <v>24</v>
      </c>
      <c r="H2225" t="s">
        <v>25</v>
      </c>
      <c r="I2225" t="s">
        <v>26</v>
      </c>
      <c r="J2225" t="s">
        <v>36</v>
      </c>
      <c r="K2225" t="s">
        <v>42</v>
      </c>
      <c r="L2225">
        <v>9</v>
      </c>
      <c r="M2225">
        <v>17744.349999999999</v>
      </c>
      <c r="N2225">
        <v>0.28999999999999998</v>
      </c>
      <c r="O2225">
        <v>136831.28</v>
      </c>
      <c r="P2225">
        <v>36127.08</v>
      </c>
      <c r="Q2225">
        <v>59.78</v>
      </c>
      <c r="R2225" t="s">
        <v>57</v>
      </c>
      <c r="S2225">
        <v>4</v>
      </c>
      <c r="T2225" t="b">
        <v>0</v>
      </c>
      <c r="U2225" t="s">
        <v>30</v>
      </c>
      <c r="V2225">
        <v>9</v>
      </c>
    </row>
    <row r="2226" spans="1:22" x14ac:dyDescent="0.25">
      <c r="A2226" t="s">
        <v>4942</v>
      </c>
      <c r="B2226" s="1">
        <v>45063</v>
      </c>
      <c r="C2226" t="s">
        <v>4943</v>
      </c>
      <c r="D2226" t="s">
        <v>3466</v>
      </c>
      <c r="E2226">
        <v>33</v>
      </c>
      <c r="F2226" t="str">
        <f>IF(Table1[[#This Row],[age]]&lt;=25,"18-25",IF(Table1[[#This Row],[age]]&lt;=35,"26-35",IF(Table1[[#This Row],[age]]&lt;=50,"36-50","51+")))</f>
        <v>26-35</v>
      </c>
      <c r="G2226" t="s">
        <v>54</v>
      </c>
      <c r="H2226" t="s">
        <v>61</v>
      </c>
      <c r="I2226" t="s">
        <v>62</v>
      </c>
      <c r="J2226" t="s">
        <v>47</v>
      </c>
      <c r="K2226" t="s">
        <v>204</v>
      </c>
      <c r="L2226">
        <v>10</v>
      </c>
      <c r="M2226">
        <v>424.8</v>
      </c>
      <c r="N2226">
        <v>0.11</v>
      </c>
      <c r="O2226">
        <v>4940.07</v>
      </c>
      <c r="P2226">
        <v>2103.38</v>
      </c>
      <c r="Q2226">
        <v>31.8</v>
      </c>
      <c r="R2226" t="s">
        <v>65</v>
      </c>
      <c r="S2226">
        <v>3</v>
      </c>
      <c r="T2226" t="b">
        <v>0</v>
      </c>
      <c r="U2226" t="s">
        <v>30</v>
      </c>
      <c r="V2226">
        <v>6</v>
      </c>
    </row>
    <row r="2227" spans="1:22" x14ac:dyDescent="0.25">
      <c r="A2227" t="s">
        <v>4944</v>
      </c>
      <c r="B2227" s="1">
        <v>44562</v>
      </c>
      <c r="C2227" t="s">
        <v>4945</v>
      </c>
      <c r="D2227" t="s">
        <v>387</v>
      </c>
      <c r="E2227">
        <v>41</v>
      </c>
      <c r="F2227" t="str">
        <f>IF(Table1[[#This Row],[age]]&lt;=25,"18-25",IF(Table1[[#This Row],[age]]&lt;=35,"26-35",IF(Table1[[#This Row],[age]]&lt;=50,"36-50","51+")))</f>
        <v>36-50</v>
      </c>
      <c r="G2227" t="s">
        <v>24</v>
      </c>
      <c r="H2227" t="s">
        <v>25</v>
      </c>
      <c r="I2227" t="s">
        <v>41</v>
      </c>
      <c r="J2227" t="s">
        <v>36</v>
      </c>
      <c r="K2227" t="s">
        <v>37</v>
      </c>
      <c r="L2227">
        <v>8</v>
      </c>
      <c r="M2227">
        <v>9398.82</v>
      </c>
      <c r="N2227">
        <v>0.31</v>
      </c>
      <c r="O2227">
        <v>49236.11</v>
      </c>
      <c r="P2227">
        <v>15030.83</v>
      </c>
      <c r="Q2227">
        <v>77.650000000000006</v>
      </c>
      <c r="R2227" t="s">
        <v>57</v>
      </c>
      <c r="S2227">
        <v>4</v>
      </c>
      <c r="T2227" t="b">
        <v>0</v>
      </c>
      <c r="U2227" t="s">
        <v>30</v>
      </c>
      <c r="V2227">
        <v>9</v>
      </c>
    </row>
    <row r="2228" spans="1:22" x14ac:dyDescent="0.25">
      <c r="A2228" t="s">
        <v>4946</v>
      </c>
      <c r="B2228" s="1">
        <v>45069</v>
      </c>
      <c r="C2228" t="s">
        <v>4947</v>
      </c>
      <c r="D2228" t="s">
        <v>485</v>
      </c>
      <c r="E2228">
        <v>26</v>
      </c>
      <c r="F2228" t="str">
        <f>IF(Table1[[#This Row],[age]]&lt;=25,"18-25",IF(Table1[[#This Row],[age]]&lt;=35,"26-35",IF(Table1[[#This Row],[age]]&lt;=50,"36-50","51+")))</f>
        <v>26-35</v>
      </c>
      <c r="G2228" t="s">
        <v>34</v>
      </c>
      <c r="H2228" t="s">
        <v>25</v>
      </c>
      <c r="I2228" t="s">
        <v>26</v>
      </c>
      <c r="J2228" t="s">
        <v>47</v>
      </c>
      <c r="K2228" t="s">
        <v>48</v>
      </c>
      <c r="L2228">
        <v>5</v>
      </c>
      <c r="M2228">
        <v>1444.85</v>
      </c>
      <c r="N2228">
        <v>0.05</v>
      </c>
      <c r="O2228">
        <v>10528.1</v>
      </c>
      <c r="P2228">
        <v>3958.13</v>
      </c>
      <c r="Q2228">
        <v>62.54</v>
      </c>
      <c r="R2228" t="s">
        <v>65</v>
      </c>
      <c r="S2228">
        <v>3</v>
      </c>
      <c r="T2228" t="b">
        <v>0</v>
      </c>
      <c r="U2228" t="s">
        <v>30</v>
      </c>
      <c r="V2228">
        <v>7</v>
      </c>
    </row>
    <row r="2229" spans="1:22" x14ac:dyDescent="0.25">
      <c r="A2229" t="s">
        <v>4948</v>
      </c>
      <c r="B2229" s="1">
        <v>44767</v>
      </c>
      <c r="C2229" t="s">
        <v>4949</v>
      </c>
      <c r="D2229" t="s">
        <v>3675</v>
      </c>
      <c r="E2229">
        <v>22</v>
      </c>
      <c r="F2229" t="str">
        <f>IF(Table1[[#This Row],[age]]&lt;=25,"18-25",IF(Table1[[#This Row],[age]]&lt;=35,"26-35",IF(Table1[[#This Row],[age]]&lt;=50,"36-50","51+")))</f>
        <v>18-25</v>
      </c>
      <c r="G2229" t="s">
        <v>34</v>
      </c>
      <c r="H2229" t="s">
        <v>69</v>
      </c>
      <c r="I2229" t="s">
        <v>221</v>
      </c>
      <c r="J2229" t="s">
        <v>63</v>
      </c>
      <c r="K2229" t="s">
        <v>111</v>
      </c>
      <c r="L2229">
        <v>7</v>
      </c>
      <c r="M2229">
        <v>1729.47</v>
      </c>
      <c r="N2229">
        <v>0.05</v>
      </c>
      <c r="O2229">
        <v>17045.099999999999</v>
      </c>
      <c r="P2229">
        <v>6459.75</v>
      </c>
      <c r="Q2229">
        <v>79.27</v>
      </c>
      <c r="R2229" t="s">
        <v>49</v>
      </c>
      <c r="S2229">
        <v>1</v>
      </c>
      <c r="T2229" t="b">
        <v>1</v>
      </c>
      <c r="U2229" t="s">
        <v>50</v>
      </c>
      <c r="V2229">
        <v>8</v>
      </c>
    </row>
    <row r="2230" spans="1:22" x14ac:dyDescent="0.25">
      <c r="A2230" t="s">
        <v>4950</v>
      </c>
      <c r="B2230" s="1">
        <v>45049</v>
      </c>
      <c r="C2230" t="s">
        <v>4951</v>
      </c>
      <c r="D2230" t="s">
        <v>2034</v>
      </c>
      <c r="E2230">
        <v>31</v>
      </c>
      <c r="F2230" t="str">
        <f>IF(Table1[[#This Row],[age]]&lt;=25,"18-25",IF(Table1[[#This Row],[age]]&lt;=35,"26-35",IF(Table1[[#This Row],[age]]&lt;=50,"36-50","51+")))</f>
        <v>26-35</v>
      </c>
      <c r="G2230" t="s">
        <v>34</v>
      </c>
      <c r="H2230" t="s">
        <v>80</v>
      </c>
      <c r="I2230" t="s">
        <v>86</v>
      </c>
      <c r="J2230" t="s">
        <v>36</v>
      </c>
      <c r="K2230" t="s">
        <v>243</v>
      </c>
      <c r="L2230">
        <v>10</v>
      </c>
      <c r="M2230">
        <v>17371.93</v>
      </c>
      <c r="N2230">
        <v>0.37</v>
      </c>
      <c r="O2230">
        <v>172582.04</v>
      </c>
      <c r="P2230">
        <v>55972.36</v>
      </c>
      <c r="Q2230">
        <v>71.63</v>
      </c>
      <c r="R2230" t="s">
        <v>92</v>
      </c>
      <c r="S2230">
        <v>3</v>
      </c>
      <c r="T2230" t="b">
        <v>0</v>
      </c>
      <c r="U2230" t="s">
        <v>30</v>
      </c>
      <c r="V2230">
        <v>9</v>
      </c>
    </row>
    <row r="2231" spans="1:22" x14ac:dyDescent="0.25">
      <c r="A2231" t="s">
        <v>4952</v>
      </c>
      <c r="B2231" s="1">
        <v>44316</v>
      </c>
      <c r="C2231" t="s">
        <v>4953</v>
      </c>
      <c r="D2231" t="s">
        <v>423</v>
      </c>
      <c r="E2231">
        <v>25</v>
      </c>
      <c r="F2231" t="str">
        <f>IF(Table1[[#This Row],[age]]&lt;=25,"18-25",IF(Table1[[#This Row],[age]]&lt;=35,"26-35",IF(Table1[[#This Row],[age]]&lt;=50,"36-50","51+")))</f>
        <v>18-25</v>
      </c>
      <c r="G2231" t="s">
        <v>54</v>
      </c>
      <c r="H2231" t="s">
        <v>80</v>
      </c>
      <c r="I2231" t="s">
        <v>236</v>
      </c>
      <c r="J2231" t="s">
        <v>101</v>
      </c>
      <c r="K2231" t="s">
        <v>214</v>
      </c>
      <c r="L2231">
        <v>1</v>
      </c>
      <c r="M2231">
        <v>8254.73</v>
      </c>
      <c r="N2231">
        <v>7.0000000000000007E-2</v>
      </c>
      <c r="O2231">
        <v>9628.89</v>
      </c>
      <c r="P2231">
        <v>1995.91</v>
      </c>
      <c r="Q2231">
        <v>61.28</v>
      </c>
      <c r="R2231" t="s">
        <v>29</v>
      </c>
      <c r="S2231">
        <v>3</v>
      </c>
      <c r="T2231" t="b">
        <v>0</v>
      </c>
      <c r="U2231" t="s">
        <v>30</v>
      </c>
      <c r="V2231">
        <v>1</v>
      </c>
    </row>
    <row r="2232" spans="1:22" x14ac:dyDescent="0.25">
      <c r="A2232" t="s">
        <v>4954</v>
      </c>
      <c r="B2232" s="1">
        <v>44467</v>
      </c>
      <c r="C2232" t="s">
        <v>4955</v>
      </c>
      <c r="D2232" t="s">
        <v>643</v>
      </c>
      <c r="E2232">
        <v>34</v>
      </c>
      <c r="F2232" t="str">
        <f>IF(Table1[[#This Row],[age]]&lt;=25,"18-25",IF(Table1[[#This Row],[age]]&lt;=35,"26-35",IF(Table1[[#This Row],[age]]&lt;=50,"36-50","51+")))</f>
        <v>26-35</v>
      </c>
      <c r="G2232" t="s">
        <v>34</v>
      </c>
      <c r="H2232" t="s">
        <v>61</v>
      </c>
      <c r="I2232" t="s">
        <v>163</v>
      </c>
      <c r="J2232" t="s">
        <v>63</v>
      </c>
      <c r="K2232" t="s">
        <v>152</v>
      </c>
      <c r="L2232">
        <v>3</v>
      </c>
      <c r="M2232">
        <v>1238.9000000000001</v>
      </c>
      <c r="N2232">
        <v>0.33</v>
      </c>
      <c r="O2232">
        <v>2660.56</v>
      </c>
      <c r="P2232">
        <v>1083.58</v>
      </c>
      <c r="Q2232">
        <v>73.53</v>
      </c>
      <c r="R2232" t="s">
        <v>92</v>
      </c>
      <c r="S2232">
        <v>5</v>
      </c>
      <c r="T2232" t="b">
        <v>1</v>
      </c>
      <c r="U2232" t="s">
        <v>50</v>
      </c>
      <c r="V2232">
        <v>3</v>
      </c>
    </row>
    <row r="2233" spans="1:22" x14ac:dyDescent="0.25">
      <c r="A2233" t="s">
        <v>4956</v>
      </c>
      <c r="B2233" s="1">
        <v>44557</v>
      </c>
      <c r="C2233" t="s">
        <v>4957</v>
      </c>
      <c r="D2233" t="s">
        <v>496</v>
      </c>
      <c r="E2233">
        <v>28</v>
      </c>
      <c r="F2233" t="str">
        <f>IF(Table1[[#This Row],[age]]&lt;=25,"18-25",IF(Table1[[#This Row],[age]]&lt;=35,"26-35",IF(Table1[[#This Row],[age]]&lt;=50,"36-50","51+")))</f>
        <v>26-35</v>
      </c>
      <c r="G2233" t="s">
        <v>34</v>
      </c>
      <c r="H2233" t="s">
        <v>61</v>
      </c>
      <c r="I2233" t="s">
        <v>62</v>
      </c>
      <c r="J2233" t="s">
        <v>47</v>
      </c>
      <c r="K2233" t="s">
        <v>272</v>
      </c>
      <c r="L2233">
        <v>5</v>
      </c>
      <c r="M2233">
        <v>441.77</v>
      </c>
      <c r="N2233">
        <v>0.12</v>
      </c>
      <c r="O2233">
        <v>1538.75</v>
      </c>
      <c r="P2233">
        <v>611.16</v>
      </c>
      <c r="Q2233">
        <v>71.69</v>
      </c>
      <c r="R2233" t="s">
        <v>57</v>
      </c>
      <c r="S2233">
        <v>4</v>
      </c>
      <c r="T2233" t="b">
        <v>0</v>
      </c>
      <c r="U2233" t="s">
        <v>71</v>
      </c>
      <c r="V2233">
        <v>7</v>
      </c>
    </row>
    <row r="2234" spans="1:22" x14ac:dyDescent="0.25">
      <c r="A2234" t="s">
        <v>4958</v>
      </c>
      <c r="B2234" s="1">
        <v>45077</v>
      </c>
      <c r="C2234" t="s">
        <v>4959</v>
      </c>
      <c r="D2234" t="s">
        <v>3214</v>
      </c>
      <c r="E2234">
        <v>31</v>
      </c>
      <c r="F2234" t="str">
        <f>IF(Table1[[#This Row],[age]]&lt;=25,"18-25",IF(Table1[[#This Row],[age]]&lt;=35,"26-35",IF(Table1[[#This Row],[age]]&lt;=50,"36-50","51+")))</f>
        <v>26-35</v>
      </c>
      <c r="G2234" t="s">
        <v>34</v>
      </c>
      <c r="H2234" t="s">
        <v>25</v>
      </c>
      <c r="I2234" t="s">
        <v>298</v>
      </c>
      <c r="J2234" t="s">
        <v>115</v>
      </c>
      <c r="K2234" t="s">
        <v>116</v>
      </c>
      <c r="L2234">
        <v>2</v>
      </c>
      <c r="M2234">
        <v>44818.69</v>
      </c>
      <c r="N2234">
        <v>0.19</v>
      </c>
      <c r="O2234">
        <v>105441.04</v>
      </c>
      <c r="P2234">
        <v>12774.35</v>
      </c>
      <c r="Q2234">
        <v>73.430000000000007</v>
      </c>
      <c r="R2234" t="s">
        <v>65</v>
      </c>
      <c r="S2234">
        <v>1</v>
      </c>
      <c r="T2234" t="b">
        <v>1</v>
      </c>
      <c r="U2234" t="s">
        <v>50</v>
      </c>
      <c r="V2234">
        <v>7</v>
      </c>
    </row>
    <row r="2235" spans="1:22" x14ac:dyDescent="0.25">
      <c r="A2235" t="s">
        <v>4960</v>
      </c>
      <c r="B2235" s="1">
        <v>44494</v>
      </c>
      <c r="C2235" t="s">
        <v>4961</v>
      </c>
      <c r="D2235" t="s">
        <v>551</v>
      </c>
      <c r="E2235">
        <v>36</v>
      </c>
      <c r="F2235" t="str">
        <f>IF(Table1[[#This Row],[age]]&lt;=25,"18-25",IF(Table1[[#This Row],[age]]&lt;=35,"26-35",IF(Table1[[#This Row],[age]]&lt;=50,"36-50","51+")))</f>
        <v>36-50</v>
      </c>
      <c r="G2235" t="s">
        <v>34</v>
      </c>
      <c r="H2235" t="s">
        <v>80</v>
      </c>
      <c r="I2235" t="s">
        <v>81</v>
      </c>
      <c r="J2235" t="s">
        <v>36</v>
      </c>
      <c r="K2235" t="s">
        <v>42</v>
      </c>
      <c r="L2235">
        <v>3</v>
      </c>
      <c r="M2235">
        <v>13116.13</v>
      </c>
      <c r="N2235">
        <v>0.02</v>
      </c>
      <c r="O2235">
        <v>39642.97</v>
      </c>
      <c r="P2235">
        <v>7916.06</v>
      </c>
      <c r="Q2235">
        <v>67.37</v>
      </c>
      <c r="R2235" t="s">
        <v>57</v>
      </c>
      <c r="S2235">
        <v>3</v>
      </c>
      <c r="T2235" t="b">
        <v>0</v>
      </c>
      <c r="U2235" t="s">
        <v>30</v>
      </c>
      <c r="V2235">
        <v>4</v>
      </c>
    </row>
    <row r="2236" spans="1:22" x14ac:dyDescent="0.25">
      <c r="A2236" t="s">
        <v>4962</v>
      </c>
      <c r="B2236" s="1">
        <v>45641</v>
      </c>
      <c r="C2236" t="s">
        <v>4963</v>
      </c>
      <c r="D2236" t="s">
        <v>3384</v>
      </c>
      <c r="E2236">
        <v>18</v>
      </c>
      <c r="F2236" t="str">
        <f>IF(Table1[[#This Row],[age]]&lt;=25,"18-25",IF(Table1[[#This Row],[age]]&lt;=35,"26-35",IF(Table1[[#This Row],[age]]&lt;=50,"36-50","51+")))</f>
        <v>18-25</v>
      </c>
      <c r="G2236" t="s">
        <v>54</v>
      </c>
      <c r="H2236" t="s">
        <v>80</v>
      </c>
      <c r="I2236" t="s">
        <v>81</v>
      </c>
      <c r="J2236" t="s">
        <v>63</v>
      </c>
      <c r="K2236" t="s">
        <v>111</v>
      </c>
      <c r="L2236">
        <v>6</v>
      </c>
      <c r="M2236">
        <v>841.47</v>
      </c>
      <c r="N2236">
        <v>0.12</v>
      </c>
      <c r="O2236">
        <v>4321.42</v>
      </c>
      <c r="P2236">
        <v>1728.55</v>
      </c>
      <c r="Q2236">
        <v>70.62</v>
      </c>
      <c r="R2236" t="s">
        <v>65</v>
      </c>
      <c r="S2236">
        <v>1</v>
      </c>
      <c r="T2236" t="b">
        <v>0</v>
      </c>
      <c r="U2236" t="s">
        <v>30</v>
      </c>
      <c r="V2236">
        <v>2</v>
      </c>
    </row>
    <row r="2237" spans="1:22" x14ac:dyDescent="0.25">
      <c r="A2237" t="s">
        <v>4964</v>
      </c>
      <c r="B2237" s="1">
        <v>44276</v>
      </c>
      <c r="C2237" t="s">
        <v>4965</v>
      </c>
      <c r="D2237" t="s">
        <v>253</v>
      </c>
      <c r="E2237">
        <v>54</v>
      </c>
      <c r="F2237" t="str">
        <f>IF(Table1[[#This Row],[age]]&lt;=25,"18-25",IF(Table1[[#This Row],[age]]&lt;=35,"26-35",IF(Table1[[#This Row],[age]]&lt;=50,"36-50","51+")))</f>
        <v>51+</v>
      </c>
      <c r="G2237" t="s">
        <v>24</v>
      </c>
      <c r="H2237" t="s">
        <v>80</v>
      </c>
      <c r="I2237" t="s">
        <v>242</v>
      </c>
      <c r="J2237" t="s">
        <v>63</v>
      </c>
      <c r="K2237" t="s">
        <v>152</v>
      </c>
      <c r="L2237">
        <v>2</v>
      </c>
      <c r="M2237">
        <v>3618.11</v>
      </c>
      <c r="N2237">
        <v>7.0000000000000007E-2</v>
      </c>
      <c r="O2237">
        <v>6573.5</v>
      </c>
      <c r="P2237">
        <v>2164.13</v>
      </c>
      <c r="Q2237">
        <v>96.19</v>
      </c>
      <c r="R2237" t="s">
        <v>57</v>
      </c>
      <c r="S2237">
        <v>2</v>
      </c>
      <c r="T2237" t="b">
        <v>0</v>
      </c>
      <c r="U2237" t="s">
        <v>30</v>
      </c>
      <c r="V2237">
        <v>8</v>
      </c>
    </row>
    <row r="2238" spans="1:22" x14ac:dyDescent="0.25">
      <c r="A2238" t="s">
        <v>4966</v>
      </c>
      <c r="B2238" s="1">
        <v>44864</v>
      </c>
      <c r="C2238" t="s">
        <v>4967</v>
      </c>
      <c r="D2238" t="s">
        <v>1312</v>
      </c>
      <c r="E2238">
        <v>53</v>
      </c>
      <c r="F2238" t="str">
        <f>IF(Table1[[#This Row],[age]]&lt;=25,"18-25",IF(Table1[[#This Row],[age]]&lt;=35,"26-35",IF(Table1[[#This Row],[age]]&lt;=50,"36-50","51+")))</f>
        <v>51+</v>
      </c>
      <c r="G2238" t="s">
        <v>54</v>
      </c>
      <c r="H2238" t="s">
        <v>69</v>
      </c>
      <c r="I2238" t="s">
        <v>70</v>
      </c>
      <c r="J2238" t="s">
        <v>63</v>
      </c>
      <c r="K2238" t="s">
        <v>434</v>
      </c>
      <c r="L2238">
        <v>8</v>
      </c>
      <c r="M2238">
        <v>1016.23</v>
      </c>
      <c r="N2238">
        <v>0.3</v>
      </c>
      <c r="O2238">
        <v>5817.06</v>
      </c>
      <c r="P2238">
        <v>2314.7600000000002</v>
      </c>
      <c r="Q2238">
        <v>66.7</v>
      </c>
      <c r="R2238" t="s">
        <v>43</v>
      </c>
      <c r="S2238">
        <v>2</v>
      </c>
      <c r="T2238" t="b">
        <v>0</v>
      </c>
      <c r="U2238" t="s">
        <v>30</v>
      </c>
      <c r="V2238">
        <v>8</v>
      </c>
    </row>
    <row r="2239" spans="1:22" x14ac:dyDescent="0.25">
      <c r="A2239" t="s">
        <v>4968</v>
      </c>
      <c r="B2239" s="1">
        <v>44506</v>
      </c>
      <c r="C2239" t="s">
        <v>4969</v>
      </c>
      <c r="D2239" t="s">
        <v>907</v>
      </c>
      <c r="E2239">
        <v>32</v>
      </c>
      <c r="F2239" t="str">
        <f>IF(Table1[[#This Row],[age]]&lt;=25,"18-25",IF(Table1[[#This Row],[age]]&lt;=35,"26-35",IF(Table1[[#This Row],[age]]&lt;=50,"36-50","51+")))</f>
        <v>26-35</v>
      </c>
      <c r="G2239" t="s">
        <v>34</v>
      </c>
      <c r="H2239" t="s">
        <v>25</v>
      </c>
      <c r="I2239" t="s">
        <v>35</v>
      </c>
      <c r="J2239" t="s">
        <v>36</v>
      </c>
      <c r="K2239" t="s">
        <v>132</v>
      </c>
      <c r="L2239">
        <v>3</v>
      </c>
      <c r="M2239">
        <v>7356.31</v>
      </c>
      <c r="N2239">
        <v>0.1</v>
      </c>
      <c r="O2239">
        <v>16395.88</v>
      </c>
      <c r="P2239">
        <v>5855.42</v>
      </c>
      <c r="Q2239">
        <v>78.599999999999994</v>
      </c>
      <c r="R2239" t="s">
        <v>43</v>
      </c>
      <c r="S2239">
        <v>1</v>
      </c>
      <c r="T2239" t="b">
        <v>0</v>
      </c>
      <c r="U2239" t="s">
        <v>30</v>
      </c>
      <c r="V2239">
        <v>10</v>
      </c>
    </row>
    <row r="2240" spans="1:22" x14ac:dyDescent="0.25">
      <c r="A2240" t="s">
        <v>4970</v>
      </c>
      <c r="B2240" s="1">
        <v>45385</v>
      </c>
      <c r="C2240" t="s">
        <v>4971</v>
      </c>
      <c r="D2240" t="s">
        <v>184</v>
      </c>
      <c r="E2240">
        <v>26</v>
      </c>
      <c r="F2240" t="str">
        <f>IF(Table1[[#This Row],[age]]&lt;=25,"18-25",IF(Table1[[#This Row],[age]]&lt;=35,"26-35",IF(Table1[[#This Row],[age]]&lt;=50,"36-50","51+")))</f>
        <v>26-35</v>
      </c>
      <c r="G2240" t="s">
        <v>54</v>
      </c>
      <c r="H2240" t="s">
        <v>69</v>
      </c>
      <c r="I2240" t="s">
        <v>70</v>
      </c>
      <c r="J2240" t="s">
        <v>115</v>
      </c>
      <c r="K2240" t="s">
        <v>145</v>
      </c>
      <c r="L2240">
        <v>4</v>
      </c>
      <c r="M2240">
        <v>14036.02</v>
      </c>
      <c r="N2240">
        <v>0.13</v>
      </c>
      <c r="O2240">
        <v>75324.350000000006</v>
      </c>
      <c r="P2240">
        <v>9113.01</v>
      </c>
      <c r="Q2240">
        <v>97.91</v>
      </c>
      <c r="R2240" t="s">
        <v>29</v>
      </c>
      <c r="S2240">
        <v>4</v>
      </c>
      <c r="T2240" t="b">
        <v>0</v>
      </c>
      <c r="U2240" t="s">
        <v>30</v>
      </c>
      <c r="V2240">
        <v>3</v>
      </c>
    </row>
    <row r="2241" spans="1:22" x14ac:dyDescent="0.25">
      <c r="A2241" t="s">
        <v>4972</v>
      </c>
      <c r="B2241" s="1">
        <v>45492</v>
      </c>
      <c r="C2241" t="s">
        <v>4973</v>
      </c>
      <c r="D2241" t="s">
        <v>754</v>
      </c>
      <c r="E2241">
        <v>54</v>
      </c>
      <c r="F2241" t="str">
        <f>IF(Table1[[#This Row],[age]]&lt;=25,"18-25",IF(Table1[[#This Row],[age]]&lt;=35,"26-35",IF(Table1[[#This Row],[age]]&lt;=50,"36-50","51+")))</f>
        <v>51+</v>
      </c>
      <c r="G2241" t="s">
        <v>54</v>
      </c>
      <c r="H2241" t="s">
        <v>55</v>
      </c>
      <c r="I2241" t="s">
        <v>114</v>
      </c>
      <c r="J2241" t="s">
        <v>47</v>
      </c>
      <c r="K2241" t="s">
        <v>204</v>
      </c>
      <c r="L2241">
        <v>2</v>
      </c>
      <c r="M2241">
        <v>588.66999999999996</v>
      </c>
      <c r="N2241">
        <v>0.24</v>
      </c>
      <c r="O2241">
        <v>1452.74</v>
      </c>
      <c r="P2241">
        <v>631.41</v>
      </c>
      <c r="Q2241">
        <v>78.55</v>
      </c>
      <c r="R2241" t="s">
        <v>57</v>
      </c>
      <c r="S2241">
        <v>2</v>
      </c>
      <c r="T2241" t="b">
        <v>0</v>
      </c>
      <c r="U2241" t="s">
        <v>30</v>
      </c>
      <c r="V2241">
        <v>4</v>
      </c>
    </row>
    <row r="2242" spans="1:22" x14ac:dyDescent="0.25">
      <c r="A2242" t="s">
        <v>4974</v>
      </c>
      <c r="B2242" s="1">
        <v>43924</v>
      </c>
      <c r="C2242" t="s">
        <v>4975</v>
      </c>
      <c r="D2242" t="s">
        <v>1248</v>
      </c>
      <c r="E2242">
        <v>46</v>
      </c>
      <c r="F2242" t="str">
        <f>IF(Table1[[#This Row],[age]]&lt;=25,"18-25",IF(Table1[[#This Row],[age]]&lt;=35,"26-35",IF(Table1[[#This Row],[age]]&lt;=50,"36-50","51+")))</f>
        <v>36-50</v>
      </c>
      <c r="G2242" t="s">
        <v>54</v>
      </c>
      <c r="H2242" t="s">
        <v>55</v>
      </c>
      <c r="I2242" t="s">
        <v>75</v>
      </c>
      <c r="J2242" t="s">
        <v>36</v>
      </c>
      <c r="K2242" t="s">
        <v>37</v>
      </c>
      <c r="L2242">
        <v>10</v>
      </c>
      <c r="M2242">
        <v>7854.56</v>
      </c>
      <c r="N2242">
        <v>0.3</v>
      </c>
      <c r="O2242">
        <v>69661.009999999995</v>
      </c>
      <c r="P2242">
        <v>15316.65</v>
      </c>
      <c r="Q2242">
        <v>56.25</v>
      </c>
      <c r="R2242" t="s">
        <v>43</v>
      </c>
      <c r="S2242">
        <v>1</v>
      </c>
      <c r="T2242" t="b">
        <v>0</v>
      </c>
      <c r="U2242" t="s">
        <v>30</v>
      </c>
      <c r="V2242">
        <v>3</v>
      </c>
    </row>
    <row r="2243" spans="1:22" x14ac:dyDescent="0.25">
      <c r="A2243" t="s">
        <v>4976</v>
      </c>
      <c r="B2243" s="1">
        <v>44298</v>
      </c>
      <c r="C2243" t="s">
        <v>4977</v>
      </c>
      <c r="D2243" t="s">
        <v>1442</v>
      </c>
      <c r="E2243">
        <v>26</v>
      </c>
      <c r="F2243" t="str">
        <f>IF(Table1[[#This Row],[age]]&lt;=25,"18-25",IF(Table1[[#This Row],[age]]&lt;=35,"26-35",IF(Table1[[#This Row],[age]]&lt;=50,"36-50","51+")))</f>
        <v>26-35</v>
      </c>
      <c r="G2243" t="s">
        <v>54</v>
      </c>
      <c r="H2243" t="s">
        <v>55</v>
      </c>
      <c r="I2243" t="s">
        <v>97</v>
      </c>
      <c r="J2243" t="s">
        <v>106</v>
      </c>
      <c r="K2243" t="s">
        <v>188</v>
      </c>
      <c r="L2243">
        <v>9</v>
      </c>
      <c r="M2243">
        <v>461.35</v>
      </c>
      <c r="N2243">
        <v>0.05</v>
      </c>
      <c r="O2243">
        <v>5570.95</v>
      </c>
      <c r="P2243">
        <v>481.54</v>
      </c>
      <c r="Q2243">
        <v>41.05</v>
      </c>
      <c r="R2243" t="s">
        <v>49</v>
      </c>
      <c r="S2243">
        <v>4</v>
      </c>
      <c r="T2243" t="b">
        <v>0</v>
      </c>
      <c r="U2243" t="s">
        <v>93</v>
      </c>
      <c r="V2243">
        <v>8</v>
      </c>
    </row>
    <row r="2244" spans="1:22" x14ac:dyDescent="0.25">
      <c r="A2244" t="s">
        <v>4978</v>
      </c>
      <c r="B2244" s="1">
        <v>44196</v>
      </c>
      <c r="C2244" t="s">
        <v>4979</v>
      </c>
      <c r="D2244" t="s">
        <v>1327</v>
      </c>
      <c r="E2244">
        <v>46</v>
      </c>
      <c r="F2244" t="str">
        <f>IF(Table1[[#This Row],[age]]&lt;=25,"18-25",IF(Table1[[#This Row],[age]]&lt;=35,"26-35",IF(Table1[[#This Row],[age]]&lt;=50,"36-50","51+")))</f>
        <v>36-50</v>
      </c>
      <c r="G2244" t="s">
        <v>24</v>
      </c>
      <c r="H2244" t="s">
        <v>80</v>
      </c>
      <c r="I2244" t="s">
        <v>242</v>
      </c>
      <c r="J2244" t="s">
        <v>36</v>
      </c>
      <c r="K2244" t="s">
        <v>42</v>
      </c>
      <c r="L2244">
        <v>6</v>
      </c>
      <c r="M2244">
        <v>25745.87</v>
      </c>
      <c r="N2244">
        <v>0.38</v>
      </c>
      <c r="O2244">
        <v>68168.41</v>
      </c>
      <c r="P2244">
        <v>19997.5</v>
      </c>
      <c r="Q2244">
        <v>90.91</v>
      </c>
      <c r="R2244" t="s">
        <v>92</v>
      </c>
      <c r="S2244">
        <v>2</v>
      </c>
      <c r="T2244" t="b">
        <v>0</v>
      </c>
      <c r="U2244" t="s">
        <v>30</v>
      </c>
      <c r="V2244">
        <v>3</v>
      </c>
    </row>
    <row r="2245" spans="1:22" x14ac:dyDescent="0.25">
      <c r="A2245" t="s">
        <v>4980</v>
      </c>
      <c r="B2245" s="1">
        <v>44773</v>
      </c>
      <c r="C2245" t="s">
        <v>4981</v>
      </c>
      <c r="D2245" t="s">
        <v>674</v>
      </c>
      <c r="E2245">
        <v>37</v>
      </c>
      <c r="F2245" t="str">
        <f>IF(Table1[[#This Row],[age]]&lt;=25,"18-25",IF(Table1[[#This Row],[age]]&lt;=35,"26-35",IF(Table1[[#This Row],[age]]&lt;=50,"36-50","51+")))</f>
        <v>36-50</v>
      </c>
      <c r="G2245" t="s">
        <v>24</v>
      </c>
      <c r="H2245" t="s">
        <v>69</v>
      </c>
      <c r="I2245" t="s">
        <v>136</v>
      </c>
      <c r="J2245" t="s">
        <v>106</v>
      </c>
      <c r="K2245" t="s">
        <v>718</v>
      </c>
      <c r="L2245">
        <v>5</v>
      </c>
      <c r="M2245">
        <v>421.63</v>
      </c>
      <c r="N2245">
        <v>0.36</v>
      </c>
      <c r="O2245">
        <v>1981.36</v>
      </c>
      <c r="P2245">
        <v>174.59</v>
      </c>
      <c r="Q2245">
        <v>64.86</v>
      </c>
      <c r="R2245" t="s">
        <v>65</v>
      </c>
      <c r="S2245">
        <v>5</v>
      </c>
      <c r="T2245" t="b">
        <v>0</v>
      </c>
      <c r="U2245" t="s">
        <v>30</v>
      </c>
      <c r="V2245">
        <v>1</v>
      </c>
    </row>
    <row r="2246" spans="1:22" x14ac:dyDescent="0.25">
      <c r="A2246" t="s">
        <v>4982</v>
      </c>
      <c r="B2246" s="1">
        <v>44514</v>
      </c>
      <c r="C2246" t="s">
        <v>4983</v>
      </c>
      <c r="D2246" t="s">
        <v>440</v>
      </c>
      <c r="E2246">
        <v>22</v>
      </c>
      <c r="F2246" t="str">
        <f>IF(Table1[[#This Row],[age]]&lt;=25,"18-25",IF(Table1[[#This Row],[age]]&lt;=35,"26-35",IF(Table1[[#This Row],[age]]&lt;=50,"36-50","51+")))</f>
        <v>18-25</v>
      </c>
      <c r="G2246" t="s">
        <v>54</v>
      </c>
      <c r="H2246" t="s">
        <v>80</v>
      </c>
      <c r="I2246" t="s">
        <v>81</v>
      </c>
      <c r="J2246" t="s">
        <v>106</v>
      </c>
      <c r="K2246" t="s">
        <v>247</v>
      </c>
      <c r="L2246">
        <v>10</v>
      </c>
      <c r="M2246">
        <v>90.13</v>
      </c>
      <c r="N2246">
        <v>0.25</v>
      </c>
      <c r="O2246">
        <v>507.06</v>
      </c>
      <c r="P2246">
        <v>51.46</v>
      </c>
      <c r="Q2246">
        <v>80.91</v>
      </c>
      <c r="R2246" t="s">
        <v>57</v>
      </c>
      <c r="S2246">
        <v>5</v>
      </c>
      <c r="T2246" t="b">
        <v>0</v>
      </c>
      <c r="U2246" t="s">
        <v>30</v>
      </c>
      <c r="V2246">
        <v>10</v>
      </c>
    </row>
    <row r="2247" spans="1:22" x14ac:dyDescent="0.25">
      <c r="A2247" t="s">
        <v>4984</v>
      </c>
      <c r="B2247" s="1">
        <v>44080</v>
      </c>
      <c r="C2247" t="s">
        <v>4985</v>
      </c>
      <c r="D2247" t="s">
        <v>2368</v>
      </c>
      <c r="E2247">
        <v>19</v>
      </c>
      <c r="F2247" t="str">
        <f>IF(Table1[[#This Row],[age]]&lt;=25,"18-25",IF(Table1[[#This Row],[age]]&lt;=35,"26-35",IF(Table1[[#This Row],[age]]&lt;=50,"36-50","51+")))</f>
        <v>18-25</v>
      </c>
      <c r="G2247" t="s">
        <v>34</v>
      </c>
      <c r="H2247" t="s">
        <v>69</v>
      </c>
      <c r="I2247" t="s">
        <v>221</v>
      </c>
      <c r="J2247" t="s">
        <v>36</v>
      </c>
      <c r="K2247" t="s">
        <v>132</v>
      </c>
      <c r="L2247">
        <v>5</v>
      </c>
      <c r="M2247">
        <v>26946.78</v>
      </c>
      <c r="N2247">
        <v>0.1</v>
      </c>
      <c r="O2247">
        <v>111598.98</v>
      </c>
      <c r="P2247">
        <v>37815.29</v>
      </c>
      <c r="Q2247">
        <v>80.010000000000005</v>
      </c>
      <c r="R2247" t="s">
        <v>65</v>
      </c>
      <c r="S2247">
        <v>3</v>
      </c>
      <c r="T2247" t="b">
        <v>0</v>
      </c>
      <c r="U2247" t="s">
        <v>71</v>
      </c>
      <c r="V2247">
        <v>6</v>
      </c>
    </row>
    <row r="2248" spans="1:22" x14ac:dyDescent="0.25">
      <c r="A2248" t="s">
        <v>4986</v>
      </c>
      <c r="B2248" s="1">
        <v>44560</v>
      </c>
      <c r="C2248" t="s">
        <v>4987</v>
      </c>
      <c r="D2248" t="s">
        <v>1566</v>
      </c>
      <c r="E2248">
        <v>41</v>
      </c>
      <c r="F2248" t="str">
        <f>IF(Table1[[#This Row],[age]]&lt;=25,"18-25",IF(Table1[[#This Row],[age]]&lt;=35,"26-35",IF(Table1[[#This Row],[age]]&lt;=50,"36-50","51+")))</f>
        <v>36-50</v>
      </c>
      <c r="G2248" t="s">
        <v>24</v>
      </c>
      <c r="H2248" t="s">
        <v>80</v>
      </c>
      <c r="I2248" t="s">
        <v>242</v>
      </c>
      <c r="J2248" t="s">
        <v>115</v>
      </c>
      <c r="K2248" t="s">
        <v>145</v>
      </c>
      <c r="L2248">
        <v>9</v>
      </c>
      <c r="M2248">
        <v>41722.410000000003</v>
      </c>
      <c r="N2248">
        <v>0.2</v>
      </c>
      <c r="O2248">
        <v>220158.56</v>
      </c>
      <c r="P2248">
        <v>25206.080000000002</v>
      </c>
      <c r="Q2248">
        <v>62.46</v>
      </c>
      <c r="R2248" t="s">
        <v>65</v>
      </c>
      <c r="S2248">
        <v>2</v>
      </c>
      <c r="T2248" t="b">
        <v>0</v>
      </c>
      <c r="U2248" t="s">
        <v>30</v>
      </c>
      <c r="V2248">
        <v>7</v>
      </c>
    </row>
    <row r="2249" spans="1:22" x14ac:dyDescent="0.25">
      <c r="A2249" t="s">
        <v>4988</v>
      </c>
      <c r="B2249" s="1">
        <v>44730</v>
      </c>
      <c r="C2249" t="s">
        <v>4989</v>
      </c>
      <c r="D2249" t="s">
        <v>324</v>
      </c>
      <c r="E2249">
        <v>25</v>
      </c>
      <c r="F2249" t="str">
        <f>IF(Table1[[#This Row],[age]]&lt;=25,"18-25",IF(Table1[[#This Row],[age]]&lt;=35,"26-35",IF(Table1[[#This Row],[age]]&lt;=50,"36-50","51+")))</f>
        <v>18-25</v>
      </c>
      <c r="G2249" t="s">
        <v>54</v>
      </c>
      <c r="H2249" t="s">
        <v>80</v>
      </c>
      <c r="I2249" t="s">
        <v>81</v>
      </c>
      <c r="J2249" t="s">
        <v>106</v>
      </c>
      <c r="K2249" t="s">
        <v>331</v>
      </c>
      <c r="L2249">
        <v>7</v>
      </c>
      <c r="M2249">
        <v>70.02</v>
      </c>
      <c r="N2249">
        <v>0.28999999999999998</v>
      </c>
      <c r="O2249">
        <v>494.91</v>
      </c>
      <c r="P2249">
        <v>44.9</v>
      </c>
      <c r="Q2249">
        <v>75.319999999999993</v>
      </c>
      <c r="R2249" t="s">
        <v>65</v>
      </c>
      <c r="S2249">
        <v>2</v>
      </c>
      <c r="T2249" t="b">
        <v>0</v>
      </c>
      <c r="U2249" t="s">
        <v>193</v>
      </c>
      <c r="V2249">
        <v>5</v>
      </c>
    </row>
    <row r="2250" spans="1:22" x14ac:dyDescent="0.25">
      <c r="A2250" t="s">
        <v>4990</v>
      </c>
      <c r="B2250" s="1">
        <v>44148</v>
      </c>
      <c r="C2250" t="s">
        <v>4991</v>
      </c>
      <c r="D2250" t="s">
        <v>105</v>
      </c>
      <c r="E2250">
        <v>36</v>
      </c>
      <c r="F2250" t="str">
        <f>IF(Table1[[#This Row],[age]]&lt;=25,"18-25",IF(Table1[[#This Row],[age]]&lt;=35,"26-35",IF(Table1[[#This Row],[age]]&lt;=50,"36-50","51+")))</f>
        <v>36-50</v>
      </c>
      <c r="G2250" t="s">
        <v>34</v>
      </c>
      <c r="H2250" t="s">
        <v>61</v>
      </c>
      <c r="I2250" t="s">
        <v>91</v>
      </c>
      <c r="J2250" t="s">
        <v>101</v>
      </c>
      <c r="K2250" t="s">
        <v>214</v>
      </c>
      <c r="L2250">
        <v>8</v>
      </c>
      <c r="M2250">
        <v>11002.8</v>
      </c>
      <c r="N2250">
        <v>0.15</v>
      </c>
      <c r="O2250">
        <v>60370.7</v>
      </c>
      <c r="P2250">
        <v>8455.94</v>
      </c>
      <c r="Q2250">
        <v>27.96</v>
      </c>
      <c r="R2250" t="s">
        <v>57</v>
      </c>
      <c r="S2250">
        <v>5</v>
      </c>
      <c r="T2250" t="b">
        <v>0</v>
      </c>
      <c r="U2250" t="s">
        <v>30</v>
      </c>
      <c r="V2250">
        <v>9</v>
      </c>
    </row>
    <row r="2251" spans="1:22" x14ac:dyDescent="0.25">
      <c r="A2251" t="s">
        <v>4992</v>
      </c>
      <c r="B2251" s="1">
        <v>45234</v>
      </c>
      <c r="C2251" t="s">
        <v>4993</v>
      </c>
      <c r="D2251" t="s">
        <v>1288</v>
      </c>
      <c r="E2251">
        <v>71</v>
      </c>
      <c r="F2251" t="str">
        <f>IF(Table1[[#This Row],[age]]&lt;=25,"18-25",IF(Table1[[#This Row],[age]]&lt;=35,"26-35",IF(Table1[[#This Row],[age]]&lt;=50,"36-50","51+")))</f>
        <v>51+</v>
      </c>
      <c r="G2251" t="s">
        <v>54</v>
      </c>
      <c r="H2251" t="s">
        <v>61</v>
      </c>
      <c r="I2251" t="s">
        <v>163</v>
      </c>
      <c r="J2251" t="s">
        <v>63</v>
      </c>
      <c r="K2251" t="s">
        <v>87</v>
      </c>
      <c r="L2251">
        <v>5</v>
      </c>
      <c r="M2251">
        <v>1581.85</v>
      </c>
      <c r="N2251">
        <v>0.31</v>
      </c>
      <c r="O2251">
        <v>5298.79</v>
      </c>
      <c r="P2251">
        <v>1912.12</v>
      </c>
      <c r="Q2251">
        <v>37.369999999999997</v>
      </c>
      <c r="R2251" t="s">
        <v>49</v>
      </c>
      <c r="S2251">
        <v>3</v>
      </c>
      <c r="T2251" t="b">
        <v>0</v>
      </c>
      <c r="U2251" t="s">
        <v>30</v>
      </c>
      <c r="V2251">
        <v>3</v>
      </c>
    </row>
    <row r="2252" spans="1:22" x14ac:dyDescent="0.25">
      <c r="A2252" t="s">
        <v>4994</v>
      </c>
      <c r="B2252" s="1">
        <v>44702</v>
      </c>
      <c r="C2252" t="s">
        <v>4995</v>
      </c>
      <c r="D2252" t="s">
        <v>1914</v>
      </c>
      <c r="E2252">
        <v>28</v>
      </c>
      <c r="F2252" t="str">
        <f>IF(Table1[[#This Row],[age]]&lt;=25,"18-25",IF(Table1[[#This Row],[age]]&lt;=35,"26-35",IF(Table1[[#This Row],[age]]&lt;=50,"36-50","51+")))</f>
        <v>26-35</v>
      </c>
      <c r="G2252" t="s">
        <v>24</v>
      </c>
      <c r="H2252" t="s">
        <v>61</v>
      </c>
      <c r="I2252" t="s">
        <v>91</v>
      </c>
      <c r="J2252" t="s">
        <v>36</v>
      </c>
      <c r="K2252" t="s">
        <v>230</v>
      </c>
      <c r="L2252">
        <v>9</v>
      </c>
      <c r="M2252">
        <v>25541.61</v>
      </c>
      <c r="N2252">
        <v>0.2</v>
      </c>
      <c r="O2252">
        <v>282283.64</v>
      </c>
      <c r="P2252">
        <v>106013.67</v>
      </c>
      <c r="Q2252">
        <v>68.959999999999994</v>
      </c>
      <c r="R2252" t="s">
        <v>49</v>
      </c>
      <c r="S2252">
        <v>3</v>
      </c>
      <c r="T2252" t="b">
        <v>0</v>
      </c>
      <c r="U2252" t="s">
        <v>30</v>
      </c>
      <c r="V2252">
        <v>4</v>
      </c>
    </row>
    <row r="2253" spans="1:22" x14ac:dyDescent="0.25">
      <c r="A2253" t="s">
        <v>4996</v>
      </c>
      <c r="B2253" s="1">
        <v>45509</v>
      </c>
      <c r="C2253" t="s">
        <v>4997</v>
      </c>
      <c r="D2253" t="s">
        <v>3506</v>
      </c>
      <c r="E2253">
        <v>24</v>
      </c>
      <c r="F2253" t="str">
        <f>IF(Table1[[#This Row],[age]]&lt;=25,"18-25",IF(Table1[[#This Row],[age]]&lt;=35,"26-35",IF(Table1[[#This Row],[age]]&lt;=50,"36-50","51+")))</f>
        <v>18-25</v>
      </c>
      <c r="G2253" t="s">
        <v>54</v>
      </c>
      <c r="H2253" t="s">
        <v>55</v>
      </c>
      <c r="I2253" t="s">
        <v>75</v>
      </c>
      <c r="J2253" t="s">
        <v>101</v>
      </c>
      <c r="K2253" t="s">
        <v>164</v>
      </c>
      <c r="L2253">
        <v>1</v>
      </c>
      <c r="M2253">
        <v>3037.55</v>
      </c>
      <c r="N2253">
        <v>0.19</v>
      </c>
      <c r="O2253">
        <v>3582.58</v>
      </c>
      <c r="P2253">
        <v>700.96</v>
      </c>
      <c r="Q2253">
        <v>40.82</v>
      </c>
      <c r="R2253" t="s">
        <v>57</v>
      </c>
      <c r="S2253">
        <v>4</v>
      </c>
      <c r="T2253" t="b">
        <v>0</v>
      </c>
      <c r="U2253" t="s">
        <v>30</v>
      </c>
      <c r="V2253">
        <v>3</v>
      </c>
    </row>
    <row r="2254" spans="1:22" x14ac:dyDescent="0.25">
      <c r="A2254" t="s">
        <v>4998</v>
      </c>
      <c r="B2254" s="1">
        <v>44517</v>
      </c>
      <c r="C2254" t="s">
        <v>4999</v>
      </c>
      <c r="D2254" t="s">
        <v>1100</v>
      </c>
      <c r="E2254">
        <v>23</v>
      </c>
      <c r="F2254" t="str">
        <f>IF(Table1[[#This Row],[age]]&lt;=25,"18-25",IF(Table1[[#This Row],[age]]&lt;=35,"26-35",IF(Table1[[#This Row],[age]]&lt;=50,"36-50","51+")))</f>
        <v>18-25</v>
      </c>
      <c r="G2254" t="s">
        <v>34</v>
      </c>
      <c r="H2254" t="s">
        <v>61</v>
      </c>
      <c r="I2254" t="s">
        <v>141</v>
      </c>
      <c r="J2254" t="s">
        <v>36</v>
      </c>
      <c r="K2254" t="s">
        <v>132</v>
      </c>
      <c r="L2254">
        <v>3</v>
      </c>
      <c r="M2254">
        <v>6001.72</v>
      </c>
      <c r="N2254">
        <v>0.23</v>
      </c>
      <c r="O2254">
        <v>11226.94</v>
      </c>
      <c r="P2254">
        <v>2265.7399999999998</v>
      </c>
      <c r="Q2254">
        <v>13.26</v>
      </c>
      <c r="R2254" t="s">
        <v>29</v>
      </c>
      <c r="S2254">
        <v>3</v>
      </c>
      <c r="T2254" t="b">
        <v>1</v>
      </c>
      <c r="U2254" t="s">
        <v>50</v>
      </c>
      <c r="V2254">
        <v>3</v>
      </c>
    </row>
    <row r="2255" spans="1:22" x14ac:dyDescent="0.25">
      <c r="A2255" t="s">
        <v>5000</v>
      </c>
      <c r="B2255" s="1">
        <v>44594</v>
      </c>
      <c r="C2255" t="s">
        <v>5001</v>
      </c>
      <c r="D2255" t="s">
        <v>415</v>
      </c>
      <c r="E2255">
        <v>48</v>
      </c>
      <c r="F2255" t="str">
        <f>IF(Table1[[#This Row],[age]]&lt;=25,"18-25",IF(Table1[[#This Row],[age]]&lt;=35,"26-35",IF(Table1[[#This Row],[age]]&lt;=50,"36-50","51+")))</f>
        <v>36-50</v>
      </c>
      <c r="G2255" t="s">
        <v>24</v>
      </c>
      <c r="H2255" t="s">
        <v>55</v>
      </c>
      <c r="I2255" t="s">
        <v>75</v>
      </c>
      <c r="J2255" t="s">
        <v>47</v>
      </c>
      <c r="K2255" t="s">
        <v>204</v>
      </c>
      <c r="L2255">
        <v>2</v>
      </c>
      <c r="M2255">
        <v>1014.61</v>
      </c>
      <c r="N2255">
        <v>0.03</v>
      </c>
      <c r="O2255">
        <v>1625.5</v>
      </c>
      <c r="P2255">
        <v>685.16</v>
      </c>
      <c r="Q2255">
        <v>49.94</v>
      </c>
      <c r="R2255" t="s">
        <v>65</v>
      </c>
      <c r="S2255">
        <v>5</v>
      </c>
      <c r="T2255" t="b">
        <v>0</v>
      </c>
      <c r="U2255" t="s">
        <v>30</v>
      </c>
      <c r="V2255">
        <v>7</v>
      </c>
    </row>
    <row r="2256" spans="1:22" x14ac:dyDescent="0.25">
      <c r="A2256" t="s">
        <v>5002</v>
      </c>
      <c r="B2256" s="1">
        <v>45474</v>
      </c>
      <c r="C2256" t="s">
        <v>5003</v>
      </c>
      <c r="D2256" t="s">
        <v>3506</v>
      </c>
      <c r="E2256">
        <v>20</v>
      </c>
      <c r="F2256" t="str">
        <f>IF(Table1[[#This Row],[age]]&lt;=25,"18-25",IF(Table1[[#This Row],[age]]&lt;=35,"26-35",IF(Table1[[#This Row],[age]]&lt;=50,"36-50","51+")))</f>
        <v>18-25</v>
      </c>
      <c r="G2256" t="s">
        <v>24</v>
      </c>
      <c r="H2256" t="s">
        <v>61</v>
      </c>
      <c r="I2256" t="s">
        <v>141</v>
      </c>
      <c r="J2256" t="s">
        <v>47</v>
      </c>
      <c r="K2256" t="s">
        <v>272</v>
      </c>
      <c r="L2256">
        <v>2</v>
      </c>
      <c r="M2256">
        <v>646.61</v>
      </c>
      <c r="N2256">
        <v>0.22</v>
      </c>
      <c r="O2256">
        <v>1668.69</v>
      </c>
      <c r="P2256">
        <v>631.70000000000005</v>
      </c>
      <c r="Q2256">
        <v>49.01</v>
      </c>
      <c r="R2256" t="s">
        <v>57</v>
      </c>
      <c r="S2256">
        <v>2</v>
      </c>
      <c r="T2256" t="b">
        <v>0</v>
      </c>
      <c r="U2256" t="s">
        <v>30</v>
      </c>
      <c r="V2256">
        <v>3</v>
      </c>
    </row>
    <row r="2257" spans="1:22" x14ac:dyDescent="0.25">
      <c r="A2257" t="s">
        <v>5004</v>
      </c>
      <c r="B2257" s="1">
        <v>45538</v>
      </c>
      <c r="C2257" t="s">
        <v>939</v>
      </c>
      <c r="D2257" t="s">
        <v>754</v>
      </c>
      <c r="E2257">
        <v>44</v>
      </c>
      <c r="F2257" t="str">
        <f>IF(Table1[[#This Row],[age]]&lt;=25,"18-25",IF(Table1[[#This Row],[age]]&lt;=35,"26-35",IF(Table1[[#This Row],[age]]&lt;=50,"36-50","51+")))</f>
        <v>36-50</v>
      </c>
      <c r="G2257" t="s">
        <v>24</v>
      </c>
      <c r="H2257" t="s">
        <v>80</v>
      </c>
      <c r="I2257" t="s">
        <v>242</v>
      </c>
      <c r="J2257" t="s">
        <v>115</v>
      </c>
      <c r="K2257" t="s">
        <v>145</v>
      </c>
      <c r="L2257">
        <v>5</v>
      </c>
      <c r="M2257">
        <v>20577.009999999998</v>
      </c>
      <c r="N2257">
        <v>0.23</v>
      </c>
      <c r="O2257">
        <v>93594.28</v>
      </c>
      <c r="P2257">
        <v>9112.0499999999993</v>
      </c>
      <c r="Q2257">
        <v>88.2</v>
      </c>
      <c r="R2257" t="s">
        <v>65</v>
      </c>
      <c r="S2257">
        <v>2</v>
      </c>
      <c r="T2257" t="b">
        <v>0</v>
      </c>
      <c r="U2257" t="s">
        <v>30</v>
      </c>
      <c r="V2257">
        <v>6</v>
      </c>
    </row>
    <row r="2258" spans="1:22" x14ac:dyDescent="0.25">
      <c r="A2258" t="s">
        <v>5005</v>
      </c>
      <c r="B2258" s="1">
        <v>44593</v>
      </c>
      <c r="C2258" t="s">
        <v>5006</v>
      </c>
      <c r="D2258" t="s">
        <v>1327</v>
      </c>
      <c r="E2258">
        <v>39</v>
      </c>
      <c r="F2258" t="str">
        <f>IF(Table1[[#This Row],[age]]&lt;=25,"18-25",IF(Table1[[#This Row],[age]]&lt;=35,"26-35",IF(Table1[[#This Row],[age]]&lt;=50,"36-50","51+")))</f>
        <v>36-50</v>
      </c>
      <c r="G2258" t="s">
        <v>24</v>
      </c>
      <c r="H2258" t="s">
        <v>55</v>
      </c>
      <c r="I2258" t="s">
        <v>97</v>
      </c>
      <c r="J2258" t="s">
        <v>47</v>
      </c>
      <c r="K2258" t="s">
        <v>48</v>
      </c>
      <c r="L2258">
        <v>1</v>
      </c>
      <c r="M2258">
        <v>1394.93</v>
      </c>
      <c r="N2258">
        <v>0.2</v>
      </c>
      <c r="O2258">
        <v>1128.26</v>
      </c>
      <c r="P2258">
        <v>431.19</v>
      </c>
      <c r="Q2258">
        <v>99.26</v>
      </c>
      <c r="R2258" t="s">
        <v>57</v>
      </c>
      <c r="S2258">
        <v>4</v>
      </c>
      <c r="T2258" t="b">
        <v>0</v>
      </c>
      <c r="U2258" t="s">
        <v>30</v>
      </c>
      <c r="V2258">
        <v>6</v>
      </c>
    </row>
    <row r="2259" spans="1:22" x14ac:dyDescent="0.25">
      <c r="A2259" t="s">
        <v>5007</v>
      </c>
      <c r="B2259" s="1">
        <v>45268</v>
      </c>
      <c r="C2259" t="s">
        <v>5008</v>
      </c>
      <c r="D2259" t="s">
        <v>346</v>
      </c>
      <c r="E2259">
        <v>32</v>
      </c>
      <c r="F2259" t="str">
        <f>IF(Table1[[#This Row],[age]]&lt;=25,"18-25",IF(Table1[[#This Row],[age]]&lt;=35,"26-35",IF(Table1[[#This Row],[age]]&lt;=50,"36-50","51+")))</f>
        <v>26-35</v>
      </c>
      <c r="G2259" t="s">
        <v>54</v>
      </c>
      <c r="H2259" t="s">
        <v>61</v>
      </c>
      <c r="I2259" t="s">
        <v>62</v>
      </c>
      <c r="J2259" t="s">
        <v>115</v>
      </c>
      <c r="K2259" t="s">
        <v>145</v>
      </c>
      <c r="L2259">
        <v>1</v>
      </c>
      <c r="M2259">
        <v>74269.77</v>
      </c>
      <c r="N2259">
        <v>0.15</v>
      </c>
      <c r="O2259">
        <v>58489.45</v>
      </c>
      <c r="P2259">
        <v>8517.07</v>
      </c>
      <c r="Q2259">
        <v>41.46</v>
      </c>
      <c r="R2259" t="s">
        <v>92</v>
      </c>
      <c r="S2259">
        <v>5</v>
      </c>
      <c r="T2259" t="b">
        <v>0</v>
      </c>
      <c r="U2259" t="s">
        <v>193</v>
      </c>
      <c r="V2259">
        <v>1</v>
      </c>
    </row>
    <row r="2260" spans="1:22" x14ac:dyDescent="0.25">
      <c r="A2260" t="s">
        <v>5009</v>
      </c>
      <c r="B2260" s="1">
        <v>44007</v>
      </c>
      <c r="C2260" t="s">
        <v>5010</v>
      </c>
      <c r="D2260" t="s">
        <v>536</v>
      </c>
      <c r="E2260">
        <v>66</v>
      </c>
      <c r="F2260" t="str">
        <f>IF(Table1[[#This Row],[age]]&lt;=25,"18-25",IF(Table1[[#This Row],[age]]&lt;=35,"26-35",IF(Table1[[#This Row],[age]]&lt;=50,"36-50","51+")))</f>
        <v>51+</v>
      </c>
      <c r="G2260" t="s">
        <v>24</v>
      </c>
      <c r="H2260" t="s">
        <v>25</v>
      </c>
      <c r="I2260" t="s">
        <v>35</v>
      </c>
      <c r="J2260" t="s">
        <v>115</v>
      </c>
      <c r="K2260" t="s">
        <v>197</v>
      </c>
      <c r="L2260">
        <v>5</v>
      </c>
      <c r="M2260">
        <v>46345.56</v>
      </c>
      <c r="N2260">
        <v>0.32</v>
      </c>
      <c r="O2260">
        <v>181476.52</v>
      </c>
      <c r="P2260">
        <v>25644.37</v>
      </c>
      <c r="Q2260">
        <v>77.91</v>
      </c>
      <c r="R2260" t="s">
        <v>49</v>
      </c>
      <c r="S2260">
        <v>3</v>
      </c>
      <c r="T2260" t="b">
        <v>0</v>
      </c>
      <c r="U2260" t="s">
        <v>193</v>
      </c>
      <c r="V2260">
        <v>10</v>
      </c>
    </row>
    <row r="2261" spans="1:22" x14ac:dyDescent="0.25">
      <c r="A2261" t="s">
        <v>5011</v>
      </c>
      <c r="B2261" s="1">
        <v>43909</v>
      </c>
      <c r="C2261" t="s">
        <v>5012</v>
      </c>
      <c r="D2261" t="s">
        <v>1281</v>
      </c>
      <c r="E2261">
        <v>35</v>
      </c>
      <c r="F2261" t="str">
        <f>IF(Table1[[#This Row],[age]]&lt;=25,"18-25",IF(Table1[[#This Row],[age]]&lt;=35,"26-35",IF(Table1[[#This Row],[age]]&lt;=50,"36-50","51+")))</f>
        <v>26-35</v>
      </c>
      <c r="G2261" t="s">
        <v>34</v>
      </c>
      <c r="H2261" t="s">
        <v>55</v>
      </c>
      <c r="I2261" t="s">
        <v>114</v>
      </c>
      <c r="J2261" t="s">
        <v>101</v>
      </c>
      <c r="K2261" t="s">
        <v>164</v>
      </c>
      <c r="L2261">
        <v>7</v>
      </c>
      <c r="M2261">
        <v>2367.09</v>
      </c>
      <c r="N2261">
        <v>0.04</v>
      </c>
      <c r="O2261">
        <v>16292.28</v>
      </c>
      <c r="P2261">
        <v>2663.65</v>
      </c>
      <c r="Q2261">
        <v>42.41</v>
      </c>
      <c r="R2261" t="s">
        <v>57</v>
      </c>
      <c r="S2261">
        <v>1</v>
      </c>
      <c r="T2261" t="b">
        <v>0</v>
      </c>
      <c r="U2261" t="s">
        <v>93</v>
      </c>
      <c r="V2261">
        <v>8</v>
      </c>
    </row>
    <row r="2262" spans="1:22" x14ac:dyDescent="0.25">
      <c r="A2262" t="s">
        <v>5013</v>
      </c>
      <c r="B2262" s="1">
        <v>44090</v>
      </c>
      <c r="C2262" t="s">
        <v>5014</v>
      </c>
      <c r="D2262" t="s">
        <v>1074</v>
      </c>
      <c r="E2262">
        <v>24</v>
      </c>
      <c r="F2262" t="str">
        <f>IF(Table1[[#This Row],[age]]&lt;=25,"18-25",IF(Table1[[#This Row],[age]]&lt;=35,"26-35",IF(Table1[[#This Row],[age]]&lt;=50,"36-50","51+")))</f>
        <v>18-25</v>
      </c>
      <c r="G2262" t="s">
        <v>34</v>
      </c>
      <c r="H2262" t="s">
        <v>61</v>
      </c>
      <c r="I2262" t="s">
        <v>91</v>
      </c>
      <c r="J2262" t="s">
        <v>115</v>
      </c>
      <c r="K2262" t="s">
        <v>116</v>
      </c>
      <c r="L2262">
        <v>9</v>
      </c>
      <c r="M2262">
        <v>34058.9</v>
      </c>
      <c r="N2262">
        <v>0.13</v>
      </c>
      <c r="O2262">
        <v>239614.28</v>
      </c>
      <c r="P2262">
        <v>26529.360000000001</v>
      </c>
      <c r="Q2262">
        <v>35.69</v>
      </c>
      <c r="R2262" t="s">
        <v>29</v>
      </c>
      <c r="S2262">
        <v>5</v>
      </c>
      <c r="T2262" t="b">
        <v>0</v>
      </c>
      <c r="U2262" t="s">
        <v>193</v>
      </c>
      <c r="V2262">
        <v>5</v>
      </c>
    </row>
    <row r="2263" spans="1:22" x14ac:dyDescent="0.25">
      <c r="A2263" t="s">
        <v>5015</v>
      </c>
      <c r="B2263" s="1">
        <v>44342</v>
      </c>
      <c r="C2263" t="s">
        <v>5016</v>
      </c>
      <c r="D2263" t="s">
        <v>1589</v>
      </c>
      <c r="E2263">
        <v>21</v>
      </c>
      <c r="F2263" t="str">
        <f>IF(Table1[[#This Row],[age]]&lt;=25,"18-25",IF(Table1[[#This Row],[age]]&lt;=35,"26-35",IF(Table1[[#This Row],[age]]&lt;=50,"36-50","51+")))</f>
        <v>18-25</v>
      </c>
      <c r="G2263" t="s">
        <v>34</v>
      </c>
      <c r="H2263" t="s">
        <v>80</v>
      </c>
      <c r="I2263" t="s">
        <v>86</v>
      </c>
      <c r="J2263" t="s">
        <v>27</v>
      </c>
      <c r="K2263" t="s">
        <v>480</v>
      </c>
      <c r="L2263">
        <v>7</v>
      </c>
      <c r="M2263">
        <v>1281.8599999999999</v>
      </c>
      <c r="N2263">
        <v>0.39</v>
      </c>
      <c r="O2263">
        <v>8031.28</v>
      </c>
      <c r="P2263">
        <v>2955.5</v>
      </c>
      <c r="Q2263">
        <v>39.19</v>
      </c>
      <c r="R2263" t="s">
        <v>57</v>
      </c>
      <c r="S2263">
        <v>2</v>
      </c>
      <c r="T2263" t="b">
        <v>0</v>
      </c>
      <c r="U2263" t="s">
        <v>30</v>
      </c>
      <c r="V2263">
        <v>7</v>
      </c>
    </row>
    <row r="2264" spans="1:22" x14ac:dyDescent="0.25">
      <c r="A2264" t="s">
        <v>5017</v>
      </c>
      <c r="B2264" s="1">
        <v>44610</v>
      </c>
      <c r="C2264" t="s">
        <v>5018</v>
      </c>
      <c r="D2264" t="s">
        <v>96</v>
      </c>
      <c r="E2264">
        <v>24</v>
      </c>
      <c r="F2264" t="str">
        <f>IF(Table1[[#This Row],[age]]&lt;=25,"18-25",IF(Table1[[#This Row],[age]]&lt;=35,"26-35",IF(Table1[[#This Row],[age]]&lt;=50,"36-50","51+")))</f>
        <v>18-25</v>
      </c>
      <c r="G2264" t="s">
        <v>54</v>
      </c>
      <c r="H2264" t="s">
        <v>25</v>
      </c>
      <c r="I2264" t="s">
        <v>35</v>
      </c>
      <c r="J2264" t="s">
        <v>47</v>
      </c>
      <c r="K2264" t="s">
        <v>204</v>
      </c>
      <c r="L2264">
        <v>5</v>
      </c>
      <c r="M2264">
        <v>433.78</v>
      </c>
      <c r="N2264">
        <v>0.16</v>
      </c>
      <c r="O2264">
        <v>1626.67</v>
      </c>
      <c r="P2264">
        <v>566.47</v>
      </c>
      <c r="Q2264">
        <v>70.39</v>
      </c>
      <c r="R2264" t="s">
        <v>49</v>
      </c>
      <c r="S2264">
        <v>5</v>
      </c>
      <c r="T2264" t="b">
        <v>0</v>
      </c>
      <c r="U2264" t="s">
        <v>30</v>
      </c>
      <c r="V2264">
        <v>9</v>
      </c>
    </row>
    <row r="2265" spans="1:22" x14ac:dyDescent="0.25">
      <c r="A2265" t="s">
        <v>5019</v>
      </c>
      <c r="B2265" s="1">
        <v>44206</v>
      </c>
      <c r="C2265" t="s">
        <v>5020</v>
      </c>
      <c r="D2265" t="s">
        <v>1233</v>
      </c>
      <c r="E2265">
        <v>21</v>
      </c>
      <c r="F2265" t="str">
        <f>IF(Table1[[#This Row],[age]]&lt;=25,"18-25",IF(Table1[[#This Row],[age]]&lt;=35,"26-35",IF(Table1[[#This Row],[age]]&lt;=50,"36-50","51+")))</f>
        <v>18-25</v>
      </c>
      <c r="G2265" t="s">
        <v>24</v>
      </c>
      <c r="H2265" t="s">
        <v>80</v>
      </c>
      <c r="I2265" t="s">
        <v>242</v>
      </c>
      <c r="J2265" t="s">
        <v>27</v>
      </c>
      <c r="K2265" t="s">
        <v>335</v>
      </c>
      <c r="L2265">
        <v>9</v>
      </c>
      <c r="M2265">
        <v>1170.24</v>
      </c>
      <c r="N2265">
        <v>0.31</v>
      </c>
      <c r="O2265">
        <v>5927.64</v>
      </c>
      <c r="P2265">
        <v>3035.58</v>
      </c>
      <c r="Q2265">
        <v>41.85</v>
      </c>
      <c r="R2265" t="s">
        <v>49</v>
      </c>
      <c r="S2265">
        <v>2</v>
      </c>
      <c r="T2265" t="b">
        <v>0</v>
      </c>
      <c r="U2265" t="s">
        <v>30</v>
      </c>
      <c r="V2265">
        <v>1</v>
      </c>
    </row>
    <row r="2266" spans="1:22" x14ac:dyDescent="0.25">
      <c r="A2266" t="s">
        <v>5021</v>
      </c>
      <c r="B2266" s="1">
        <v>45079</v>
      </c>
      <c r="C2266" t="s">
        <v>5022</v>
      </c>
      <c r="D2266" t="s">
        <v>1589</v>
      </c>
      <c r="E2266">
        <v>68</v>
      </c>
      <c r="F2266" t="str">
        <f>IF(Table1[[#This Row],[age]]&lt;=25,"18-25",IF(Table1[[#This Row],[age]]&lt;=35,"26-35",IF(Table1[[#This Row],[age]]&lt;=50,"36-50","51+")))</f>
        <v>51+</v>
      </c>
      <c r="G2266" t="s">
        <v>54</v>
      </c>
      <c r="H2266" t="s">
        <v>55</v>
      </c>
      <c r="I2266" t="s">
        <v>114</v>
      </c>
      <c r="J2266" t="s">
        <v>63</v>
      </c>
      <c r="K2266" t="s">
        <v>152</v>
      </c>
      <c r="L2266">
        <v>4</v>
      </c>
      <c r="M2266">
        <v>824.79</v>
      </c>
      <c r="N2266">
        <v>0.09</v>
      </c>
      <c r="O2266">
        <v>4781.3500000000004</v>
      </c>
      <c r="P2266">
        <v>1402.58</v>
      </c>
      <c r="Q2266">
        <v>62.47</v>
      </c>
      <c r="R2266" t="s">
        <v>57</v>
      </c>
      <c r="S2266">
        <v>1</v>
      </c>
      <c r="T2266" t="b">
        <v>0</v>
      </c>
      <c r="U2266" t="s">
        <v>71</v>
      </c>
      <c r="V2266">
        <v>4</v>
      </c>
    </row>
    <row r="2267" spans="1:22" x14ac:dyDescent="0.25">
      <c r="A2267" t="s">
        <v>5023</v>
      </c>
      <c r="B2267" s="1">
        <v>45393</v>
      </c>
      <c r="C2267" t="s">
        <v>5024</v>
      </c>
      <c r="D2267" t="s">
        <v>415</v>
      </c>
      <c r="E2267">
        <v>41</v>
      </c>
      <c r="F2267" t="str">
        <f>IF(Table1[[#This Row],[age]]&lt;=25,"18-25",IF(Table1[[#This Row],[age]]&lt;=35,"26-35",IF(Table1[[#This Row],[age]]&lt;=50,"36-50","51+")))</f>
        <v>36-50</v>
      </c>
      <c r="G2267" t="s">
        <v>54</v>
      </c>
      <c r="H2267" t="s">
        <v>25</v>
      </c>
      <c r="I2267" t="s">
        <v>26</v>
      </c>
      <c r="J2267" t="s">
        <v>101</v>
      </c>
      <c r="K2267" t="s">
        <v>124</v>
      </c>
      <c r="L2267">
        <v>8</v>
      </c>
      <c r="M2267">
        <v>13545.22</v>
      </c>
      <c r="N2267">
        <v>0.22</v>
      </c>
      <c r="O2267">
        <v>148811.09</v>
      </c>
      <c r="P2267">
        <v>34910.449999999997</v>
      </c>
      <c r="Q2267">
        <v>49.35</v>
      </c>
      <c r="R2267" t="s">
        <v>57</v>
      </c>
      <c r="S2267">
        <v>5</v>
      </c>
      <c r="T2267" t="b">
        <v>0</v>
      </c>
      <c r="U2267" t="s">
        <v>30</v>
      </c>
      <c r="V2267">
        <v>1</v>
      </c>
    </row>
    <row r="2268" spans="1:22" x14ac:dyDescent="0.25">
      <c r="A2268" t="s">
        <v>5025</v>
      </c>
      <c r="B2268" s="1">
        <v>43989</v>
      </c>
      <c r="C2268" t="s">
        <v>5026</v>
      </c>
      <c r="D2268" t="s">
        <v>2359</v>
      </c>
      <c r="E2268">
        <v>42</v>
      </c>
      <c r="F2268" t="str">
        <f>IF(Table1[[#This Row],[age]]&lt;=25,"18-25",IF(Table1[[#This Row],[age]]&lt;=35,"26-35",IF(Table1[[#This Row],[age]]&lt;=50,"36-50","51+")))</f>
        <v>36-50</v>
      </c>
      <c r="G2268" t="s">
        <v>54</v>
      </c>
      <c r="H2268" t="s">
        <v>25</v>
      </c>
      <c r="I2268" t="s">
        <v>26</v>
      </c>
      <c r="J2268" t="s">
        <v>27</v>
      </c>
      <c r="K2268" t="s">
        <v>28</v>
      </c>
      <c r="L2268">
        <v>2</v>
      </c>
      <c r="M2268">
        <v>1372.94</v>
      </c>
      <c r="N2268">
        <v>0.24</v>
      </c>
      <c r="O2268">
        <v>2491.3200000000002</v>
      </c>
      <c r="P2268">
        <v>765.46</v>
      </c>
      <c r="Q2268">
        <v>51.67</v>
      </c>
      <c r="R2268" t="s">
        <v>92</v>
      </c>
      <c r="S2268">
        <v>2</v>
      </c>
      <c r="T2268" t="b">
        <v>0</v>
      </c>
      <c r="U2268" t="s">
        <v>30</v>
      </c>
      <c r="V2268">
        <v>8</v>
      </c>
    </row>
    <row r="2269" spans="1:22" x14ac:dyDescent="0.25">
      <c r="A2269" t="s">
        <v>5027</v>
      </c>
      <c r="B2269" s="1">
        <v>44846</v>
      </c>
      <c r="C2269" t="s">
        <v>1243</v>
      </c>
      <c r="D2269" t="s">
        <v>1066</v>
      </c>
      <c r="E2269">
        <v>27</v>
      </c>
      <c r="F2269" t="str">
        <f>IF(Table1[[#This Row],[age]]&lt;=25,"18-25",IF(Table1[[#This Row],[age]]&lt;=35,"26-35",IF(Table1[[#This Row],[age]]&lt;=50,"36-50","51+")))</f>
        <v>26-35</v>
      </c>
      <c r="G2269" t="s">
        <v>54</v>
      </c>
      <c r="H2269" t="s">
        <v>61</v>
      </c>
      <c r="I2269" t="s">
        <v>163</v>
      </c>
      <c r="J2269" t="s">
        <v>101</v>
      </c>
      <c r="K2269" t="s">
        <v>456</v>
      </c>
      <c r="L2269">
        <v>9</v>
      </c>
      <c r="M2269">
        <v>13142.88</v>
      </c>
      <c r="N2269">
        <v>0.37</v>
      </c>
      <c r="O2269">
        <v>69394.080000000002</v>
      </c>
      <c r="P2269">
        <v>16164.46</v>
      </c>
      <c r="Q2269">
        <v>32.880000000000003</v>
      </c>
      <c r="R2269" t="s">
        <v>65</v>
      </c>
      <c r="S2269">
        <v>5</v>
      </c>
      <c r="T2269" t="b">
        <v>1</v>
      </c>
      <c r="U2269" t="s">
        <v>50</v>
      </c>
      <c r="V2269">
        <v>1</v>
      </c>
    </row>
    <row r="2270" spans="1:22" x14ac:dyDescent="0.25">
      <c r="A2270" t="s">
        <v>5028</v>
      </c>
      <c r="B2270" s="1">
        <v>44119</v>
      </c>
      <c r="C2270" t="s">
        <v>5029</v>
      </c>
      <c r="D2270" t="s">
        <v>1625</v>
      </c>
      <c r="E2270">
        <v>55</v>
      </c>
      <c r="F2270" t="str">
        <f>IF(Table1[[#This Row],[age]]&lt;=25,"18-25",IF(Table1[[#This Row],[age]]&lt;=35,"26-35",IF(Table1[[#This Row],[age]]&lt;=50,"36-50","51+")))</f>
        <v>51+</v>
      </c>
      <c r="G2270" t="s">
        <v>34</v>
      </c>
      <c r="H2270" t="s">
        <v>61</v>
      </c>
      <c r="I2270" t="s">
        <v>141</v>
      </c>
      <c r="J2270" t="s">
        <v>27</v>
      </c>
      <c r="K2270" t="s">
        <v>480</v>
      </c>
      <c r="L2270">
        <v>4</v>
      </c>
      <c r="M2270">
        <v>2079.0700000000002</v>
      </c>
      <c r="N2270">
        <v>0.31</v>
      </c>
      <c r="O2270">
        <v>4372.2</v>
      </c>
      <c r="P2270">
        <v>2080.88</v>
      </c>
      <c r="Q2270">
        <v>20.39</v>
      </c>
      <c r="R2270" t="s">
        <v>65</v>
      </c>
      <c r="S2270">
        <v>4</v>
      </c>
      <c r="T2270" t="b">
        <v>1</v>
      </c>
      <c r="U2270" t="s">
        <v>50</v>
      </c>
      <c r="V2270">
        <v>3</v>
      </c>
    </row>
    <row r="2271" spans="1:22" x14ac:dyDescent="0.25">
      <c r="A2271" t="s">
        <v>5030</v>
      </c>
      <c r="B2271" s="1">
        <v>44714</v>
      </c>
      <c r="C2271" t="s">
        <v>5031</v>
      </c>
      <c r="D2271" t="s">
        <v>2598</v>
      </c>
      <c r="E2271">
        <v>27</v>
      </c>
      <c r="F2271" t="str">
        <f>IF(Table1[[#This Row],[age]]&lt;=25,"18-25",IF(Table1[[#This Row],[age]]&lt;=35,"26-35",IF(Table1[[#This Row],[age]]&lt;=50,"36-50","51+")))</f>
        <v>26-35</v>
      </c>
      <c r="G2271" t="s">
        <v>34</v>
      </c>
      <c r="H2271" t="s">
        <v>55</v>
      </c>
      <c r="I2271" t="s">
        <v>97</v>
      </c>
      <c r="J2271" t="s">
        <v>101</v>
      </c>
      <c r="K2271" t="s">
        <v>124</v>
      </c>
      <c r="L2271">
        <v>2</v>
      </c>
      <c r="M2271">
        <v>1793.14</v>
      </c>
      <c r="N2271">
        <v>0.22</v>
      </c>
      <c r="O2271">
        <v>4474.84</v>
      </c>
      <c r="P2271">
        <v>1103.43</v>
      </c>
      <c r="Q2271">
        <v>40.65</v>
      </c>
      <c r="R2271" t="s">
        <v>49</v>
      </c>
      <c r="S2271">
        <v>2</v>
      </c>
      <c r="T2271" t="b">
        <v>1</v>
      </c>
      <c r="U2271" t="s">
        <v>50</v>
      </c>
      <c r="V2271">
        <v>9</v>
      </c>
    </row>
    <row r="2272" spans="1:22" x14ac:dyDescent="0.25">
      <c r="A2272" t="s">
        <v>5032</v>
      </c>
      <c r="B2272" s="1">
        <v>44880</v>
      </c>
      <c r="C2272" t="s">
        <v>5033</v>
      </c>
      <c r="D2272" t="s">
        <v>2008</v>
      </c>
      <c r="E2272">
        <v>20</v>
      </c>
      <c r="F2272" t="str">
        <f>IF(Table1[[#This Row],[age]]&lt;=25,"18-25",IF(Table1[[#This Row],[age]]&lt;=35,"26-35",IF(Table1[[#This Row],[age]]&lt;=50,"36-50","51+")))</f>
        <v>18-25</v>
      </c>
      <c r="G2272" t="s">
        <v>34</v>
      </c>
      <c r="H2272" t="s">
        <v>80</v>
      </c>
      <c r="I2272" t="s">
        <v>242</v>
      </c>
      <c r="J2272" t="s">
        <v>47</v>
      </c>
      <c r="K2272" t="s">
        <v>600</v>
      </c>
      <c r="L2272">
        <v>6</v>
      </c>
      <c r="M2272">
        <v>363.03</v>
      </c>
      <c r="N2272">
        <v>0</v>
      </c>
      <c r="O2272">
        <v>1819.63</v>
      </c>
      <c r="P2272">
        <v>726.19</v>
      </c>
      <c r="Q2272">
        <v>64.27</v>
      </c>
      <c r="R2272" t="s">
        <v>65</v>
      </c>
      <c r="S2272">
        <v>5</v>
      </c>
      <c r="T2272" t="b">
        <v>0</v>
      </c>
      <c r="U2272" t="s">
        <v>30</v>
      </c>
      <c r="V2272">
        <v>7</v>
      </c>
    </row>
    <row r="2273" spans="1:22" x14ac:dyDescent="0.25">
      <c r="A2273" t="s">
        <v>5034</v>
      </c>
      <c r="B2273" s="1">
        <v>45622</v>
      </c>
      <c r="C2273" t="s">
        <v>5035</v>
      </c>
      <c r="D2273" t="s">
        <v>384</v>
      </c>
      <c r="E2273">
        <v>43</v>
      </c>
      <c r="F2273" t="str">
        <f>IF(Table1[[#This Row],[age]]&lt;=25,"18-25",IF(Table1[[#This Row],[age]]&lt;=35,"26-35",IF(Table1[[#This Row],[age]]&lt;=50,"36-50","51+")))</f>
        <v>36-50</v>
      </c>
      <c r="G2273" t="s">
        <v>54</v>
      </c>
      <c r="H2273" t="s">
        <v>61</v>
      </c>
      <c r="I2273" t="s">
        <v>141</v>
      </c>
      <c r="J2273" t="s">
        <v>27</v>
      </c>
      <c r="K2273" t="s">
        <v>480</v>
      </c>
      <c r="L2273">
        <v>9</v>
      </c>
      <c r="M2273">
        <v>328.65</v>
      </c>
      <c r="N2273">
        <v>0.3</v>
      </c>
      <c r="O2273">
        <v>1975.97</v>
      </c>
      <c r="P2273">
        <v>543.25</v>
      </c>
      <c r="Q2273">
        <v>41.68</v>
      </c>
      <c r="R2273" t="s">
        <v>57</v>
      </c>
      <c r="S2273">
        <v>4</v>
      </c>
      <c r="T2273" t="b">
        <v>0</v>
      </c>
      <c r="U2273" t="s">
        <v>30</v>
      </c>
      <c r="V2273">
        <v>9</v>
      </c>
    </row>
    <row r="2274" spans="1:22" x14ac:dyDescent="0.25">
      <c r="A2274" t="s">
        <v>5036</v>
      </c>
      <c r="B2274" s="1">
        <v>43917</v>
      </c>
      <c r="C2274" t="s">
        <v>5037</v>
      </c>
      <c r="D2274" t="s">
        <v>754</v>
      </c>
      <c r="E2274">
        <v>35</v>
      </c>
      <c r="F2274" t="str">
        <f>IF(Table1[[#This Row],[age]]&lt;=25,"18-25",IF(Table1[[#This Row],[age]]&lt;=35,"26-35",IF(Table1[[#This Row],[age]]&lt;=50,"36-50","51+")))</f>
        <v>26-35</v>
      </c>
      <c r="G2274" t="s">
        <v>54</v>
      </c>
      <c r="H2274" t="s">
        <v>61</v>
      </c>
      <c r="I2274" t="s">
        <v>91</v>
      </c>
      <c r="J2274" t="s">
        <v>101</v>
      </c>
      <c r="K2274" t="s">
        <v>318</v>
      </c>
      <c r="L2274">
        <v>9</v>
      </c>
      <c r="M2274">
        <v>6747.04</v>
      </c>
      <c r="N2274">
        <v>7.0000000000000007E-2</v>
      </c>
      <c r="O2274">
        <v>53191.17</v>
      </c>
      <c r="P2274">
        <v>13938.07</v>
      </c>
      <c r="Q2274">
        <v>74.53</v>
      </c>
      <c r="R2274" t="s">
        <v>57</v>
      </c>
      <c r="S2274">
        <v>3</v>
      </c>
      <c r="T2274" t="b">
        <v>0</v>
      </c>
      <c r="U2274" t="s">
        <v>30</v>
      </c>
      <c r="V2274">
        <v>1</v>
      </c>
    </row>
    <row r="2275" spans="1:22" x14ac:dyDescent="0.25">
      <c r="A2275" t="s">
        <v>5038</v>
      </c>
      <c r="B2275" s="1">
        <v>44689</v>
      </c>
      <c r="C2275" t="s">
        <v>5039</v>
      </c>
      <c r="D2275" t="s">
        <v>572</v>
      </c>
      <c r="E2275">
        <v>31</v>
      </c>
      <c r="F2275" t="str">
        <f>IF(Table1[[#This Row],[age]]&lt;=25,"18-25",IF(Table1[[#This Row],[age]]&lt;=35,"26-35",IF(Table1[[#This Row],[age]]&lt;=50,"36-50","51+")))</f>
        <v>26-35</v>
      </c>
      <c r="G2275" t="s">
        <v>24</v>
      </c>
      <c r="H2275" t="s">
        <v>69</v>
      </c>
      <c r="I2275" t="s">
        <v>136</v>
      </c>
      <c r="J2275" t="s">
        <v>27</v>
      </c>
      <c r="K2275" t="s">
        <v>28</v>
      </c>
      <c r="L2275">
        <v>4</v>
      </c>
      <c r="M2275">
        <v>1176.04</v>
      </c>
      <c r="N2275">
        <v>0.18</v>
      </c>
      <c r="O2275">
        <v>6347.47</v>
      </c>
      <c r="P2275">
        <v>2342.58</v>
      </c>
      <c r="Q2275">
        <v>88.08</v>
      </c>
      <c r="R2275" t="s">
        <v>92</v>
      </c>
      <c r="S2275">
        <v>4</v>
      </c>
      <c r="T2275" t="b">
        <v>0</v>
      </c>
      <c r="U2275" t="s">
        <v>30</v>
      </c>
      <c r="V2275">
        <v>6</v>
      </c>
    </row>
    <row r="2276" spans="1:22" x14ac:dyDescent="0.25">
      <c r="A2276" t="s">
        <v>5040</v>
      </c>
      <c r="B2276" s="1">
        <v>44255</v>
      </c>
      <c r="C2276" t="s">
        <v>5041</v>
      </c>
      <c r="D2276" t="s">
        <v>757</v>
      </c>
      <c r="E2276">
        <v>27</v>
      </c>
      <c r="F2276" t="str">
        <f>IF(Table1[[#This Row],[age]]&lt;=25,"18-25",IF(Table1[[#This Row],[age]]&lt;=35,"26-35",IF(Table1[[#This Row],[age]]&lt;=50,"36-50","51+")))</f>
        <v>26-35</v>
      </c>
      <c r="G2276" t="s">
        <v>54</v>
      </c>
      <c r="H2276" t="s">
        <v>80</v>
      </c>
      <c r="I2276" t="s">
        <v>242</v>
      </c>
      <c r="J2276" t="s">
        <v>47</v>
      </c>
      <c r="K2276" t="s">
        <v>272</v>
      </c>
      <c r="L2276">
        <v>7</v>
      </c>
      <c r="M2276">
        <v>884.25</v>
      </c>
      <c r="N2276">
        <v>0.35</v>
      </c>
      <c r="O2276">
        <v>3604.7</v>
      </c>
      <c r="P2276">
        <v>1268.2</v>
      </c>
      <c r="Q2276">
        <v>55.07</v>
      </c>
      <c r="R2276" t="s">
        <v>43</v>
      </c>
      <c r="S2276">
        <v>5</v>
      </c>
      <c r="T2276" t="b">
        <v>0</v>
      </c>
      <c r="U2276" t="s">
        <v>30</v>
      </c>
      <c r="V2276">
        <v>7</v>
      </c>
    </row>
    <row r="2277" spans="1:22" x14ac:dyDescent="0.25">
      <c r="A2277" t="s">
        <v>5042</v>
      </c>
      <c r="B2277" s="1">
        <v>43903</v>
      </c>
      <c r="C2277" t="s">
        <v>5043</v>
      </c>
      <c r="D2277" t="s">
        <v>1782</v>
      </c>
      <c r="E2277">
        <v>27</v>
      </c>
      <c r="F2277" t="str">
        <f>IF(Table1[[#This Row],[age]]&lt;=25,"18-25",IF(Table1[[#This Row],[age]]&lt;=35,"26-35",IF(Table1[[#This Row],[age]]&lt;=50,"36-50","51+")))</f>
        <v>26-35</v>
      </c>
      <c r="G2277" t="s">
        <v>54</v>
      </c>
      <c r="H2277" t="s">
        <v>25</v>
      </c>
      <c r="I2277" t="s">
        <v>35</v>
      </c>
      <c r="J2277" t="s">
        <v>63</v>
      </c>
      <c r="K2277" t="s">
        <v>82</v>
      </c>
      <c r="L2277">
        <v>4</v>
      </c>
      <c r="M2277">
        <v>2696.21</v>
      </c>
      <c r="N2277">
        <v>0.22</v>
      </c>
      <c r="O2277">
        <v>8113.08</v>
      </c>
      <c r="P2277">
        <v>2313.16</v>
      </c>
      <c r="Q2277">
        <v>51.64</v>
      </c>
      <c r="R2277" t="s">
        <v>65</v>
      </c>
      <c r="S2277">
        <v>1</v>
      </c>
      <c r="T2277" t="b">
        <v>0</v>
      </c>
      <c r="U2277" t="s">
        <v>30</v>
      </c>
      <c r="V2277">
        <v>3</v>
      </c>
    </row>
    <row r="2278" spans="1:22" x14ac:dyDescent="0.25">
      <c r="A2278" t="s">
        <v>5044</v>
      </c>
      <c r="B2278" s="1">
        <v>44121</v>
      </c>
      <c r="C2278" t="s">
        <v>5045</v>
      </c>
      <c r="D2278" t="s">
        <v>1066</v>
      </c>
      <c r="E2278">
        <v>26</v>
      </c>
      <c r="F2278" t="str">
        <f>IF(Table1[[#This Row],[age]]&lt;=25,"18-25",IF(Table1[[#This Row],[age]]&lt;=35,"26-35",IF(Table1[[#This Row],[age]]&lt;=50,"36-50","51+")))</f>
        <v>26-35</v>
      </c>
      <c r="G2278" t="s">
        <v>24</v>
      </c>
      <c r="H2278" t="s">
        <v>69</v>
      </c>
      <c r="I2278" t="s">
        <v>70</v>
      </c>
      <c r="J2278" t="s">
        <v>115</v>
      </c>
      <c r="K2278" t="s">
        <v>398</v>
      </c>
      <c r="L2278">
        <v>7</v>
      </c>
      <c r="M2278">
        <v>45799.76</v>
      </c>
      <c r="N2278">
        <v>0.33</v>
      </c>
      <c r="O2278">
        <v>189931.59</v>
      </c>
      <c r="P2278">
        <v>22577.35</v>
      </c>
      <c r="Q2278">
        <v>42.79</v>
      </c>
      <c r="R2278" t="s">
        <v>29</v>
      </c>
      <c r="S2278">
        <v>2</v>
      </c>
      <c r="T2278" t="b">
        <v>0</v>
      </c>
      <c r="U2278" t="s">
        <v>30</v>
      </c>
      <c r="V2278">
        <v>4</v>
      </c>
    </row>
    <row r="2279" spans="1:22" x14ac:dyDescent="0.25">
      <c r="A2279" t="s">
        <v>5046</v>
      </c>
      <c r="B2279" s="1">
        <v>44236</v>
      </c>
      <c r="C2279" t="s">
        <v>5047</v>
      </c>
      <c r="D2279" t="s">
        <v>3740</v>
      </c>
      <c r="E2279">
        <v>41</v>
      </c>
      <c r="F2279" t="str">
        <f>IF(Table1[[#This Row],[age]]&lt;=25,"18-25",IF(Table1[[#This Row],[age]]&lt;=35,"26-35",IF(Table1[[#This Row],[age]]&lt;=50,"36-50","51+")))</f>
        <v>36-50</v>
      </c>
      <c r="G2279" t="s">
        <v>34</v>
      </c>
      <c r="H2279" t="s">
        <v>80</v>
      </c>
      <c r="I2279" t="s">
        <v>236</v>
      </c>
      <c r="J2279" t="s">
        <v>27</v>
      </c>
      <c r="K2279" t="s">
        <v>28</v>
      </c>
      <c r="L2279">
        <v>10</v>
      </c>
      <c r="M2279">
        <v>1423.41</v>
      </c>
      <c r="N2279">
        <v>0.05</v>
      </c>
      <c r="O2279">
        <v>11797.89</v>
      </c>
      <c r="P2279">
        <v>5781.35</v>
      </c>
      <c r="Q2279">
        <v>78.680000000000007</v>
      </c>
      <c r="R2279" t="s">
        <v>57</v>
      </c>
      <c r="S2279">
        <v>5</v>
      </c>
      <c r="T2279" t="b">
        <v>0</v>
      </c>
      <c r="U2279" t="s">
        <v>30</v>
      </c>
      <c r="V2279">
        <v>6</v>
      </c>
    </row>
    <row r="2280" spans="1:22" x14ac:dyDescent="0.25">
      <c r="A2280" t="s">
        <v>5048</v>
      </c>
      <c r="B2280" s="1">
        <v>44701</v>
      </c>
      <c r="C2280" t="s">
        <v>5049</v>
      </c>
      <c r="D2280" t="s">
        <v>2432</v>
      </c>
      <c r="E2280">
        <v>38</v>
      </c>
      <c r="F2280" t="str">
        <f>IF(Table1[[#This Row],[age]]&lt;=25,"18-25",IF(Table1[[#This Row],[age]]&lt;=35,"26-35",IF(Table1[[#This Row],[age]]&lt;=50,"36-50","51+")))</f>
        <v>36-50</v>
      </c>
      <c r="G2280" t="s">
        <v>54</v>
      </c>
      <c r="H2280" t="s">
        <v>61</v>
      </c>
      <c r="I2280" t="s">
        <v>141</v>
      </c>
      <c r="J2280" t="s">
        <v>47</v>
      </c>
      <c r="K2280" t="s">
        <v>120</v>
      </c>
      <c r="L2280">
        <v>5</v>
      </c>
      <c r="M2280">
        <v>951.75</v>
      </c>
      <c r="N2280">
        <v>0.02</v>
      </c>
      <c r="O2280">
        <v>5936.18</v>
      </c>
      <c r="P2280">
        <v>2402.75</v>
      </c>
      <c r="Q2280">
        <v>54.03</v>
      </c>
      <c r="R2280" t="s">
        <v>43</v>
      </c>
      <c r="S2280">
        <v>3</v>
      </c>
      <c r="T2280" t="b">
        <v>0</v>
      </c>
      <c r="U2280" t="s">
        <v>30</v>
      </c>
      <c r="V2280">
        <v>6</v>
      </c>
    </row>
    <row r="2281" spans="1:22" x14ac:dyDescent="0.25">
      <c r="A2281" t="s">
        <v>5050</v>
      </c>
      <c r="B2281" s="1">
        <v>45356</v>
      </c>
      <c r="C2281" t="s">
        <v>5051</v>
      </c>
      <c r="D2281" t="s">
        <v>1456</v>
      </c>
      <c r="E2281">
        <v>52</v>
      </c>
      <c r="F2281" t="str">
        <f>IF(Table1[[#This Row],[age]]&lt;=25,"18-25",IF(Table1[[#This Row],[age]]&lt;=35,"26-35",IF(Table1[[#This Row],[age]]&lt;=50,"36-50","51+")))</f>
        <v>51+</v>
      </c>
      <c r="G2281" t="s">
        <v>54</v>
      </c>
      <c r="H2281" t="s">
        <v>61</v>
      </c>
      <c r="I2281" t="s">
        <v>62</v>
      </c>
      <c r="J2281" t="s">
        <v>106</v>
      </c>
      <c r="K2281" t="s">
        <v>331</v>
      </c>
      <c r="L2281">
        <v>10</v>
      </c>
      <c r="M2281">
        <v>414.16</v>
      </c>
      <c r="N2281">
        <v>0.03</v>
      </c>
      <c r="O2281">
        <v>4932.93</v>
      </c>
      <c r="P2281">
        <v>345.9</v>
      </c>
      <c r="Q2281">
        <v>47.29</v>
      </c>
      <c r="R2281" t="s">
        <v>49</v>
      </c>
      <c r="S2281">
        <v>5</v>
      </c>
      <c r="T2281" t="b">
        <v>1</v>
      </c>
      <c r="U2281" t="s">
        <v>50</v>
      </c>
      <c r="V2281">
        <v>8</v>
      </c>
    </row>
    <row r="2282" spans="1:22" x14ac:dyDescent="0.25">
      <c r="A2282" t="s">
        <v>5052</v>
      </c>
      <c r="B2282" s="1">
        <v>45652</v>
      </c>
      <c r="C2282" t="s">
        <v>5053</v>
      </c>
      <c r="D2282" t="s">
        <v>737</v>
      </c>
      <c r="E2282">
        <v>32</v>
      </c>
      <c r="F2282" t="str">
        <f>IF(Table1[[#This Row],[age]]&lt;=25,"18-25",IF(Table1[[#This Row],[age]]&lt;=35,"26-35",IF(Table1[[#This Row],[age]]&lt;=50,"36-50","51+")))</f>
        <v>26-35</v>
      </c>
      <c r="G2282" t="s">
        <v>34</v>
      </c>
      <c r="H2282" t="s">
        <v>25</v>
      </c>
      <c r="I2282" t="s">
        <v>26</v>
      </c>
      <c r="J2282" t="s">
        <v>115</v>
      </c>
      <c r="K2282" t="s">
        <v>398</v>
      </c>
      <c r="L2282">
        <v>4</v>
      </c>
      <c r="M2282">
        <v>64608.94</v>
      </c>
      <c r="N2282">
        <v>0.17</v>
      </c>
      <c r="O2282">
        <v>191352.59</v>
      </c>
      <c r="P2282">
        <v>27372.68</v>
      </c>
      <c r="Q2282">
        <v>79.41</v>
      </c>
      <c r="R2282" t="s">
        <v>57</v>
      </c>
      <c r="S2282">
        <v>4</v>
      </c>
      <c r="T2282" t="b">
        <v>1</v>
      </c>
      <c r="U2282" t="s">
        <v>50</v>
      </c>
      <c r="V2282">
        <v>5</v>
      </c>
    </row>
    <row r="2283" spans="1:22" x14ac:dyDescent="0.25">
      <c r="A2283" t="s">
        <v>5054</v>
      </c>
      <c r="B2283" s="1">
        <v>44328</v>
      </c>
      <c r="C2283" t="s">
        <v>5055</v>
      </c>
      <c r="D2283" t="s">
        <v>812</v>
      </c>
      <c r="E2283">
        <v>46</v>
      </c>
      <c r="F2283" t="str">
        <f>IF(Table1[[#This Row],[age]]&lt;=25,"18-25",IF(Table1[[#This Row],[age]]&lt;=35,"26-35",IF(Table1[[#This Row],[age]]&lt;=50,"36-50","51+")))</f>
        <v>36-50</v>
      </c>
      <c r="G2283" t="s">
        <v>34</v>
      </c>
      <c r="H2283" t="s">
        <v>55</v>
      </c>
      <c r="I2283" t="s">
        <v>75</v>
      </c>
      <c r="J2283" t="s">
        <v>101</v>
      </c>
      <c r="K2283" t="s">
        <v>456</v>
      </c>
      <c r="L2283">
        <v>5</v>
      </c>
      <c r="M2283">
        <v>1589.12</v>
      </c>
      <c r="N2283">
        <v>0.2</v>
      </c>
      <c r="O2283">
        <v>8606.2099999999991</v>
      </c>
      <c r="P2283">
        <v>1388.16</v>
      </c>
      <c r="Q2283">
        <v>54.57</v>
      </c>
      <c r="R2283" t="s">
        <v>43</v>
      </c>
      <c r="S2283">
        <v>3</v>
      </c>
      <c r="T2283" t="b">
        <v>0</v>
      </c>
      <c r="U2283" t="s">
        <v>30</v>
      </c>
      <c r="V2283">
        <v>4</v>
      </c>
    </row>
    <row r="2284" spans="1:22" x14ac:dyDescent="0.25">
      <c r="A2284" t="s">
        <v>5056</v>
      </c>
      <c r="B2284" s="1">
        <v>44990</v>
      </c>
      <c r="C2284" t="s">
        <v>5057</v>
      </c>
      <c r="D2284" t="s">
        <v>1420</v>
      </c>
      <c r="E2284">
        <v>46</v>
      </c>
      <c r="F2284" t="str">
        <f>IF(Table1[[#This Row],[age]]&lt;=25,"18-25",IF(Table1[[#This Row],[age]]&lt;=35,"26-35",IF(Table1[[#This Row],[age]]&lt;=50,"36-50","51+")))</f>
        <v>36-50</v>
      </c>
      <c r="G2284" t="s">
        <v>54</v>
      </c>
      <c r="H2284" t="s">
        <v>25</v>
      </c>
      <c r="I2284" t="s">
        <v>298</v>
      </c>
      <c r="J2284" t="s">
        <v>101</v>
      </c>
      <c r="K2284" t="s">
        <v>456</v>
      </c>
      <c r="L2284">
        <v>8</v>
      </c>
      <c r="M2284">
        <v>7037.46</v>
      </c>
      <c r="N2284">
        <v>0.21</v>
      </c>
      <c r="O2284">
        <v>66204.63</v>
      </c>
      <c r="P2284">
        <v>8522.6299999999992</v>
      </c>
      <c r="Q2284">
        <v>63.69</v>
      </c>
      <c r="R2284" t="s">
        <v>65</v>
      </c>
      <c r="S2284">
        <v>4</v>
      </c>
      <c r="T2284" t="b">
        <v>0</v>
      </c>
      <c r="U2284" t="s">
        <v>30</v>
      </c>
      <c r="V2284">
        <v>2</v>
      </c>
    </row>
    <row r="2285" spans="1:22" x14ac:dyDescent="0.25">
      <c r="A2285" t="s">
        <v>5058</v>
      </c>
      <c r="B2285" s="1">
        <v>44093</v>
      </c>
      <c r="C2285" t="s">
        <v>5059</v>
      </c>
      <c r="D2285" t="s">
        <v>3214</v>
      </c>
      <c r="E2285">
        <v>40</v>
      </c>
      <c r="F2285" t="str">
        <f>IF(Table1[[#This Row],[age]]&lt;=25,"18-25",IF(Table1[[#This Row],[age]]&lt;=35,"26-35",IF(Table1[[#This Row],[age]]&lt;=50,"36-50","51+")))</f>
        <v>36-50</v>
      </c>
      <c r="G2285" t="s">
        <v>24</v>
      </c>
      <c r="H2285" t="s">
        <v>69</v>
      </c>
      <c r="I2285" t="s">
        <v>70</v>
      </c>
      <c r="J2285" t="s">
        <v>101</v>
      </c>
      <c r="K2285" t="s">
        <v>456</v>
      </c>
      <c r="L2285">
        <v>9</v>
      </c>
      <c r="M2285">
        <v>3643.69</v>
      </c>
      <c r="N2285">
        <v>7.0000000000000007E-2</v>
      </c>
      <c r="O2285">
        <v>28799.52</v>
      </c>
      <c r="P2285">
        <v>3724.9</v>
      </c>
      <c r="Q2285">
        <v>81.760000000000005</v>
      </c>
      <c r="R2285" t="s">
        <v>57</v>
      </c>
      <c r="S2285">
        <v>4</v>
      </c>
      <c r="T2285" t="b">
        <v>0</v>
      </c>
      <c r="U2285" t="s">
        <v>30</v>
      </c>
      <c r="V2285">
        <v>8</v>
      </c>
    </row>
    <row r="2286" spans="1:22" x14ac:dyDescent="0.25">
      <c r="A2286" t="s">
        <v>5060</v>
      </c>
      <c r="B2286" s="1">
        <v>45028</v>
      </c>
      <c r="C2286" t="s">
        <v>5061</v>
      </c>
      <c r="D2286" t="s">
        <v>904</v>
      </c>
      <c r="E2286">
        <v>36</v>
      </c>
      <c r="F2286" t="str">
        <f>IF(Table1[[#This Row],[age]]&lt;=25,"18-25",IF(Table1[[#This Row],[age]]&lt;=35,"26-35",IF(Table1[[#This Row],[age]]&lt;=50,"36-50","51+")))</f>
        <v>36-50</v>
      </c>
      <c r="G2286" t="s">
        <v>24</v>
      </c>
      <c r="H2286" t="s">
        <v>80</v>
      </c>
      <c r="I2286" t="s">
        <v>236</v>
      </c>
      <c r="J2286" t="s">
        <v>27</v>
      </c>
      <c r="K2286" t="s">
        <v>335</v>
      </c>
      <c r="L2286">
        <v>1</v>
      </c>
      <c r="M2286">
        <v>1927.8</v>
      </c>
      <c r="N2286">
        <v>0.25</v>
      </c>
      <c r="O2286">
        <v>2039.37</v>
      </c>
      <c r="P2286">
        <v>829.68</v>
      </c>
      <c r="Q2286">
        <v>81.77</v>
      </c>
      <c r="R2286" t="s">
        <v>29</v>
      </c>
      <c r="S2286">
        <v>2</v>
      </c>
      <c r="T2286" t="b">
        <v>0</v>
      </c>
      <c r="U2286" t="s">
        <v>30</v>
      </c>
      <c r="V2286">
        <v>8</v>
      </c>
    </row>
    <row r="2287" spans="1:22" x14ac:dyDescent="0.25">
      <c r="A2287" t="s">
        <v>5062</v>
      </c>
      <c r="B2287" s="1">
        <v>45391</v>
      </c>
      <c r="C2287" t="s">
        <v>5063</v>
      </c>
      <c r="D2287" t="s">
        <v>516</v>
      </c>
      <c r="E2287">
        <v>37</v>
      </c>
      <c r="F2287" t="str">
        <f>IF(Table1[[#This Row],[age]]&lt;=25,"18-25",IF(Table1[[#This Row],[age]]&lt;=35,"26-35",IF(Table1[[#This Row],[age]]&lt;=50,"36-50","51+")))</f>
        <v>36-50</v>
      </c>
      <c r="G2287" t="s">
        <v>54</v>
      </c>
      <c r="H2287" t="s">
        <v>80</v>
      </c>
      <c r="I2287" t="s">
        <v>242</v>
      </c>
      <c r="J2287" t="s">
        <v>27</v>
      </c>
      <c r="K2287" t="s">
        <v>480</v>
      </c>
      <c r="L2287">
        <v>7</v>
      </c>
      <c r="M2287">
        <v>410.6</v>
      </c>
      <c r="N2287">
        <v>0.05</v>
      </c>
      <c r="O2287">
        <v>4158.82</v>
      </c>
      <c r="P2287">
        <v>1647.62</v>
      </c>
      <c r="Q2287">
        <v>74.28</v>
      </c>
      <c r="R2287" t="s">
        <v>57</v>
      </c>
      <c r="S2287">
        <v>3</v>
      </c>
      <c r="T2287" t="b">
        <v>0</v>
      </c>
      <c r="U2287" t="s">
        <v>30</v>
      </c>
      <c r="V2287">
        <v>7</v>
      </c>
    </row>
    <row r="2288" spans="1:22" x14ac:dyDescent="0.25">
      <c r="A2288" t="s">
        <v>5064</v>
      </c>
      <c r="B2288" s="1">
        <v>44408</v>
      </c>
      <c r="C2288" t="s">
        <v>5065</v>
      </c>
      <c r="D2288" t="s">
        <v>737</v>
      </c>
      <c r="E2288">
        <v>26</v>
      </c>
      <c r="F2288" t="str">
        <f>IF(Table1[[#This Row],[age]]&lt;=25,"18-25",IF(Table1[[#This Row],[age]]&lt;=35,"26-35",IF(Table1[[#This Row],[age]]&lt;=50,"36-50","51+")))</f>
        <v>26-35</v>
      </c>
      <c r="G2288" t="s">
        <v>24</v>
      </c>
      <c r="H2288" t="s">
        <v>61</v>
      </c>
      <c r="I2288" t="s">
        <v>91</v>
      </c>
      <c r="J2288" t="s">
        <v>115</v>
      </c>
      <c r="K2288" t="s">
        <v>137</v>
      </c>
      <c r="L2288">
        <v>8</v>
      </c>
      <c r="M2288">
        <v>63773.73</v>
      </c>
      <c r="N2288">
        <v>0.38</v>
      </c>
      <c r="O2288">
        <v>408398.64</v>
      </c>
      <c r="P2288">
        <v>36997.480000000003</v>
      </c>
      <c r="Q2288">
        <v>37.03</v>
      </c>
      <c r="R2288" t="s">
        <v>57</v>
      </c>
      <c r="S2288">
        <v>4</v>
      </c>
      <c r="T2288" t="b">
        <v>0</v>
      </c>
      <c r="U2288" t="s">
        <v>30</v>
      </c>
      <c r="V2288">
        <v>3</v>
      </c>
    </row>
    <row r="2289" spans="1:22" x14ac:dyDescent="0.25">
      <c r="A2289" t="s">
        <v>5066</v>
      </c>
      <c r="B2289" s="1">
        <v>43990</v>
      </c>
      <c r="C2289" t="s">
        <v>1047</v>
      </c>
      <c r="D2289" t="s">
        <v>1066</v>
      </c>
      <c r="E2289">
        <v>26</v>
      </c>
      <c r="F2289" t="str">
        <f>IF(Table1[[#This Row],[age]]&lt;=25,"18-25",IF(Table1[[#This Row],[age]]&lt;=35,"26-35",IF(Table1[[#This Row],[age]]&lt;=50,"36-50","51+")))</f>
        <v>26-35</v>
      </c>
      <c r="G2289" t="s">
        <v>34</v>
      </c>
      <c r="H2289" t="s">
        <v>80</v>
      </c>
      <c r="I2289" t="s">
        <v>86</v>
      </c>
      <c r="J2289" t="s">
        <v>115</v>
      </c>
      <c r="K2289" t="s">
        <v>197</v>
      </c>
      <c r="L2289">
        <v>3</v>
      </c>
      <c r="M2289">
        <v>74867.199999999997</v>
      </c>
      <c r="N2289">
        <v>0.22</v>
      </c>
      <c r="O2289">
        <v>239862.52</v>
      </c>
      <c r="P2289">
        <v>27646.01</v>
      </c>
      <c r="Q2289">
        <v>39.1</v>
      </c>
      <c r="R2289" t="s">
        <v>49</v>
      </c>
      <c r="S2289">
        <v>4</v>
      </c>
      <c r="T2289" t="b">
        <v>0</v>
      </c>
      <c r="U2289" t="s">
        <v>30</v>
      </c>
      <c r="V2289">
        <v>8</v>
      </c>
    </row>
    <row r="2290" spans="1:22" x14ac:dyDescent="0.25">
      <c r="A2290" t="s">
        <v>5067</v>
      </c>
      <c r="B2290" s="1">
        <v>44530</v>
      </c>
      <c r="C2290" t="s">
        <v>5068</v>
      </c>
      <c r="D2290" t="s">
        <v>567</v>
      </c>
      <c r="E2290">
        <v>25</v>
      </c>
      <c r="F2290" t="str">
        <f>IF(Table1[[#This Row],[age]]&lt;=25,"18-25",IF(Table1[[#This Row],[age]]&lt;=35,"26-35",IF(Table1[[#This Row],[age]]&lt;=50,"36-50","51+")))</f>
        <v>18-25</v>
      </c>
      <c r="G2290" t="s">
        <v>24</v>
      </c>
      <c r="H2290" t="s">
        <v>61</v>
      </c>
      <c r="I2290" t="s">
        <v>62</v>
      </c>
      <c r="J2290" t="s">
        <v>115</v>
      </c>
      <c r="K2290" t="s">
        <v>197</v>
      </c>
      <c r="L2290">
        <v>2</v>
      </c>
      <c r="M2290">
        <v>62340.2</v>
      </c>
      <c r="N2290">
        <v>0.11</v>
      </c>
      <c r="O2290">
        <v>85395.8</v>
      </c>
      <c r="P2290">
        <v>8409.34</v>
      </c>
      <c r="Q2290">
        <v>66.81</v>
      </c>
      <c r="R2290" t="s">
        <v>65</v>
      </c>
      <c r="S2290">
        <v>4</v>
      </c>
      <c r="T2290" t="b">
        <v>0</v>
      </c>
      <c r="U2290" t="s">
        <v>30</v>
      </c>
      <c r="V2290">
        <v>6</v>
      </c>
    </row>
    <row r="2291" spans="1:22" x14ac:dyDescent="0.25">
      <c r="A2291" t="s">
        <v>5069</v>
      </c>
      <c r="B2291" s="1">
        <v>45635</v>
      </c>
      <c r="C2291" t="s">
        <v>5070</v>
      </c>
      <c r="D2291" t="s">
        <v>110</v>
      </c>
      <c r="E2291">
        <v>18</v>
      </c>
      <c r="F2291" t="str">
        <f>IF(Table1[[#This Row],[age]]&lt;=25,"18-25",IF(Table1[[#This Row],[age]]&lt;=35,"26-35",IF(Table1[[#This Row],[age]]&lt;=50,"36-50","51+")))</f>
        <v>18-25</v>
      </c>
      <c r="G2291" t="s">
        <v>34</v>
      </c>
      <c r="H2291" t="s">
        <v>69</v>
      </c>
      <c r="I2291" t="s">
        <v>181</v>
      </c>
      <c r="J2291" t="s">
        <v>47</v>
      </c>
      <c r="K2291" t="s">
        <v>156</v>
      </c>
      <c r="L2291">
        <v>2</v>
      </c>
      <c r="M2291">
        <v>1034.18</v>
      </c>
      <c r="N2291">
        <v>0.33</v>
      </c>
      <c r="O2291">
        <v>1184.8</v>
      </c>
      <c r="P2291">
        <v>369.59</v>
      </c>
      <c r="Q2291">
        <v>65.48</v>
      </c>
      <c r="R2291" t="s">
        <v>57</v>
      </c>
      <c r="S2291">
        <v>5</v>
      </c>
      <c r="T2291" t="b">
        <v>0</v>
      </c>
      <c r="U2291" t="s">
        <v>30</v>
      </c>
      <c r="V2291">
        <v>3</v>
      </c>
    </row>
    <row r="2292" spans="1:22" x14ac:dyDescent="0.25">
      <c r="A2292" t="s">
        <v>5071</v>
      </c>
      <c r="B2292" s="1">
        <v>44528</v>
      </c>
      <c r="C2292" t="s">
        <v>5072</v>
      </c>
      <c r="D2292" t="s">
        <v>577</v>
      </c>
      <c r="E2292">
        <v>23</v>
      </c>
      <c r="F2292" t="str">
        <f>IF(Table1[[#This Row],[age]]&lt;=25,"18-25",IF(Table1[[#This Row],[age]]&lt;=35,"26-35",IF(Table1[[#This Row],[age]]&lt;=50,"36-50","51+")))</f>
        <v>18-25</v>
      </c>
      <c r="G2292" t="s">
        <v>54</v>
      </c>
      <c r="H2292" t="s">
        <v>61</v>
      </c>
      <c r="I2292" t="s">
        <v>91</v>
      </c>
      <c r="J2292" t="s">
        <v>36</v>
      </c>
      <c r="K2292" t="s">
        <v>230</v>
      </c>
      <c r="L2292">
        <v>10</v>
      </c>
      <c r="M2292">
        <v>20890.04</v>
      </c>
      <c r="N2292">
        <v>0.04</v>
      </c>
      <c r="O2292">
        <v>147207.49</v>
      </c>
      <c r="P2292">
        <v>44130.71</v>
      </c>
      <c r="Q2292">
        <v>34.32</v>
      </c>
      <c r="R2292" t="s">
        <v>43</v>
      </c>
      <c r="S2292">
        <v>2</v>
      </c>
      <c r="T2292" t="b">
        <v>1</v>
      </c>
      <c r="U2292" t="s">
        <v>50</v>
      </c>
      <c r="V2292">
        <v>5</v>
      </c>
    </row>
    <row r="2293" spans="1:22" x14ac:dyDescent="0.25">
      <c r="A2293" t="s">
        <v>5073</v>
      </c>
      <c r="B2293" s="1">
        <v>45547</v>
      </c>
      <c r="C2293" t="s">
        <v>5074</v>
      </c>
      <c r="D2293" t="s">
        <v>1659</v>
      </c>
      <c r="E2293">
        <v>27</v>
      </c>
      <c r="F2293" t="str">
        <f>IF(Table1[[#This Row],[age]]&lt;=25,"18-25",IF(Table1[[#This Row],[age]]&lt;=35,"26-35",IF(Table1[[#This Row],[age]]&lt;=50,"36-50","51+")))</f>
        <v>26-35</v>
      </c>
      <c r="G2293" t="s">
        <v>54</v>
      </c>
      <c r="H2293" t="s">
        <v>61</v>
      </c>
      <c r="I2293" t="s">
        <v>141</v>
      </c>
      <c r="J2293" t="s">
        <v>36</v>
      </c>
      <c r="K2293" t="s">
        <v>76</v>
      </c>
      <c r="L2293">
        <v>8</v>
      </c>
      <c r="M2293">
        <v>12647.54</v>
      </c>
      <c r="N2293">
        <v>0.19</v>
      </c>
      <c r="O2293">
        <v>102341.78</v>
      </c>
      <c r="P2293">
        <v>35160.81</v>
      </c>
      <c r="Q2293">
        <v>69.62</v>
      </c>
      <c r="R2293" t="s">
        <v>29</v>
      </c>
      <c r="S2293">
        <v>5</v>
      </c>
      <c r="T2293" t="b">
        <v>0</v>
      </c>
      <c r="U2293" t="s">
        <v>30</v>
      </c>
      <c r="V2293">
        <v>6</v>
      </c>
    </row>
    <row r="2294" spans="1:22" x14ac:dyDescent="0.25">
      <c r="A2294" t="s">
        <v>5075</v>
      </c>
      <c r="B2294" s="1">
        <v>44609</v>
      </c>
      <c r="C2294" t="s">
        <v>5076</v>
      </c>
      <c r="D2294" t="s">
        <v>1095</v>
      </c>
      <c r="E2294">
        <v>46</v>
      </c>
      <c r="F2294" t="str">
        <f>IF(Table1[[#This Row],[age]]&lt;=25,"18-25",IF(Table1[[#This Row],[age]]&lt;=35,"26-35",IF(Table1[[#This Row],[age]]&lt;=50,"36-50","51+")))</f>
        <v>36-50</v>
      </c>
      <c r="G2294" t="s">
        <v>54</v>
      </c>
      <c r="H2294" t="s">
        <v>69</v>
      </c>
      <c r="I2294" t="s">
        <v>136</v>
      </c>
      <c r="J2294" t="s">
        <v>36</v>
      </c>
      <c r="K2294" t="s">
        <v>230</v>
      </c>
      <c r="L2294">
        <v>6</v>
      </c>
      <c r="M2294">
        <v>33082.65</v>
      </c>
      <c r="N2294">
        <v>0.31</v>
      </c>
      <c r="O2294">
        <v>130650.07</v>
      </c>
      <c r="P2294">
        <v>42902.13</v>
      </c>
      <c r="Q2294">
        <v>79.09</v>
      </c>
      <c r="R2294" t="s">
        <v>92</v>
      </c>
      <c r="S2294">
        <v>4</v>
      </c>
      <c r="T2294" t="b">
        <v>0</v>
      </c>
      <c r="U2294" t="s">
        <v>30</v>
      </c>
      <c r="V2294">
        <v>8</v>
      </c>
    </row>
    <row r="2295" spans="1:22" x14ac:dyDescent="0.25">
      <c r="A2295" t="s">
        <v>5077</v>
      </c>
      <c r="B2295" s="1">
        <v>44405</v>
      </c>
      <c r="C2295" t="s">
        <v>5078</v>
      </c>
      <c r="D2295" t="s">
        <v>1736</v>
      </c>
      <c r="E2295">
        <v>20</v>
      </c>
      <c r="F2295" t="str">
        <f>IF(Table1[[#This Row],[age]]&lt;=25,"18-25",IF(Table1[[#This Row],[age]]&lt;=35,"26-35",IF(Table1[[#This Row],[age]]&lt;=50,"36-50","51+")))</f>
        <v>18-25</v>
      </c>
      <c r="G2295" t="s">
        <v>24</v>
      </c>
      <c r="H2295" t="s">
        <v>69</v>
      </c>
      <c r="I2295" t="s">
        <v>136</v>
      </c>
      <c r="J2295" t="s">
        <v>27</v>
      </c>
      <c r="K2295" t="s">
        <v>192</v>
      </c>
      <c r="L2295">
        <v>2</v>
      </c>
      <c r="M2295">
        <v>1205.6199999999999</v>
      </c>
      <c r="N2295">
        <v>0.03</v>
      </c>
      <c r="O2295">
        <v>3688.61</v>
      </c>
      <c r="P2295">
        <v>769.98</v>
      </c>
      <c r="Q2295">
        <v>93.43</v>
      </c>
      <c r="R2295" t="s">
        <v>57</v>
      </c>
      <c r="S2295">
        <v>3</v>
      </c>
      <c r="T2295" t="b">
        <v>0</v>
      </c>
      <c r="U2295" t="s">
        <v>30</v>
      </c>
      <c r="V2295">
        <v>1</v>
      </c>
    </row>
    <row r="2296" spans="1:22" x14ac:dyDescent="0.25">
      <c r="A2296" t="s">
        <v>5079</v>
      </c>
      <c r="B2296" s="1">
        <v>44353</v>
      </c>
      <c r="C2296" t="s">
        <v>5080</v>
      </c>
      <c r="D2296" t="s">
        <v>1414</v>
      </c>
      <c r="E2296">
        <v>40</v>
      </c>
      <c r="F2296" t="str">
        <f>IF(Table1[[#This Row],[age]]&lt;=25,"18-25",IF(Table1[[#This Row],[age]]&lt;=35,"26-35",IF(Table1[[#This Row],[age]]&lt;=50,"36-50","51+")))</f>
        <v>36-50</v>
      </c>
      <c r="G2296" t="s">
        <v>34</v>
      </c>
      <c r="H2296" t="s">
        <v>55</v>
      </c>
      <c r="I2296" t="s">
        <v>75</v>
      </c>
      <c r="J2296" t="s">
        <v>101</v>
      </c>
      <c r="K2296" t="s">
        <v>456</v>
      </c>
      <c r="L2296">
        <v>4</v>
      </c>
      <c r="M2296">
        <v>3455.68</v>
      </c>
      <c r="N2296">
        <v>0.21</v>
      </c>
      <c r="O2296">
        <v>15734.44</v>
      </c>
      <c r="P2296">
        <v>3511.52</v>
      </c>
      <c r="Q2296">
        <v>64.63</v>
      </c>
      <c r="R2296" t="s">
        <v>57</v>
      </c>
      <c r="S2296">
        <v>2</v>
      </c>
      <c r="T2296" t="b">
        <v>1</v>
      </c>
      <c r="U2296" t="s">
        <v>50</v>
      </c>
      <c r="V2296">
        <v>3</v>
      </c>
    </row>
    <row r="2297" spans="1:22" x14ac:dyDescent="0.25">
      <c r="A2297" t="s">
        <v>5081</v>
      </c>
      <c r="B2297" s="1">
        <v>45558</v>
      </c>
      <c r="C2297" t="s">
        <v>5082</v>
      </c>
      <c r="D2297" t="s">
        <v>970</v>
      </c>
      <c r="E2297">
        <v>32</v>
      </c>
      <c r="F2297" t="str">
        <f>IF(Table1[[#This Row],[age]]&lt;=25,"18-25",IF(Table1[[#This Row],[age]]&lt;=35,"26-35",IF(Table1[[#This Row],[age]]&lt;=50,"36-50","51+")))</f>
        <v>26-35</v>
      </c>
      <c r="G2297" t="s">
        <v>24</v>
      </c>
      <c r="H2297" t="s">
        <v>25</v>
      </c>
      <c r="I2297" t="s">
        <v>35</v>
      </c>
      <c r="J2297" t="s">
        <v>27</v>
      </c>
      <c r="K2297" t="s">
        <v>480</v>
      </c>
      <c r="L2297">
        <v>7</v>
      </c>
      <c r="M2297">
        <v>1954.05</v>
      </c>
      <c r="N2297">
        <v>0.2</v>
      </c>
      <c r="O2297">
        <v>15069.06</v>
      </c>
      <c r="P2297">
        <v>8691.86</v>
      </c>
      <c r="Q2297">
        <v>65.77</v>
      </c>
      <c r="R2297" t="s">
        <v>49</v>
      </c>
      <c r="S2297">
        <v>4</v>
      </c>
      <c r="T2297" t="b">
        <v>1</v>
      </c>
      <c r="U2297" t="s">
        <v>50</v>
      </c>
      <c r="V2297">
        <v>6</v>
      </c>
    </row>
    <row r="2298" spans="1:22" x14ac:dyDescent="0.25">
      <c r="A2298" t="s">
        <v>5083</v>
      </c>
      <c r="B2298" s="1">
        <v>43959</v>
      </c>
      <c r="C2298" t="s">
        <v>5084</v>
      </c>
      <c r="D2298" t="s">
        <v>159</v>
      </c>
      <c r="E2298">
        <v>18</v>
      </c>
      <c r="F2298" t="str">
        <f>IF(Table1[[#This Row],[age]]&lt;=25,"18-25",IF(Table1[[#This Row],[age]]&lt;=35,"26-35",IF(Table1[[#This Row],[age]]&lt;=50,"36-50","51+")))</f>
        <v>18-25</v>
      </c>
      <c r="G2298" t="s">
        <v>24</v>
      </c>
      <c r="H2298" t="s">
        <v>69</v>
      </c>
      <c r="I2298" t="s">
        <v>181</v>
      </c>
      <c r="J2298" t="s">
        <v>47</v>
      </c>
      <c r="K2298" t="s">
        <v>48</v>
      </c>
      <c r="L2298">
        <v>9</v>
      </c>
      <c r="M2298">
        <v>290.75</v>
      </c>
      <c r="N2298">
        <v>0.28000000000000003</v>
      </c>
      <c r="O2298">
        <v>2143.4</v>
      </c>
      <c r="P2298">
        <v>1071.82</v>
      </c>
      <c r="Q2298">
        <v>60.62</v>
      </c>
      <c r="R2298" t="s">
        <v>43</v>
      </c>
      <c r="S2298">
        <v>3</v>
      </c>
      <c r="T2298" t="b">
        <v>1</v>
      </c>
      <c r="U2298" t="s">
        <v>50</v>
      </c>
      <c r="V2298">
        <v>7</v>
      </c>
    </row>
    <row r="2299" spans="1:22" x14ac:dyDescent="0.25">
      <c r="A2299" t="s">
        <v>5085</v>
      </c>
      <c r="B2299" s="1">
        <v>44923</v>
      </c>
      <c r="C2299" t="s">
        <v>5086</v>
      </c>
      <c r="D2299" t="s">
        <v>519</v>
      </c>
      <c r="E2299">
        <v>29</v>
      </c>
      <c r="F2299" t="str">
        <f>IF(Table1[[#This Row],[age]]&lt;=25,"18-25",IF(Table1[[#This Row],[age]]&lt;=35,"26-35",IF(Table1[[#This Row],[age]]&lt;=50,"36-50","51+")))</f>
        <v>26-35</v>
      </c>
      <c r="G2299" t="s">
        <v>24</v>
      </c>
      <c r="H2299" t="s">
        <v>55</v>
      </c>
      <c r="I2299" t="s">
        <v>97</v>
      </c>
      <c r="J2299" t="s">
        <v>27</v>
      </c>
      <c r="K2299" t="s">
        <v>128</v>
      </c>
      <c r="L2299">
        <v>3</v>
      </c>
      <c r="M2299">
        <v>923.8</v>
      </c>
      <c r="N2299">
        <v>0.21</v>
      </c>
      <c r="O2299">
        <v>1516.74</v>
      </c>
      <c r="P2299">
        <v>651.79</v>
      </c>
      <c r="Q2299">
        <v>46.67</v>
      </c>
      <c r="R2299" t="s">
        <v>29</v>
      </c>
      <c r="S2299">
        <v>5</v>
      </c>
      <c r="T2299" t="b">
        <v>0</v>
      </c>
      <c r="U2299" t="s">
        <v>30</v>
      </c>
      <c r="V2299">
        <v>2</v>
      </c>
    </row>
    <row r="2300" spans="1:22" x14ac:dyDescent="0.25">
      <c r="A2300" t="s">
        <v>5087</v>
      </c>
      <c r="B2300" s="1">
        <v>44796</v>
      </c>
      <c r="C2300" t="s">
        <v>5088</v>
      </c>
      <c r="D2300" t="s">
        <v>1020</v>
      </c>
      <c r="E2300">
        <v>24</v>
      </c>
      <c r="F2300" t="str">
        <f>IF(Table1[[#This Row],[age]]&lt;=25,"18-25",IF(Table1[[#This Row],[age]]&lt;=35,"26-35",IF(Table1[[#This Row],[age]]&lt;=50,"36-50","51+")))</f>
        <v>18-25</v>
      </c>
      <c r="G2300" t="s">
        <v>24</v>
      </c>
      <c r="H2300" t="s">
        <v>55</v>
      </c>
      <c r="I2300" t="s">
        <v>114</v>
      </c>
      <c r="J2300" t="s">
        <v>47</v>
      </c>
      <c r="K2300" t="s">
        <v>48</v>
      </c>
      <c r="L2300">
        <v>6</v>
      </c>
      <c r="M2300">
        <v>1482.8</v>
      </c>
      <c r="N2300">
        <v>0.37</v>
      </c>
      <c r="O2300">
        <v>7222.87</v>
      </c>
      <c r="P2300">
        <v>1783.07</v>
      </c>
      <c r="Q2300">
        <v>73.5</v>
      </c>
      <c r="R2300" t="s">
        <v>57</v>
      </c>
      <c r="S2300">
        <v>2</v>
      </c>
      <c r="T2300" t="b">
        <v>0</v>
      </c>
      <c r="U2300" t="s">
        <v>30</v>
      </c>
      <c r="V2300">
        <v>7</v>
      </c>
    </row>
    <row r="2301" spans="1:22" x14ac:dyDescent="0.25">
      <c r="A2301" t="s">
        <v>5089</v>
      </c>
      <c r="B2301" s="1">
        <v>44927</v>
      </c>
      <c r="C2301" t="s">
        <v>5090</v>
      </c>
      <c r="D2301" t="s">
        <v>959</v>
      </c>
      <c r="E2301">
        <v>27</v>
      </c>
      <c r="F2301" t="str">
        <f>IF(Table1[[#This Row],[age]]&lt;=25,"18-25",IF(Table1[[#This Row],[age]]&lt;=35,"26-35",IF(Table1[[#This Row],[age]]&lt;=50,"36-50","51+")))</f>
        <v>26-35</v>
      </c>
      <c r="G2301" t="s">
        <v>24</v>
      </c>
      <c r="H2301" t="s">
        <v>80</v>
      </c>
      <c r="I2301" t="s">
        <v>236</v>
      </c>
      <c r="J2301" t="s">
        <v>27</v>
      </c>
      <c r="K2301" t="s">
        <v>480</v>
      </c>
      <c r="L2301">
        <v>3</v>
      </c>
      <c r="M2301">
        <v>2229.56</v>
      </c>
      <c r="N2301">
        <v>0.04</v>
      </c>
      <c r="O2301">
        <v>6482.2</v>
      </c>
      <c r="P2301">
        <v>3230.67</v>
      </c>
      <c r="Q2301">
        <v>58.93</v>
      </c>
      <c r="R2301" t="s">
        <v>57</v>
      </c>
      <c r="S2301">
        <v>4</v>
      </c>
      <c r="T2301" t="b">
        <v>0</v>
      </c>
      <c r="U2301" t="s">
        <v>93</v>
      </c>
      <c r="V2301">
        <v>3</v>
      </c>
    </row>
    <row r="2302" spans="1:22" x14ac:dyDescent="0.25">
      <c r="A2302" t="s">
        <v>5091</v>
      </c>
      <c r="B2302" s="1">
        <v>45029</v>
      </c>
      <c r="C2302" t="s">
        <v>5092</v>
      </c>
      <c r="D2302" t="s">
        <v>3466</v>
      </c>
      <c r="E2302">
        <v>18</v>
      </c>
      <c r="F2302" t="str">
        <f>IF(Table1[[#This Row],[age]]&lt;=25,"18-25",IF(Table1[[#This Row],[age]]&lt;=35,"26-35",IF(Table1[[#This Row],[age]]&lt;=50,"36-50","51+")))</f>
        <v>18-25</v>
      </c>
      <c r="G2302" t="s">
        <v>54</v>
      </c>
      <c r="H2302" t="s">
        <v>55</v>
      </c>
      <c r="I2302" t="s">
        <v>56</v>
      </c>
      <c r="J2302" t="s">
        <v>27</v>
      </c>
      <c r="K2302" t="s">
        <v>28</v>
      </c>
      <c r="L2302">
        <v>9</v>
      </c>
      <c r="M2302">
        <v>933.94</v>
      </c>
      <c r="N2302">
        <v>0.02</v>
      </c>
      <c r="O2302">
        <v>12188.95</v>
      </c>
      <c r="P2302">
        <v>5789.44</v>
      </c>
      <c r="Q2302">
        <v>38.04</v>
      </c>
      <c r="R2302" t="s">
        <v>43</v>
      </c>
      <c r="S2302">
        <v>5</v>
      </c>
      <c r="T2302" t="b">
        <v>0</v>
      </c>
      <c r="U2302" t="s">
        <v>93</v>
      </c>
      <c r="V2302">
        <v>5</v>
      </c>
    </row>
    <row r="2303" spans="1:22" x14ac:dyDescent="0.25">
      <c r="A2303" t="s">
        <v>5093</v>
      </c>
      <c r="B2303" s="1">
        <v>44236</v>
      </c>
      <c r="C2303" t="s">
        <v>5094</v>
      </c>
      <c r="D2303" t="s">
        <v>412</v>
      </c>
      <c r="E2303">
        <v>40</v>
      </c>
      <c r="F2303" t="str">
        <f>IF(Table1[[#This Row],[age]]&lt;=25,"18-25",IF(Table1[[#This Row],[age]]&lt;=35,"26-35",IF(Table1[[#This Row],[age]]&lt;=50,"36-50","51+")))</f>
        <v>36-50</v>
      </c>
      <c r="G2303" t="s">
        <v>34</v>
      </c>
      <c r="H2303" t="s">
        <v>61</v>
      </c>
      <c r="I2303" t="s">
        <v>163</v>
      </c>
      <c r="J2303" t="s">
        <v>115</v>
      </c>
      <c r="K2303" t="s">
        <v>398</v>
      </c>
      <c r="L2303">
        <v>4</v>
      </c>
      <c r="M2303">
        <v>27046.33</v>
      </c>
      <c r="N2303">
        <v>0.17</v>
      </c>
      <c r="O2303">
        <v>79234.600000000006</v>
      </c>
      <c r="P2303">
        <v>9558.56</v>
      </c>
      <c r="Q2303">
        <v>39.92</v>
      </c>
      <c r="R2303" t="s">
        <v>57</v>
      </c>
      <c r="S2303">
        <v>3</v>
      </c>
      <c r="T2303" t="b">
        <v>0</v>
      </c>
      <c r="U2303" t="s">
        <v>30</v>
      </c>
      <c r="V2303">
        <v>6</v>
      </c>
    </row>
    <row r="2304" spans="1:22" x14ac:dyDescent="0.25">
      <c r="A2304" t="s">
        <v>5095</v>
      </c>
      <c r="B2304" s="1">
        <v>43973</v>
      </c>
      <c r="C2304" t="s">
        <v>5096</v>
      </c>
      <c r="D2304" t="s">
        <v>964</v>
      </c>
      <c r="E2304">
        <v>42</v>
      </c>
      <c r="F2304" t="str">
        <f>IF(Table1[[#This Row],[age]]&lt;=25,"18-25",IF(Table1[[#This Row],[age]]&lt;=35,"26-35",IF(Table1[[#This Row],[age]]&lt;=50,"36-50","51+")))</f>
        <v>36-50</v>
      </c>
      <c r="G2304" t="s">
        <v>24</v>
      </c>
      <c r="H2304" t="s">
        <v>69</v>
      </c>
      <c r="I2304" t="s">
        <v>181</v>
      </c>
      <c r="J2304" t="s">
        <v>115</v>
      </c>
      <c r="K2304" t="s">
        <v>137</v>
      </c>
      <c r="L2304">
        <v>10</v>
      </c>
      <c r="M2304">
        <v>62652.160000000003</v>
      </c>
      <c r="N2304">
        <v>0.09</v>
      </c>
      <c r="O2304">
        <v>746724.9</v>
      </c>
      <c r="P2304">
        <v>76429.84</v>
      </c>
      <c r="Q2304">
        <v>92.64</v>
      </c>
      <c r="R2304" t="s">
        <v>92</v>
      </c>
      <c r="S2304">
        <v>3</v>
      </c>
      <c r="T2304" t="b">
        <v>0</v>
      </c>
      <c r="U2304" t="s">
        <v>30</v>
      </c>
      <c r="V2304">
        <v>5</v>
      </c>
    </row>
    <row r="2305" spans="1:22" x14ac:dyDescent="0.25">
      <c r="A2305" t="s">
        <v>5097</v>
      </c>
      <c r="B2305" s="1">
        <v>45504</v>
      </c>
      <c r="C2305" t="s">
        <v>5098</v>
      </c>
      <c r="D2305" t="s">
        <v>1445</v>
      </c>
      <c r="E2305">
        <v>45</v>
      </c>
      <c r="F2305" t="str">
        <f>IF(Table1[[#This Row],[age]]&lt;=25,"18-25",IF(Table1[[#This Row],[age]]&lt;=35,"26-35",IF(Table1[[#This Row],[age]]&lt;=50,"36-50","51+")))</f>
        <v>36-50</v>
      </c>
      <c r="G2305" t="s">
        <v>24</v>
      </c>
      <c r="H2305" t="s">
        <v>55</v>
      </c>
      <c r="I2305" t="s">
        <v>75</v>
      </c>
      <c r="J2305" t="s">
        <v>63</v>
      </c>
      <c r="K2305" t="s">
        <v>87</v>
      </c>
      <c r="L2305">
        <v>6</v>
      </c>
      <c r="M2305">
        <v>1428.03</v>
      </c>
      <c r="N2305">
        <v>0.39</v>
      </c>
      <c r="O2305">
        <v>8541.8700000000008</v>
      </c>
      <c r="P2305">
        <v>3565.98</v>
      </c>
      <c r="Q2305">
        <v>50.49</v>
      </c>
      <c r="R2305" t="s">
        <v>49</v>
      </c>
      <c r="S2305">
        <v>2</v>
      </c>
      <c r="T2305" t="b">
        <v>0</v>
      </c>
      <c r="U2305" t="s">
        <v>71</v>
      </c>
      <c r="V2305">
        <v>9</v>
      </c>
    </row>
    <row r="2306" spans="1:22" x14ac:dyDescent="0.25">
      <c r="A2306" t="s">
        <v>5099</v>
      </c>
      <c r="B2306" s="1">
        <v>45074</v>
      </c>
      <c r="C2306" t="s">
        <v>5100</v>
      </c>
      <c r="D2306" t="s">
        <v>685</v>
      </c>
      <c r="E2306">
        <v>20</v>
      </c>
      <c r="F2306" t="str">
        <f>IF(Table1[[#This Row],[age]]&lt;=25,"18-25",IF(Table1[[#This Row],[age]]&lt;=35,"26-35",IF(Table1[[#This Row],[age]]&lt;=50,"36-50","51+")))</f>
        <v>18-25</v>
      </c>
      <c r="G2306" t="s">
        <v>24</v>
      </c>
      <c r="H2306" t="s">
        <v>61</v>
      </c>
      <c r="I2306" t="s">
        <v>62</v>
      </c>
      <c r="J2306" t="s">
        <v>63</v>
      </c>
      <c r="K2306" t="s">
        <v>87</v>
      </c>
      <c r="L2306">
        <v>3</v>
      </c>
      <c r="M2306">
        <v>484.17</v>
      </c>
      <c r="N2306">
        <v>0.23</v>
      </c>
      <c r="O2306">
        <v>1691.99</v>
      </c>
      <c r="P2306">
        <v>426.78</v>
      </c>
      <c r="Q2306">
        <v>63.91</v>
      </c>
      <c r="R2306" t="s">
        <v>65</v>
      </c>
      <c r="S2306">
        <v>4</v>
      </c>
      <c r="T2306" t="b">
        <v>0</v>
      </c>
      <c r="U2306" t="s">
        <v>30</v>
      </c>
      <c r="V2306">
        <v>9</v>
      </c>
    </row>
    <row r="2307" spans="1:22" x14ac:dyDescent="0.25">
      <c r="A2307" t="s">
        <v>5101</v>
      </c>
      <c r="B2307" s="1">
        <v>44651</v>
      </c>
      <c r="C2307" t="s">
        <v>5102</v>
      </c>
      <c r="D2307" t="s">
        <v>1100</v>
      </c>
      <c r="E2307">
        <v>61</v>
      </c>
      <c r="F2307" t="str">
        <f>IF(Table1[[#This Row],[age]]&lt;=25,"18-25",IF(Table1[[#This Row],[age]]&lt;=35,"26-35",IF(Table1[[#This Row],[age]]&lt;=50,"36-50","51+")))</f>
        <v>51+</v>
      </c>
      <c r="G2307" t="s">
        <v>34</v>
      </c>
      <c r="H2307" t="s">
        <v>55</v>
      </c>
      <c r="I2307" t="s">
        <v>56</v>
      </c>
      <c r="J2307" t="s">
        <v>63</v>
      </c>
      <c r="K2307" t="s">
        <v>434</v>
      </c>
      <c r="L2307">
        <v>6</v>
      </c>
      <c r="M2307">
        <v>2927.23</v>
      </c>
      <c r="N2307">
        <v>0.17</v>
      </c>
      <c r="O2307">
        <v>15014.03</v>
      </c>
      <c r="P2307">
        <v>6682.89</v>
      </c>
      <c r="Q2307">
        <v>76.05</v>
      </c>
      <c r="R2307" t="s">
        <v>57</v>
      </c>
      <c r="S2307">
        <v>1</v>
      </c>
      <c r="T2307" t="b">
        <v>1</v>
      </c>
      <c r="U2307" t="s">
        <v>50</v>
      </c>
      <c r="V2307">
        <v>2</v>
      </c>
    </row>
    <row r="2308" spans="1:22" x14ac:dyDescent="0.25">
      <c r="A2308" t="s">
        <v>5103</v>
      </c>
      <c r="B2308" s="1">
        <v>45376</v>
      </c>
      <c r="C2308" t="s">
        <v>5104</v>
      </c>
      <c r="D2308" t="s">
        <v>985</v>
      </c>
      <c r="E2308">
        <v>49</v>
      </c>
      <c r="F2308" t="str">
        <f>IF(Table1[[#This Row],[age]]&lt;=25,"18-25",IF(Table1[[#This Row],[age]]&lt;=35,"26-35",IF(Table1[[#This Row],[age]]&lt;=50,"36-50","51+")))</f>
        <v>36-50</v>
      </c>
      <c r="G2308" t="s">
        <v>54</v>
      </c>
      <c r="H2308" t="s">
        <v>25</v>
      </c>
      <c r="I2308" t="s">
        <v>41</v>
      </c>
      <c r="J2308" t="s">
        <v>47</v>
      </c>
      <c r="K2308" t="s">
        <v>156</v>
      </c>
      <c r="L2308">
        <v>1</v>
      </c>
      <c r="M2308">
        <v>1034.06</v>
      </c>
      <c r="N2308">
        <v>0.1</v>
      </c>
      <c r="O2308">
        <v>1187.77</v>
      </c>
      <c r="P2308">
        <v>456.36</v>
      </c>
      <c r="Q2308">
        <v>69.430000000000007</v>
      </c>
      <c r="R2308" t="s">
        <v>92</v>
      </c>
      <c r="S2308">
        <v>1</v>
      </c>
      <c r="T2308" t="b">
        <v>0</v>
      </c>
      <c r="U2308" t="s">
        <v>30</v>
      </c>
      <c r="V2308">
        <v>6</v>
      </c>
    </row>
    <row r="2309" spans="1:22" x14ac:dyDescent="0.25">
      <c r="A2309" t="s">
        <v>5105</v>
      </c>
      <c r="B2309" s="1">
        <v>44566</v>
      </c>
      <c r="C2309" t="s">
        <v>5106</v>
      </c>
      <c r="D2309" t="s">
        <v>2067</v>
      </c>
      <c r="E2309">
        <v>28</v>
      </c>
      <c r="F2309" t="str">
        <f>IF(Table1[[#This Row],[age]]&lt;=25,"18-25",IF(Table1[[#This Row],[age]]&lt;=35,"26-35",IF(Table1[[#This Row],[age]]&lt;=50,"36-50","51+")))</f>
        <v>26-35</v>
      </c>
      <c r="G2309" t="s">
        <v>54</v>
      </c>
      <c r="H2309" t="s">
        <v>25</v>
      </c>
      <c r="I2309" t="s">
        <v>35</v>
      </c>
      <c r="J2309" t="s">
        <v>27</v>
      </c>
      <c r="K2309" t="s">
        <v>168</v>
      </c>
      <c r="L2309">
        <v>5</v>
      </c>
      <c r="M2309">
        <v>305.51</v>
      </c>
      <c r="N2309">
        <v>0.04</v>
      </c>
      <c r="O2309">
        <v>1323.32</v>
      </c>
      <c r="P2309">
        <v>396.56</v>
      </c>
      <c r="Q2309">
        <v>77.17</v>
      </c>
      <c r="R2309" t="s">
        <v>65</v>
      </c>
      <c r="S2309">
        <v>1</v>
      </c>
      <c r="T2309" t="b">
        <v>0</v>
      </c>
      <c r="U2309" t="s">
        <v>30</v>
      </c>
      <c r="V2309">
        <v>4</v>
      </c>
    </row>
    <row r="2310" spans="1:22" x14ac:dyDescent="0.25">
      <c r="A2310" t="s">
        <v>5107</v>
      </c>
      <c r="B2310" s="1">
        <v>43957</v>
      </c>
      <c r="C2310" t="s">
        <v>5108</v>
      </c>
      <c r="D2310" t="s">
        <v>731</v>
      </c>
      <c r="E2310">
        <v>37</v>
      </c>
      <c r="F2310" t="str">
        <f>IF(Table1[[#This Row],[age]]&lt;=25,"18-25",IF(Table1[[#This Row],[age]]&lt;=35,"26-35",IF(Table1[[#This Row],[age]]&lt;=50,"36-50","51+")))</f>
        <v>36-50</v>
      </c>
      <c r="G2310" t="s">
        <v>54</v>
      </c>
      <c r="H2310" t="s">
        <v>55</v>
      </c>
      <c r="I2310" t="s">
        <v>56</v>
      </c>
      <c r="J2310" t="s">
        <v>106</v>
      </c>
      <c r="K2310" t="s">
        <v>331</v>
      </c>
      <c r="L2310">
        <v>2</v>
      </c>
      <c r="M2310">
        <v>54.6</v>
      </c>
      <c r="N2310">
        <v>0.34</v>
      </c>
      <c r="O2310">
        <v>80.84</v>
      </c>
      <c r="P2310">
        <v>6.89</v>
      </c>
      <c r="Q2310">
        <v>42.28</v>
      </c>
      <c r="R2310" t="s">
        <v>49</v>
      </c>
      <c r="S2310">
        <v>4</v>
      </c>
      <c r="T2310" t="b">
        <v>0</v>
      </c>
      <c r="U2310" t="s">
        <v>30</v>
      </c>
      <c r="V2310">
        <v>3</v>
      </c>
    </row>
    <row r="2311" spans="1:22" x14ac:dyDescent="0.25">
      <c r="A2311" t="s">
        <v>5109</v>
      </c>
      <c r="B2311" s="1">
        <v>43832</v>
      </c>
      <c r="C2311" t="s">
        <v>5110</v>
      </c>
      <c r="D2311" t="s">
        <v>361</v>
      </c>
      <c r="E2311">
        <v>50</v>
      </c>
      <c r="F2311" t="str">
        <f>IF(Table1[[#This Row],[age]]&lt;=25,"18-25",IF(Table1[[#This Row],[age]]&lt;=35,"26-35",IF(Table1[[#This Row],[age]]&lt;=50,"36-50","51+")))</f>
        <v>36-50</v>
      </c>
      <c r="G2311" t="s">
        <v>54</v>
      </c>
      <c r="H2311" t="s">
        <v>61</v>
      </c>
      <c r="I2311" t="s">
        <v>141</v>
      </c>
      <c r="J2311" t="s">
        <v>106</v>
      </c>
      <c r="K2311" t="s">
        <v>247</v>
      </c>
      <c r="L2311">
        <v>7</v>
      </c>
      <c r="M2311">
        <v>238.66</v>
      </c>
      <c r="N2311">
        <v>0.05</v>
      </c>
      <c r="O2311">
        <v>1361.86</v>
      </c>
      <c r="P2311">
        <v>110.98</v>
      </c>
      <c r="Q2311">
        <v>46.42</v>
      </c>
      <c r="R2311" t="s">
        <v>29</v>
      </c>
      <c r="S2311">
        <v>4</v>
      </c>
      <c r="T2311" t="b">
        <v>0</v>
      </c>
      <c r="U2311" t="s">
        <v>30</v>
      </c>
      <c r="V2311">
        <v>2</v>
      </c>
    </row>
    <row r="2312" spans="1:22" x14ac:dyDescent="0.25">
      <c r="A2312" t="s">
        <v>5111</v>
      </c>
      <c r="B2312" s="1">
        <v>44857</v>
      </c>
      <c r="C2312" t="s">
        <v>5112</v>
      </c>
      <c r="D2312" t="s">
        <v>1473</v>
      </c>
      <c r="E2312">
        <v>50</v>
      </c>
      <c r="F2312" t="str">
        <f>IF(Table1[[#This Row],[age]]&lt;=25,"18-25",IF(Table1[[#This Row],[age]]&lt;=35,"26-35",IF(Table1[[#This Row],[age]]&lt;=50,"36-50","51+")))</f>
        <v>36-50</v>
      </c>
      <c r="G2312" t="s">
        <v>54</v>
      </c>
      <c r="H2312" t="s">
        <v>61</v>
      </c>
      <c r="I2312" t="s">
        <v>62</v>
      </c>
      <c r="J2312" t="s">
        <v>36</v>
      </c>
      <c r="K2312" t="s">
        <v>42</v>
      </c>
      <c r="L2312">
        <v>8</v>
      </c>
      <c r="M2312">
        <v>22347.78</v>
      </c>
      <c r="N2312">
        <v>0.28999999999999998</v>
      </c>
      <c r="O2312">
        <v>121514.57</v>
      </c>
      <c r="P2312">
        <v>47789.83</v>
      </c>
      <c r="Q2312">
        <v>10.59</v>
      </c>
      <c r="R2312" t="s">
        <v>29</v>
      </c>
      <c r="S2312">
        <v>1</v>
      </c>
      <c r="T2312" t="b">
        <v>0</v>
      </c>
      <c r="U2312" t="s">
        <v>30</v>
      </c>
      <c r="V2312">
        <v>4</v>
      </c>
    </row>
    <row r="2313" spans="1:22" x14ac:dyDescent="0.25">
      <c r="A2313" t="s">
        <v>5113</v>
      </c>
      <c r="B2313" s="1">
        <v>44484</v>
      </c>
      <c r="C2313" t="s">
        <v>5114</v>
      </c>
      <c r="D2313" t="s">
        <v>352</v>
      </c>
      <c r="E2313">
        <v>38</v>
      </c>
      <c r="F2313" t="str">
        <f>IF(Table1[[#This Row],[age]]&lt;=25,"18-25",IF(Table1[[#This Row],[age]]&lt;=35,"26-35",IF(Table1[[#This Row],[age]]&lt;=50,"36-50","51+")))</f>
        <v>36-50</v>
      </c>
      <c r="G2313" t="s">
        <v>34</v>
      </c>
      <c r="H2313" t="s">
        <v>25</v>
      </c>
      <c r="I2313" t="s">
        <v>35</v>
      </c>
      <c r="J2313" t="s">
        <v>27</v>
      </c>
      <c r="K2313" t="s">
        <v>192</v>
      </c>
      <c r="L2313">
        <v>8</v>
      </c>
      <c r="M2313">
        <v>1489.85</v>
      </c>
      <c r="N2313">
        <v>0.09</v>
      </c>
      <c r="O2313">
        <v>10449.86</v>
      </c>
      <c r="P2313">
        <v>3809.88</v>
      </c>
      <c r="Q2313">
        <v>86.42</v>
      </c>
      <c r="R2313" t="s">
        <v>57</v>
      </c>
      <c r="S2313">
        <v>2</v>
      </c>
      <c r="T2313" t="b">
        <v>0</v>
      </c>
      <c r="U2313" t="s">
        <v>71</v>
      </c>
      <c r="V2313">
        <v>6</v>
      </c>
    </row>
    <row r="2314" spans="1:22" x14ac:dyDescent="0.25">
      <c r="A2314" t="s">
        <v>5115</v>
      </c>
      <c r="B2314" s="1">
        <v>44983</v>
      </c>
      <c r="C2314" t="s">
        <v>5116</v>
      </c>
      <c r="D2314" t="s">
        <v>751</v>
      </c>
      <c r="E2314">
        <v>38</v>
      </c>
      <c r="F2314" t="str">
        <f>IF(Table1[[#This Row],[age]]&lt;=25,"18-25",IF(Table1[[#This Row],[age]]&lt;=35,"26-35",IF(Table1[[#This Row],[age]]&lt;=50,"36-50","51+")))</f>
        <v>36-50</v>
      </c>
      <c r="G2314" t="s">
        <v>54</v>
      </c>
      <c r="H2314" t="s">
        <v>61</v>
      </c>
      <c r="I2314" t="s">
        <v>91</v>
      </c>
      <c r="J2314" t="s">
        <v>36</v>
      </c>
      <c r="K2314" t="s">
        <v>243</v>
      </c>
      <c r="L2314">
        <v>1</v>
      </c>
      <c r="M2314">
        <v>23555.64</v>
      </c>
      <c r="N2314">
        <v>0.09</v>
      </c>
      <c r="O2314">
        <v>22617.77</v>
      </c>
      <c r="P2314">
        <v>5562.38</v>
      </c>
      <c r="Q2314">
        <v>65.5</v>
      </c>
      <c r="R2314" t="s">
        <v>65</v>
      </c>
      <c r="S2314">
        <v>1</v>
      </c>
      <c r="T2314" t="b">
        <v>0</v>
      </c>
      <c r="U2314" t="s">
        <v>30</v>
      </c>
      <c r="V2314">
        <v>10</v>
      </c>
    </row>
    <row r="2315" spans="1:22" x14ac:dyDescent="0.25">
      <c r="A2315" t="s">
        <v>5117</v>
      </c>
      <c r="B2315" s="1">
        <v>45611</v>
      </c>
      <c r="C2315" t="s">
        <v>5118</v>
      </c>
      <c r="D2315" t="s">
        <v>982</v>
      </c>
      <c r="E2315">
        <v>38</v>
      </c>
      <c r="F2315" t="str">
        <f>IF(Table1[[#This Row],[age]]&lt;=25,"18-25",IF(Table1[[#This Row],[age]]&lt;=35,"26-35",IF(Table1[[#This Row],[age]]&lt;=50,"36-50","51+")))</f>
        <v>36-50</v>
      </c>
      <c r="G2315" t="s">
        <v>34</v>
      </c>
      <c r="H2315" t="s">
        <v>61</v>
      </c>
      <c r="I2315" t="s">
        <v>163</v>
      </c>
      <c r="J2315" t="s">
        <v>106</v>
      </c>
      <c r="K2315" t="s">
        <v>314</v>
      </c>
      <c r="L2315">
        <v>4</v>
      </c>
      <c r="M2315">
        <v>328.95</v>
      </c>
      <c r="N2315">
        <v>0.08</v>
      </c>
      <c r="O2315">
        <v>1116.81</v>
      </c>
      <c r="P2315">
        <v>67.2</v>
      </c>
      <c r="Q2315">
        <v>60.46</v>
      </c>
      <c r="R2315" t="s">
        <v>65</v>
      </c>
      <c r="S2315">
        <v>5</v>
      </c>
      <c r="T2315" t="b">
        <v>0</v>
      </c>
      <c r="U2315" t="s">
        <v>193</v>
      </c>
      <c r="V2315">
        <v>3</v>
      </c>
    </row>
    <row r="2316" spans="1:22" x14ac:dyDescent="0.25">
      <c r="A2316" t="s">
        <v>5119</v>
      </c>
      <c r="B2316" s="1">
        <v>44721</v>
      </c>
      <c r="C2316" t="s">
        <v>5120</v>
      </c>
      <c r="D2316" t="s">
        <v>1756</v>
      </c>
      <c r="E2316">
        <v>32</v>
      </c>
      <c r="F2316" t="str">
        <f>IF(Table1[[#This Row],[age]]&lt;=25,"18-25",IF(Table1[[#This Row],[age]]&lt;=35,"26-35",IF(Table1[[#This Row],[age]]&lt;=50,"36-50","51+")))</f>
        <v>26-35</v>
      </c>
      <c r="G2316" t="s">
        <v>34</v>
      </c>
      <c r="H2316" t="s">
        <v>61</v>
      </c>
      <c r="I2316" t="s">
        <v>141</v>
      </c>
      <c r="J2316" t="s">
        <v>27</v>
      </c>
      <c r="K2316" t="s">
        <v>480</v>
      </c>
      <c r="L2316">
        <v>8</v>
      </c>
      <c r="M2316">
        <v>1772.53</v>
      </c>
      <c r="N2316">
        <v>0.28000000000000003</v>
      </c>
      <c r="O2316">
        <v>15579.91</v>
      </c>
      <c r="P2316">
        <v>4615.51</v>
      </c>
      <c r="Q2316">
        <v>68.180000000000007</v>
      </c>
      <c r="R2316" t="s">
        <v>43</v>
      </c>
      <c r="S2316">
        <v>1</v>
      </c>
      <c r="T2316" t="b">
        <v>1</v>
      </c>
      <c r="U2316" t="s">
        <v>50</v>
      </c>
      <c r="V2316">
        <v>3</v>
      </c>
    </row>
    <row r="2317" spans="1:22" x14ac:dyDescent="0.25">
      <c r="A2317" t="s">
        <v>5121</v>
      </c>
      <c r="B2317" s="1">
        <v>44459</v>
      </c>
      <c r="C2317" t="s">
        <v>5122</v>
      </c>
      <c r="D2317" t="s">
        <v>2359</v>
      </c>
      <c r="E2317">
        <v>46</v>
      </c>
      <c r="F2317" t="str">
        <f>IF(Table1[[#This Row],[age]]&lt;=25,"18-25",IF(Table1[[#This Row],[age]]&lt;=35,"26-35",IF(Table1[[#This Row],[age]]&lt;=50,"36-50","51+")))</f>
        <v>36-50</v>
      </c>
      <c r="G2317" t="s">
        <v>24</v>
      </c>
      <c r="H2317" t="s">
        <v>55</v>
      </c>
      <c r="I2317" t="s">
        <v>114</v>
      </c>
      <c r="J2317" t="s">
        <v>115</v>
      </c>
      <c r="K2317" t="s">
        <v>545</v>
      </c>
      <c r="L2317">
        <v>7</v>
      </c>
      <c r="M2317">
        <v>38846.9</v>
      </c>
      <c r="N2317">
        <v>0.21</v>
      </c>
      <c r="O2317">
        <v>255205.65</v>
      </c>
      <c r="P2317">
        <v>39365.879999999997</v>
      </c>
      <c r="Q2317">
        <v>50.81</v>
      </c>
      <c r="R2317" t="s">
        <v>92</v>
      </c>
      <c r="S2317">
        <v>4</v>
      </c>
      <c r="T2317" t="b">
        <v>0</v>
      </c>
      <c r="U2317" t="s">
        <v>30</v>
      </c>
      <c r="V2317">
        <v>10</v>
      </c>
    </row>
    <row r="2318" spans="1:22" x14ac:dyDescent="0.25">
      <c r="A2318" t="s">
        <v>5123</v>
      </c>
      <c r="B2318" s="1">
        <v>44137</v>
      </c>
      <c r="C2318" t="s">
        <v>5124</v>
      </c>
      <c r="D2318" t="s">
        <v>155</v>
      </c>
      <c r="E2318">
        <v>35</v>
      </c>
      <c r="F2318" t="str">
        <f>IF(Table1[[#This Row],[age]]&lt;=25,"18-25",IF(Table1[[#This Row],[age]]&lt;=35,"26-35",IF(Table1[[#This Row],[age]]&lt;=50,"36-50","51+")))</f>
        <v>26-35</v>
      </c>
      <c r="G2318" t="s">
        <v>34</v>
      </c>
      <c r="H2318" t="s">
        <v>69</v>
      </c>
      <c r="I2318" t="s">
        <v>221</v>
      </c>
      <c r="J2318" t="s">
        <v>115</v>
      </c>
      <c r="K2318" t="s">
        <v>145</v>
      </c>
      <c r="L2318">
        <v>2</v>
      </c>
      <c r="M2318">
        <v>41850.01</v>
      </c>
      <c r="N2318">
        <v>7.0000000000000007E-2</v>
      </c>
      <c r="O2318">
        <v>64764.78</v>
      </c>
      <c r="P2318">
        <v>8565.9</v>
      </c>
      <c r="Q2318">
        <v>59.88</v>
      </c>
      <c r="R2318" t="s">
        <v>65</v>
      </c>
      <c r="S2318">
        <v>1</v>
      </c>
      <c r="T2318" t="b">
        <v>0</v>
      </c>
      <c r="U2318" t="s">
        <v>71</v>
      </c>
      <c r="V2318">
        <v>8</v>
      </c>
    </row>
    <row r="2319" spans="1:22" x14ac:dyDescent="0.25">
      <c r="A2319" t="s">
        <v>5125</v>
      </c>
      <c r="B2319" s="1">
        <v>45352</v>
      </c>
      <c r="C2319" t="s">
        <v>5126</v>
      </c>
      <c r="D2319" t="s">
        <v>702</v>
      </c>
      <c r="E2319">
        <v>24</v>
      </c>
      <c r="F2319" t="str">
        <f>IF(Table1[[#This Row],[age]]&lt;=25,"18-25",IF(Table1[[#This Row],[age]]&lt;=35,"26-35",IF(Table1[[#This Row],[age]]&lt;=50,"36-50","51+")))</f>
        <v>18-25</v>
      </c>
      <c r="G2319" t="s">
        <v>24</v>
      </c>
      <c r="H2319" t="s">
        <v>55</v>
      </c>
      <c r="I2319" t="s">
        <v>75</v>
      </c>
      <c r="J2319" t="s">
        <v>36</v>
      </c>
      <c r="K2319" t="s">
        <v>132</v>
      </c>
      <c r="L2319">
        <v>5</v>
      </c>
      <c r="M2319">
        <v>25732.89</v>
      </c>
      <c r="N2319">
        <v>0.37</v>
      </c>
      <c r="O2319">
        <v>110264.78</v>
      </c>
      <c r="P2319">
        <v>26314.49</v>
      </c>
      <c r="Q2319">
        <v>67.41</v>
      </c>
      <c r="R2319" t="s">
        <v>49</v>
      </c>
      <c r="S2319">
        <v>2</v>
      </c>
      <c r="T2319" t="b">
        <v>0</v>
      </c>
      <c r="U2319" t="s">
        <v>30</v>
      </c>
      <c r="V2319">
        <v>2</v>
      </c>
    </row>
    <row r="2320" spans="1:22" x14ac:dyDescent="0.25">
      <c r="A2320" t="s">
        <v>5127</v>
      </c>
      <c r="B2320" s="1">
        <v>44414</v>
      </c>
      <c r="C2320" t="s">
        <v>5128</v>
      </c>
      <c r="D2320" t="s">
        <v>577</v>
      </c>
      <c r="E2320">
        <v>30</v>
      </c>
      <c r="F2320" t="str">
        <f>IF(Table1[[#This Row],[age]]&lt;=25,"18-25",IF(Table1[[#This Row],[age]]&lt;=35,"26-35",IF(Table1[[#This Row],[age]]&lt;=50,"36-50","51+")))</f>
        <v>26-35</v>
      </c>
      <c r="G2320" t="s">
        <v>34</v>
      </c>
      <c r="H2320" t="s">
        <v>80</v>
      </c>
      <c r="I2320" t="s">
        <v>81</v>
      </c>
      <c r="J2320" t="s">
        <v>106</v>
      </c>
      <c r="K2320" t="s">
        <v>718</v>
      </c>
      <c r="L2320">
        <v>8</v>
      </c>
      <c r="M2320">
        <v>278.20999999999998</v>
      </c>
      <c r="N2320">
        <v>0.22</v>
      </c>
      <c r="O2320">
        <v>2079.67</v>
      </c>
      <c r="P2320">
        <v>188.15</v>
      </c>
      <c r="Q2320">
        <v>61.34</v>
      </c>
      <c r="R2320" t="s">
        <v>57</v>
      </c>
      <c r="S2320">
        <v>2</v>
      </c>
      <c r="T2320" t="b">
        <v>0</v>
      </c>
      <c r="U2320" t="s">
        <v>30</v>
      </c>
      <c r="V2320">
        <v>5</v>
      </c>
    </row>
    <row r="2321" spans="1:22" x14ac:dyDescent="0.25">
      <c r="A2321" t="s">
        <v>5129</v>
      </c>
      <c r="B2321" s="1">
        <v>45268</v>
      </c>
      <c r="C2321" t="s">
        <v>5130</v>
      </c>
      <c r="D2321" t="s">
        <v>1785</v>
      </c>
      <c r="E2321">
        <v>44</v>
      </c>
      <c r="F2321" t="str">
        <f>IF(Table1[[#This Row],[age]]&lt;=25,"18-25",IF(Table1[[#This Row],[age]]&lt;=35,"26-35",IF(Table1[[#This Row],[age]]&lt;=50,"36-50","51+")))</f>
        <v>36-50</v>
      </c>
      <c r="G2321" t="s">
        <v>34</v>
      </c>
      <c r="H2321" t="s">
        <v>69</v>
      </c>
      <c r="I2321" t="s">
        <v>136</v>
      </c>
      <c r="J2321" t="s">
        <v>106</v>
      </c>
      <c r="K2321" t="s">
        <v>331</v>
      </c>
      <c r="L2321">
        <v>7</v>
      </c>
      <c r="M2321">
        <v>327.26</v>
      </c>
      <c r="N2321">
        <v>0.09</v>
      </c>
      <c r="O2321">
        <v>1655.16</v>
      </c>
      <c r="P2321">
        <v>157.97</v>
      </c>
      <c r="Q2321">
        <v>83.19</v>
      </c>
      <c r="R2321" t="s">
        <v>92</v>
      </c>
      <c r="S2321">
        <v>1</v>
      </c>
      <c r="T2321" t="b">
        <v>0</v>
      </c>
      <c r="U2321" t="s">
        <v>30</v>
      </c>
      <c r="V2321">
        <v>2</v>
      </c>
    </row>
    <row r="2322" spans="1:22" x14ac:dyDescent="0.25">
      <c r="A2322" t="s">
        <v>5131</v>
      </c>
      <c r="B2322" s="1">
        <v>44454</v>
      </c>
      <c r="C2322" t="s">
        <v>5132</v>
      </c>
      <c r="D2322" t="s">
        <v>430</v>
      </c>
      <c r="E2322">
        <v>25</v>
      </c>
      <c r="F2322" t="str">
        <f>IF(Table1[[#This Row],[age]]&lt;=25,"18-25",IF(Table1[[#This Row],[age]]&lt;=35,"26-35",IF(Table1[[#This Row],[age]]&lt;=50,"36-50","51+")))</f>
        <v>18-25</v>
      </c>
      <c r="G2322" t="s">
        <v>24</v>
      </c>
      <c r="H2322" t="s">
        <v>61</v>
      </c>
      <c r="I2322" t="s">
        <v>91</v>
      </c>
      <c r="J2322" t="s">
        <v>36</v>
      </c>
      <c r="K2322" t="s">
        <v>132</v>
      </c>
      <c r="L2322">
        <v>4</v>
      </c>
      <c r="M2322">
        <v>23015.5</v>
      </c>
      <c r="N2322">
        <v>0.13</v>
      </c>
      <c r="O2322">
        <v>103290.99</v>
      </c>
      <c r="P2322">
        <v>34267.22</v>
      </c>
      <c r="Q2322">
        <v>28.42</v>
      </c>
      <c r="R2322" t="s">
        <v>65</v>
      </c>
      <c r="S2322">
        <v>1</v>
      </c>
      <c r="T2322" t="b">
        <v>1</v>
      </c>
      <c r="U2322" t="s">
        <v>50</v>
      </c>
      <c r="V2322">
        <v>10</v>
      </c>
    </row>
    <row r="2323" spans="1:22" x14ac:dyDescent="0.25">
      <c r="A2323" t="s">
        <v>5133</v>
      </c>
      <c r="B2323" s="1">
        <v>44691</v>
      </c>
      <c r="C2323" t="s">
        <v>5134</v>
      </c>
      <c r="D2323" t="s">
        <v>1433</v>
      </c>
      <c r="E2323">
        <v>22</v>
      </c>
      <c r="F2323" t="str">
        <f>IF(Table1[[#This Row],[age]]&lt;=25,"18-25",IF(Table1[[#This Row],[age]]&lt;=35,"26-35",IF(Table1[[#This Row],[age]]&lt;=50,"36-50","51+")))</f>
        <v>18-25</v>
      </c>
      <c r="G2323" t="s">
        <v>54</v>
      </c>
      <c r="H2323" t="s">
        <v>25</v>
      </c>
      <c r="I2323" t="s">
        <v>35</v>
      </c>
      <c r="J2323" t="s">
        <v>36</v>
      </c>
      <c r="K2323" t="s">
        <v>76</v>
      </c>
      <c r="L2323">
        <v>4</v>
      </c>
      <c r="M2323">
        <v>18771.18</v>
      </c>
      <c r="N2323">
        <v>0.12</v>
      </c>
      <c r="O2323">
        <v>90435.12</v>
      </c>
      <c r="P2323">
        <v>21095.21</v>
      </c>
      <c r="Q2323">
        <v>68.930000000000007</v>
      </c>
      <c r="R2323" t="s">
        <v>92</v>
      </c>
      <c r="S2323">
        <v>5</v>
      </c>
      <c r="T2323" t="b">
        <v>0</v>
      </c>
      <c r="U2323" t="s">
        <v>30</v>
      </c>
      <c r="V2323">
        <v>1</v>
      </c>
    </row>
    <row r="2324" spans="1:22" x14ac:dyDescent="0.25">
      <c r="A2324" t="s">
        <v>5135</v>
      </c>
      <c r="B2324" s="1">
        <v>44439</v>
      </c>
      <c r="C2324" t="s">
        <v>5136</v>
      </c>
      <c r="D2324" t="s">
        <v>519</v>
      </c>
      <c r="E2324">
        <v>41</v>
      </c>
      <c r="F2324" t="str">
        <f>IF(Table1[[#This Row],[age]]&lt;=25,"18-25",IF(Table1[[#This Row],[age]]&lt;=35,"26-35",IF(Table1[[#This Row],[age]]&lt;=50,"36-50","51+")))</f>
        <v>36-50</v>
      </c>
      <c r="G2324" t="s">
        <v>54</v>
      </c>
      <c r="H2324" t="s">
        <v>61</v>
      </c>
      <c r="I2324" t="s">
        <v>62</v>
      </c>
      <c r="J2324" t="s">
        <v>47</v>
      </c>
      <c r="K2324" t="s">
        <v>204</v>
      </c>
      <c r="L2324">
        <v>2</v>
      </c>
      <c r="M2324">
        <v>1075.45</v>
      </c>
      <c r="N2324">
        <v>0.13</v>
      </c>
      <c r="O2324">
        <v>2282.66</v>
      </c>
      <c r="P2324">
        <v>949.67</v>
      </c>
      <c r="Q2324">
        <v>47.1</v>
      </c>
      <c r="R2324" t="s">
        <v>65</v>
      </c>
      <c r="S2324">
        <v>2</v>
      </c>
      <c r="T2324" t="b">
        <v>0</v>
      </c>
      <c r="U2324" t="s">
        <v>30</v>
      </c>
      <c r="V2324">
        <v>6</v>
      </c>
    </row>
    <row r="2325" spans="1:22" x14ac:dyDescent="0.25">
      <c r="A2325" t="s">
        <v>5137</v>
      </c>
      <c r="B2325" s="1">
        <v>45466</v>
      </c>
      <c r="C2325" t="s">
        <v>5138</v>
      </c>
      <c r="D2325" t="s">
        <v>375</v>
      </c>
      <c r="E2325">
        <v>41</v>
      </c>
      <c r="F2325" t="str">
        <f>IF(Table1[[#This Row],[age]]&lt;=25,"18-25",IF(Table1[[#This Row],[age]]&lt;=35,"26-35",IF(Table1[[#This Row],[age]]&lt;=50,"36-50","51+")))</f>
        <v>36-50</v>
      </c>
      <c r="G2325" t="s">
        <v>54</v>
      </c>
      <c r="H2325" t="s">
        <v>80</v>
      </c>
      <c r="I2325" t="s">
        <v>236</v>
      </c>
      <c r="J2325" t="s">
        <v>47</v>
      </c>
      <c r="K2325" t="s">
        <v>272</v>
      </c>
      <c r="L2325">
        <v>10</v>
      </c>
      <c r="M2325">
        <v>1271.1099999999999</v>
      </c>
      <c r="N2325">
        <v>0.24</v>
      </c>
      <c r="O2325">
        <v>14356.97</v>
      </c>
      <c r="P2325">
        <v>5996.1</v>
      </c>
      <c r="Q2325">
        <v>47.57</v>
      </c>
      <c r="R2325" t="s">
        <v>92</v>
      </c>
      <c r="S2325">
        <v>5</v>
      </c>
      <c r="T2325" t="b">
        <v>0</v>
      </c>
      <c r="U2325" t="s">
        <v>30</v>
      </c>
      <c r="V2325">
        <v>1</v>
      </c>
    </row>
    <row r="2326" spans="1:22" x14ac:dyDescent="0.25">
      <c r="A2326" t="s">
        <v>5139</v>
      </c>
      <c r="B2326" s="1">
        <v>44216</v>
      </c>
      <c r="C2326" t="s">
        <v>5140</v>
      </c>
      <c r="D2326" t="s">
        <v>990</v>
      </c>
      <c r="E2326">
        <v>20</v>
      </c>
      <c r="F2326" t="str">
        <f>IF(Table1[[#This Row],[age]]&lt;=25,"18-25",IF(Table1[[#This Row],[age]]&lt;=35,"26-35",IF(Table1[[#This Row],[age]]&lt;=50,"36-50","51+")))</f>
        <v>18-25</v>
      </c>
      <c r="G2326" t="s">
        <v>54</v>
      </c>
      <c r="H2326" t="s">
        <v>25</v>
      </c>
      <c r="I2326" t="s">
        <v>35</v>
      </c>
      <c r="J2326" t="s">
        <v>36</v>
      </c>
      <c r="K2326" t="s">
        <v>132</v>
      </c>
      <c r="L2326">
        <v>10</v>
      </c>
      <c r="M2326">
        <v>7217.24</v>
      </c>
      <c r="N2326">
        <v>0.34</v>
      </c>
      <c r="O2326">
        <v>38701.839999999997</v>
      </c>
      <c r="P2326">
        <v>9777.4500000000007</v>
      </c>
      <c r="Q2326">
        <v>78.16</v>
      </c>
      <c r="R2326" t="s">
        <v>92</v>
      </c>
      <c r="S2326">
        <v>1</v>
      </c>
      <c r="T2326" t="b">
        <v>1</v>
      </c>
      <c r="U2326" t="s">
        <v>50</v>
      </c>
      <c r="V2326">
        <v>2</v>
      </c>
    </row>
    <row r="2327" spans="1:22" x14ac:dyDescent="0.25">
      <c r="A2327" t="s">
        <v>5141</v>
      </c>
      <c r="B2327" s="1">
        <v>43857</v>
      </c>
      <c r="C2327" t="s">
        <v>5142</v>
      </c>
      <c r="D2327" t="s">
        <v>792</v>
      </c>
      <c r="E2327">
        <v>24</v>
      </c>
      <c r="F2327" t="str">
        <f>IF(Table1[[#This Row],[age]]&lt;=25,"18-25",IF(Table1[[#This Row],[age]]&lt;=35,"26-35",IF(Table1[[#This Row],[age]]&lt;=50,"36-50","51+")))</f>
        <v>18-25</v>
      </c>
      <c r="G2327" t="s">
        <v>54</v>
      </c>
      <c r="H2327" t="s">
        <v>25</v>
      </c>
      <c r="I2327" t="s">
        <v>298</v>
      </c>
      <c r="J2327" t="s">
        <v>47</v>
      </c>
      <c r="K2327" t="s">
        <v>600</v>
      </c>
      <c r="L2327">
        <v>8</v>
      </c>
      <c r="M2327">
        <v>493.36</v>
      </c>
      <c r="N2327">
        <v>0.34</v>
      </c>
      <c r="O2327">
        <v>1942.7</v>
      </c>
      <c r="P2327">
        <v>742.64</v>
      </c>
      <c r="Q2327">
        <v>52.85</v>
      </c>
      <c r="R2327" t="s">
        <v>57</v>
      </c>
      <c r="S2327">
        <v>4</v>
      </c>
      <c r="T2327" t="b">
        <v>0</v>
      </c>
      <c r="U2327" t="s">
        <v>30</v>
      </c>
      <c r="V2327">
        <v>6</v>
      </c>
    </row>
    <row r="2328" spans="1:22" x14ac:dyDescent="0.25">
      <c r="A2328" t="s">
        <v>5143</v>
      </c>
      <c r="B2328" s="1">
        <v>44037</v>
      </c>
      <c r="C2328" t="s">
        <v>5144</v>
      </c>
      <c r="D2328" t="s">
        <v>907</v>
      </c>
      <c r="E2328">
        <v>23</v>
      </c>
      <c r="F2328" t="str">
        <f>IF(Table1[[#This Row],[age]]&lt;=25,"18-25",IF(Table1[[#This Row],[age]]&lt;=35,"26-35",IF(Table1[[#This Row],[age]]&lt;=50,"36-50","51+")))</f>
        <v>18-25</v>
      </c>
      <c r="G2328" t="s">
        <v>24</v>
      </c>
      <c r="H2328" t="s">
        <v>61</v>
      </c>
      <c r="I2328" t="s">
        <v>141</v>
      </c>
      <c r="J2328" t="s">
        <v>106</v>
      </c>
      <c r="K2328" t="s">
        <v>188</v>
      </c>
      <c r="L2328">
        <v>8</v>
      </c>
      <c r="M2328">
        <v>445.99</v>
      </c>
      <c r="N2328">
        <v>0.24</v>
      </c>
      <c r="O2328">
        <v>3881.14</v>
      </c>
      <c r="P2328">
        <v>281.89999999999998</v>
      </c>
      <c r="Q2328">
        <v>72.48</v>
      </c>
      <c r="R2328" t="s">
        <v>29</v>
      </c>
      <c r="S2328">
        <v>2</v>
      </c>
      <c r="T2328" t="b">
        <v>0</v>
      </c>
      <c r="U2328" t="s">
        <v>30</v>
      </c>
      <c r="V2328">
        <v>9</v>
      </c>
    </row>
    <row r="2329" spans="1:22" x14ac:dyDescent="0.25">
      <c r="A2329" t="s">
        <v>5145</v>
      </c>
      <c r="B2329" s="1">
        <v>43849</v>
      </c>
      <c r="C2329" t="s">
        <v>5146</v>
      </c>
      <c r="D2329" t="s">
        <v>265</v>
      </c>
      <c r="E2329">
        <v>33</v>
      </c>
      <c r="F2329" t="str">
        <f>IF(Table1[[#This Row],[age]]&lt;=25,"18-25",IF(Table1[[#This Row],[age]]&lt;=35,"26-35",IF(Table1[[#This Row],[age]]&lt;=50,"36-50","51+")))</f>
        <v>26-35</v>
      </c>
      <c r="G2329" t="s">
        <v>54</v>
      </c>
      <c r="H2329" t="s">
        <v>80</v>
      </c>
      <c r="I2329" t="s">
        <v>236</v>
      </c>
      <c r="J2329" t="s">
        <v>101</v>
      </c>
      <c r="K2329" t="s">
        <v>318</v>
      </c>
      <c r="L2329">
        <v>3</v>
      </c>
      <c r="M2329">
        <v>2208.38</v>
      </c>
      <c r="N2329">
        <v>0.02</v>
      </c>
      <c r="O2329">
        <v>5472.63</v>
      </c>
      <c r="P2329">
        <v>1191.19</v>
      </c>
      <c r="Q2329">
        <v>87.33</v>
      </c>
      <c r="R2329" t="s">
        <v>92</v>
      </c>
      <c r="S2329">
        <v>2</v>
      </c>
      <c r="T2329" t="b">
        <v>0</v>
      </c>
      <c r="U2329" t="s">
        <v>30</v>
      </c>
      <c r="V2329">
        <v>5</v>
      </c>
    </row>
    <row r="2330" spans="1:22" x14ac:dyDescent="0.25">
      <c r="A2330" t="s">
        <v>5147</v>
      </c>
      <c r="B2330" s="1">
        <v>44352</v>
      </c>
      <c r="C2330" t="s">
        <v>5148</v>
      </c>
      <c r="D2330" t="s">
        <v>105</v>
      </c>
      <c r="E2330">
        <v>26</v>
      </c>
      <c r="F2330" t="str">
        <f>IF(Table1[[#This Row],[age]]&lt;=25,"18-25",IF(Table1[[#This Row],[age]]&lt;=35,"26-35",IF(Table1[[#This Row],[age]]&lt;=50,"36-50","51+")))</f>
        <v>26-35</v>
      </c>
      <c r="G2330" t="s">
        <v>34</v>
      </c>
      <c r="H2330" t="s">
        <v>69</v>
      </c>
      <c r="I2330" t="s">
        <v>136</v>
      </c>
      <c r="J2330" t="s">
        <v>27</v>
      </c>
      <c r="K2330" t="s">
        <v>168</v>
      </c>
      <c r="L2330">
        <v>5</v>
      </c>
      <c r="M2330">
        <v>1895.73</v>
      </c>
      <c r="N2330">
        <v>0.16</v>
      </c>
      <c r="O2330">
        <v>9954.8700000000008</v>
      </c>
      <c r="P2330">
        <v>5748.45</v>
      </c>
      <c r="Q2330">
        <v>53.1</v>
      </c>
      <c r="R2330" t="s">
        <v>57</v>
      </c>
      <c r="S2330">
        <v>1</v>
      </c>
      <c r="T2330" t="b">
        <v>0</v>
      </c>
      <c r="U2330" t="s">
        <v>30</v>
      </c>
      <c r="V2330">
        <v>10</v>
      </c>
    </row>
    <row r="2331" spans="1:22" x14ac:dyDescent="0.25">
      <c r="A2331" t="s">
        <v>5149</v>
      </c>
      <c r="B2331" s="1">
        <v>44003</v>
      </c>
      <c r="C2331" t="s">
        <v>5150</v>
      </c>
      <c r="D2331" t="s">
        <v>1039</v>
      </c>
      <c r="E2331">
        <v>26</v>
      </c>
      <c r="F2331" t="str">
        <f>IF(Table1[[#This Row],[age]]&lt;=25,"18-25",IF(Table1[[#This Row],[age]]&lt;=35,"26-35",IF(Table1[[#This Row],[age]]&lt;=50,"36-50","51+")))</f>
        <v>26-35</v>
      </c>
      <c r="G2331" t="s">
        <v>54</v>
      </c>
      <c r="H2331" t="s">
        <v>61</v>
      </c>
      <c r="I2331" t="s">
        <v>141</v>
      </c>
      <c r="J2331" t="s">
        <v>27</v>
      </c>
      <c r="K2331" t="s">
        <v>335</v>
      </c>
      <c r="L2331">
        <v>9</v>
      </c>
      <c r="M2331">
        <v>137.31</v>
      </c>
      <c r="N2331">
        <v>0.24</v>
      </c>
      <c r="O2331">
        <v>1114.76</v>
      </c>
      <c r="P2331">
        <v>516.91999999999996</v>
      </c>
      <c r="Q2331">
        <v>64.95</v>
      </c>
      <c r="R2331" t="s">
        <v>43</v>
      </c>
      <c r="S2331">
        <v>1</v>
      </c>
      <c r="T2331" t="b">
        <v>0</v>
      </c>
      <c r="U2331" t="s">
        <v>30</v>
      </c>
      <c r="V2331">
        <v>1</v>
      </c>
    </row>
    <row r="2332" spans="1:22" x14ac:dyDescent="0.25">
      <c r="A2332" t="s">
        <v>5151</v>
      </c>
      <c r="B2332" s="1">
        <v>44188</v>
      </c>
      <c r="C2332" t="s">
        <v>5152</v>
      </c>
      <c r="D2332" t="s">
        <v>937</v>
      </c>
      <c r="E2332">
        <v>35</v>
      </c>
      <c r="F2332" t="str">
        <f>IF(Table1[[#This Row],[age]]&lt;=25,"18-25",IF(Table1[[#This Row],[age]]&lt;=35,"26-35",IF(Table1[[#This Row],[age]]&lt;=50,"36-50","51+")))</f>
        <v>26-35</v>
      </c>
      <c r="G2332" t="s">
        <v>34</v>
      </c>
      <c r="H2332" t="s">
        <v>80</v>
      </c>
      <c r="I2332" t="s">
        <v>242</v>
      </c>
      <c r="J2332" t="s">
        <v>106</v>
      </c>
      <c r="K2332" t="s">
        <v>314</v>
      </c>
      <c r="L2332">
        <v>9</v>
      </c>
      <c r="M2332">
        <v>203.63</v>
      </c>
      <c r="N2332">
        <v>0.28999999999999998</v>
      </c>
      <c r="O2332">
        <v>829.37</v>
      </c>
      <c r="P2332">
        <v>75.45</v>
      </c>
      <c r="Q2332">
        <v>84.23</v>
      </c>
      <c r="R2332" t="s">
        <v>92</v>
      </c>
      <c r="S2332">
        <v>4</v>
      </c>
      <c r="T2332" t="b">
        <v>0</v>
      </c>
      <c r="U2332" t="s">
        <v>30</v>
      </c>
      <c r="V2332">
        <v>1</v>
      </c>
    </row>
    <row r="2333" spans="1:22" x14ac:dyDescent="0.25">
      <c r="A2333" t="s">
        <v>5153</v>
      </c>
      <c r="B2333" s="1">
        <v>44530</v>
      </c>
      <c r="C2333" t="s">
        <v>5154</v>
      </c>
      <c r="D2333" t="s">
        <v>127</v>
      </c>
      <c r="E2333">
        <v>64</v>
      </c>
      <c r="F2333" t="str">
        <f>IF(Table1[[#This Row],[age]]&lt;=25,"18-25",IF(Table1[[#This Row],[age]]&lt;=35,"26-35",IF(Table1[[#This Row],[age]]&lt;=50,"36-50","51+")))</f>
        <v>51+</v>
      </c>
      <c r="G2333" t="s">
        <v>24</v>
      </c>
      <c r="H2333" t="s">
        <v>61</v>
      </c>
      <c r="I2333" t="s">
        <v>141</v>
      </c>
      <c r="J2333" t="s">
        <v>47</v>
      </c>
      <c r="K2333" t="s">
        <v>272</v>
      </c>
      <c r="L2333">
        <v>5</v>
      </c>
      <c r="M2333">
        <v>625.59</v>
      </c>
      <c r="N2333">
        <v>0.02</v>
      </c>
      <c r="O2333">
        <v>2682.13</v>
      </c>
      <c r="P2333">
        <v>910.71</v>
      </c>
      <c r="Q2333">
        <v>43.73</v>
      </c>
      <c r="R2333" t="s">
        <v>65</v>
      </c>
      <c r="S2333">
        <v>5</v>
      </c>
      <c r="T2333" t="b">
        <v>0</v>
      </c>
      <c r="U2333" t="s">
        <v>30</v>
      </c>
      <c r="V2333">
        <v>7</v>
      </c>
    </row>
    <row r="2334" spans="1:22" x14ac:dyDescent="0.25">
      <c r="A2334" t="s">
        <v>5155</v>
      </c>
      <c r="B2334" s="1">
        <v>44148</v>
      </c>
      <c r="C2334" t="s">
        <v>5156</v>
      </c>
      <c r="D2334" t="s">
        <v>2432</v>
      </c>
      <c r="E2334">
        <v>33</v>
      </c>
      <c r="F2334" t="str">
        <f>IF(Table1[[#This Row],[age]]&lt;=25,"18-25",IF(Table1[[#This Row],[age]]&lt;=35,"26-35",IF(Table1[[#This Row],[age]]&lt;=50,"36-50","51+")))</f>
        <v>26-35</v>
      </c>
      <c r="G2334" t="s">
        <v>24</v>
      </c>
      <c r="H2334" t="s">
        <v>25</v>
      </c>
      <c r="I2334" t="s">
        <v>26</v>
      </c>
      <c r="J2334" t="s">
        <v>106</v>
      </c>
      <c r="K2334" t="s">
        <v>718</v>
      </c>
      <c r="L2334">
        <v>7</v>
      </c>
      <c r="M2334">
        <v>359.06</v>
      </c>
      <c r="N2334">
        <v>0.02</v>
      </c>
      <c r="O2334">
        <v>1926.06</v>
      </c>
      <c r="P2334">
        <v>153.38</v>
      </c>
      <c r="Q2334">
        <v>77.28</v>
      </c>
      <c r="R2334" t="s">
        <v>49</v>
      </c>
      <c r="S2334">
        <v>2</v>
      </c>
      <c r="T2334" t="b">
        <v>0</v>
      </c>
      <c r="U2334" t="s">
        <v>30</v>
      </c>
      <c r="V2334">
        <v>8</v>
      </c>
    </row>
    <row r="2335" spans="1:22" x14ac:dyDescent="0.25">
      <c r="A2335" t="s">
        <v>5157</v>
      </c>
      <c r="B2335" s="1">
        <v>44018</v>
      </c>
      <c r="C2335" t="s">
        <v>5158</v>
      </c>
      <c r="D2335" t="s">
        <v>1704</v>
      </c>
      <c r="E2335">
        <v>43</v>
      </c>
      <c r="F2335" t="str">
        <f>IF(Table1[[#This Row],[age]]&lt;=25,"18-25",IF(Table1[[#This Row],[age]]&lt;=35,"26-35",IF(Table1[[#This Row],[age]]&lt;=50,"36-50","51+")))</f>
        <v>36-50</v>
      </c>
      <c r="G2335" t="s">
        <v>24</v>
      </c>
      <c r="H2335" t="s">
        <v>55</v>
      </c>
      <c r="I2335" t="s">
        <v>75</v>
      </c>
      <c r="J2335" t="s">
        <v>101</v>
      </c>
      <c r="K2335" t="s">
        <v>102</v>
      </c>
      <c r="L2335">
        <v>3</v>
      </c>
      <c r="M2335">
        <v>11793.71</v>
      </c>
      <c r="N2335">
        <v>0.32</v>
      </c>
      <c r="O2335">
        <v>29262.31</v>
      </c>
      <c r="P2335">
        <v>6296.56</v>
      </c>
      <c r="Q2335">
        <v>63.2</v>
      </c>
      <c r="R2335" t="s">
        <v>57</v>
      </c>
      <c r="S2335">
        <v>4</v>
      </c>
      <c r="T2335" t="b">
        <v>0</v>
      </c>
      <c r="U2335" t="s">
        <v>30</v>
      </c>
      <c r="V2335">
        <v>9</v>
      </c>
    </row>
    <row r="2336" spans="1:22" x14ac:dyDescent="0.25">
      <c r="A2336" t="s">
        <v>5159</v>
      </c>
      <c r="B2336" s="1">
        <v>44357</v>
      </c>
      <c r="C2336" t="s">
        <v>5160</v>
      </c>
      <c r="D2336" t="s">
        <v>3427</v>
      </c>
      <c r="E2336">
        <v>32</v>
      </c>
      <c r="F2336" t="str">
        <f>IF(Table1[[#This Row],[age]]&lt;=25,"18-25",IF(Table1[[#This Row],[age]]&lt;=35,"26-35",IF(Table1[[#This Row],[age]]&lt;=50,"36-50","51+")))</f>
        <v>26-35</v>
      </c>
      <c r="G2336" t="s">
        <v>34</v>
      </c>
      <c r="H2336" t="s">
        <v>55</v>
      </c>
      <c r="I2336" t="s">
        <v>75</v>
      </c>
      <c r="J2336" t="s">
        <v>63</v>
      </c>
      <c r="K2336" t="s">
        <v>64</v>
      </c>
      <c r="L2336">
        <v>7</v>
      </c>
      <c r="M2336">
        <v>2184.88</v>
      </c>
      <c r="N2336">
        <v>0.16</v>
      </c>
      <c r="O2336">
        <v>20358.669999999998</v>
      </c>
      <c r="P2336">
        <v>4252.26</v>
      </c>
      <c r="Q2336">
        <v>49.09</v>
      </c>
      <c r="R2336" t="s">
        <v>43</v>
      </c>
      <c r="S2336">
        <v>4</v>
      </c>
      <c r="T2336" t="b">
        <v>0</v>
      </c>
      <c r="U2336" t="s">
        <v>30</v>
      </c>
      <c r="V2336">
        <v>5</v>
      </c>
    </row>
    <row r="2337" spans="1:22" x14ac:dyDescent="0.25">
      <c r="A2337" t="s">
        <v>5161</v>
      </c>
      <c r="B2337" s="1">
        <v>45518</v>
      </c>
      <c r="C2337" t="s">
        <v>5162</v>
      </c>
      <c r="D2337" t="s">
        <v>1622</v>
      </c>
      <c r="E2337">
        <v>34</v>
      </c>
      <c r="F2337" t="str">
        <f>IF(Table1[[#This Row],[age]]&lt;=25,"18-25",IF(Table1[[#This Row],[age]]&lt;=35,"26-35",IF(Table1[[#This Row],[age]]&lt;=50,"36-50","51+")))</f>
        <v>26-35</v>
      </c>
      <c r="G2337" t="s">
        <v>34</v>
      </c>
      <c r="H2337" t="s">
        <v>55</v>
      </c>
      <c r="I2337" t="s">
        <v>114</v>
      </c>
      <c r="J2337" t="s">
        <v>27</v>
      </c>
      <c r="K2337" t="s">
        <v>28</v>
      </c>
      <c r="L2337">
        <v>3</v>
      </c>
      <c r="M2337">
        <v>720.8</v>
      </c>
      <c r="N2337">
        <v>0.24</v>
      </c>
      <c r="O2337">
        <v>2212.27</v>
      </c>
      <c r="P2337">
        <v>892.22</v>
      </c>
      <c r="Q2337">
        <v>47.4</v>
      </c>
      <c r="R2337" t="s">
        <v>49</v>
      </c>
      <c r="S2337">
        <v>1</v>
      </c>
      <c r="T2337" t="b">
        <v>0</v>
      </c>
      <c r="U2337" t="s">
        <v>30</v>
      </c>
      <c r="V2337">
        <v>2</v>
      </c>
    </row>
    <row r="2338" spans="1:22" x14ac:dyDescent="0.25">
      <c r="A2338" t="s">
        <v>5163</v>
      </c>
      <c r="B2338" s="1">
        <v>44588</v>
      </c>
      <c r="C2338" t="s">
        <v>5164</v>
      </c>
      <c r="D2338" t="s">
        <v>287</v>
      </c>
      <c r="E2338">
        <v>19</v>
      </c>
      <c r="F2338" t="str">
        <f>IF(Table1[[#This Row],[age]]&lt;=25,"18-25",IF(Table1[[#This Row],[age]]&lt;=35,"26-35",IF(Table1[[#This Row],[age]]&lt;=50,"36-50","51+")))</f>
        <v>18-25</v>
      </c>
      <c r="G2338" t="s">
        <v>54</v>
      </c>
      <c r="H2338" t="s">
        <v>80</v>
      </c>
      <c r="I2338" t="s">
        <v>86</v>
      </c>
      <c r="J2338" t="s">
        <v>115</v>
      </c>
      <c r="K2338" t="s">
        <v>398</v>
      </c>
      <c r="L2338">
        <v>6</v>
      </c>
      <c r="M2338">
        <v>20306.849999999999</v>
      </c>
      <c r="N2338">
        <v>0.36</v>
      </c>
      <c r="O2338">
        <v>67574.41</v>
      </c>
      <c r="P2338">
        <v>6252.6</v>
      </c>
      <c r="Q2338">
        <v>80.91</v>
      </c>
      <c r="R2338" t="s">
        <v>49</v>
      </c>
      <c r="S2338">
        <v>5</v>
      </c>
      <c r="T2338" t="b">
        <v>0</v>
      </c>
      <c r="U2338" t="s">
        <v>30</v>
      </c>
      <c r="V2338">
        <v>6</v>
      </c>
    </row>
    <row r="2339" spans="1:22" x14ac:dyDescent="0.25">
      <c r="A2339" t="s">
        <v>5165</v>
      </c>
      <c r="B2339" s="1">
        <v>44205</v>
      </c>
      <c r="C2339" t="s">
        <v>5166</v>
      </c>
      <c r="D2339" t="s">
        <v>367</v>
      </c>
      <c r="E2339">
        <v>42</v>
      </c>
      <c r="F2339" t="str">
        <f>IF(Table1[[#This Row],[age]]&lt;=25,"18-25",IF(Table1[[#This Row],[age]]&lt;=35,"26-35",IF(Table1[[#This Row],[age]]&lt;=50,"36-50","51+")))</f>
        <v>36-50</v>
      </c>
      <c r="G2339" t="s">
        <v>54</v>
      </c>
      <c r="H2339" t="s">
        <v>61</v>
      </c>
      <c r="I2339" t="s">
        <v>91</v>
      </c>
      <c r="J2339" t="s">
        <v>115</v>
      </c>
      <c r="K2339" t="s">
        <v>545</v>
      </c>
      <c r="L2339">
        <v>10</v>
      </c>
      <c r="M2339">
        <v>55337.120000000003</v>
      </c>
      <c r="N2339">
        <v>0.24</v>
      </c>
      <c r="O2339">
        <v>299036.46000000002</v>
      </c>
      <c r="P2339">
        <v>36301.089999999997</v>
      </c>
      <c r="Q2339">
        <v>63.2</v>
      </c>
      <c r="R2339" t="s">
        <v>65</v>
      </c>
      <c r="S2339">
        <v>2</v>
      </c>
      <c r="T2339" t="b">
        <v>1</v>
      </c>
      <c r="U2339" t="s">
        <v>50</v>
      </c>
      <c r="V2339">
        <v>10</v>
      </c>
    </row>
    <row r="2340" spans="1:22" x14ac:dyDescent="0.25">
      <c r="A2340" t="s">
        <v>5167</v>
      </c>
      <c r="B2340" s="1">
        <v>44061</v>
      </c>
      <c r="C2340" t="s">
        <v>5168</v>
      </c>
      <c r="D2340" t="s">
        <v>430</v>
      </c>
      <c r="E2340">
        <v>22</v>
      </c>
      <c r="F2340" t="str">
        <f>IF(Table1[[#This Row],[age]]&lt;=25,"18-25",IF(Table1[[#This Row],[age]]&lt;=35,"26-35",IF(Table1[[#This Row],[age]]&lt;=50,"36-50","51+")))</f>
        <v>18-25</v>
      </c>
      <c r="G2340" t="s">
        <v>24</v>
      </c>
      <c r="H2340" t="s">
        <v>69</v>
      </c>
      <c r="I2340" t="s">
        <v>70</v>
      </c>
      <c r="J2340" t="s">
        <v>47</v>
      </c>
      <c r="K2340" t="s">
        <v>48</v>
      </c>
      <c r="L2340">
        <v>10</v>
      </c>
      <c r="M2340">
        <v>1445</v>
      </c>
      <c r="N2340">
        <v>0.31</v>
      </c>
      <c r="O2340">
        <v>12763.71</v>
      </c>
      <c r="P2340">
        <v>3313.53</v>
      </c>
      <c r="Q2340">
        <v>74.73</v>
      </c>
      <c r="R2340" t="s">
        <v>92</v>
      </c>
      <c r="S2340">
        <v>4</v>
      </c>
      <c r="T2340" t="b">
        <v>0</v>
      </c>
      <c r="U2340" t="s">
        <v>30</v>
      </c>
      <c r="V2340">
        <v>3</v>
      </c>
    </row>
    <row r="2341" spans="1:22" x14ac:dyDescent="0.25">
      <c r="A2341" t="s">
        <v>5169</v>
      </c>
      <c r="B2341" s="1">
        <v>45487</v>
      </c>
      <c r="C2341" t="s">
        <v>5170</v>
      </c>
      <c r="D2341" t="s">
        <v>2721</v>
      </c>
      <c r="E2341">
        <v>40</v>
      </c>
      <c r="F2341" t="str">
        <f>IF(Table1[[#This Row],[age]]&lt;=25,"18-25",IF(Table1[[#This Row],[age]]&lt;=35,"26-35",IF(Table1[[#This Row],[age]]&lt;=50,"36-50","51+")))</f>
        <v>36-50</v>
      </c>
      <c r="G2341" t="s">
        <v>24</v>
      </c>
      <c r="H2341" t="s">
        <v>25</v>
      </c>
      <c r="I2341" t="s">
        <v>26</v>
      </c>
      <c r="J2341" t="s">
        <v>47</v>
      </c>
      <c r="K2341" t="s">
        <v>120</v>
      </c>
      <c r="L2341">
        <v>8</v>
      </c>
      <c r="M2341">
        <v>526.69000000000005</v>
      </c>
      <c r="N2341">
        <v>0.25</v>
      </c>
      <c r="O2341">
        <v>5310.11</v>
      </c>
      <c r="P2341">
        <v>1871.66</v>
      </c>
      <c r="Q2341">
        <v>54.87</v>
      </c>
      <c r="R2341" t="s">
        <v>43</v>
      </c>
      <c r="S2341">
        <v>3</v>
      </c>
      <c r="T2341" t="b">
        <v>1</v>
      </c>
      <c r="U2341" t="s">
        <v>50</v>
      </c>
      <c r="V2341">
        <v>7</v>
      </c>
    </row>
    <row r="2342" spans="1:22" x14ac:dyDescent="0.25">
      <c r="A2342" t="s">
        <v>5171</v>
      </c>
      <c r="B2342" s="1">
        <v>44759</v>
      </c>
      <c r="C2342" t="s">
        <v>5172</v>
      </c>
      <c r="D2342" t="s">
        <v>2432</v>
      </c>
      <c r="E2342">
        <v>42</v>
      </c>
      <c r="F2342" t="str">
        <f>IF(Table1[[#This Row],[age]]&lt;=25,"18-25",IF(Table1[[#This Row],[age]]&lt;=35,"26-35",IF(Table1[[#This Row],[age]]&lt;=50,"36-50","51+")))</f>
        <v>36-50</v>
      </c>
      <c r="G2342" t="s">
        <v>24</v>
      </c>
      <c r="H2342" t="s">
        <v>69</v>
      </c>
      <c r="I2342" t="s">
        <v>136</v>
      </c>
      <c r="J2342" t="s">
        <v>63</v>
      </c>
      <c r="K2342" t="s">
        <v>111</v>
      </c>
      <c r="L2342">
        <v>7</v>
      </c>
      <c r="M2342">
        <v>2784.47</v>
      </c>
      <c r="N2342">
        <v>0.09</v>
      </c>
      <c r="O2342">
        <v>25867.22</v>
      </c>
      <c r="P2342">
        <v>7897.77</v>
      </c>
      <c r="Q2342">
        <v>98.75</v>
      </c>
      <c r="R2342" t="s">
        <v>57</v>
      </c>
      <c r="S2342">
        <v>3</v>
      </c>
      <c r="T2342" t="b">
        <v>1</v>
      </c>
      <c r="U2342" t="s">
        <v>50</v>
      </c>
      <c r="V2342">
        <v>8</v>
      </c>
    </row>
    <row r="2343" spans="1:22" x14ac:dyDescent="0.25">
      <c r="A2343" t="s">
        <v>5173</v>
      </c>
      <c r="B2343" s="1">
        <v>45254</v>
      </c>
      <c r="C2343" t="s">
        <v>5174</v>
      </c>
      <c r="D2343" t="s">
        <v>967</v>
      </c>
      <c r="E2343">
        <v>35</v>
      </c>
      <c r="F2343" t="str">
        <f>IF(Table1[[#This Row],[age]]&lt;=25,"18-25",IF(Table1[[#This Row],[age]]&lt;=35,"26-35",IF(Table1[[#This Row],[age]]&lt;=50,"36-50","51+")))</f>
        <v>26-35</v>
      </c>
      <c r="G2343" t="s">
        <v>34</v>
      </c>
      <c r="H2343" t="s">
        <v>61</v>
      </c>
      <c r="I2343" t="s">
        <v>163</v>
      </c>
      <c r="J2343" t="s">
        <v>115</v>
      </c>
      <c r="K2343" t="s">
        <v>116</v>
      </c>
      <c r="L2343">
        <v>4</v>
      </c>
      <c r="M2343">
        <v>61816.92</v>
      </c>
      <c r="N2343">
        <v>0</v>
      </c>
      <c r="O2343">
        <v>227231.35</v>
      </c>
      <c r="P2343">
        <v>30169.32</v>
      </c>
      <c r="Q2343">
        <v>42.89</v>
      </c>
      <c r="R2343" t="s">
        <v>43</v>
      </c>
      <c r="S2343">
        <v>1</v>
      </c>
      <c r="T2343" t="b">
        <v>0</v>
      </c>
      <c r="U2343" t="s">
        <v>30</v>
      </c>
      <c r="V2343">
        <v>10</v>
      </c>
    </row>
    <row r="2344" spans="1:22" x14ac:dyDescent="0.25">
      <c r="A2344" t="s">
        <v>5175</v>
      </c>
      <c r="B2344" s="1">
        <v>45402</v>
      </c>
      <c r="C2344" t="s">
        <v>5176</v>
      </c>
      <c r="D2344" t="s">
        <v>2721</v>
      </c>
      <c r="E2344">
        <v>39</v>
      </c>
      <c r="F2344" t="str">
        <f>IF(Table1[[#This Row],[age]]&lt;=25,"18-25",IF(Table1[[#This Row],[age]]&lt;=35,"26-35",IF(Table1[[#This Row],[age]]&lt;=50,"36-50","51+")))</f>
        <v>36-50</v>
      </c>
      <c r="G2344" t="s">
        <v>24</v>
      </c>
      <c r="H2344" t="s">
        <v>55</v>
      </c>
      <c r="I2344" t="s">
        <v>75</v>
      </c>
      <c r="J2344" t="s">
        <v>27</v>
      </c>
      <c r="K2344" t="s">
        <v>335</v>
      </c>
      <c r="L2344">
        <v>8</v>
      </c>
      <c r="M2344">
        <v>722.26</v>
      </c>
      <c r="N2344">
        <v>0.33</v>
      </c>
      <c r="O2344">
        <v>6687.01</v>
      </c>
      <c r="P2344">
        <v>4477.03</v>
      </c>
      <c r="Q2344">
        <v>42.31</v>
      </c>
      <c r="R2344" t="s">
        <v>92</v>
      </c>
      <c r="S2344">
        <v>3</v>
      </c>
      <c r="T2344" t="b">
        <v>1</v>
      </c>
      <c r="U2344" t="s">
        <v>50</v>
      </c>
      <c r="V2344">
        <v>1</v>
      </c>
    </row>
    <row r="2345" spans="1:22" x14ac:dyDescent="0.25">
      <c r="A2345" t="s">
        <v>5177</v>
      </c>
      <c r="B2345" s="1">
        <v>45017</v>
      </c>
      <c r="C2345" t="s">
        <v>5178</v>
      </c>
      <c r="D2345" t="s">
        <v>1921</v>
      </c>
      <c r="E2345">
        <v>28</v>
      </c>
      <c r="F2345" t="str">
        <f>IF(Table1[[#This Row],[age]]&lt;=25,"18-25",IF(Table1[[#This Row],[age]]&lt;=35,"26-35",IF(Table1[[#This Row],[age]]&lt;=50,"36-50","51+")))</f>
        <v>26-35</v>
      </c>
      <c r="G2345" t="s">
        <v>34</v>
      </c>
      <c r="H2345" t="s">
        <v>69</v>
      </c>
      <c r="I2345" t="s">
        <v>181</v>
      </c>
      <c r="J2345" t="s">
        <v>63</v>
      </c>
      <c r="K2345" t="s">
        <v>87</v>
      </c>
      <c r="L2345">
        <v>1</v>
      </c>
      <c r="M2345">
        <v>3896.79</v>
      </c>
      <c r="N2345">
        <v>0.36</v>
      </c>
      <c r="O2345">
        <v>3471.12</v>
      </c>
      <c r="P2345">
        <v>1531.25</v>
      </c>
      <c r="Q2345">
        <v>72.56</v>
      </c>
      <c r="R2345" t="s">
        <v>49</v>
      </c>
      <c r="S2345">
        <v>5</v>
      </c>
      <c r="T2345" t="b">
        <v>0</v>
      </c>
      <c r="U2345" t="s">
        <v>30</v>
      </c>
      <c r="V2345">
        <v>5</v>
      </c>
    </row>
    <row r="2346" spans="1:22" x14ac:dyDescent="0.25">
      <c r="A2346" t="s">
        <v>5179</v>
      </c>
      <c r="B2346" s="1">
        <v>44926</v>
      </c>
      <c r="C2346" t="s">
        <v>5180</v>
      </c>
      <c r="D2346" t="s">
        <v>1436</v>
      </c>
      <c r="E2346">
        <v>26</v>
      </c>
      <c r="F2346" t="str">
        <f>IF(Table1[[#This Row],[age]]&lt;=25,"18-25",IF(Table1[[#This Row],[age]]&lt;=35,"26-35",IF(Table1[[#This Row],[age]]&lt;=50,"36-50","51+")))</f>
        <v>26-35</v>
      </c>
      <c r="G2346" t="s">
        <v>54</v>
      </c>
      <c r="H2346" t="s">
        <v>25</v>
      </c>
      <c r="I2346" t="s">
        <v>298</v>
      </c>
      <c r="J2346" t="s">
        <v>47</v>
      </c>
      <c r="K2346" t="s">
        <v>204</v>
      </c>
      <c r="L2346">
        <v>6</v>
      </c>
      <c r="M2346">
        <v>1055.08</v>
      </c>
      <c r="N2346">
        <v>0.36</v>
      </c>
      <c r="O2346">
        <v>2966.43</v>
      </c>
      <c r="P2346">
        <v>1190.94</v>
      </c>
      <c r="Q2346">
        <v>62.47</v>
      </c>
      <c r="R2346" t="s">
        <v>29</v>
      </c>
      <c r="S2346">
        <v>3</v>
      </c>
      <c r="T2346" t="b">
        <v>0</v>
      </c>
      <c r="U2346" t="s">
        <v>30</v>
      </c>
      <c r="V2346">
        <v>4</v>
      </c>
    </row>
    <row r="2347" spans="1:22" x14ac:dyDescent="0.25">
      <c r="A2347" t="s">
        <v>5181</v>
      </c>
      <c r="B2347" s="1">
        <v>44544</v>
      </c>
      <c r="C2347" t="s">
        <v>5182</v>
      </c>
      <c r="D2347" t="s">
        <v>278</v>
      </c>
      <c r="E2347">
        <v>48</v>
      </c>
      <c r="F2347" t="str">
        <f>IF(Table1[[#This Row],[age]]&lt;=25,"18-25",IF(Table1[[#This Row],[age]]&lt;=35,"26-35",IF(Table1[[#This Row],[age]]&lt;=50,"36-50","51+")))</f>
        <v>36-50</v>
      </c>
      <c r="G2347" t="s">
        <v>34</v>
      </c>
      <c r="H2347" t="s">
        <v>61</v>
      </c>
      <c r="I2347" t="s">
        <v>91</v>
      </c>
      <c r="J2347" t="s">
        <v>115</v>
      </c>
      <c r="K2347" t="s">
        <v>145</v>
      </c>
      <c r="L2347">
        <v>7</v>
      </c>
      <c r="M2347">
        <v>52086.42</v>
      </c>
      <c r="N2347">
        <v>0</v>
      </c>
      <c r="O2347">
        <v>273692</v>
      </c>
      <c r="P2347">
        <v>39729.58</v>
      </c>
      <c r="Q2347">
        <v>59.26</v>
      </c>
      <c r="R2347" t="s">
        <v>29</v>
      </c>
      <c r="S2347">
        <v>5</v>
      </c>
      <c r="T2347" t="b">
        <v>1</v>
      </c>
      <c r="U2347" t="s">
        <v>50</v>
      </c>
      <c r="V2347">
        <v>3</v>
      </c>
    </row>
    <row r="2348" spans="1:22" x14ac:dyDescent="0.25">
      <c r="A2348" t="s">
        <v>5183</v>
      </c>
      <c r="B2348" s="1">
        <v>44327</v>
      </c>
      <c r="C2348" t="s">
        <v>5184</v>
      </c>
      <c r="D2348" t="s">
        <v>1914</v>
      </c>
      <c r="E2348">
        <v>23</v>
      </c>
      <c r="F2348" t="str">
        <f>IF(Table1[[#This Row],[age]]&lt;=25,"18-25",IF(Table1[[#This Row],[age]]&lt;=35,"26-35",IF(Table1[[#This Row],[age]]&lt;=50,"36-50","51+")))</f>
        <v>18-25</v>
      </c>
      <c r="G2348" t="s">
        <v>54</v>
      </c>
      <c r="H2348" t="s">
        <v>69</v>
      </c>
      <c r="I2348" t="s">
        <v>181</v>
      </c>
      <c r="J2348" t="s">
        <v>106</v>
      </c>
      <c r="K2348" t="s">
        <v>247</v>
      </c>
      <c r="L2348">
        <v>5</v>
      </c>
      <c r="M2348">
        <v>176.3</v>
      </c>
      <c r="N2348">
        <v>0.32</v>
      </c>
      <c r="O2348">
        <v>725.63</v>
      </c>
      <c r="P2348">
        <v>60.81</v>
      </c>
      <c r="Q2348">
        <v>108.31</v>
      </c>
      <c r="R2348" t="s">
        <v>43</v>
      </c>
      <c r="S2348">
        <v>2</v>
      </c>
      <c r="T2348" t="b">
        <v>0</v>
      </c>
      <c r="U2348" t="s">
        <v>93</v>
      </c>
      <c r="V2348">
        <v>3</v>
      </c>
    </row>
    <row r="2349" spans="1:22" x14ac:dyDescent="0.25">
      <c r="A2349" t="s">
        <v>5185</v>
      </c>
      <c r="B2349" s="1">
        <v>44749</v>
      </c>
      <c r="C2349" t="s">
        <v>5186</v>
      </c>
      <c r="D2349" t="s">
        <v>757</v>
      </c>
      <c r="E2349">
        <v>42</v>
      </c>
      <c r="F2349" t="str">
        <f>IF(Table1[[#This Row],[age]]&lt;=25,"18-25",IF(Table1[[#This Row],[age]]&lt;=35,"26-35",IF(Table1[[#This Row],[age]]&lt;=50,"36-50","51+")))</f>
        <v>36-50</v>
      </c>
      <c r="G2349" t="s">
        <v>24</v>
      </c>
      <c r="H2349" t="s">
        <v>25</v>
      </c>
      <c r="I2349" t="s">
        <v>35</v>
      </c>
      <c r="J2349" t="s">
        <v>36</v>
      </c>
      <c r="K2349" t="s">
        <v>42</v>
      </c>
      <c r="L2349">
        <v>6</v>
      </c>
      <c r="M2349">
        <v>4221.96</v>
      </c>
      <c r="N2349">
        <v>0.25</v>
      </c>
      <c r="O2349">
        <v>27887.17</v>
      </c>
      <c r="P2349">
        <v>11561.41</v>
      </c>
      <c r="Q2349">
        <v>56.54</v>
      </c>
      <c r="R2349" t="s">
        <v>92</v>
      </c>
      <c r="S2349">
        <v>2</v>
      </c>
      <c r="T2349" t="b">
        <v>0</v>
      </c>
      <c r="U2349" t="s">
        <v>30</v>
      </c>
      <c r="V2349">
        <v>5</v>
      </c>
    </row>
    <row r="2350" spans="1:22" x14ac:dyDescent="0.25">
      <c r="A2350" t="s">
        <v>5187</v>
      </c>
      <c r="B2350" s="1">
        <v>44871</v>
      </c>
      <c r="C2350" t="s">
        <v>5188</v>
      </c>
      <c r="D2350" t="s">
        <v>1370</v>
      </c>
      <c r="E2350">
        <v>66</v>
      </c>
      <c r="F2350" t="str">
        <f>IF(Table1[[#This Row],[age]]&lt;=25,"18-25",IF(Table1[[#This Row],[age]]&lt;=35,"26-35",IF(Table1[[#This Row],[age]]&lt;=50,"36-50","51+")))</f>
        <v>51+</v>
      </c>
      <c r="G2350" t="s">
        <v>24</v>
      </c>
      <c r="H2350" t="s">
        <v>25</v>
      </c>
      <c r="I2350" t="s">
        <v>35</v>
      </c>
      <c r="J2350" t="s">
        <v>115</v>
      </c>
      <c r="K2350" t="s">
        <v>197</v>
      </c>
      <c r="L2350">
        <v>4</v>
      </c>
      <c r="M2350">
        <v>23321.4</v>
      </c>
      <c r="N2350">
        <v>0.36</v>
      </c>
      <c r="O2350">
        <v>50337.85</v>
      </c>
      <c r="P2350">
        <v>8865.89</v>
      </c>
      <c r="Q2350">
        <v>72.319999999999993</v>
      </c>
      <c r="R2350" t="s">
        <v>29</v>
      </c>
      <c r="S2350">
        <v>1</v>
      </c>
      <c r="T2350" t="b">
        <v>1</v>
      </c>
      <c r="U2350" t="s">
        <v>50</v>
      </c>
      <c r="V2350">
        <v>7</v>
      </c>
    </row>
    <row r="2351" spans="1:22" x14ac:dyDescent="0.25">
      <c r="A2351" t="s">
        <v>5189</v>
      </c>
      <c r="B2351" s="1">
        <v>44491</v>
      </c>
      <c r="C2351" t="s">
        <v>5190</v>
      </c>
      <c r="D2351" t="s">
        <v>364</v>
      </c>
      <c r="E2351">
        <v>30</v>
      </c>
      <c r="F2351" t="str">
        <f>IF(Table1[[#This Row],[age]]&lt;=25,"18-25",IF(Table1[[#This Row],[age]]&lt;=35,"26-35",IF(Table1[[#This Row],[age]]&lt;=50,"36-50","51+")))</f>
        <v>26-35</v>
      </c>
      <c r="G2351" t="s">
        <v>34</v>
      </c>
      <c r="H2351" t="s">
        <v>25</v>
      </c>
      <c r="I2351" t="s">
        <v>41</v>
      </c>
      <c r="J2351" t="s">
        <v>47</v>
      </c>
      <c r="K2351" t="s">
        <v>48</v>
      </c>
      <c r="L2351">
        <v>9</v>
      </c>
      <c r="M2351">
        <v>601.66</v>
      </c>
      <c r="N2351">
        <v>0.04</v>
      </c>
      <c r="O2351">
        <v>5277.72</v>
      </c>
      <c r="P2351">
        <v>1862.14</v>
      </c>
      <c r="Q2351">
        <v>59.96</v>
      </c>
      <c r="R2351" t="s">
        <v>29</v>
      </c>
      <c r="S2351">
        <v>2</v>
      </c>
      <c r="T2351" t="b">
        <v>1</v>
      </c>
      <c r="U2351" t="s">
        <v>50</v>
      </c>
      <c r="V2351">
        <v>1</v>
      </c>
    </row>
    <row r="2352" spans="1:22" x14ac:dyDescent="0.25">
      <c r="A2352" t="s">
        <v>5191</v>
      </c>
      <c r="B2352" s="1">
        <v>44454</v>
      </c>
      <c r="C2352" t="s">
        <v>5192</v>
      </c>
      <c r="D2352" t="s">
        <v>692</v>
      </c>
      <c r="E2352">
        <v>48</v>
      </c>
      <c r="F2352" t="str">
        <f>IF(Table1[[#This Row],[age]]&lt;=25,"18-25",IF(Table1[[#This Row],[age]]&lt;=35,"26-35",IF(Table1[[#This Row],[age]]&lt;=50,"36-50","51+")))</f>
        <v>36-50</v>
      </c>
      <c r="G2352" t="s">
        <v>54</v>
      </c>
      <c r="H2352" t="s">
        <v>80</v>
      </c>
      <c r="I2352" t="s">
        <v>81</v>
      </c>
      <c r="J2352" t="s">
        <v>106</v>
      </c>
      <c r="K2352" t="s">
        <v>107</v>
      </c>
      <c r="L2352">
        <v>8</v>
      </c>
      <c r="M2352">
        <v>378.17</v>
      </c>
      <c r="N2352">
        <v>0.2</v>
      </c>
      <c r="O2352">
        <v>2714.36</v>
      </c>
      <c r="P2352">
        <v>171.58</v>
      </c>
      <c r="Q2352">
        <v>53.04</v>
      </c>
      <c r="R2352" t="s">
        <v>29</v>
      </c>
      <c r="S2352">
        <v>2</v>
      </c>
      <c r="T2352" t="b">
        <v>0</v>
      </c>
      <c r="U2352" t="s">
        <v>30</v>
      </c>
      <c r="V2352">
        <v>7</v>
      </c>
    </row>
    <row r="2353" spans="1:22" x14ac:dyDescent="0.25">
      <c r="A2353" t="s">
        <v>5193</v>
      </c>
      <c r="B2353" s="1">
        <v>45245</v>
      </c>
      <c r="C2353" t="s">
        <v>5194</v>
      </c>
      <c r="D2353" t="s">
        <v>184</v>
      </c>
      <c r="E2353">
        <v>35</v>
      </c>
      <c r="F2353" t="str">
        <f>IF(Table1[[#This Row],[age]]&lt;=25,"18-25",IF(Table1[[#This Row],[age]]&lt;=35,"26-35",IF(Table1[[#This Row],[age]]&lt;=50,"36-50","51+")))</f>
        <v>26-35</v>
      </c>
      <c r="G2353" t="s">
        <v>34</v>
      </c>
      <c r="H2353" t="s">
        <v>25</v>
      </c>
      <c r="I2353" t="s">
        <v>26</v>
      </c>
      <c r="J2353" t="s">
        <v>101</v>
      </c>
      <c r="K2353" t="s">
        <v>124</v>
      </c>
      <c r="L2353">
        <v>10</v>
      </c>
      <c r="M2353">
        <v>4317.8100000000004</v>
      </c>
      <c r="N2353">
        <v>0.2</v>
      </c>
      <c r="O2353">
        <v>32059.7</v>
      </c>
      <c r="P2353">
        <v>7938.01</v>
      </c>
      <c r="Q2353">
        <v>65.95</v>
      </c>
      <c r="R2353" t="s">
        <v>49</v>
      </c>
      <c r="S2353">
        <v>3</v>
      </c>
      <c r="T2353" t="b">
        <v>0</v>
      </c>
      <c r="U2353" t="s">
        <v>93</v>
      </c>
      <c r="V2353">
        <v>3</v>
      </c>
    </row>
    <row r="2354" spans="1:22" x14ac:dyDescent="0.25">
      <c r="A2354" t="s">
        <v>5195</v>
      </c>
      <c r="B2354" s="1">
        <v>44282</v>
      </c>
      <c r="C2354" t="s">
        <v>5196</v>
      </c>
      <c r="D2354" t="s">
        <v>1030</v>
      </c>
      <c r="E2354">
        <v>34</v>
      </c>
      <c r="F2354" t="str">
        <f>IF(Table1[[#This Row],[age]]&lt;=25,"18-25",IF(Table1[[#This Row],[age]]&lt;=35,"26-35",IF(Table1[[#This Row],[age]]&lt;=50,"36-50","51+")))</f>
        <v>26-35</v>
      </c>
      <c r="G2354" t="s">
        <v>24</v>
      </c>
      <c r="H2354" t="s">
        <v>25</v>
      </c>
      <c r="I2354" t="s">
        <v>41</v>
      </c>
      <c r="J2354" t="s">
        <v>101</v>
      </c>
      <c r="K2354" t="s">
        <v>456</v>
      </c>
      <c r="L2354">
        <v>6</v>
      </c>
      <c r="M2354">
        <v>4757.97</v>
      </c>
      <c r="N2354">
        <v>0.39</v>
      </c>
      <c r="O2354">
        <v>16398.86</v>
      </c>
      <c r="P2354">
        <v>4630.17</v>
      </c>
      <c r="Q2354">
        <v>69.73</v>
      </c>
      <c r="R2354" t="s">
        <v>49</v>
      </c>
      <c r="S2354">
        <v>1</v>
      </c>
      <c r="T2354" t="b">
        <v>0</v>
      </c>
      <c r="U2354" t="s">
        <v>30</v>
      </c>
      <c r="V2354">
        <v>6</v>
      </c>
    </row>
    <row r="2355" spans="1:22" x14ac:dyDescent="0.25">
      <c r="A2355" t="s">
        <v>5197</v>
      </c>
      <c r="B2355" s="1">
        <v>44334</v>
      </c>
      <c r="C2355" t="s">
        <v>5198</v>
      </c>
      <c r="D2355" t="s">
        <v>1020</v>
      </c>
      <c r="E2355">
        <v>59</v>
      </c>
      <c r="F2355" t="str">
        <f>IF(Table1[[#This Row],[age]]&lt;=25,"18-25",IF(Table1[[#This Row],[age]]&lt;=35,"26-35",IF(Table1[[#This Row],[age]]&lt;=50,"36-50","51+")))</f>
        <v>51+</v>
      </c>
      <c r="G2355" t="s">
        <v>34</v>
      </c>
      <c r="H2355" t="s">
        <v>80</v>
      </c>
      <c r="I2355" t="s">
        <v>236</v>
      </c>
      <c r="J2355" t="s">
        <v>106</v>
      </c>
      <c r="K2355" t="s">
        <v>718</v>
      </c>
      <c r="L2355">
        <v>4</v>
      </c>
      <c r="M2355">
        <v>346.05</v>
      </c>
      <c r="N2355">
        <v>0.01</v>
      </c>
      <c r="O2355">
        <v>1943.15</v>
      </c>
      <c r="P2355">
        <v>156.61000000000001</v>
      </c>
      <c r="Q2355">
        <v>48.59</v>
      </c>
      <c r="R2355" t="s">
        <v>65</v>
      </c>
      <c r="S2355">
        <v>4</v>
      </c>
      <c r="T2355" t="b">
        <v>0</v>
      </c>
      <c r="U2355" t="s">
        <v>30</v>
      </c>
      <c r="V2355">
        <v>10</v>
      </c>
    </row>
    <row r="2356" spans="1:22" x14ac:dyDescent="0.25">
      <c r="A2356" t="s">
        <v>5199</v>
      </c>
      <c r="B2356" s="1">
        <v>44747</v>
      </c>
      <c r="C2356" t="s">
        <v>5200</v>
      </c>
      <c r="D2356" t="s">
        <v>777</v>
      </c>
      <c r="E2356">
        <v>32</v>
      </c>
      <c r="F2356" t="str">
        <f>IF(Table1[[#This Row],[age]]&lt;=25,"18-25",IF(Table1[[#This Row],[age]]&lt;=35,"26-35",IF(Table1[[#This Row],[age]]&lt;=50,"36-50","51+")))</f>
        <v>26-35</v>
      </c>
      <c r="G2356" t="s">
        <v>34</v>
      </c>
      <c r="H2356" t="s">
        <v>61</v>
      </c>
      <c r="I2356" t="s">
        <v>62</v>
      </c>
      <c r="J2356" t="s">
        <v>47</v>
      </c>
      <c r="K2356" t="s">
        <v>120</v>
      </c>
      <c r="L2356">
        <v>4</v>
      </c>
      <c r="M2356">
        <v>407.5</v>
      </c>
      <c r="N2356">
        <v>0.21</v>
      </c>
      <c r="O2356">
        <v>1683.33</v>
      </c>
      <c r="P2356">
        <v>655.53</v>
      </c>
      <c r="Q2356">
        <v>64</v>
      </c>
      <c r="R2356" t="s">
        <v>92</v>
      </c>
      <c r="S2356">
        <v>2</v>
      </c>
      <c r="T2356" t="b">
        <v>0</v>
      </c>
      <c r="U2356" t="s">
        <v>30</v>
      </c>
      <c r="V2356">
        <v>8</v>
      </c>
    </row>
    <row r="2357" spans="1:22" x14ac:dyDescent="0.25">
      <c r="A2357" t="s">
        <v>5201</v>
      </c>
      <c r="B2357" s="1">
        <v>44497</v>
      </c>
      <c r="C2357" t="s">
        <v>5202</v>
      </c>
      <c r="D2357" t="s">
        <v>967</v>
      </c>
      <c r="E2357">
        <v>49</v>
      </c>
      <c r="F2357" t="str">
        <f>IF(Table1[[#This Row],[age]]&lt;=25,"18-25",IF(Table1[[#This Row],[age]]&lt;=35,"26-35",IF(Table1[[#This Row],[age]]&lt;=50,"36-50","51+")))</f>
        <v>36-50</v>
      </c>
      <c r="G2357" t="s">
        <v>34</v>
      </c>
      <c r="H2357" t="s">
        <v>61</v>
      </c>
      <c r="I2357" t="s">
        <v>62</v>
      </c>
      <c r="J2357" t="s">
        <v>27</v>
      </c>
      <c r="K2357" t="s">
        <v>168</v>
      </c>
      <c r="L2357">
        <v>1</v>
      </c>
      <c r="M2357">
        <v>2097.9</v>
      </c>
      <c r="N2357">
        <v>0.1</v>
      </c>
      <c r="O2357">
        <v>1753.48</v>
      </c>
      <c r="P2357">
        <v>591.99</v>
      </c>
      <c r="Q2357">
        <v>41.06</v>
      </c>
      <c r="R2357" t="s">
        <v>43</v>
      </c>
      <c r="S2357">
        <v>5</v>
      </c>
      <c r="T2357" t="b">
        <v>0</v>
      </c>
      <c r="U2357" t="s">
        <v>30</v>
      </c>
      <c r="V2357">
        <v>4</v>
      </c>
    </row>
    <row r="2358" spans="1:22" x14ac:dyDescent="0.25">
      <c r="A2358" t="s">
        <v>5203</v>
      </c>
      <c r="B2358" s="1">
        <v>45404</v>
      </c>
      <c r="C2358" t="s">
        <v>1080</v>
      </c>
      <c r="D2358" t="s">
        <v>2058</v>
      </c>
      <c r="E2358">
        <v>34</v>
      </c>
      <c r="F2358" t="str">
        <f>IF(Table1[[#This Row],[age]]&lt;=25,"18-25",IF(Table1[[#This Row],[age]]&lt;=35,"26-35",IF(Table1[[#This Row],[age]]&lt;=50,"36-50","51+")))</f>
        <v>26-35</v>
      </c>
      <c r="G2358" t="s">
        <v>34</v>
      </c>
      <c r="H2358" t="s">
        <v>55</v>
      </c>
      <c r="I2358" t="s">
        <v>75</v>
      </c>
      <c r="J2358" t="s">
        <v>47</v>
      </c>
      <c r="K2358" t="s">
        <v>204</v>
      </c>
      <c r="L2358">
        <v>2</v>
      </c>
      <c r="M2358">
        <v>1290.19</v>
      </c>
      <c r="N2358">
        <v>0.11</v>
      </c>
      <c r="O2358">
        <v>3480.18</v>
      </c>
      <c r="P2358">
        <v>1141.8800000000001</v>
      </c>
      <c r="Q2358">
        <v>63.68</v>
      </c>
      <c r="R2358" t="s">
        <v>29</v>
      </c>
      <c r="S2358">
        <v>1</v>
      </c>
      <c r="T2358" t="b">
        <v>0</v>
      </c>
      <c r="U2358" t="s">
        <v>30</v>
      </c>
      <c r="V2358">
        <v>6</v>
      </c>
    </row>
    <row r="2359" spans="1:22" x14ac:dyDescent="0.25">
      <c r="A2359" t="s">
        <v>5204</v>
      </c>
      <c r="B2359" s="1">
        <v>45469</v>
      </c>
      <c r="C2359" t="s">
        <v>5205</v>
      </c>
      <c r="D2359" t="s">
        <v>649</v>
      </c>
      <c r="E2359">
        <v>49</v>
      </c>
      <c r="F2359" t="str">
        <f>IF(Table1[[#This Row],[age]]&lt;=25,"18-25",IF(Table1[[#This Row],[age]]&lt;=35,"26-35",IF(Table1[[#This Row],[age]]&lt;=50,"36-50","51+")))</f>
        <v>36-50</v>
      </c>
      <c r="G2359" t="s">
        <v>24</v>
      </c>
      <c r="H2359" t="s">
        <v>55</v>
      </c>
      <c r="I2359" t="s">
        <v>97</v>
      </c>
      <c r="J2359" t="s">
        <v>101</v>
      </c>
      <c r="K2359" t="s">
        <v>124</v>
      </c>
      <c r="L2359">
        <v>3</v>
      </c>
      <c r="M2359">
        <v>10144.06</v>
      </c>
      <c r="N2359">
        <v>0.02</v>
      </c>
      <c r="O2359">
        <v>54236.12</v>
      </c>
      <c r="P2359">
        <v>10158.299999999999</v>
      </c>
      <c r="Q2359">
        <v>72.680000000000007</v>
      </c>
      <c r="R2359" t="s">
        <v>29</v>
      </c>
      <c r="S2359">
        <v>1</v>
      </c>
      <c r="T2359" t="b">
        <v>1</v>
      </c>
      <c r="U2359" t="s">
        <v>50</v>
      </c>
      <c r="V2359">
        <v>1</v>
      </c>
    </row>
    <row r="2360" spans="1:22" x14ac:dyDescent="0.25">
      <c r="A2360" t="s">
        <v>5206</v>
      </c>
      <c r="B2360" s="1">
        <v>43979</v>
      </c>
      <c r="C2360" t="s">
        <v>5207</v>
      </c>
      <c r="D2360" t="s">
        <v>200</v>
      </c>
      <c r="E2360">
        <v>40</v>
      </c>
      <c r="F2360" t="str">
        <f>IF(Table1[[#This Row],[age]]&lt;=25,"18-25",IF(Table1[[#This Row],[age]]&lt;=35,"26-35",IF(Table1[[#This Row],[age]]&lt;=50,"36-50","51+")))</f>
        <v>36-50</v>
      </c>
      <c r="G2360" t="s">
        <v>54</v>
      </c>
      <c r="H2360" t="s">
        <v>25</v>
      </c>
      <c r="I2360" t="s">
        <v>298</v>
      </c>
      <c r="J2360" t="s">
        <v>106</v>
      </c>
      <c r="K2360" t="s">
        <v>188</v>
      </c>
      <c r="L2360">
        <v>5</v>
      </c>
      <c r="M2360">
        <v>447.63</v>
      </c>
      <c r="N2360">
        <v>0.3</v>
      </c>
      <c r="O2360">
        <v>1817.68</v>
      </c>
      <c r="P2360">
        <v>140.38</v>
      </c>
      <c r="Q2360">
        <v>65.87</v>
      </c>
      <c r="R2360" t="s">
        <v>49</v>
      </c>
      <c r="S2360">
        <v>1</v>
      </c>
      <c r="T2360" t="b">
        <v>0</v>
      </c>
      <c r="U2360" t="s">
        <v>71</v>
      </c>
      <c r="V2360">
        <v>10</v>
      </c>
    </row>
    <row r="2361" spans="1:22" x14ac:dyDescent="0.25">
      <c r="A2361" t="s">
        <v>5208</v>
      </c>
      <c r="B2361" s="1">
        <v>43832</v>
      </c>
      <c r="C2361" t="s">
        <v>5209</v>
      </c>
      <c r="D2361" t="s">
        <v>200</v>
      </c>
      <c r="E2361">
        <v>45</v>
      </c>
      <c r="F2361" t="str">
        <f>IF(Table1[[#This Row],[age]]&lt;=25,"18-25",IF(Table1[[#This Row],[age]]&lt;=35,"26-35",IF(Table1[[#This Row],[age]]&lt;=50,"36-50","51+")))</f>
        <v>36-50</v>
      </c>
      <c r="G2361" t="s">
        <v>24</v>
      </c>
      <c r="H2361" t="s">
        <v>69</v>
      </c>
      <c r="I2361" t="s">
        <v>70</v>
      </c>
      <c r="J2361" t="s">
        <v>47</v>
      </c>
      <c r="K2361" t="s">
        <v>156</v>
      </c>
      <c r="L2361">
        <v>2</v>
      </c>
      <c r="M2361">
        <v>435.28</v>
      </c>
      <c r="N2361">
        <v>0.32</v>
      </c>
      <c r="O2361">
        <v>400.93</v>
      </c>
      <c r="P2361">
        <v>152.9</v>
      </c>
      <c r="Q2361">
        <v>54.81</v>
      </c>
      <c r="R2361" t="s">
        <v>49</v>
      </c>
      <c r="S2361">
        <v>2</v>
      </c>
      <c r="T2361" t="b">
        <v>0</v>
      </c>
      <c r="U2361" t="s">
        <v>71</v>
      </c>
      <c r="V2361">
        <v>9</v>
      </c>
    </row>
    <row r="2362" spans="1:22" x14ac:dyDescent="0.25">
      <c r="A2362" t="s">
        <v>5210</v>
      </c>
      <c r="B2362" s="1">
        <v>44176</v>
      </c>
      <c r="C2362" t="s">
        <v>5211</v>
      </c>
      <c r="D2362" t="s">
        <v>588</v>
      </c>
      <c r="E2362">
        <v>32</v>
      </c>
      <c r="F2362" t="str">
        <f>IF(Table1[[#This Row],[age]]&lt;=25,"18-25",IF(Table1[[#This Row],[age]]&lt;=35,"26-35",IF(Table1[[#This Row],[age]]&lt;=50,"36-50","51+")))</f>
        <v>26-35</v>
      </c>
      <c r="G2362" t="s">
        <v>54</v>
      </c>
      <c r="H2362" t="s">
        <v>61</v>
      </c>
      <c r="I2362" t="s">
        <v>91</v>
      </c>
      <c r="J2362" t="s">
        <v>36</v>
      </c>
      <c r="K2362" t="s">
        <v>132</v>
      </c>
      <c r="L2362">
        <v>6</v>
      </c>
      <c r="M2362">
        <v>18877.52</v>
      </c>
      <c r="N2362">
        <v>0.28999999999999998</v>
      </c>
      <c r="O2362">
        <v>62077.82</v>
      </c>
      <c r="P2362">
        <v>21779.26</v>
      </c>
      <c r="Q2362">
        <v>27.92</v>
      </c>
      <c r="R2362" t="s">
        <v>29</v>
      </c>
      <c r="S2362">
        <v>5</v>
      </c>
      <c r="T2362" t="b">
        <v>0</v>
      </c>
      <c r="U2362" t="s">
        <v>30</v>
      </c>
      <c r="V2362">
        <v>6</v>
      </c>
    </row>
    <row r="2363" spans="1:22" x14ac:dyDescent="0.25">
      <c r="A2363" t="s">
        <v>5212</v>
      </c>
      <c r="B2363" s="1">
        <v>44740</v>
      </c>
      <c r="C2363" t="s">
        <v>5213</v>
      </c>
      <c r="D2363" t="s">
        <v>53</v>
      </c>
      <c r="E2363">
        <v>27</v>
      </c>
      <c r="F2363" t="str">
        <f>IF(Table1[[#This Row],[age]]&lt;=25,"18-25",IF(Table1[[#This Row],[age]]&lt;=35,"26-35",IF(Table1[[#This Row],[age]]&lt;=50,"36-50","51+")))</f>
        <v>26-35</v>
      </c>
      <c r="G2363" t="s">
        <v>54</v>
      </c>
      <c r="H2363" t="s">
        <v>55</v>
      </c>
      <c r="I2363" t="s">
        <v>75</v>
      </c>
      <c r="J2363" t="s">
        <v>106</v>
      </c>
      <c r="K2363" t="s">
        <v>718</v>
      </c>
      <c r="L2363">
        <v>1</v>
      </c>
      <c r="M2363">
        <v>197.09</v>
      </c>
      <c r="N2363">
        <v>0.32</v>
      </c>
      <c r="O2363">
        <v>204.25</v>
      </c>
      <c r="P2363">
        <v>20.87</v>
      </c>
      <c r="Q2363">
        <v>46.31</v>
      </c>
      <c r="R2363" t="s">
        <v>29</v>
      </c>
      <c r="S2363">
        <v>1</v>
      </c>
      <c r="T2363" t="b">
        <v>0</v>
      </c>
      <c r="U2363" t="s">
        <v>93</v>
      </c>
      <c r="V2363">
        <v>5</v>
      </c>
    </row>
    <row r="2364" spans="1:22" x14ac:dyDescent="0.25">
      <c r="A2364" t="s">
        <v>5214</v>
      </c>
      <c r="B2364" s="1">
        <v>45497</v>
      </c>
      <c r="C2364" t="s">
        <v>5215</v>
      </c>
      <c r="D2364" t="s">
        <v>90</v>
      </c>
      <c r="E2364">
        <v>31</v>
      </c>
      <c r="F2364" t="str">
        <f>IF(Table1[[#This Row],[age]]&lt;=25,"18-25",IF(Table1[[#This Row],[age]]&lt;=35,"26-35",IF(Table1[[#This Row],[age]]&lt;=50,"36-50","51+")))</f>
        <v>26-35</v>
      </c>
      <c r="G2364" t="s">
        <v>34</v>
      </c>
      <c r="H2364" t="s">
        <v>69</v>
      </c>
      <c r="I2364" t="s">
        <v>221</v>
      </c>
      <c r="J2364" t="s">
        <v>106</v>
      </c>
      <c r="K2364" t="s">
        <v>188</v>
      </c>
      <c r="L2364">
        <v>5</v>
      </c>
      <c r="M2364">
        <v>335.32</v>
      </c>
      <c r="N2364">
        <v>0.33</v>
      </c>
      <c r="O2364">
        <v>1937.67</v>
      </c>
      <c r="P2364">
        <v>171.12</v>
      </c>
      <c r="Q2364">
        <v>88.98</v>
      </c>
      <c r="R2364" t="s">
        <v>49</v>
      </c>
      <c r="S2364">
        <v>1</v>
      </c>
      <c r="T2364" t="b">
        <v>1</v>
      </c>
      <c r="U2364" t="s">
        <v>50</v>
      </c>
      <c r="V2364">
        <v>2</v>
      </c>
    </row>
    <row r="2365" spans="1:22" x14ac:dyDescent="0.25">
      <c r="A2365" t="s">
        <v>5216</v>
      </c>
      <c r="B2365" s="1">
        <v>44777</v>
      </c>
      <c r="C2365" t="s">
        <v>5217</v>
      </c>
      <c r="D2365" t="s">
        <v>1233</v>
      </c>
      <c r="E2365">
        <v>39</v>
      </c>
      <c r="F2365" t="str">
        <f>IF(Table1[[#This Row],[age]]&lt;=25,"18-25",IF(Table1[[#This Row],[age]]&lt;=35,"26-35",IF(Table1[[#This Row],[age]]&lt;=50,"36-50","51+")))</f>
        <v>36-50</v>
      </c>
      <c r="G2365" t="s">
        <v>24</v>
      </c>
      <c r="H2365" t="s">
        <v>80</v>
      </c>
      <c r="I2365" t="s">
        <v>236</v>
      </c>
      <c r="J2365" t="s">
        <v>106</v>
      </c>
      <c r="K2365" t="s">
        <v>314</v>
      </c>
      <c r="L2365">
        <v>2</v>
      </c>
      <c r="M2365">
        <v>287.45999999999998</v>
      </c>
      <c r="N2365">
        <v>0.12</v>
      </c>
      <c r="O2365">
        <v>696.47</v>
      </c>
      <c r="P2365">
        <v>45.33</v>
      </c>
      <c r="Q2365">
        <v>63.51</v>
      </c>
      <c r="R2365" t="s">
        <v>65</v>
      </c>
      <c r="S2365">
        <v>2</v>
      </c>
      <c r="T2365" t="b">
        <v>0</v>
      </c>
      <c r="U2365" t="s">
        <v>71</v>
      </c>
      <c r="V2365">
        <v>4</v>
      </c>
    </row>
    <row r="2366" spans="1:22" x14ac:dyDescent="0.25">
      <c r="A2366" t="s">
        <v>5218</v>
      </c>
      <c r="B2366" s="1">
        <v>44486</v>
      </c>
      <c r="C2366" t="s">
        <v>5219</v>
      </c>
      <c r="D2366" t="s">
        <v>250</v>
      </c>
      <c r="E2366">
        <v>49</v>
      </c>
      <c r="F2366" t="str">
        <f>IF(Table1[[#This Row],[age]]&lt;=25,"18-25",IF(Table1[[#This Row],[age]]&lt;=35,"26-35",IF(Table1[[#This Row],[age]]&lt;=50,"36-50","51+")))</f>
        <v>36-50</v>
      </c>
      <c r="G2366" t="s">
        <v>34</v>
      </c>
      <c r="H2366" t="s">
        <v>55</v>
      </c>
      <c r="I2366" t="s">
        <v>75</v>
      </c>
      <c r="J2366" t="s">
        <v>101</v>
      </c>
      <c r="K2366" t="s">
        <v>164</v>
      </c>
      <c r="L2366">
        <v>4</v>
      </c>
      <c r="M2366">
        <v>11988.33</v>
      </c>
      <c r="N2366">
        <v>0.37</v>
      </c>
      <c r="O2366">
        <v>30419.46</v>
      </c>
      <c r="P2366">
        <v>3508.41</v>
      </c>
      <c r="Q2366">
        <v>63.72</v>
      </c>
      <c r="R2366" t="s">
        <v>65</v>
      </c>
      <c r="S2366">
        <v>2</v>
      </c>
      <c r="T2366" t="b">
        <v>0</v>
      </c>
      <c r="U2366" t="s">
        <v>30</v>
      </c>
      <c r="V2366">
        <v>5</v>
      </c>
    </row>
    <row r="2367" spans="1:22" x14ac:dyDescent="0.25">
      <c r="A2367" t="s">
        <v>5220</v>
      </c>
      <c r="B2367" s="1">
        <v>44327</v>
      </c>
      <c r="C2367" t="s">
        <v>5221</v>
      </c>
      <c r="D2367" t="s">
        <v>708</v>
      </c>
      <c r="E2367">
        <v>48</v>
      </c>
      <c r="F2367" t="str">
        <f>IF(Table1[[#This Row],[age]]&lt;=25,"18-25",IF(Table1[[#This Row],[age]]&lt;=35,"26-35",IF(Table1[[#This Row],[age]]&lt;=50,"36-50","51+")))</f>
        <v>36-50</v>
      </c>
      <c r="G2367" t="s">
        <v>54</v>
      </c>
      <c r="H2367" t="s">
        <v>25</v>
      </c>
      <c r="I2367" t="s">
        <v>35</v>
      </c>
      <c r="J2367" t="s">
        <v>36</v>
      </c>
      <c r="K2367" t="s">
        <v>243</v>
      </c>
      <c r="L2367">
        <v>7</v>
      </c>
      <c r="M2367">
        <v>30335.68</v>
      </c>
      <c r="N2367">
        <v>0.23</v>
      </c>
      <c r="O2367">
        <v>202427.42</v>
      </c>
      <c r="P2367">
        <v>47519.09</v>
      </c>
      <c r="Q2367">
        <v>63.26</v>
      </c>
      <c r="R2367" t="s">
        <v>49</v>
      </c>
      <c r="S2367">
        <v>5</v>
      </c>
      <c r="T2367" t="b">
        <v>0</v>
      </c>
      <c r="U2367" t="s">
        <v>193</v>
      </c>
      <c r="V2367">
        <v>6</v>
      </c>
    </row>
    <row r="2368" spans="1:22" x14ac:dyDescent="0.25">
      <c r="A2368" t="s">
        <v>5222</v>
      </c>
      <c r="B2368" s="1">
        <v>43851</v>
      </c>
      <c r="C2368" t="s">
        <v>5223</v>
      </c>
      <c r="D2368" t="s">
        <v>1401</v>
      </c>
      <c r="E2368">
        <v>37</v>
      </c>
      <c r="F2368" t="str">
        <f>IF(Table1[[#This Row],[age]]&lt;=25,"18-25",IF(Table1[[#This Row],[age]]&lt;=35,"26-35",IF(Table1[[#This Row],[age]]&lt;=50,"36-50","51+")))</f>
        <v>36-50</v>
      </c>
      <c r="G2368" t="s">
        <v>34</v>
      </c>
      <c r="H2368" t="s">
        <v>69</v>
      </c>
      <c r="I2368" t="s">
        <v>136</v>
      </c>
      <c r="J2368" t="s">
        <v>106</v>
      </c>
      <c r="K2368" t="s">
        <v>331</v>
      </c>
      <c r="L2368">
        <v>2</v>
      </c>
      <c r="M2368">
        <v>61.44</v>
      </c>
      <c r="N2368">
        <v>0.12</v>
      </c>
      <c r="O2368">
        <v>83.9</v>
      </c>
      <c r="P2368">
        <v>6.89</v>
      </c>
      <c r="Q2368">
        <v>72.83</v>
      </c>
      <c r="R2368" t="s">
        <v>65</v>
      </c>
      <c r="S2368">
        <v>2</v>
      </c>
      <c r="T2368" t="b">
        <v>0</v>
      </c>
      <c r="U2368" t="s">
        <v>30</v>
      </c>
      <c r="V2368">
        <v>1</v>
      </c>
    </row>
    <row r="2369" spans="1:22" x14ac:dyDescent="0.25">
      <c r="A2369" t="s">
        <v>5224</v>
      </c>
      <c r="B2369" s="1">
        <v>45586</v>
      </c>
      <c r="C2369" t="s">
        <v>5225</v>
      </c>
      <c r="D2369" t="s">
        <v>387</v>
      </c>
      <c r="E2369">
        <v>46</v>
      </c>
      <c r="F2369" t="str">
        <f>IF(Table1[[#This Row],[age]]&lt;=25,"18-25",IF(Table1[[#This Row],[age]]&lt;=35,"26-35",IF(Table1[[#This Row],[age]]&lt;=50,"36-50","51+")))</f>
        <v>36-50</v>
      </c>
      <c r="G2369" t="s">
        <v>54</v>
      </c>
      <c r="H2369" t="s">
        <v>80</v>
      </c>
      <c r="I2369" t="s">
        <v>86</v>
      </c>
      <c r="J2369" t="s">
        <v>27</v>
      </c>
      <c r="K2369" t="s">
        <v>28</v>
      </c>
      <c r="L2369">
        <v>1</v>
      </c>
      <c r="M2369">
        <v>882.32</v>
      </c>
      <c r="N2369">
        <v>0.25</v>
      </c>
      <c r="O2369">
        <v>860.81</v>
      </c>
      <c r="P2369">
        <v>531.17999999999995</v>
      </c>
      <c r="Q2369">
        <v>92.13</v>
      </c>
      <c r="R2369" t="s">
        <v>92</v>
      </c>
      <c r="S2369">
        <v>5</v>
      </c>
      <c r="T2369" t="b">
        <v>0</v>
      </c>
      <c r="U2369" t="s">
        <v>71</v>
      </c>
      <c r="V2369">
        <v>4</v>
      </c>
    </row>
    <row r="2370" spans="1:22" x14ac:dyDescent="0.25">
      <c r="A2370" t="s">
        <v>5226</v>
      </c>
      <c r="B2370" s="1">
        <v>45286</v>
      </c>
      <c r="C2370" t="s">
        <v>5227</v>
      </c>
      <c r="D2370" t="s">
        <v>1291</v>
      </c>
      <c r="E2370">
        <v>31</v>
      </c>
      <c r="F2370" t="str">
        <f>IF(Table1[[#This Row],[age]]&lt;=25,"18-25",IF(Table1[[#This Row],[age]]&lt;=35,"26-35",IF(Table1[[#This Row],[age]]&lt;=50,"36-50","51+")))</f>
        <v>26-35</v>
      </c>
      <c r="G2370" t="s">
        <v>54</v>
      </c>
      <c r="H2370" t="s">
        <v>61</v>
      </c>
      <c r="I2370" t="s">
        <v>62</v>
      </c>
      <c r="J2370" t="s">
        <v>63</v>
      </c>
      <c r="K2370" t="s">
        <v>152</v>
      </c>
      <c r="L2370">
        <v>8</v>
      </c>
      <c r="M2370">
        <v>3109.43</v>
      </c>
      <c r="N2370">
        <v>0.34</v>
      </c>
      <c r="O2370">
        <v>13768.79</v>
      </c>
      <c r="P2370">
        <v>4682.29</v>
      </c>
      <c r="Q2370">
        <v>78.430000000000007</v>
      </c>
      <c r="R2370" t="s">
        <v>65</v>
      </c>
      <c r="S2370">
        <v>2</v>
      </c>
      <c r="T2370" t="b">
        <v>0</v>
      </c>
      <c r="U2370" t="s">
        <v>30</v>
      </c>
      <c r="V2370">
        <v>1</v>
      </c>
    </row>
    <row r="2371" spans="1:22" x14ac:dyDescent="0.25">
      <c r="A2371" t="s">
        <v>5228</v>
      </c>
      <c r="B2371" s="1">
        <v>45027</v>
      </c>
      <c r="C2371" t="s">
        <v>5229</v>
      </c>
      <c r="D2371" t="s">
        <v>967</v>
      </c>
      <c r="E2371">
        <v>36</v>
      </c>
      <c r="F2371" t="str">
        <f>IF(Table1[[#This Row],[age]]&lt;=25,"18-25",IF(Table1[[#This Row],[age]]&lt;=35,"26-35",IF(Table1[[#This Row],[age]]&lt;=50,"36-50","51+")))</f>
        <v>36-50</v>
      </c>
      <c r="G2371" t="s">
        <v>34</v>
      </c>
      <c r="H2371" t="s">
        <v>55</v>
      </c>
      <c r="I2371" t="s">
        <v>97</v>
      </c>
      <c r="J2371" t="s">
        <v>27</v>
      </c>
      <c r="K2371" t="s">
        <v>28</v>
      </c>
      <c r="L2371">
        <v>9</v>
      </c>
      <c r="M2371">
        <v>1168.75</v>
      </c>
      <c r="N2371">
        <v>0.22</v>
      </c>
      <c r="O2371">
        <v>10719.06</v>
      </c>
      <c r="P2371">
        <v>3312.86</v>
      </c>
      <c r="Q2371">
        <v>24.91</v>
      </c>
      <c r="R2371" t="s">
        <v>57</v>
      </c>
      <c r="S2371">
        <v>1</v>
      </c>
      <c r="T2371" t="b">
        <v>0</v>
      </c>
      <c r="U2371" t="s">
        <v>30</v>
      </c>
      <c r="V2371">
        <v>6</v>
      </c>
    </row>
    <row r="2372" spans="1:22" x14ac:dyDescent="0.25">
      <c r="A2372" t="s">
        <v>5230</v>
      </c>
      <c r="B2372" s="1">
        <v>44690</v>
      </c>
      <c r="C2372" t="s">
        <v>5231</v>
      </c>
      <c r="D2372" t="s">
        <v>3675</v>
      </c>
      <c r="E2372">
        <v>43</v>
      </c>
      <c r="F2372" t="str">
        <f>IF(Table1[[#This Row],[age]]&lt;=25,"18-25",IF(Table1[[#This Row],[age]]&lt;=35,"26-35",IF(Table1[[#This Row],[age]]&lt;=50,"36-50","51+")))</f>
        <v>36-50</v>
      </c>
      <c r="G2372" t="s">
        <v>34</v>
      </c>
      <c r="H2372" t="s">
        <v>25</v>
      </c>
      <c r="I2372" t="s">
        <v>298</v>
      </c>
      <c r="J2372" t="s">
        <v>106</v>
      </c>
      <c r="K2372" t="s">
        <v>718</v>
      </c>
      <c r="L2372">
        <v>10</v>
      </c>
      <c r="M2372">
        <v>378.93</v>
      </c>
      <c r="N2372">
        <v>0.36</v>
      </c>
      <c r="O2372">
        <v>3399.01</v>
      </c>
      <c r="P2372">
        <v>209.1</v>
      </c>
      <c r="Q2372">
        <v>60.05</v>
      </c>
      <c r="R2372" t="s">
        <v>57</v>
      </c>
      <c r="S2372">
        <v>1</v>
      </c>
      <c r="T2372" t="b">
        <v>0</v>
      </c>
      <c r="U2372" t="s">
        <v>30</v>
      </c>
      <c r="V2372">
        <v>1</v>
      </c>
    </row>
    <row r="2373" spans="1:22" x14ac:dyDescent="0.25">
      <c r="A2373" t="s">
        <v>5232</v>
      </c>
      <c r="B2373" s="1">
        <v>45451</v>
      </c>
      <c r="C2373" t="s">
        <v>5233</v>
      </c>
      <c r="D2373" t="s">
        <v>346</v>
      </c>
      <c r="E2373">
        <v>43</v>
      </c>
      <c r="F2373" t="str">
        <f>IF(Table1[[#This Row],[age]]&lt;=25,"18-25",IF(Table1[[#This Row],[age]]&lt;=35,"26-35",IF(Table1[[#This Row],[age]]&lt;=50,"36-50","51+")))</f>
        <v>36-50</v>
      </c>
      <c r="G2373" t="s">
        <v>24</v>
      </c>
      <c r="H2373" t="s">
        <v>55</v>
      </c>
      <c r="I2373" t="s">
        <v>75</v>
      </c>
      <c r="J2373" t="s">
        <v>63</v>
      </c>
      <c r="K2373" t="s">
        <v>82</v>
      </c>
      <c r="L2373">
        <v>3</v>
      </c>
      <c r="M2373">
        <v>1773.46</v>
      </c>
      <c r="N2373">
        <v>0.35</v>
      </c>
      <c r="O2373">
        <v>5117.18</v>
      </c>
      <c r="P2373">
        <v>1728.27</v>
      </c>
      <c r="Q2373">
        <v>68.900000000000006</v>
      </c>
      <c r="R2373" t="s">
        <v>65</v>
      </c>
      <c r="S2373">
        <v>4</v>
      </c>
      <c r="T2373" t="b">
        <v>0</v>
      </c>
      <c r="U2373" t="s">
        <v>71</v>
      </c>
      <c r="V2373">
        <v>3</v>
      </c>
    </row>
    <row r="2374" spans="1:22" x14ac:dyDescent="0.25">
      <c r="A2374" t="s">
        <v>5234</v>
      </c>
      <c r="B2374" s="1">
        <v>44306</v>
      </c>
      <c r="C2374" t="s">
        <v>5235</v>
      </c>
      <c r="D2374" t="s">
        <v>1312</v>
      </c>
      <c r="E2374">
        <v>20</v>
      </c>
      <c r="F2374" t="str">
        <f>IF(Table1[[#This Row],[age]]&lt;=25,"18-25",IF(Table1[[#This Row],[age]]&lt;=35,"26-35",IF(Table1[[#This Row],[age]]&lt;=50,"36-50","51+")))</f>
        <v>18-25</v>
      </c>
      <c r="G2374" t="s">
        <v>24</v>
      </c>
      <c r="H2374" t="s">
        <v>61</v>
      </c>
      <c r="I2374" t="s">
        <v>91</v>
      </c>
      <c r="J2374" t="s">
        <v>115</v>
      </c>
      <c r="K2374" t="s">
        <v>145</v>
      </c>
      <c r="L2374">
        <v>8</v>
      </c>
      <c r="M2374">
        <v>37212.54</v>
      </c>
      <c r="N2374">
        <v>0.08</v>
      </c>
      <c r="O2374">
        <v>289349.90999999997</v>
      </c>
      <c r="P2374">
        <v>22436.74</v>
      </c>
      <c r="Q2374">
        <v>59.69</v>
      </c>
      <c r="R2374" t="s">
        <v>43</v>
      </c>
      <c r="S2374">
        <v>1</v>
      </c>
      <c r="T2374" t="b">
        <v>0</v>
      </c>
      <c r="U2374" t="s">
        <v>30</v>
      </c>
      <c r="V2374">
        <v>9</v>
      </c>
    </row>
    <row r="2375" spans="1:22" x14ac:dyDescent="0.25">
      <c r="A2375" t="s">
        <v>5236</v>
      </c>
      <c r="B2375" s="1">
        <v>45309</v>
      </c>
      <c r="C2375" t="s">
        <v>5237</v>
      </c>
      <c r="D2375" t="s">
        <v>505</v>
      </c>
      <c r="E2375">
        <v>29</v>
      </c>
      <c r="F2375" t="str">
        <f>IF(Table1[[#This Row],[age]]&lt;=25,"18-25",IF(Table1[[#This Row],[age]]&lt;=35,"26-35",IF(Table1[[#This Row],[age]]&lt;=50,"36-50","51+")))</f>
        <v>26-35</v>
      </c>
      <c r="G2375" t="s">
        <v>34</v>
      </c>
      <c r="H2375" t="s">
        <v>69</v>
      </c>
      <c r="I2375" t="s">
        <v>70</v>
      </c>
      <c r="J2375" t="s">
        <v>106</v>
      </c>
      <c r="K2375" t="s">
        <v>331</v>
      </c>
      <c r="L2375">
        <v>3</v>
      </c>
      <c r="M2375">
        <v>472.46</v>
      </c>
      <c r="N2375">
        <v>0.38</v>
      </c>
      <c r="O2375">
        <v>844.99</v>
      </c>
      <c r="P2375">
        <v>75.78</v>
      </c>
      <c r="Q2375">
        <v>90.06</v>
      </c>
      <c r="R2375" t="s">
        <v>57</v>
      </c>
      <c r="S2375">
        <v>2</v>
      </c>
      <c r="T2375" t="b">
        <v>0</v>
      </c>
      <c r="U2375" t="s">
        <v>71</v>
      </c>
      <c r="V2375">
        <v>9</v>
      </c>
    </row>
    <row r="2376" spans="1:22" x14ac:dyDescent="0.25">
      <c r="A2376" t="s">
        <v>5238</v>
      </c>
      <c r="B2376" s="1">
        <v>44820</v>
      </c>
      <c r="C2376" t="s">
        <v>5239</v>
      </c>
      <c r="D2376" t="s">
        <v>271</v>
      </c>
      <c r="E2376">
        <v>52</v>
      </c>
      <c r="F2376" t="str">
        <f>IF(Table1[[#This Row],[age]]&lt;=25,"18-25",IF(Table1[[#This Row],[age]]&lt;=35,"26-35",IF(Table1[[#This Row],[age]]&lt;=50,"36-50","51+")))</f>
        <v>51+</v>
      </c>
      <c r="G2376" t="s">
        <v>54</v>
      </c>
      <c r="H2376" t="s">
        <v>25</v>
      </c>
      <c r="I2376" t="s">
        <v>26</v>
      </c>
      <c r="J2376" t="s">
        <v>115</v>
      </c>
      <c r="K2376" t="s">
        <v>116</v>
      </c>
      <c r="L2376">
        <v>6</v>
      </c>
      <c r="M2376">
        <v>13712.65</v>
      </c>
      <c r="N2376">
        <v>0.21</v>
      </c>
      <c r="O2376">
        <v>88050.54</v>
      </c>
      <c r="P2376">
        <v>10911.94</v>
      </c>
      <c r="Q2376">
        <v>44.8</v>
      </c>
      <c r="R2376" t="s">
        <v>29</v>
      </c>
      <c r="S2376">
        <v>2</v>
      </c>
      <c r="T2376" t="b">
        <v>0</v>
      </c>
      <c r="U2376" t="s">
        <v>30</v>
      </c>
      <c r="V2376">
        <v>5</v>
      </c>
    </row>
    <row r="2377" spans="1:22" x14ac:dyDescent="0.25">
      <c r="A2377" t="s">
        <v>5240</v>
      </c>
      <c r="B2377" s="1">
        <v>44981</v>
      </c>
      <c r="C2377" t="s">
        <v>5241</v>
      </c>
      <c r="D2377" t="s">
        <v>2058</v>
      </c>
      <c r="E2377">
        <v>34</v>
      </c>
      <c r="F2377" t="str">
        <f>IF(Table1[[#This Row],[age]]&lt;=25,"18-25",IF(Table1[[#This Row],[age]]&lt;=35,"26-35",IF(Table1[[#This Row],[age]]&lt;=50,"36-50","51+")))</f>
        <v>26-35</v>
      </c>
      <c r="G2377" t="s">
        <v>24</v>
      </c>
      <c r="H2377" t="s">
        <v>55</v>
      </c>
      <c r="I2377" t="s">
        <v>97</v>
      </c>
      <c r="J2377" t="s">
        <v>47</v>
      </c>
      <c r="K2377" t="s">
        <v>204</v>
      </c>
      <c r="L2377">
        <v>10</v>
      </c>
      <c r="M2377">
        <v>890.58</v>
      </c>
      <c r="N2377">
        <v>0.05</v>
      </c>
      <c r="O2377">
        <v>9308.3700000000008</v>
      </c>
      <c r="P2377">
        <v>3442.31</v>
      </c>
      <c r="Q2377">
        <v>77.84</v>
      </c>
      <c r="R2377" t="s">
        <v>65</v>
      </c>
      <c r="S2377">
        <v>1</v>
      </c>
      <c r="T2377" t="b">
        <v>0</v>
      </c>
      <c r="U2377" t="s">
        <v>30</v>
      </c>
      <c r="V2377">
        <v>4</v>
      </c>
    </row>
    <row r="2378" spans="1:22" x14ac:dyDescent="0.25">
      <c r="A2378" t="s">
        <v>5242</v>
      </c>
      <c r="B2378" s="1">
        <v>44900</v>
      </c>
      <c r="C2378" t="s">
        <v>5243</v>
      </c>
      <c r="D2378" t="s">
        <v>119</v>
      </c>
      <c r="E2378">
        <v>28</v>
      </c>
      <c r="F2378" t="str">
        <f>IF(Table1[[#This Row],[age]]&lt;=25,"18-25",IF(Table1[[#This Row],[age]]&lt;=35,"26-35",IF(Table1[[#This Row],[age]]&lt;=50,"36-50","51+")))</f>
        <v>26-35</v>
      </c>
      <c r="G2378" t="s">
        <v>24</v>
      </c>
      <c r="H2378" t="s">
        <v>80</v>
      </c>
      <c r="I2378" t="s">
        <v>86</v>
      </c>
      <c r="J2378" t="s">
        <v>36</v>
      </c>
      <c r="K2378" t="s">
        <v>42</v>
      </c>
      <c r="L2378">
        <v>1</v>
      </c>
      <c r="M2378">
        <v>21880.63</v>
      </c>
      <c r="N2378">
        <v>0.13</v>
      </c>
      <c r="O2378">
        <v>15482.78</v>
      </c>
      <c r="P2378">
        <v>4167.88</v>
      </c>
      <c r="Q2378">
        <v>65.81</v>
      </c>
      <c r="R2378" t="s">
        <v>29</v>
      </c>
      <c r="S2378">
        <v>5</v>
      </c>
      <c r="T2378" t="b">
        <v>0</v>
      </c>
      <c r="U2378" t="s">
        <v>30</v>
      </c>
      <c r="V2378">
        <v>7</v>
      </c>
    </row>
    <row r="2379" spans="1:22" x14ac:dyDescent="0.25">
      <c r="A2379" t="s">
        <v>5244</v>
      </c>
      <c r="B2379" s="1">
        <v>45180</v>
      </c>
      <c r="C2379" t="s">
        <v>5245</v>
      </c>
      <c r="D2379" t="s">
        <v>1478</v>
      </c>
      <c r="E2379">
        <v>49</v>
      </c>
      <c r="F2379" t="str">
        <f>IF(Table1[[#This Row],[age]]&lt;=25,"18-25",IF(Table1[[#This Row],[age]]&lt;=35,"26-35",IF(Table1[[#This Row],[age]]&lt;=50,"36-50","51+")))</f>
        <v>36-50</v>
      </c>
      <c r="G2379" t="s">
        <v>34</v>
      </c>
      <c r="H2379" t="s">
        <v>55</v>
      </c>
      <c r="I2379" t="s">
        <v>75</v>
      </c>
      <c r="J2379" t="s">
        <v>101</v>
      </c>
      <c r="K2379" t="s">
        <v>456</v>
      </c>
      <c r="L2379">
        <v>8</v>
      </c>
      <c r="M2379">
        <v>7594.18</v>
      </c>
      <c r="N2379">
        <v>0.06</v>
      </c>
      <c r="O2379">
        <v>73152.899999999994</v>
      </c>
      <c r="P2379">
        <v>14737.07</v>
      </c>
      <c r="Q2379">
        <v>75.23</v>
      </c>
      <c r="R2379" t="s">
        <v>92</v>
      </c>
      <c r="S2379">
        <v>3</v>
      </c>
      <c r="T2379" t="b">
        <v>0</v>
      </c>
      <c r="U2379" t="s">
        <v>30</v>
      </c>
      <c r="V2379">
        <v>10</v>
      </c>
    </row>
    <row r="2380" spans="1:22" x14ac:dyDescent="0.25">
      <c r="A2380" t="s">
        <v>5246</v>
      </c>
      <c r="B2380" s="1">
        <v>44935</v>
      </c>
      <c r="C2380" t="s">
        <v>5247</v>
      </c>
      <c r="D2380" t="s">
        <v>618</v>
      </c>
      <c r="E2380">
        <v>24</v>
      </c>
      <c r="F2380" t="str">
        <f>IF(Table1[[#This Row],[age]]&lt;=25,"18-25",IF(Table1[[#This Row],[age]]&lt;=35,"26-35",IF(Table1[[#This Row],[age]]&lt;=50,"36-50","51+")))</f>
        <v>18-25</v>
      </c>
      <c r="G2380" t="s">
        <v>34</v>
      </c>
      <c r="H2380" t="s">
        <v>80</v>
      </c>
      <c r="I2380" t="s">
        <v>242</v>
      </c>
      <c r="J2380" t="s">
        <v>47</v>
      </c>
      <c r="K2380" t="s">
        <v>272</v>
      </c>
      <c r="L2380">
        <v>2</v>
      </c>
      <c r="M2380">
        <v>1431.03</v>
      </c>
      <c r="N2380">
        <v>0.24</v>
      </c>
      <c r="O2380">
        <v>1789.46</v>
      </c>
      <c r="P2380">
        <v>945.9</v>
      </c>
      <c r="Q2380">
        <v>64.39</v>
      </c>
      <c r="R2380" t="s">
        <v>29</v>
      </c>
      <c r="S2380">
        <v>2</v>
      </c>
      <c r="T2380" t="b">
        <v>0</v>
      </c>
      <c r="U2380" t="s">
        <v>193</v>
      </c>
      <c r="V2380">
        <v>1</v>
      </c>
    </row>
    <row r="2381" spans="1:22" x14ac:dyDescent="0.25">
      <c r="A2381" t="s">
        <v>5248</v>
      </c>
      <c r="B2381" s="1">
        <v>45074</v>
      </c>
      <c r="C2381" t="s">
        <v>5249</v>
      </c>
      <c r="D2381" t="s">
        <v>895</v>
      </c>
      <c r="E2381">
        <v>27</v>
      </c>
      <c r="F2381" t="str">
        <f>IF(Table1[[#This Row],[age]]&lt;=25,"18-25",IF(Table1[[#This Row],[age]]&lt;=35,"26-35",IF(Table1[[#This Row],[age]]&lt;=50,"36-50","51+")))</f>
        <v>26-35</v>
      </c>
      <c r="G2381" t="s">
        <v>34</v>
      </c>
      <c r="H2381" t="s">
        <v>55</v>
      </c>
      <c r="I2381" t="s">
        <v>56</v>
      </c>
      <c r="J2381" t="s">
        <v>115</v>
      </c>
      <c r="K2381" t="s">
        <v>545</v>
      </c>
      <c r="L2381">
        <v>2</v>
      </c>
      <c r="M2381">
        <v>16666.39</v>
      </c>
      <c r="N2381">
        <v>0.04</v>
      </c>
      <c r="O2381">
        <v>45521.34</v>
      </c>
      <c r="P2381">
        <v>6476.79</v>
      </c>
      <c r="Q2381">
        <v>54.21</v>
      </c>
      <c r="R2381" t="s">
        <v>65</v>
      </c>
      <c r="S2381">
        <v>1</v>
      </c>
      <c r="T2381" t="b">
        <v>0</v>
      </c>
      <c r="U2381" t="s">
        <v>30</v>
      </c>
      <c r="V2381">
        <v>8</v>
      </c>
    </row>
    <row r="2382" spans="1:22" x14ac:dyDescent="0.25">
      <c r="A2382" t="s">
        <v>5250</v>
      </c>
      <c r="B2382" s="1">
        <v>44566</v>
      </c>
      <c r="C2382" t="s">
        <v>5251</v>
      </c>
      <c r="D2382" t="s">
        <v>449</v>
      </c>
      <c r="E2382">
        <v>32</v>
      </c>
      <c r="F2382" t="str">
        <f>IF(Table1[[#This Row],[age]]&lt;=25,"18-25",IF(Table1[[#This Row],[age]]&lt;=35,"26-35",IF(Table1[[#This Row],[age]]&lt;=50,"36-50","51+")))</f>
        <v>26-35</v>
      </c>
      <c r="G2382" t="s">
        <v>24</v>
      </c>
      <c r="H2382" t="s">
        <v>61</v>
      </c>
      <c r="I2382" t="s">
        <v>62</v>
      </c>
      <c r="J2382" t="s">
        <v>63</v>
      </c>
      <c r="K2382" t="s">
        <v>64</v>
      </c>
      <c r="L2382">
        <v>7</v>
      </c>
      <c r="M2382">
        <v>3381.19</v>
      </c>
      <c r="N2382">
        <v>0.39</v>
      </c>
      <c r="O2382">
        <v>11933.01</v>
      </c>
      <c r="P2382">
        <v>3903.15</v>
      </c>
      <c r="Q2382">
        <v>52.43</v>
      </c>
      <c r="R2382" t="s">
        <v>43</v>
      </c>
      <c r="S2382">
        <v>3</v>
      </c>
      <c r="T2382" t="b">
        <v>1</v>
      </c>
      <c r="U2382" t="s">
        <v>50</v>
      </c>
      <c r="V2382">
        <v>4</v>
      </c>
    </row>
    <row r="2383" spans="1:22" x14ac:dyDescent="0.25">
      <c r="A2383" t="s">
        <v>5252</v>
      </c>
      <c r="B2383" s="1">
        <v>44229</v>
      </c>
      <c r="C2383" t="s">
        <v>5253</v>
      </c>
      <c r="D2383" t="s">
        <v>53</v>
      </c>
      <c r="E2383">
        <v>41</v>
      </c>
      <c r="F2383" t="str">
        <f>IF(Table1[[#This Row],[age]]&lt;=25,"18-25",IF(Table1[[#This Row],[age]]&lt;=35,"26-35",IF(Table1[[#This Row],[age]]&lt;=50,"36-50","51+")))</f>
        <v>36-50</v>
      </c>
      <c r="G2383" t="s">
        <v>54</v>
      </c>
      <c r="H2383" t="s">
        <v>61</v>
      </c>
      <c r="I2383" t="s">
        <v>62</v>
      </c>
      <c r="J2383" t="s">
        <v>36</v>
      </c>
      <c r="K2383" t="s">
        <v>42</v>
      </c>
      <c r="L2383">
        <v>10</v>
      </c>
      <c r="M2383">
        <v>21056.57</v>
      </c>
      <c r="N2383">
        <v>0.24</v>
      </c>
      <c r="O2383">
        <v>131205.97</v>
      </c>
      <c r="P2383">
        <v>31712.53</v>
      </c>
      <c r="Q2383">
        <v>53.62</v>
      </c>
      <c r="R2383" t="s">
        <v>57</v>
      </c>
      <c r="S2383">
        <v>2</v>
      </c>
      <c r="T2383" t="b">
        <v>1</v>
      </c>
      <c r="U2383" t="s">
        <v>50</v>
      </c>
      <c r="V2383">
        <v>10</v>
      </c>
    </row>
    <row r="2384" spans="1:22" x14ac:dyDescent="0.25">
      <c r="A2384" t="s">
        <v>5254</v>
      </c>
      <c r="B2384" s="1">
        <v>44551</v>
      </c>
      <c r="C2384" t="s">
        <v>5255</v>
      </c>
      <c r="D2384" t="s">
        <v>904</v>
      </c>
      <c r="E2384">
        <v>51</v>
      </c>
      <c r="F2384" t="str">
        <f>IF(Table1[[#This Row],[age]]&lt;=25,"18-25",IF(Table1[[#This Row],[age]]&lt;=35,"26-35",IF(Table1[[#This Row],[age]]&lt;=50,"36-50","51+")))</f>
        <v>51+</v>
      </c>
      <c r="G2384" t="s">
        <v>34</v>
      </c>
      <c r="H2384" t="s">
        <v>25</v>
      </c>
      <c r="I2384" t="s">
        <v>41</v>
      </c>
      <c r="J2384" t="s">
        <v>47</v>
      </c>
      <c r="K2384" t="s">
        <v>272</v>
      </c>
      <c r="L2384">
        <v>10</v>
      </c>
      <c r="M2384">
        <v>1181.99</v>
      </c>
      <c r="N2384">
        <v>0.01</v>
      </c>
      <c r="O2384">
        <v>8278.99</v>
      </c>
      <c r="P2384">
        <v>3933.86</v>
      </c>
      <c r="Q2384">
        <v>52.54</v>
      </c>
      <c r="R2384" t="s">
        <v>29</v>
      </c>
      <c r="S2384">
        <v>5</v>
      </c>
      <c r="T2384" t="b">
        <v>1</v>
      </c>
      <c r="U2384" t="s">
        <v>50</v>
      </c>
      <c r="V2384">
        <v>10</v>
      </c>
    </row>
    <row r="2385" spans="1:22" x14ac:dyDescent="0.25">
      <c r="A2385" t="s">
        <v>5256</v>
      </c>
      <c r="B2385" s="1">
        <v>45371</v>
      </c>
      <c r="C2385" t="s">
        <v>5257</v>
      </c>
      <c r="D2385" t="s">
        <v>2481</v>
      </c>
      <c r="E2385">
        <v>41</v>
      </c>
      <c r="F2385" t="str">
        <f>IF(Table1[[#This Row],[age]]&lt;=25,"18-25",IF(Table1[[#This Row],[age]]&lt;=35,"26-35",IF(Table1[[#This Row],[age]]&lt;=50,"36-50","51+")))</f>
        <v>36-50</v>
      </c>
      <c r="G2385" t="s">
        <v>54</v>
      </c>
      <c r="H2385" t="s">
        <v>80</v>
      </c>
      <c r="I2385" t="s">
        <v>236</v>
      </c>
      <c r="J2385" t="s">
        <v>106</v>
      </c>
      <c r="K2385" t="s">
        <v>107</v>
      </c>
      <c r="L2385">
        <v>7</v>
      </c>
      <c r="M2385">
        <v>439.78</v>
      </c>
      <c r="N2385">
        <v>0.11</v>
      </c>
      <c r="O2385">
        <v>3962.93</v>
      </c>
      <c r="P2385">
        <v>320.83</v>
      </c>
      <c r="Q2385">
        <v>64</v>
      </c>
      <c r="R2385" t="s">
        <v>65</v>
      </c>
      <c r="S2385">
        <v>1</v>
      </c>
      <c r="T2385" t="b">
        <v>0</v>
      </c>
      <c r="U2385" t="s">
        <v>193</v>
      </c>
      <c r="V2385">
        <v>9</v>
      </c>
    </row>
    <row r="2386" spans="1:22" x14ac:dyDescent="0.25">
      <c r="A2386" t="s">
        <v>5258</v>
      </c>
      <c r="B2386" s="1">
        <v>44718</v>
      </c>
      <c r="C2386" t="s">
        <v>5259</v>
      </c>
      <c r="D2386" t="s">
        <v>420</v>
      </c>
      <c r="E2386">
        <v>35</v>
      </c>
      <c r="F2386" t="str">
        <f>IF(Table1[[#This Row],[age]]&lt;=25,"18-25",IF(Table1[[#This Row],[age]]&lt;=35,"26-35",IF(Table1[[#This Row],[age]]&lt;=50,"36-50","51+")))</f>
        <v>26-35</v>
      </c>
      <c r="G2386" t="s">
        <v>24</v>
      </c>
      <c r="H2386" t="s">
        <v>61</v>
      </c>
      <c r="I2386" t="s">
        <v>62</v>
      </c>
      <c r="J2386" t="s">
        <v>27</v>
      </c>
      <c r="K2386" t="s">
        <v>128</v>
      </c>
      <c r="L2386">
        <v>3</v>
      </c>
      <c r="M2386">
        <v>151.66</v>
      </c>
      <c r="N2386">
        <v>0.28000000000000003</v>
      </c>
      <c r="O2386">
        <v>490.46</v>
      </c>
      <c r="P2386">
        <v>194.08</v>
      </c>
      <c r="Q2386">
        <v>50.29</v>
      </c>
      <c r="R2386" t="s">
        <v>65</v>
      </c>
      <c r="S2386">
        <v>3</v>
      </c>
      <c r="T2386" t="b">
        <v>0</v>
      </c>
      <c r="U2386" t="s">
        <v>30</v>
      </c>
      <c r="V2386">
        <v>1</v>
      </c>
    </row>
    <row r="2387" spans="1:22" x14ac:dyDescent="0.25">
      <c r="A2387" t="s">
        <v>5260</v>
      </c>
      <c r="B2387" s="1">
        <v>43991</v>
      </c>
      <c r="C2387" t="s">
        <v>5261</v>
      </c>
      <c r="D2387" t="s">
        <v>119</v>
      </c>
      <c r="E2387">
        <v>43</v>
      </c>
      <c r="F2387" t="str">
        <f>IF(Table1[[#This Row],[age]]&lt;=25,"18-25",IF(Table1[[#This Row],[age]]&lt;=35,"26-35",IF(Table1[[#This Row],[age]]&lt;=50,"36-50","51+")))</f>
        <v>36-50</v>
      </c>
      <c r="G2387" t="s">
        <v>54</v>
      </c>
      <c r="H2387" t="s">
        <v>25</v>
      </c>
      <c r="I2387" t="s">
        <v>26</v>
      </c>
      <c r="J2387" t="s">
        <v>101</v>
      </c>
      <c r="K2387" t="s">
        <v>318</v>
      </c>
      <c r="L2387">
        <v>10</v>
      </c>
      <c r="M2387">
        <v>7388.77</v>
      </c>
      <c r="N2387">
        <v>0.35</v>
      </c>
      <c r="O2387">
        <v>67368.649999999994</v>
      </c>
      <c r="P2387">
        <v>7907.83</v>
      </c>
      <c r="Q2387">
        <v>79.13</v>
      </c>
      <c r="R2387" t="s">
        <v>57</v>
      </c>
      <c r="S2387">
        <v>2</v>
      </c>
      <c r="T2387" t="b">
        <v>1</v>
      </c>
      <c r="U2387" t="s">
        <v>50</v>
      </c>
      <c r="V2387">
        <v>2</v>
      </c>
    </row>
    <row r="2388" spans="1:22" x14ac:dyDescent="0.25">
      <c r="A2388" t="s">
        <v>5262</v>
      </c>
      <c r="B2388" s="1">
        <v>44628</v>
      </c>
      <c r="C2388" t="s">
        <v>5263</v>
      </c>
      <c r="D2388" t="s">
        <v>671</v>
      </c>
      <c r="E2388">
        <v>35</v>
      </c>
      <c r="F2388" t="str">
        <f>IF(Table1[[#This Row],[age]]&lt;=25,"18-25",IF(Table1[[#This Row],[age]]&lt;=35,"26-35",IF(Table1[[#This Row],[age]]&lt;=50,"36-50","51+")))</f>
        <v>26-35</v>
      </c>
      <c r="G2388" t="s">
        <v>34</v>
      </c>
      <c r="H2388" t="s">
        <v>69</v>
      </c>
      <c r="I2388" t="s">
        <v>221</v>
      </c>
      <c r="J2388" t="s">
        <v>27</v>
      </c>
      <c r="K2388" t="s">
        <v>128</v>
      </c>
      <c r="L2388">
        <v>1</v>
      </c>
      <c r="M2388">
        <v>2317.4899999999998</v>
      </c>
      <c r="N2388">
        <v>0.12</v>
      </c>
      <c r="O2388">
        <v>2469.09</v>
      </c>
      <c r="P2388">
        <v>1307.3699999999999</v>
      </c>
      <c r="Q2388">
        <v>92.14</v>
      </c>
      <c r="R2388" t="s">
        <v>57</v>
      </c>
      <c r="S2388">
        <v>4</v>
      </c>
      <c r="T2388" t="b">
        <v>0</v>
      </c>
      <c r="U2388" t="s">
        <v>30</v>
      </c>
      <c r="V2388">
        <v>4</v>
      </c>
    </row>
    <row r="2389" spans="1:22" x14ac:dyDescent="0.25">
      <c r="A2389" t="s">
        <v>5264</v>
      </c>
      <c r="B2389" s="1">
        <v>45584</v>
      </c>
      <c r="C2389" t="s">
        <v>5265</v>
      </c>
      <c r="D2389" t="s">
        <v>3889</v>
      </c>
      <c r="E2389">
        <v>24</v>
      </c>
      <c r="F2389" t="str">
        <f>IF(Table1[[#This Row],[age]]&lt;=25,"18-25",IF(Table1[[#This Row],[age]]&lt;=35,"26-35",IF(Table1[[#This Row],[age]]&lt;=50,"36-50","51+")))</f>
        <v>18-25</v>
      </c>
      <c r="G2389" t="s">
        <v>54</v>
      </c>
      <c r="H2389" t="s">
        <v>55</v>
      </c>
      <c r="I2389" t="s">
        <v>75</v>
      </c>
      <c r="J2389" t="s">
        <v>27</v>
      </c>
      <c r="K2389" t="s">
        <v>168</v>
      </c>
      <c r="L2389">
        <v>1</v>
      </c>
      <c r="M2389">
        <v>1189.68</v>
      </c>
      <c r="N2389">
        <v>0.38</v>
      </c>
      <c r="O2389">
        <v>883.05</v>
      </c>
      <c r="P2389">
        <v>476.12</v>
      </c>
      <c r="Q2389">
        <v>61.72</v>
      </c>
      <c r="R2389" t="s">
        <v>65</v>
      </c>
      <c r="S2389">
        <v>3</v>
      </c>
      <c r="T2389" t="b">
        <v>0</v>
      </c>
      <c r="U2389" t="s">
        <v>30</v>
      </c>
      <c r="V2389">
        <v>7</v>
      </c>
    </row>
    <row r="2390" spans="1:22" x14ac:dyDescent="0.25">
      <c r="A2390" t="s">
        <v>5266</v>
      </c>
      <c r="B2390" s="1">
        <v>44432</v>
      </c>
      <c r="C2390" t="s">
        <v>5267</v>
      </c>
      <c r="D2390" t="s">
        <v>516</v>
      </c>
      <c r="E2390">
        <v>42</v>
      </c>
      <c r="F2390" t="str">
        <f>IF(Table1[[#This Row],[age]]&lt;=25,"18-25",IF(Table1[[#This Row],[age]]&lt;=35,"26-35",IF(Table1[[#This Row],[age]]&lt;=50,"36-50","51+")))</f>
        <v>36-50</v>
      </c>
      <c r="G2390" t="s">
        <v>24</v>
      </c>
      <c r="H2390" t="s">
        <v>69</v>
      </c>
      <c r="I2390" t="s">
        <v>136</v>
      </c>
      <c r="J2390" t="s">
        <v>27</v>
      </c>
      <c r="K2390" t="s">
        <v>480</v>
      </c>
      <c r="L2390">
        <v>6</v>
      </c>
      <c r="M2390">
        <v>1830.42</v>
      </c>
      <c r="N2390">
        <v>0.38</v>
      </c>
      <c r="O2390">
        <v>8090.67</v>
      </c>
      <c r="P2390">
        <v>3889.27</v>
      </c>
      <c r="Q2390">
        <v>89.06</v>
      </c>
      <c r="R2390" t="s">
        <v>43</v>
      </c>
      <c r="S2390">
        <v>5</v>
      </c>
      <c r="T2390" t="b">
        <v>0</v>
      </c>
      <c r="U2390" t="s">
        <v>193</v>
      </c>
      <c r="V2390">
        <v>7</v>
      </c>
    </row>
    <row r="2391" spans="1:22" x14ac:dyDescent="0.25">
      <c r="A2391" t="s">
        <v>5268</v>
      </c>
      <c r="B2391" s="1">
        <v>44726</v>
      </c>
      <c r="C2391" t="s">
        <v>5269</v>
      </c>
      <c r="D2391" t="s">
        <v>1373</v>
      </c>
      <c r="E2391">
        <v>31</v>
      </c>
      <c r="F2391" t="str">
        <f>IF(Table1[[#This Row],[age]]&lt;=25,"18-25",IF(Table1[[#This Row],[age]]&lt;=35,"26-35",IF(Table1[[#This Row],[age]]&lt;=50,"36-50","51+")))</f>
        <v>26-35</v>
      </c>
      <c r="G2391" t="s">
        <v>54</v>
      </c>
      <c r="H2391" t="s">
        <v>61</v>
      </c>
      <c r="I2391" t="s">
        <v>141</v>
      </c>
      <c r="J2391" t="s">
        <v>101</v>
      </c>
      <c r="K2391" t="s">
        <v>318</v>
      </c>
      <c r="L2391">
        <v>1</v>
      </c>
      <c r="M2391">
        <v>9438.7900000000009</v>
      </c>
      <c r="N2391">
        <v>0.06</v>
      </c>
      <c r="O2391">
        <v>12679.99</v>
      </c>
      <c r="P2391">
        <v>2911.92</v>
      </c>
      <c r="Q2391">
        <v>48.64</v>
      </c>
      <c r="R2391" t="s">
        <v>92</v>
      </c>
      <c r="S2391">
        <v>3</v>
      </c>
      <c r="T2391" t="b">
        <v>0</v>
      </c>
      <c r="U2391" t="s">
        <v>30</v>
      </c>
      <c r="V2391">
        <v>8</v>
      </c>
    </row>
    <row r="2392" spans="1:22" x14ac:dyDescent="0.25">
      <c r="A2392" t="s">
        <v>5270</v>
      </c>
      <c r="B2392" s="1">
        <v>44573</v>
      </c>
      <c r="C2392" t="s">
        <v>5271</v>
      </c>
      <c r="D2392" t="s">
        <v>879</v>
      </c>
      <c r="E2392">
        <v>47</v>
      </c>
      <c r="F2392" t="str">
        <f>IF(Table1[[#This Row],[age]]&lt;=25,"18-25",IF(Table1[[#This Row],[age]]&lt;=35,"26-35",IF(Table1[[#This Row],[age]]&lt;=50,"36-50","51+")))</f>
        <v>36-50</v>
      </c>
      <c r="G2392" t="s">
        <v>24</v>
      </c>
      <c r="H2392" t="s">
        <v>61</v>
      </c>
      <c r="I2392" t="s">
        <v>91</v>
      </c>
      <c r="J2392" t="s">
        <v>27</v>
      </c>
      <c r="K2392" t="s">
        <v>168</v>
      </c>
      <c r="L2392">
        <v>7</v>
      </c>
      <c r="M2392">
        <v>183.5</v>
      </c>
      <c r="N2392">
        <v>0.06</v>
      </c>
      <c r="O2392">
        <v>941.96</v>
      </c>
      <c r="P2392">
        <v>329.15</v>
      </c>
      <c r="Q2392">
        <v>81.3</v>
      </c>
      <c r="R2392" t="s">
        <v>49</v>
      </c>
      <c r="S2392">
        <v>5</v>
      </c>
      <c r="T2392" t="b">
        <v>0</v>
      </c>
      <c r="U2392" t="s">
        <v>30</v>
      </c>
      <c r="V2392">
        <v>7</v>
      </c>
    </row>
    <row r="2393" spans="1:22" x14ac:dyDescent="0.25">
      <c r="A2393" t="s">
        <v>5272</v>
      </c>
      <c r="B2393" s="1">
        <v>45581</v>
      </c>
      <c r="C2393" t="s">
        <v>5273</v>
      </c>
      <c r="D2393" t="s">
        <v>577</v>
      </c>
      <c r="E2393">
        <v>34</v>
      </c>
      <c r="F2393" t="str">
        <f>IF(Table1[[#This Row],[age]]&lt;=25,"18-25",IF(Table1[[#This Row],[age]]&lt;=35,"26-35",IF(Table1[[#This Row],[age]]&lt;=50,"36-50","51+")))</f>
        <v>26-35</v>
      </c>
      <c r="G2393" t="s">
        <v>24</v>
      </c>
      <c r="H2393" t="s">
        <v>25</v>
      </c>
      <c r="I2393" t="s">
        <v>26</v>
      </c>
      <c r="J2393" t="s">
        <v>27</v>
      </c>
      <c r="K2393" t="s">
        <v>128</v>
      </c>
      <c r="L2393">
        <v>8</v>
      </c>
      <c r="M2393">
        <v>1325.92</v>
      </c>
      <c r="N2393">
        <v>0.36</v>
      </c>
      <c r="O2393">
        <v>7101.14</v>
      </c>
      <c r="P2393">
        <v>3668.15</v>
      </c>
      <c r="Q2393">
        <v>75.44</v>
      </c>
      <c r="R2393" t="s">
        <v>57</v>
      </c>
      <c r="S2393">
        <v>2</v>
      </c>
      <c r="T2393" t="b">
        <v>0</v>
      </c>
      <c r="U2393" t="s">
        <v>30</v>
      </c>
      <c r="V2393">
        <v>10</v>
      </c>
    </row>
    <row r="2394" spans="1:22" x14ac:dyDescent="0.25">
      <c r="A2394" t="s">
        <v>5274</v>
      </c>
      <c r="B2394" s="1">
        <v>43854</v>
      </c>
      <c r="C2394" t="s">
        <v>5275</v>
      </c>
      <c r="D2394" t="s">
        <v>180</v>
      </c>
      <c r="E2394">
        <v>38</v>
      </c>
      <c r="F2394" t="str">
        <f>IF(Table1[[#This Row],[age]]&lt;=25,"18-25",IF(Table1[[#This Row],[age]]&lt;=35,"26-35",IF(Table1[[#This Row],[age]]&lt;=50,"36-50","51+")))</f>
        <v>36-50</v>
      </c>
      <c r="G2394" t="s">
        <v>24</v>
      </c>
      <c r="H2394" t="s">
        <v>55</v>
      </c>
      <c r="I2394" t="s">
        <v>56</v>
      </c>
      <c r="J2394" t="s">
        <v>101</v>
      </c>
      <c r="K2394" t="s">
        <v>164</v>
      </c>
      <c r="L2394">
        <v>7</v>
      </c>
      <c r="M2394">
        <v>11809.1</v>
      </c>
      <c r="N2394">
        <v>0.37</v>
      </c>
      <c r="O2394">
        <v>39451.25</v>
      </c>
      <c r="P2394">
        <v>8489.59</v>
      </c>
      <c r="Q2394">
        <v>52.58</v>
      </c>
      <c r="R2394" t="s">
        <v>65</v>
      </c>
      <c r="S2394">
        <v>1</v>
      </c>
      <c r="T2394" t="b">
        <v>1</v>
      </c>
      <c r="U2394" t="s">
        <v>50</v>
      </c>
      <c r="V2394">
        <v>5</v>
      </c>
    </row>
    <row r="2395" spans="1:22" x14ac:dyDescent="0.25">
      <c r="A2395" t="s">
        <v>5276</v>
      </c>
      <c r="B2395" s="1">
        <v>44377</v>
      </c>
      <c r="C2395" t="s">
        <v>5277</v>
      </c>
      <c r="D2395" t="s">
        <v>1439</v>
      </c>
      <c r="E2395">
        <v>55</v>
      </c>
      <c r="F2395" t="str">
        <f>IF(Table1[[#This Row],[age]]&lt;=25,"18-25",IF(Table1[[#This Row],[age]]&lt;=35,"26-35",IF(Table1[[#This Row],[age]]&lt;=50,"36-50","51+")))</f>
        <v>51+</v>
      </c>
      <c r="G2395" t="s">
        <v>54</v>
      </c>
      <c r="H2395" t="s">
        <v>25</v>
      </c>
      <c r="I2395" t="s">
        <v>26</v>
      </c>
      <c r="J2395" t="s">
        <v>106</v>
      </c>
      <c r="K2395" t="s">
        <v>247</v>
      </c>
      <c r="L2395">
        <v>1</v>
      </c>
      <c r="M2395">
        <v>92.07</v>
      </c>
      <c r="N2395">
        <v>0.24</v>
      </c>
      <c r="O2395">
        <v>92.74</v>
      </c>
      <c r="P2395">
        <v>5.66</v>
      </c>
      <c r="Q2395">
        <v>66.61</v>
      </c>
      <c r="R2395" t="s">
        <v>65</v>
      </c>
      <c r="S2395">
        <v>4</v>
      </c>
      <c r="T2395" t="b">
        <v>1</v>
      </c>
      <c r="U2395" t="s">
        <v>50</v>
      </c>
      <c r="V2395">
        <v>4</v>
      </c>
    </row>
    <row r="2396" spans="1:22" x14ac:dyDescent="0.25">
      <c r="A2396" t="s">
        <v>5278</v>
      </c>
      <c r="B2396" s="1">
        <v>45579</v>
      </c>
      <c r="C2396" t="s">
        <v>5279</v>
      </c>
      <c r="D2396" t="s">
        <v>1704</v>
      </c>
      <c r="E2396">
        <v>72</v>
      </c>
      <c r="F2396" t="str">
        <f>IF(Table1[[#This Row],[age]]&lt;=25,"18-25",IF(Table1[[#This Row],[age]]&lt;=35,"26-35",IF(Table1[[#This Row],[age]]&lt;=50,"36-50","51+")))</f>
        <v>51+</v>
      </c>
      <c r="G2396" t="s">
        <v>24</v>
      </c>
      <c r="H2396" t="s">
        <v>55</v>
      </c>
      <c r="I2396" t="s">
        <v>114</v>
      </c>
      <c r="J2396" t="s">
        <v>47</v>
      </c>
      <c r="K2396" t="s">
        <v>600</v>
      </c>
      <c r="L2396">
        <v>8</v>
      </c>
      <c r="M2396">
        <v>953.45</v>
      </c>
      <c r="N2396">
        <v>0.12</v>
      </c>
      <c r="O2396">
        <v>6937.28</v>
      </c>
      <c r="P2396">
        <v>3146.46</v>
      </c>
      <c r="Q2396">
        <v>74.989999999999995</v>
      </c>
      <c r="R2396" t="s">
        <v>43</v>
      </c>
      <c r="S2396">
        <v>1</v>
      </c>
      <c r="T2396" t="b">
        <v>0</v>
      </c>
      <c r="U2396" t="s">
        <v>30</v>
      </c>
      <c r="V2396">
        <v>9</v>
      </c>
    </row>
    <row r="2397" spans="1:22" x14ac:dyDescent="0.25">
      <c r="A2397" t="s">
        <v>5280</v>
      </c>
      <c r="B2397" s="1">
        <v>45202</v>
      </c>
      <c r="C2397" t="s">
        <v>5281</v>
      </c>
      <c r="D2397" t="s">
        <v>2003</v>
      </c>
      <c r="E2397">
        <v>39</v>
      </c>
      <c r="F2397" t="str">
        <f>IF(Table1[[#This Row],[age]]&lt;=25,"18-25",IF(Table1[[#This Row],[age]]&lt;=35,"26-35",IF(Table1[[#This Row],[age]]&lt;=50,"36-50","51+")))</f>
        <v>36-50</v>
      </c>
      <c r="G2397" t="s">
        <v>54</v>
      </c>
      <c r="H2397" t="s">
        <v>69</v>
      </c>
      <c r="I2397" t="s">
        <v>70</v>
      </c>
      <c r="J2397" t="s">
        <v>36</v>
      </c>
      <c r="K2397" t="s">
        <v>243</v>
      </c>
      <c r="L2397">
        <v>3</v>
      </c>
      <c r="M2397">
        <v>22116.52</v>
      </c>
      <c r="N2397">
        <v>0.14000000000000001</v>
      </c>
      <c r="O2397">
        <v>56634.239999999998</v>
      </c>
      <c r="P2397">
        <v>15322.58</v>
      </c>
      <c r="Q2397">
        <v>80.03</v>
      </c>
      <c r="R2397" t="s">
        <v>43</v>
      </c>
      <c r="S2397">
        <v>2</v>
      </c>
      <c r="T2397" t="b">
        <v>1</v>
      </c>
      <c r="U2397" t="s">
        <v>50</v>
      </c>
      <c r="V2397">
        <v>6</v>
      </c>
    </row>
    <row r="2398" spans="1:22" x14ac:dyDescent="0.25">
      <c r="A2398" t="s">
        <v>5282</v>
      </c>
      <c r="B2398" s="1">
        <v>44859</v>
      </c>
      <c r="C2398" t="s">
        <v>5283</v>
      </c>
      <c r="D2398" t="s">
        <v>1373</v>
      </c>
      <c r="E2398">
        <v>37</v>
      </c>
      <c r="F2398" t="str">
        <f>IF(Table1[[#This Row],[age]]&lt;=25,"18-25",IF(Table1[[#This Row],[age]]&lt;=35,"26-35",IF(Table1[[#This Row],[age]]&lt;=50,"36-50","51+")))</f>
        <v>36-50</v>
      </c>
      <c r="G2398" t="s">
        <v>54</v>
      </c>
      <c r="H2398" t="s">
        <v>69</v>
      </c>
      <c r="I2398" t="s">
        <v>221</v>
      </c>
      <c r="J2398" t="s">
        <v>47</v>
      </c>
      <c r="K2398" t="s">
        <v>600</v>
      </c>
      <c r="L2398">
        <v>3</v>
      </c>
      <c r="M2398">
        <v>641.95000000000005</v>
      </c>
      <c r="N2398">
        <v>0.28999999999999998</v>
      </c>
      <c r="O2398">
        <v>1563.94</v>
      </c>
      <c r="P2398">
        <v>516.36</v>
      </c>
      <c r="Q2398">
        <v>78.510000000000005</v>
      </c>
      <c r="R2398" t="s">
        <v>65</v>
      </c>
      <c r="S2398">
        <v>1</v>
      </c>
      <c r="T2398" t="b">
        <v>0</v>
      </c>
      <c r="U2398" t="s">
        <v>30</v>
      </c>
      <c r="V2398">
        <v>8</v>
      </c>
    </row>
    <row r="2399" spans="1:22" x14ac:dyDescent="0.25">
      <c r="A2399" t="s">
        <v>5284</v>
      </c>
      <c r="B2399" s="1">
        <v>45546</v>
      </c>
      <c r="C2399" t="s">
        <v>5285</v>
      </c>
      <c r="D2399" t="s">
        <v>387</v>
      </c>
      <c r="E2399">
        <v>30</v>
      </c>
      <c r="F2399" t="str">
        <f>IF(Table1[[#This Row],[age]]&lt;=25,"18-25",IF(Table1[[#This Row],[age]]&lt;=35,"26-35",IF(Table1[[#This Row],[age]]&lt;=50,"36-50","51+")))</f>
        <v>26-35</v>
      </c>
      <c r="G2399" t="s">
        <v>34</v>
      </c>
      <c r="H2399" t="s">
        <v>25</v>
      </c>
      <c r="I2399" t="s">
        <v>41</v>
      </c>
      <c r="J2399" t="s">
        <v>63</v>
      </c>
      <c r="K2399" t="s">
        <v>64</v>
      </c>
      <c r="L2399">
        <v>5</v>
      </c>
      <c r="M2399">
        <v>1833.43</v>
      </c>
      <c r="N2399">
        <v>0.25</v>
      </c>
      <c r="O2399">
        <v>9194.56</v>
      </c>
      <c r="P2399">
        <v>2732.97</v>
      </c>
      <c r="Q2399">
        <v>67.540000000000006</v>
      </c>
      <c r="R2399" t="s">
        <v>43</v>
      </c>
      <c r="S2399">
        <v>2</v>
      </c>
      <c r="T2399" t="b">
        <v>1</v>
      </c>
      <c r="U2399" t="s">
        <v>50</v>
      </c>
      <c r="V2399">
        <v>2</v>
      </c>
    </row>
    <row r="2400" spans="1:22" x14ac:dyDescent="0.25">
      <c r="A2400" t="s">
        <v>5286</v>
      </c>
      <c r="B2400" s="1">
        <v>45138</v>
      </c>
      <c r="C2400" t="s">
        <v>5287</v>
      </c>
      <c r="D2400" t="s">
        <v>618</v>
      </c>
      <c r="E2400">
        <v>49</v>
      </c>
      <c r="F2400" t="str">
        <f>IF(Table1[[#This Row],[age]]&lt;=25,"18-25",IF(Table1[[#This Row],[age]]&lt;=35,"26-35",IF(Table1[[#This Row],[age]]&lt;=50,"36-50","51+")))</f>
        <v>36-50</v>
      </c>
      <c r="G2400" t="s">
        <v>24</v>
      </c>
      <c r="H2400" t="s">
        <v>61</v>
      </c>
      <c r="I2400" t="s">
        <v>163</v>
      </c>
      <c r="J2400" t="s">
        <v>36</v>
      </c>
      <c r="K2400" t="s">
        <v>76</v>
      </c>
      <c r="L2400">
        <v>4</v>
      </c>
      <c r="M2400">
        <v>33460.25</v>
      </c>
      <c r="N2400">
        <v>0.13</v>
      </c>
      <c r="O2400">
        <v>195087.5</v>
      </c>
      <c r="P2400">
        <v>63064.44</v>
      </c>
      <c r="Q2400">
        <v>40.01</v>
      </c>
      <c r="R2400" t="s">
        <v>65</v>
      </c>
      <c r="S2400">
        <v>5</v>
      </c>
      <c r="T2400" t="b">
        <v>0</v>
      </c>
      <c r="U2400" t="s">
        <v>30</v>
      </c>
      <c r="V2400">
        <v>5</v>
      </c>
    </row>
    <row r="2401" spans="1:22" x14ac:dyDescent="0.25">
      <c r="A2401" t="s">
        <v>5288</v>
      </c>
      <c r="B2401" s="1">
        <v>44499</v>
      </c>
      <c r="C2401" t="s">
        <v>5289</v>
      </c>
      <c r="D2401" t="s">
        <v>375</v>
      </c>
      <c r="E2401">
        <v>30</v>
      </c>
      <c r="F2401" t="str">
        <f>IF(Table1[[#This Row],[age]]&lt;=25,"18-25",IF(Table1[[#This Row],[age]]&lt;=35,"26-35",IF(Table1[[#This Row],[age]]&lt;=50,"36-50","51+")))</f>
        <v>26-35</v>
      </c>
      <c r="G2401" t="s">
        <v>34</v>
      </c>
      <c r="H2401" t="s">
        <v>55</v>
      </c>
      <c r="I2401" t="s">
        <v>56</v>
      </c>
      <c r="J2401" t="s">
        <v>101</v>
      </c>
      <c r="K2401" t="s">
        <v>318</v>
      </c>
      <c r="L2401">
        <v>1</v>
      </c>
      <c r="M2401">
        <v>9205.69</v>
      </c>
      <c r="N2401">
        <v>0.13</v>
      </c>
      <c r="O2401">
        <v>7849.73</v>
      </c>
      <c r="P2401">
        <v>1902.62</v>
      </c>
      <c r="Q2401">
        <v>71.069999999999993</v>
      </c>
      <c r="R2401" t="s">
        <v>29</v>
      </c>
      <c r="S2401">
        <v>1</v>
      </c>
      <c r="T2401" t="b">
        <v>0</v>
      </c>
      <c r="U2401" t="s">
        <v>30</v>
      </c>
      <c r="V2401">
        <v>5</v>
      </c>
    </row>
    <row r="2402" spans="1:22" x14ac:dyDescent="0.25">
      <c r="A2402" t="s">
        <v>5290</v>
      </c>
      <c r="B2402" s="1">
        <v>44141</v>
      </c>
      <c r="C2402" t="s">
        <v>5291</v>
      </c>
      <c r="D2402" t="s">
        <v>757</v>
      </c>
      <c r="E2402">
        <v>21</v>
      </c>
      <c r="F2402" t="str">
        <f>IF(Table1[[#This Row],[age]]&lt;=25,"18-25",IF(Table1[[#This Row],[age]]&lt;=35,"26-35",IF(Table1[[#This Row],[age]]&lt;=50,"36-50","51+")))</f>
        <v>18-25</v>
      </c>
      <c r="G2402" t="s">
        <v>24</v>
      </c>
      <c r="H2402" t="s">
        <v>55</v>
      </c>
      <c r="I2402" t="s">
        <v>97</v>
      </c>
      <c r="J2402" t="s">
        <v>106</v>
      </c>
      <c r="K2402" t="s">
        <v>718</v>
      </c>
      <c r="L2402">
        <v>8</v>
      </c>
      <c r="M2402">
        <v>483.25</v>
      </c>
      <c r="N2402">
        <v>0.06</v>
      </c>
      <c r="O2402">
        <v>2795.81</v>
      </c>
      <c r="P2402">
        <v>207.65</v>
      </c>
      <c r="Q2402">
        <v>28.67</v>
      </c>
      <c r="R2402" t="s">
        <v>65</v>
      </c>
      <c r="S2402">
        <v>3</v>
      </c>
      <c r="T2402" t="b">
        <v>0</v>
      </c>
      <c r="U2402" t="s">
        <v>30</v>
      </c>
      <c r="V2402">
        <v>2</v>
      </c>
    </row>
    <row r="2403" spans="1:22" x14ac:dyDescent="0.25">
      <c r="A2403" t="s">
        <v>5292</v>
      </c>
      <c r="B2403" s="1">
        <v>44491</v>
      </c>
      <c r="C2403" t="s">
        <v>5293</v>
      </c>
      <c r="D2403" t="s">
        <v>1401</v>
      </c>
      <c r="E2403">
        <v>25</v>
      </c>
      <c r="F2403" t="str">
        <f>IF(Table1[[#This Row],[age]]&lt;=25,"18-25",IF(Table1[[#This Row],[age]]&lt;=35,"26-35",IF(Table1[[#This Row],[age]]&lt;=50,"36-50","51+")))</f>
        <v>18-25</v>
      </c>
      <c r="G2403" t="s">
        <v>34</v>
      </c>
      <c r="H2403" t="s">
        <v>25</v>
      </c>
      <c r="I2403" t="s">
        <v>26</v>
      </c>
      <c r="J2403" t="s">
        <v>101</v>
      </c>
      <c r="K2403" t="s">
        <v>456</v>
      </c>
      <c r="L2403">
        <v>4</v>
      </c>
      <c r="M2403">
        <v>9927.75</v>
      </c>
      <c r="N2403">
        <v>0.01</v>
      </c>
      <c r="O2403">
        <v>30133.8</v>
      </c>
      <c r="P2403">
        <v>8083.5</v>
      </c>
      <c r="Q2403">
        <v>86.33</v>
      </c>
      <c r="R2403" t="s">
        <v>49</v>
      </c>
      <c r="S2403">
        <v>1</v>
      </c>
      <c r="T2403" t="b">
        <v>0</v>
      </c>
      <c r="U2403" t="s">
        <v>30</v>
      </c>
      <c r="V2403">
        <v>5</v>
      </c>
    </row>
    <row r="2404" spans="1:22" x14ac:dyDescent="0.25">
      <c r="A2404" t="s">
        <v>5294</v>
      </c>
      <c r="B2404" s="1">
        <v>44044</v>
      </c>
      <c r="C2404" t="s">
        <v>5295</v>
      </c>
      <c r="D2404" t="s">
        <v>2003</v>
      </c>
      <c r="E2404">
        <v>47</v>
      </c>
      <c r="F2404" t="str">
        <f>IF(Table1[[#This Row],[age]]&lt;=25,"18-25",IF(Table1[[#This Row],[age]]&lt;=35,"26-35",IF(Table1[[#This Row],[age]]&lt;=50,"36-50","51+")))</f>
        <v>36-50</v>
      </c>
      <c r="G2404" t="s">
        <v>54</v>
      </c>
      <c r="H2404" t="s">
        <v>80</v>
      </c>
      <c r="I2404" t="s">
        <v>236</v>
      </c>
      <c r="J2404" t="s">
        <v>47</v>
      </c>
      <c r="K2404" t="s">
        <v>204</v>
      </c>
      <c r="L2404">
        <v>1</v>
      </c>
      <c r="M2404">
        <v>658.73</v>
      </c>
      <c r="N2404">
        <v>0.32</v>
      </c>
      <c r="O2404">
        <v>486.04</v>
      </c>
      <c r="P2404">
        <v>224.09</v>
      </c>
      <c r="Q2404">
        <v>56.27</v>
      </c>
      <c r="R2404" t="s">
        <v>92</v>
      </c>
      <c r="S2404">
        <v>1</v>
      </c>
      <c r="T2404" t="b">
        <v>0</v>
      </c>
      <c r="U2404" t="s">
        <v>71</v>
      </c>
      <c r="V2404">
        <v>10</v>
      </c>
    </row>
    <row r="2405" spans="1:22" x14ac:dyDescent="0.25">
      <c r="A2405" t="s">
        <v>5296</v>
      </c>
      <c r="B2405" s="1">
        <v>45247</v>
      </c>
      <c r="C2405" t="s">
        <v>5297</v>
      </c>
      <c r="D2405" t="s">
        <v>1818</v>
      </c>
      <c r="E2405">
        <v>35</v>
      </c>
      <c r="F2405" t="str">
        <f>IF(Table1[[#This Row],[age]]&lt;=25,"18-25",IF(Table1[[#This Row],[age]]&lt;=35,"26-35",IF(Table1[[#This Row],[age]]&lt;=50,"36-50","51+")))</f>
        <v>26-35</v>
      </c>
      <c r="G2405" t="s">
        <v>54</v>
      </c>
      <c r="H2405" t="s">
        <v>80</v>
      </c>
      <c r="I2405" t="s">
        <v>236</v>
      </c>
      <c r="J2405" t="s">
        <v>27</v>
      </c>
      <c r="K2405" t="s">
        <v>128</v>
      </c>
      <c r="L2405">
        <v>5</v>
      </c>
      <c r="M2405">
        <v>2164.5</v>
      </c>
      <c r="N2405">
        <v>0.36</v>
      </c>
      <c r="O2405">
        <v>6849.69</v>
      </c>
      <c r="P2405">
        <v>3108.13</v>
      </c>
      <c r="Q2405">
        <v>89.26</v>
      </c>
      <c r="R2405" t="s">
        <v>43</v>
      </c>
      <c r="S2405">
        <v>1</v>
      </c>
      <c r="T2405" t="b">
        <v>0</v>
      </c>
      <c r="U2405" t="s">
        <v>30</v>
      </c>
      <c r="V2405">
        <v>5</v>
      </c>
    </row>
    <row r="2406" spans="1:22" x14ac:dyDescent="0.25">
      <c r="A2406" t="s">
        <v>5298</v>
      </c>
      <c r="B2406" s="1">
        <v>43934</v>
      </c>
      <c r="C2406" t="s">
        <v>5299</v>
      </c>
      <c r="D2406" t="s">
        <v>998</v>
      </c>
      <c r="E2406">
        <v>35</v>
      </c>
      <c r="F2406" t="str">
        <f>IF(Table1[[#This Row],[age]]&lt;=25,"18-25",IF(Table1[[#This Row],[age]]&lt;=35,"26-35",IF(Table1[[#This Row],[age]]&lt;=50,"36-50","51+")))</f>
        <v>26-35</v>
      </c>
      <c r="G2406" t="s">
        <v>34</v>
      </c>
      <c r="H2406" t="s">
        <v>61</v>
      </c>
      <c r="I2406" t="s">
        <v>62</v>
      </c>
      <c r="J2406" t="s">
        <v>47</v>
      </c>
      <c r="K2406" t="s">
        <v>48</v>
      </c>
      <c r="L2406">
        <v>5</v>
      </c>
      <c r="M2406">
        <v>966.73</v>
      </c>
      <c r="N2406">
        <v>0.32</v>
      </c>
      <c r="O2406">
        <v>4041.53</v>
      </c>
      <c r="P2406">
        <v>1436.4</v>
      </c>
      <c r="Q2406">
        <v>27.61</v>
      </c>
      <c r="R2406" t="s">
        <v>43</v>
      </c>
      <c r="S2406">
        <v>5</v>
      </c>
      <c r="T2406" t="b">
        <v>0</v>
      </c>
      <c r="U2406" t="s">
        <v>93</v>
      </c>
      <c r="V2406">
        <v>4</v>
      </c>
    </row>
    <row r="2407" spans="1:22" x14ac:dyDescent="0.25">
      <c r="A2407" t="s">
        <v>5300</v>
      </c>
      <c r="B2407" s="1">
        <v>44798</v>
      </c>
      <c r="C2407" t="s">
        <v>5301</v>
      </c>
      <c r="D2407" t="s">
        <v>412</v>
      </c>
      <c r="E2407">
        <v>42</v>
      </c>
      <c r="F2407" t="str">
        <f>IF(Table1[[#This Row],[age]]&lt;=25,"18-25",IF(Table1[[#This Row],[age]]&lt;=35,"26-35",IF(Table1[[#This Row],[age]]&lt;=50,"36-50","51+")))</f>
        <v>36-50</v>
      </c>
      <c r="G2407" t="s">
        <v>54</v>
      </c>
      <c r="H2407" t="s">
        <v>80</v>
      </c>
      <c r="I2407" t="s">
        <v>86</v>
      </c>
      <c r="J2407" t="s">
        <v>101</v>
      </c>
      <c r="K2407" t="s">
        <v>456</v>
      </c>
      <c r="L2407">
        <v>3</v>
      </c>
      <c r="M2407">
        <v>11700.18</v>
      </c>
      <c r="N2407">
        <v>0.34</v>
      </c>
      <c r="O2407">
        <v>31335.42</v>
      </c>
      <c r="P2407">
        <v>7211.28</v>
      </c>
      <c r="Q2407">
        <v>61.57</v>
      </c>
      <c r="R2407" t="s">
        <v>49</v>
      </c>
      <c r="S2407">
        <v>2</v>
      </c>
      <c r="T2407" t="b">
        <v>0</v>
      </c>
      <c r="U2407" t="s">
        <v>30</v>
      </c>
      <c r="V2407">
        <v>4</v>
      </c>
    </row>
    <row r="2408" spans="1:22" x14ac:dyDescent="0.25">
      <c r="A2408" t="s">
        <v>5302</v>
      </c>
      <c r="B2408" s="1">
        <v>44632</v>
      </c>
      <c r="C2408" t="s">
        <v>5303</v>
      </c>
      <c r="D2408" t="s">
        <v>1898</v>
      </c>
      <c r="E2408">
        <v>37</v>
      </c>
      <c r="F2408" t="str">
        <f>IF(Table1[[#This Row],[age]]&lt;=25,"18-25",IF(Table1[[#This Row],[age]]&lt;=35,"26-35",IF(Table1[[#This Row],[age]]&lt;=50,"36-50","51+")))</f>
        <v>36-50</v>
      </c>
      <c r="G2408" t="s">
        <v>34</v>
      </c>
      <c r="H2408" t="s">
        <v>80</v>
      </c>
      <c r="I2408" t="s">
        <v>236</v>
      </c>
      <c r="J2408" t="s">
        <v>63</v>
      </c>
      <c r="K2408" t="s">
        <v>64</v>
      </c>
      <c r="L2408">
        <v>2</v>
      </c>
      <c r="M2408">
        <v>3062.06</v>
      </c>
      <c r="N2408">
        <v>0</v>
      </c>
      <c r="O2408">
        <v>6405.51</v>
      </c>
      <c r="P2408">
        <v>1929.46</v>
      </c>
      <c r="Q2408">
        <v>60.97</v>
      </c>
      <c r="R2408" t="s">
        <v>57</v>
      </c>
      <c r="S2408">
        <v>4</v>
      </c>
      <c r="T2408" t="b">
        <v>0</v>
      </c>
      <c r="U2408" t="s">
        <v>30</v>
      </c>
      <c r="V2408">
        <v>6</v>
      </c>
    </row>
    <row r="2409" spans="1:22" x14ac:dyDescent="0.25">
      <c r="A2409" t="s">
        <v>5304</v>
      </c>
      <c r="B2409" s="1">
        <v>45064</v>
      </c>
      <c r="C2409" t="s">
        <v>5305</v>
      </c>
      <c r="D2409" t="s">
        <v>378</v>
      </c>
      <c r="E2409">
        <v>46</v>
      </c>
      <c r="F2409" t="str">
        <f>IF(Table1[[#This Row],[age]]&lt;=25,"18-25",IF(Table1[[#This Row],[age]]&lt;=35,"26-35",IF(Table1[[#This Row],[age]]&lt;=50,"36-50","51+")))</f>
        <v>36-50</v>
      </c>
      <c r="G2409" t="s">
        <v>24</v>
      </c>
      <c r="H2409" t="s">
        <v>61</v>
      </c>
      <c r="I2409" t="s">
        <v>163</v>
      </c>
      <c r="J2409" t="s">
        <v>47</v>
      </c>
      <c r="K2409" t="s">
        <v>600</v>
      </c>
      <c r="L2409">
        <v>2</v>
      </c>
      <c r="M2409">
        <v>922.52</v>
      </c>
      <c r="N2409">
        <v>0.02</v>
      </c>
      <c r="O2409">
        <v>2948.11</v>
      </c>
      <c r="P2409">
        <v>1106.75</v>
      </c>
      <c r="Q2409">
        <v>61.06</v>
      </c>
      <c r="R2409" t="s">
        <v>29</v>
      </c>
      <c r="S2409">
        <v>3</v>
      </c>
      <c r="T2409" t="b">
        <v>0</v>
      </c>
      <c r="U2409" t="s">
        <v>30</v>
      </c>
      <c r="V2409">
        <v>9</v>
      </c>
    </row>
    <row r="2410" spans="1:22" x14ac:dyDescent="0.25">
      <c r="A2410" t="s">
        <v>5306</v>
      </c>
      <c r="B2410" s="1">
        <v>44715</v>
      </c>
      <c r="C2410" t="s">
        <v>5307</v>
      </c>
      <c r="D2410" t="s">
        <v>207</v>
      </c>
      <c r="E2410">
        <v>46</v>
      </c>
      <c r="F2410" t="str">
        <f>IF(Table1[[#This Row],[age]]&lt;=25,"18-25",IF(Table1[[#This Row],[age]]&lt;=35,"26-35",IF(Table1[[#This Row],[age]]&lt;=50,"36-50","51+")))</f>
        <v>36-50</v>
      </c>
      <c r="G2410" t="s">
        <v>54</v>
      </c>
      <c r="H2410" t="s">
        <v>80</v>
      </c>
      <c r="I2410" t="s">
        <v>81</v>
      </c>
      <c r="J2410" t="s">
        <v>27</v>
      </c>
      <c r="K2410" t="s">
        <v>28</v>
      </c>
      <c r="L2410">
        <v>10</v>
      </c>
      <c r="M2410">
        <v>1635.87</v>
      </c>
      <c r="N2410">
        <v>0.21</v>
      </c>
      <c r="O2410">
        <v>18889.25</v>
      </c>
      <c r="P2410">
        <v>9364.27</v>
      </c>
      <c r="Q2410">
        <v>65.41</v>
      </c>
      <c r="R2410" t="s">
        <v>49</v>
      </c>
      <c r="S2410">
        <v>4</v>
      </c>
      <c r="T2410" t="b">
        <v>0</v>
      </c>
      <c r="U2410" t="s">
        <v>30</v>
      </c>
      <c r="V2410">
        <v>4</v>
      </c>
    </row>
    <row r="2411" spans="1:22" x14ac:dyDescent="0.25">
      <c r="A2411" t="s">
        <v>5308</v>
      </c>
      <c r="B2411" s="1">
        <v>45254</v>
      </c>
      <c r="C2411" t="s">
        <v>5309</v>
      </c>
      <c r="D2411" t="s">
        <v>1069</v>
      </c>
      <c r="E2411">
        <v>40</v>
      </c>
      <c r="F2411" t="str">
        <f>IF(Table1[[#This Row],[age]]&lt;=25,"18-25",IF(Table1[[#This Row],[age]]&lt;=35,"26-35",IF(Table1[[#This Row],[age]]&lt;=50,"36-50","51+")))</f>
        <v>36-50</v>
      </c>
      <c r="G2411" t="s">
        <v>24</v>
      </c>
      <c r="H2411" t="s">
        <v>69</v>
      </c>
      <c r="I2411" t="s">
        <v>136</v>
      </c>
      <c r="J2411" t="s">
        <v>27</v>
      </c>
      <c r="K2411" t="s">
        <v>168</v>
      </c>
      <c r="L2411">
        <v>7</v>
      </c>
      <c r="M2411">
        <v>586.63</v>
      </c>
      <c r="N2411">
        <v>0.04</v>
      </c>
      <c r="O2411">
        <v>3416.93</v>
      </c>
      <c r="P2411">
        <v>1208.1300000000001</v>
      </c>
      <c r="Q2411">
        <v>90.59</v>
      </c>
      <c r="R2411" t="s">
        <v>92</v>
      </c>
      <c r="S2411">
        <v>2</v>
      </c>
      <c r="T2411" t="b">
        <v>0</v>
      </c>
      <c r="U2411" t="s">
        <v>193</v>
      </c>
      <c r="V2411">
        <v>8</v>
      </c>
    </row>
    <row r="2412" spans="1:22" x14ac:dyDescent="0.25">
      <c r="A2412" t="s">
        <v>5310</v>
      </c>
      <c r="B2412" s="1">
        <v>45452</v>
      </c>
      <c r="C2412" t="s">
        <v>5311</v>
      </c>
      <c r="D2412" t="s">
        <v>196</v>
      </c>
      <c r="E2412">
        <v>37</v>
      </c>
      <c r="F2412" t="str">
        <f>IF(Table1[[#This Row],[age]]&lt;=25,"18-25",IF(Table1[[#This Row],[age]]&lt;=35,"26-35",IF(Table1[[#This Row],[age]]&lt;=50,"36-50","51+")))</f>
        <v>36-50</v>
      </c>
      <c r="G2412" t="s">
        <v>24</v>
      </c>
      <c r="H2412" t="s">
        <v>80</v>
      </c>
      <c r="I2412" t="s">
        <v>236</v>
      </c>
      <c r="J2412" t="s">
        <v>101</v>
      </c>
      <c r="K2412" t="s">
        <v>102</v>
      </c>
      <c r="L2412">
        <v>4</v>
      </c>
      <c r="M2412">
        <v>969.54</v>
      </c>
      <c r="N2412">
        <v>0.1</v>
      </c>
      <c r="O2412">
        <v>6002.74</v>
      </c>
      <c r="P2412">
        <v>476.57</v>
      </c>
      <c r="Q2412">
        <v>59.53</v>
      </c>
      <c r="R2412" t="s">
        <v>92</v>
      </c>
      <c r="S2412">
        <v>4</v>
      </c>
      <c r="T2412" t="b">
        <v>0</v>
      </c>
      <c r="U2412" t="s">
        <v>30</v>
      </c>
      <c r="V2412">
        <v>5</v>
      </c>
    </row>
    <row r="2413" spans="1:22" x14ac:dyDescent="0.25">
      <c r="A2413" t="s">
        <v>5312</v>
      </c>
      <c r="B2413" s="1">
        <v>44866</v>
      </c>
      <c r="C2413" t="s">
        <v>5313</v>
      </c>
      <c r="D2413" t="s">
        <v>474</v>
      </c>
      <c r="E2413">
        <v>34</v>
      </c>
      <c r="F2413" t="str">
        <f>IF(Table1[[#This Row],[age]]&lt;=25,"18-25",IF(Table1[[#This Row],[age]]&lt;=35,"26-35",IF(Table1[[#This Row],[age]]&lt;=50,"36-50","51+")))</f>
        <v>26-35</v>
      </c>
      <c r="G2413" t="s">
        <v>34</v>
      </c>
      <c r="H2413" t="s">
        <v>25</v>
      </c>
      <c r="I2413" t="s">
        <v>26</v>
      </c>
      <c r="J2413" t="s">
        <v>115</v>
      </c>
      <c r="K2413" t="s">
        <v>545</v>
      </c>
      <c r="L2413">
        <v>5</v>
      </c>
      <c r="M2413">
        <v>17051.009999999998</v>
      </c>
      <c r="N2413">
        <v>0.02</v>
      </c>
      <c r="O2413">
        <v>72489.63</v>
      </c>
      <c r="P2413">
        <v>12014.35</v>
      </c>
      <c r="Q2413">
        <v>60.41</v>
      </c>
      <c r="R2413" t="s">
        <v>29</v>
      </c>
      <c r="S2413">
        <v>4</v>
      </c>
      <c r="T2413" t="b">
        <v>0</v>
      </c>
      <c r="U2413" t="s">
        <v>30</v>
      </c>
      <c r="V2413">
        <v>3</v>
      </c>
    </row>
    <row r="2414" spans="1:22" x14ac:dyDescent="0.25">
      <c r="A2414" t="s">
        <v>5314</v>
      </c>
      <c r="B2414" s="1">
        <v>45402</v>
      </c>
      <c r="C2414" t="s">
        <v>5315</v>
      </c>
      <c r="D2414" t="s">
        <v>603</v>
      </c>
      <c r="E2414">
        <v>31</v>
      </c>
      <c r="F2414" t="str">
        <f>IF(Table1[[#This Row],[age]]&lt;=25,"18-25",IF(Table1[[#This Row],[age]]&lt;=35,"26-35",IF(Table1[[#This Row],[age]]&lt;=50,"36-50","51+")))</f>
        <v>26-35</v>
      </c>
      <c r="G2414" t="s">
        <v>54</v>
      </c>
      <c r="H2414" t="s">
        <v>25</v>
      </c>
      <c r="I2414" t="s">
        <v>298</v>
      </c>
      <c r="J2414" t="s">
        <v>27</v>
      </c>
      <c r="K2414" t="s">
        <v>335</v>
      </c>
      <c r="L2414">
        <v>8</v>
      </c>
      <c r="M2414">
        <v>1737.06</v>
      </c>
      <c r="N2414">
        <v>0.05</v>
      </c>
      <c r="O2414">
        <v>21586.69</v>
      </c>
      <c r="P2414">
        <v>9320.24</v>
      </c>
      <c r="Q2414">
        <v>48.1</v>
      </c>
      <c r="R2414" t="s">
        <v>43</v>
      </c>
      <c r="S2414">
        <v>4</v>
      </c>
      <c r="T2414" t="b">
        <v>0</v>
      </c>
      <c r="U2414" t="s">
        <v>30</v>
      </c>
      <c r="V2414">
        <v>9</v>
      </c>
    </row>
    <row r="2415" spans="1:22" x14ac:dyDescent="0.25">
      <c r="A2415" t="s">
        <v>5316</v>
      </c>
      <c r="B2415" s="1">
        <v>44884</v>
      </c>
      <c r="C2415" t="s">
        <v>5317</v>
      </c>
      <c r="D2415" t="s">
        <v>1136</v>
      </c>
      <c r="E2415">
        <v>40</v>
      </c>
      <c r="F2415" t="str">
        <f>IF(Table1[[#This Row],[age]]&lt;=25,"18-25",IF(Table1[[#This Row],[age]]&lt;=35,"26-35",IF(Table1[[#This Row],[age]]&lt;=50,"36-50","51+")))</f>
        <v>36-50</v>
      </c>
      <c r="G2415" t="s">
        <v>54</v>
      </c>
      <c r="H2415" t="s">
        <v>61</v>
      </c>
      <c r="I2415" t="s">
        <v>91</v>
      </c>
      <c r="J2415" t="s">
        <v>101</v>
      </c>
      <c r="K2415" t="s">
        <v>214</v>
      </c>
      <c r="L2415">
        <v>9</v>
      </c>
      <c r="M2415">
        <v>10073.67</v>
      </c>
      <c r="N2415">
        <v>0.2</v>
      </c>
      <c r="O2415">
        <v>59652.6</v>
      </c>
      <c r="P2415">
        <v>18108.91</v>
      </c>
      <c r="Q2415">
        <v>53.9</v>
      </c>
      <c r="R2415" t="s">
        <v>43</v>
      </c>
      <c r="S2415">
        <v>4</v>
      </c>
      <c r="T2415" t="b">
        <v>0</v>
      </c>
      <c r="U2415" t="s">
        <v>71</v>
      </c>
      <c r="V2415">
        <v>2</v>
      </c>
    </row>
    <row r="2416" spans="1:22" x14ac:dyDescent="0.25">
      <c r="A2416" t="s">
        <v>5318</v>
      </c>
      <c r="B2416" s="1">
        <v>45022</v>
      </c>
      <c r="C2416" t="s">
        <v>5319</v>
      </c>
      <c r="D2416" t="s">
        <v>443</v>
      </c>
      <c r="E2416">
        <v>39</v>
      </c>
      <c r="F2416" t="str">
        <f>IF(Table1[[#This Row],[age]]&lt;=25,"18-25",IF(Table1[[#This Row],[age]]&lt;=35,"26-35",IF(Table1[[#This Row],[age]]&lt;=50,"36-50","51+")))</f>
        <v>36-50</v>
      </c>
      <c r="G2416" t="s">
        <v>34</v>
      </c>
      <c r="H2416" t="s">
        <v>61</v>
      </c>
      <c r="I2416" t="s">
        <v>141</v>
      </c>
      <c r="J2416" t="s">
        <v>36</v>
      </c>
      <c r="K2416" t="s">
        <v>230</v>
      </c>
      <c r="L2416">
        <v>4</v>
      </c>
      <c r="M2416">
        <v>20972.36</v>
      </c>
      <c r="N2416">
        <v>0.23</v>
      </c>
      <c r="O2416">
        <v>101498.2</v>
      </c>
      <c r="P2416">
        <v>40455.26</v>
      </c>
      <c r="Q2416">
        <v>43.34</v>
      </c>
      <c r="R2416" t="s">
        <v>65</v>
      </c>
      <c r="S2416">
        <v>1</v>
      </c>
      <c r="T2416" t="b">
        <v>0</v>
      </c>
      <c r="U2416" t="s">
        <v>30</v>
      </c>
      <c r="V2416">
        <v>4</v>
      </c>
    </row>
    <row r="2417" spans="1:22" x14ac:dyDescent="0.25">
      <c r="A2417" t="s">
        <v>5320</v>
      </c>
      <c r="B2417" s="1">
        <v>44339</v>
      </c>
      <c r="C2417" t="s">
        <v>5321</v>
      </c>
      <c r="D2417" t="s">
        <v>874</v>
      </c>
      <c r="E2417">
        <v>41</v>
      </c>
      <c r="F2417" t="str">
        <f>IF(Table1[[#This Row],[age]]&lt;=25,"18-25",IF(Table1[[#This Row],[age]]&lt;=35,"26-35",IF(Table1[[#This Row],[age]]&lt;=50,"36-50","51+")))</f>
        <v>36-50</v>
      </c>
      <c r="G2417" t="s">
        <v>24</v>
      </c>
      <c r="H2417" t="s">
        <v>55</v>
      </c>
      <c r="I2417" t="s">
        <v>56</v>
      </c>
      <c r="J2417" t="s">
        <v>101</v>
      </c>
      <c r="K2417" t="s">
        <v>102</v>
      </c>
      <c r="L2417">
        <v>8</v>
      </c>
      <c r="M2417">
        <v>1689.13</v>
      </c>
      <c r="N2417">
        <v>0.12</v>
      </c>
      <c r="O2417">
        <v>17306.12</v>
      </c>
      <c r="P2417">
        <v>3872.78</v>
      </c>
      <c r="Q2417">
        <v>78.959999999999994</v>
      </c>
      <c r="R2417" t="s">
        <v>92</v>
      </c>
      <c r="S2417">
        <v>3</v>
      </c>
      <c r="T2417" t="b">
        <v>0</v>
      </c>
      <c r="U2417" t="s">
        <v>93</v>
      </c>
      <c r="V2417">
        <v>2</v>
      </c>
    </row>
    <row r="2418" spans="1:22" x14ac:dyDescent="0.25">
      <c r="A2418" t="s">
        <v>5322</v>
      </c>
      <c r="B2418" s="1">
        <v>44973</v>
      </c>
      <c r="C2418" t="s">
        <v>4901</v>
      </c>
      <c r="D2418" t="s">
        <v>1622</v>
      </c>
      <c r="E2418">
        <v>37</v>
      </c>
      <c r="F2418" t="str">
        <f>IF(Table1[[#This Row],[age]]&lt;=25,"18-25",IF(Table1[[#This Row],[age]]&lt;=35,"26-35",IF(Table1[[#This Row],[age]]&lt;=50,"36-50","51+")))</f>
        <v>36-50</v>
      </c>
      <c r="G2418" t="s">
        <v>24</v>
      </c>
      <c r="H2418" t="s">
        <v>80</v>
      </c>
      <c r="I2418" t="s">
        <v>86</v>
      </c>
      <c r="J2418" t="s">
        <v>36</v>
      </c>
      <c r="K2418" t="s">
        <v>132</v>
      </c>
      <c r="L2418">
        <v>5</v>
      </c>
      <c r="M2418">
        <v>26873.8</v>
      </c>
      <c r="N2418">
        <v>0.3</v>
      </c>
      <c r="O2418">
        <v>107825.45</v>
      </c>
      <c r="P2418">
        <v>33382.410000000003</v>
      </c>
      <c r="Q2418">
        <v>80.540000000000006</v>
      </c>
      <c r="R2418" t="s">
        <v>92</v>
      </c>
      <c r="S2418">
        <v>2</v>
      </c>
      <c r="T2418" t="b">
        <v>0</v>
      </c>
      <c r="U2418" t="s">
        <v>71</v>
      </c>
      <c r="V2418">
        <v>9</v>
      </c>
    </row>
    <row r="2419" spans="1:22" x14ac:dyDescent="0.25">
      <c r="A2419" t="s">
        <v>5323</v>
      </c>
      <c r="B2419" s="1">
        <v>44442</v>
      </c>
      <c r="C2419" t="s">
        <v>5324</v>
      </c>
      <c r="D2419" t="s">
        <v>2420</v>
      </c>
      <c r="E2419">
        <v>21</v>
      </c>
      <c r="F2419" t="str">
        <f>IF(Table1[[#This Row],[age]]&lt;=25,"18-25",IF(Table1[[#This Row],[age]]&lt;=35,"26-35",IF(Table1[[#This Row],[age]]&lt;=50,"36-50","51+")))</f>
        <v>18-25</v>
      </c>
      <c r="G2419" t="s">
        <v>34</v>
      </c>
      <c r="H2419" t="s">
        <v>25</v>
      </c>
      <c r="I2419" t="s">
        <v>26</v>
      </c>
      <c r="J2419" t="s">
        <v>47</v>
      </c>
      <c r="K2419" t="s">
        <v>204</v>
      </c>
      <c r="L2419">
        <v>7</v>
      </c>
      <c r="M2419">
        <v>712.53</v>
      </c>
      <c r="N2419">
        <v>7.0000000000000007E-2</v>
      </c>
      <c r="O2419">
        <v>5107.75</v>
      </c>
      <c r="P2419">
        <v>1803.51</v>
      </c>
      <c r="Q2419">
        <v>57.42</v>
      </c>
      <c r="R2419" t="s">
        <v>57</v>
      </c>
      <c r="S2419">
        <v>1</v>
      </c>
      <c r="T2419" t="b">
        <v>1</v>
      </c>
      <c r="U2419" t="s">
        <v>50</v>
      </c>
      <c r="V2419">
        <v>10</v>
      </c>
    </row>
    <row r="2420" spans="1:22" x14ac:dyDescent="0.25">
      <c r="A2420" t="s">
        <v>5325</v>
      </c>
      <c r="B2420" s="1">
        <v>44801</v>
      </c>
      <c r="C2420" t="s">
        <v>5326</v>
      </c>
      <c r="D2420" t="s">
        <v>2176</v>
      </c>
      <c r="E2420">
        <v>25</v>
      </c>
      <c r="F2420" t="str">
        <f>IF(Table1[[#This Row],[age]]&lt;=25,"18-25",IF(Table1[[#This Row],[age]]&lt;=35,"26-35",IF(Table1[[#This Row],[age]]&lt;=50,"36-50","51+")))</f>
        <v>18-25</v>
      </c>
      <c r="G2420" t="s">
        <v>54</v>
      </c>
      <c r="H2420" t="s">
        <v>25</v>
      </c>
      <c r="I2420" t="s">
        <v>41</v>
      </c>
      <c r="J2420" t="s">
        <v>101</v>
      </c>
      <c r="K2420" t="s">
        <v>214</v>
      </c>
      <c r="L2420">
        <v>7</v>
      </c>
      <c r="M2420">
        <v>8703.41</v>
      </c>
      <c r="N2420">
        <v>0.09</v>
      </c>
      <c r="O2420">
        <v>68163.649999999994</v>
      </c>
      <c r="P2420">
        <v>14340.35</v>
      </c>
      <c r="Q2420">
        <v>62</v>
      </c>
      <c r="R2420" t="s">
        <v>29</v>
      </c>
      <c r="S2420">
        <v>2</v>
      </c>
      <c r="T2420" t="b">
        <v>0</v>
      </c>
      <c r="U2420" t="s">
        <v>30</v>
      </c>
      <c r="V2420">
        <v>1</v>
      </c>
    </row>
    <row r="2421" spans="1:22" x14ac:dyDescent="0.25">
      <c r="A2421" t="s">
        <v>5327</v>
      </c>
      <c r="B2421" s="1">
        <v>44557</v>
      </c>
      <c r="C2421" t="s">
        <v>5328</v>
      </c>
      <c r="D2421" t="s">
        <v>184</v>
      </c>
      <c r="E2421">
        <v>49</v>
      </c>
      <c r="F2421" t="str">
        <f>IF(Table1[[#This Row],[age]]&lt;=25,"18-25",IF(Table1[[#This Row],[age]]&lt;=35,"26-35",IF(Table1[[#This Row],[age]]&lt;=50,"36-50","51+")))</f>
        <v>36-50</v>
      </c>
      <c r="G2421" t="s">
        <v>24</v>
      </c>
      <c r="H2421" t="s">
        <v>61</v>
      </c>
      <c r="I2421" t="s">
        <v>141</v>
      </c>
      <c r="J2421" t="s">
        <v>36</v>
      </c>
      <c r="K2421" t="s">
        <v>132</v>
      </c>
      <c r="L2421">
        <v>4</v>
      </c>
      <c r="M2421">
        <v>7533.42</v>
      </c>
      <c r="N2421">
        <v>0.13</v>
      </c>
      <c r="O2421">
        <v>23033.05</v>
      </c>
      <c r="P2421">
        <v>7287.96</v>
      </c>
      <c r="Q2421">
        <v>68.3</v>
      </c>
      <c r="R2421" t="s">
        <v>57</v>
      </c>
      <c r="S2421">
        <v>5</v>
      </c>
      <c r="T2421" t="b">
        <v>0</v>
      </c>
      <c r="U2421" t="s">
        <v>30</v>
      </c>
      <c r="V2421">
        <v>6</v>
      </c>
    </row>
    <row r="2422" spans="1:22" x14ac:dyDescent="0.25">
      <c r="A2422" t="s">
        <v>5329</v>
      </c>
      <c r="B2422" s="1">
        <v>44908</v>
      </c>
      <c r="C2422" t="s">
        <v>5330</v>
      </c>
      <c r="D2422" t="s">
        <v>1023</v>
      </c>
      <c r="E2422">
        <v>20</v>
      </c>
      <c r="F2422" t="str">
        <f>IF(Table1[[#This Row],[age]]&lt;=25,"18-25",IF(Table1[[#This Row],[age]]&lt;=35,"26-35",IF(Table1[[#This Row],[age]]&lt;=50,"36-50","51+")))</f>
        <v>18-25</v>
      </c>
      <c r="G2422" t="s">
        <v>34</v>
      </c>
      <c r="H2422" t="s">
        <v>55</v>
      </c>
      <c r="I2422" t="s">
        <v>75</v>
      </c>
      <c r="J2422" t="s">
        <v>63</v>
      </c>
      <c r="K2422" t="s">
        <v>64</v>
      </c>
      <c r="L2422">
        <v>4</v>
      </c>
      <c r="M2422">
        <v>630.74</v>
      </c>
      <c r="N2422">
        <v>0.04</v>
      </c>
      <c r="O2422">
        <v>1712.76</v>
      </c>
      <c r="P2422">
        <v>616.52</v>
      </c>
      <c r="Q2422">
        <v>29.52</v>
      </c>
      <c r="R2422" t="s">
        <v>29</v>
      </c>
      <c r="S2422">
        <v>2</v>
      </c>
      <c r="T2422" t="b">
        <v>0</v>
      </c>
      <c r="U2422" t="s">
        <v>30</v>
      </c>
      <c r="V2422">
        <v>9</v>
      </c>
    </row>
    <row r="2423" spans="1:22" x14ac:dyDescent="0.25">
      <c r="A2423" t="s">
        <v>5331</v>
      </c>
      <c r="B2423" s="1">
        <v>44208</v>
      </c>
      <c r="C2423" t="s">
        <v>5332</v>
      </c>
      <c r="D2423" t="s">
        <v>307</v>
      </c>
      <c r="E2423">
        <v>48</v>
      </c>
      <c r="F2423" t="str">
        <f>IF(Table1[[#This Row],[age]]&lt;=25,"18-25",IF(Table1[[#This Row],[age]]&lt;=35,"26-35",IF(Table1[[#This Row],[age]]&lt;=50,"36-50","51+")))</f>
        <v>36-50</v>
      </c>
      <c r="G2423" t="s">
        <v>24</v>
      </c>
      <c r="H2423" t="s">
        <v>25</v>
      </c>
      <c r="I2423" t="s">
        <v>298</v>
      </c>
      <c r="J2423" t="s">
        <v>27</v>
      </c>
      <c r="K2423" t="s">
        <v>28</v>
      </c>
      <c r="L2423">
        <v>1</v>
      </c>
      <c r="M2423">
        <v>1901.42</v>
      </c>
      <c r="N2423">
        <v>0.3</v>
      </c>
      <c r="O2423">
        <v>1024</v>
      </c>
      <c r="P2423">
        <v>482.79</v>
      </c>
      <c r="Q2423">
        <v>37.700000000000003</v>
      </c>
      <c r="R2423" t="s">
        <v>43</v>
      </c>
      <c r="S2423">
        <v>5</v>
      </c>
      <c r="T2423" t="b">
        <v>0</v>
      </c>
      <c r="U2423" t="s">
        <v>30</v>
      </c>
      <c r="V2423">
        <v>7</v>
      </c>
    </row>
    <row r="2424" spans="1:22" x14ac:dyDescent="0.25">
      <c r="A2424" t="s">
        <v>5333</v>
      </c>
      <c r="B2424" s="1">
        <v>43991</v>
      </c>
      <c r="C2424" t="s">
        <v>5334</v>
      </c>
      <c r="D2424" t="s">
        <v>1433</v>
      </c>
      <c r="E2424">
        <v>40</v>
      </c>
      <c r="F2424" t="str">
        <f>IF(Table1[[#This Row],[age]]&lt;=25,"18-25",IF(Table1[[#This Row],[age]]&lt;=35,"26-35",IF(Table1[[#This Row],[age]]&lt;=50,"36-50","51+")))</f>
        <v>36-50</v>
      </c>
      <c r="G2424" t="s">
        <v>34</v>
      </c>
      <c r="H2424" t="s">
        <v>80</v>
      </c>
      <c r="I2424" t="s">
        <v>86</v>
      </c>
      <c r="J2424" t="s">
        <v>36</v>
      </c>
      <c r="K2424" t="s">
        <v>42</v>
      </c>
      <c r="L2424">
        <v>3</v>
      </c>
      <c r="M2424">
        <v>32005.1</v>
      </c>
      <c r="N2424">
        <v>0.14000000000000001</v>
      </c>
      <c r="O2424">
        <v>111222.15</v>
      </c>
      <c r="P2424">
        <v>40250.51</v>
      </c>
      <c r="Q2424">
        <v>26.04</v>
      </c>
      <c r="R2424" t="s">
        <v>92</v>
      </c>
      <c r="S2424">
        <v>5</v>
      </c>
      <c r="T2424" t="b">
        <v>0</v>
      </c>
      <c r="U2424" t="s">
        <v>30</v>
      </c>
      <c r="V2424">
        <v>1</v>
      </c>
    </row>
    <row r="2425" spans="1:22" x14ac:dyDescent="0.25">
      <c r="A2425" t="s">
        <v>5335</v>
      </c>
      <c r="B2425" s="1">
        <v>45630</v>
      </c>
      <c r="C2425" t="s">
        <v>5336</v>
      </c>
      <c r="D2425" t="s">
        <v>213</v>
      </c>
      <c r="E2425">
        <v>19</v>
      </c>
      <c r="F2425" t="str">
        <f>IF(Table1[[#This Row],[age]]&lt;=25,"18-25",IF(Table1[[#This Row],[age]]&lt;=35,"26-35",IF(Table1[[#This Row],[age]]&lt;=50,"36-50","51+")))</f>
        <v>18-25</v>
      </c>
      <c r="G2425" t="s">
        <v>34</v>
      </c>
      <c r="H2425" t="s">
        <v>61</v>
      </c>
      <c r="I2425" t="s">
        <v>163</v>
      </c>
      <c r="J2425" t="s">
        <v>27</v>
      </c>
      <c r="K2425" t="s">
        <v>168</v>
      </c>
      <c r="L2425">
        <v>9</v>
      </c>
      <c r="M2425">
        <v>1593.35</v>
      </c>
      <c r="N2425">
        <v>0.06</v>
      </c>
      <c r="O2425">
        <v>10203.459999999999</v>
      </c>
      <c r="P2425">
        <v>4094.58</v>
      </c>
      <c r="Q2425">
        <v>42.17</v>
      </c>
      <c r="R2425" t="s">
        <v>57</v>
      </c>
      <c r="S2425">
        <v>3</v>
      </c>
      <c r="T2425" t="b">
        <v>0</v>
      </c>
      <c r="U2425" t="s">
        <v>30</v>
      </c>
      <c r="V2425">
        <v>2</v>
      </c>
    </row>
    <row r="2426" spans="1:22" x14ac:dyDescent="0.25">
      <c r="A2426" t="s">
        <v>5337</v>
      </c>
      <c r="B2426" s="1">
        <v>45072</v>
      </c>
      <c r="C2426" t="s">
        <v>5338</v>
      </c>
      <c r="D2426" t="s">
        <v>3506</v>
      </c>
      <c r="E2426">
        <v>39</v>
      </c>
      <c r="F2426" t="str">
        <f>IF(Table1[[#This Row],[age]]&lt;=25,"18-25",IF(Table1[[#This Row],[age]]&lt;=35,"26-35",IF(Table1[[#This Row],[age]]&lt;=50,"36-50","51+")))</f>
        <v>36-50</v>
      </c>
      <c r="G2426" t="s">
        <v>54</v>
      </c>
      <c r="H2426" t="s">
        <v>55</v>
      </c>
      <c r="I2426" t="s">
        <v>56</v>
      </c>
      <c r="J2426" t="s">
        <v>27</v>
      </c>
      <c r="K2426" t="s">
        <v>28</v>
      </c>
      <c r="L2426">
        <v>1</v>
      </c>
      <c r="M2426">
        <v>2345.65</v>
      </c>
      <c r="N2426">
        <v>7.0000000000000007E-2</v>
      </c>
      <c r="O2426">
        <v>3844.13</v>
      </c>
      <c r="P2426">
        <v>2141.87</v>
      </c>
      <c r="Q2426">
        <v>54.42</v>
      </c>
      <c r="R2426" t="s">
        <v>92</v>
      </c>
      <c r="S2426">
        <v>2</v>
      </c>
      <c r="T2426" t="b">
        <v>1</v>
      </c>
      <c r="U2426" t="s">
        <v>50</v>
      </c>
      <c r="V2426">
        <v>3</v>
      </c>
    </row>
    <row r="2427" spans="1:22" x14ac:dyDescent="0.25">
      <c r="A2427" t="s">
        <v>5339</v>
      </c>
      <c r="B2427" s="1">
        <v>45326</v>
      </c>
      <c r="C2427" t="s">
        <v>5340</v>
      </c>
      <c r="D2427" t="s">
        <v>1589</v>
      </c>
      <c r="E2427">
        <v>40</v>
      </c>
      <c r="F2427" t="str">
        <f>IF(Table1[[#This Row],[age]]&lt;=25,"18-25",IF(Table1[[#This Row],[age]]&lt;=35,"26-35",IF(Table1[[#This Row],[age]]&lt;=50,"36-50","51+")))</f>
        <v>36-50</v>
      </c>
      <c r="G2427" t="s">
        <v>54</v>
      </c>
      <c r="H2427" t="s">
        <v>55</v>
      </c>
      <c r="I2427" t="s">
        <v>75</v>
      </c>
      <c r="J2427" t="s">
        <v>36</v>
      </c>
      <c r="K2427" t="s">
        <v>230</v>
      </c>
      <c r="L2427">
        <v>1</v>
      </c>
      <c r="M2427">
        <v>12690.08</v>
      </c>
      <c r="N2427">
        <v>0.16</v>
      </c>
      <c r="O2427">
        <v>13573.95</v>
      </c>
      <c r="P2427">
        <v>3348.35</v>
      </c>
      <c r="Q2427">
        <v>78.84</v>
      </c>
      <c r="R2427" t="s">
        <v>92</v>
      </c>
      <c r="S2427">
        <v>4</v>
      </c>
      <c r="T2427" t="b">
        <v>0</v>
      </c>
      <c r="U2427" t="s">
        <v>30</v>
      </c>
      <c r="V2427">
        <v>2</v>
      </c>
    </row>
    <row r="2428" spans="1:22" x14ac:dyDescent="0.25">
      <c r="A2428" t="s">
        <v>5341</v>
      </c>
      <c r="B2428" s="1">
        <v>43862</v>
      </c>
      <c r="C2428" t="s">
        <v>5342</v>
      </c>
      <c r="D2428" t="s">
        <v>1359</v>
      </c>
      <c r="E2428">
        <v>45</v>
      </c>
      <c r="F2428" t="str">
        <f>IF(Table1[[#This Row],[age]]&lt;=25,"18-25",IF(Table1[[#This Row],[age]]&lt;=35,"26-35",IF(Table1[[#This Row],[age]]&lt;=50,"36-50","51+")))</f>
        <v>36-50</v>
      </c>
      <c r="G2428" t="s">
        <v>34</v>
      </c>
      <c r="H2428" t="s">
        <v>55</v>
      </c>
      <c r="I2428" t="s">
        <v>97</v>
      </c>
      <c r="J2428" t="s">
        <v>63</v>
      </c>
      <c r="K2428" t="s">
        <v>152</v>
      </c>
      <c r="L2428">
        <v>8</v>
      </c>
      <c r="M2428">
        <v>1746.58</v>
      </c>
      <c r="N2428">
        <v>0.14000000000000001</v>
      </c>
      <c r="O2428">
        <v>9981.19</v>
      </c>
      <c r="P2428">
        <v>3692.11</v>
      </c>
      <c r="Q2428">
        <v>25.32</v>
      </c>
      <c r="R2428" t="s">
        <v>29</v>
      </c>
      <c r="S2428">
        <v>3</v>
      </c>
      <c r="T2428" t="b">
        <v>0</v>
      </c>
      <c r="U2428" t="s">
        <v>93</v>
      </c>
      <c r="V2428">
        <v>3</v>
      </c>
    </row>
    <row r="2429" spans="1:22" x14ac:dyDescent="0.25">
      <c r="A2429" t="s">
        <v>5343</v>
      </c>
      <c r="B2429" s="1">
        <v>45239</v>
      </c>
      <c r="C2429" t="s">
        <v>5344</v>
      </c>
      <c r="D2429" t="s">
        <v>812</v>
      </c>
      <c r="E2429">
        <v>18</v>
      </c>
      <c r="F2429" t="str">
        <f>IF(Table1[[#This Row],[age]]&lt;=25,"18-25",IF(Table1[[#This Row],[age]]&lt;=35,"26-35",IF(Table1[[#This Row],[age]]&lt;=50,"36-50","51+")))</f>
        <v>18-25</v>
      </c>
      <c r="G2429" t="s">
        <v>24</v>
      </c>
      <c r="H2429" t="s">
        <v>55</v>
      </c>
      <c r="I2429" t="s">
        <v>56</v>
      </c>
      <c r="J2429" t="s">
        <v>101</v>
      </c>
      <c r="K2429" t="s">
        <v>214</v>
      </c>
      <c r="L2429">
        <v>4</v>
      </c>
      <c r="M2429">
        <v>7196.49</v>
      </c>
      <c r="N2429">
        <v>0.2</v>
      </c>
      <c r="O2429">
        <v>23291.68</v>
      </c>
      <c r="P2429">
        <v>4701.83</v>
      </c>
      <c r="Q2429">
        <v>62.08</v>
      </c>
      <c r="R2429" t="s">
        <v>92</v>
      </c>
      <c r="S2429">
        <v>1</v>
      </c>
      <c r="T2429" t="b">
        <v>1</v>
      </c>
      <c r="U2429" t="s">
        <v>50</v>
      </c>
      <c r="V2429">
        <v>10</v>
      </c>
    </row>
    <row r="2430" spans="1:22" x14ac:dyDescent="0.25">
      <c r="A2430" t="s">
        <v>5345</v>
      </c>
      <c r="B2430" s="1">
        <v>44024</v>
      </c>
      <c r="C2430" t="s">
        <v>5346</v>
      </c>
      <c r="D2430" t="s">
        <v>956</v>
      </c>
      <c r="E2430">
        <v>26</v>
      </c>
      <c r="F2430" t="str">
        <f>IF(Table1[[#This Row],[age]]&lt;=25,"18-25",IF(Table1[[#This Row],[age]]&lt;=35,"26-35",IF(Table1[[#This Row],[age]]&lt;=50,"36-50","51+")))</f>
        <v>26-35</v>
      </c>
      <c r="G2430" t="s">
        <v>54</v>
      </c>
      <c r="H2430" t="s">
        <v>55</v>
      </c>
      <c r="I2430" t="s">
        <v>97</v>
      </c>
      <c r="J2430" t="s">
        <v>106</v>
      </c>
      <c r="K2430" t="s">
        <v>314</v>
      </c>
      <c r="L2430">
        <v>9</v>
      </c>
      <c r="M2430">
        <v>367.82</v>
      </c>
      <c r="N2430">
        <v>0.37</v>
      </c>
      <c r="O2430">
        <v>2214.56</v>
      </c>
      <c r="P2430">
        <v>189.16</v>
      </c>
      <c r="Q2430">
        <v>74.739999999999995</v>
      </c>
      <c r="R2430" t="s">
        <v>29</v>
      </c>
      <c r="S2430">
        <v>3</v>
      </c>
      <c r="T2430" t="b">
        <v>0</v>
      </c>
      <c r="U2430" t="s">
        <v>30</v>
      </c>
      <c r="V2430">
        <v>9</v>
      </c>
    </row>
    <row r="2431" spans="1:22" x14ac:dyDescent="0.25">
      <c r="A2431" t="s">
        <v>5347</v>
      </c>
      <c r="B2431" s="1">
        <v>45194</v>
      </c>
      <c r="C2431" t="s">
        <v>5348</v>
      </c>
      <c r="D2431" t="s">
        <v>3701</v>
      </c>
      <c r="E2431">
        <v>49</v>
      </c>
      <c r="F2431" t="str">
        <f>IF(Table1[[#This Row],[age]]&lt;=25,"18-25",IF(Table1[[#This Row],[age]]&lt;=35,"26-35",IF(Table1[[#This Row],[age]]&lt;=50,"36-50","51+")))</f>
        <v>36-50</v>
      </c>
      <c r="G2431" t="s">
        <v>54</v>
      </c>
      <c r="H2431" t="s">
        <v>61</v>
      </c>
      <c r="I2431" t="s">
        <v>141</v>
      </c>
      <c r="J2431" t="s">
        <v>101</v>
      </c>
      <c r="K2431" t="s">
        <v>102</v>
      </c>
      <c r="L2431">
        <v>1</v>
      </c>
      <c r="M2431">
        <v>6693.3</v>
      </c>
      <c r="N2431">
        <v>0.11</v>
      </c>
      <c r="O2431">
        <v>7001.71</v>
      </c>
      <c r="P2431">
        <v>1485.2</v>
      </c>
      <c r="Q2431">
        <v>49.16</v>
      </c>
      <c r="R2431" t="s">
        <v>57</v>
      </c>
      <c r="S2431">
        <v>1</v>
      </c>
      <c r="T2431" t="b">
        <v>0</v>
      </c>
      <c r="U2431" t="s">
        <v>71</v>
      </c>
      <c r="V2431">
        <v>7</v>
      </c>
    </row>
    <row r="2432" spans="1:22" x14ac:dyDescent="0.25">
      <c r="A2432" t="s">
        <v>5349</v>
      </c>
      <c r="B2432" s="1">
        <v>45347</v>
      </c>
      <c r="C2432" t="s">
        <v>5350</v>
      </c>
      <c r="D2432" t="s">
        <v>646</v>
      </c>
      <c r="E2432">
        <v>30</v>
      </c>
      <c r="F2432" t="str">
        <f>IF(Table1[[#This Row],[age]]&lt;=25,"18-25",IF(Table1[[#This Row],[age]]&lt;=35,"26-35",IF(Table1[[#This Row],[age]]&lt;=50,"36-50","51+")))</f>
        <v>26-35</v>
      </c>
      <c r="G2432" t="s">
        <v>54</v>
      </c>
      <c r="H2432" t="s">
        <v>55</v>
      </c>
      <c r="I2432" t="s">
        <v>114</v>
      </c>
      <c r="J2432" t="s">
        <v>115</v>
      </c>
      <c r="K2432" t="s">
        <v>545</v>
      </c>
      <c r="L2432">
        <v>1</v>
      </c>
      <c r="M2432">
        <v>7202.38</v>
      </c>
      <c r="N2432">
        <v>0.21</v>
      </c>
      <c r="O2432">
        <v>6816.92</v>
      </c>
      <c r="P2432">
        <v>552.15</v>
      </c>
      <c r="Q2432">
        <v>67.34</v>
      </c>
      <c r="R2432" t="s">
        <v>92</v>
      </c>
      <c r="S2432">
        <v>2</v>
      </c>
      <c r="T2432" t="b">
        <v>1</v>
      </c>
      <c r="U2432" t="s">
        <v>50</v>
      </c>
      <c r="V2432">
        <v>4</v>
      </c>
    </row>
    <row r="2433" spans="1:22" x14ac:dyDescent="0.25">
      <c r="A2433" t="s">
        <v>5351</v>
      </c>
      <c r="B2433" s="1">
        <v>44331</v>
      </c>
      <c r="C2433" t="s">
        <v>5352</v>
      </c>
      <c r="D2433" t="s">
        <v>110</v>
      </c>
      <c r="E2433">
        <v>19</v>
      </c>
      <c r="F2433" t="str">
        <f>IF(Table1[[#This Row],[age]]&lt;=25,"18-25",IF(Table1[[#This Row],[age]]&lt;=35,"26-35",IF(Table1[[#This Row],[age]]&lt;=50,"36-50","51+")))</f>
        <v>18-25</v>
      </c>
      <c r="G2433" t="s">
        <v>34</v>
      </c>
      <c r="H2433" t="s">
        <v>80</v>
      </c>
      <c r="I2433" t="s">
        <v>86</v>
      </c>
      <c r="J2433" t="s">
        <v>36</v>
      </c>
      <c r="K2433" t="s">
        <v>37</v>
      </c>
      <c r="L2433">
        <v>1</v>
      </c>
      <c r="M2433">
        <v>12504.29</v>
      </c>
      <c r="N2433">
        <v>0.15</v>
      </c>
      <c r="O2433">
        <v>14133.18</v>
      </c>
      <c r="P2433">
        <v>5257.39</v>
      </c>
      <c r="Q2433">
        <v>87.69</v>
      </c>
      <c r="R2433" t="s">
        <v>43</v>
      </c>
      <c r="S2433">
        <v>4</v>
      </c>
      <c r="T2433" t="b">
        <v>0</v>
      </c>
      <c r="U2433" t="s">
        <v>30</v>
      </c>
      <c r="V2433">
        <v>8</v>
      </c>
    </row>
    <row r="2434" spans="1:22" x14ac:dyDescent="0.25">
      <c r="A2434" t="s">
        <v>5353</v>
      </c>
      <c r="B2434" s="1">
        <v>44647</v>
      </c>
      <c r="C2434" t="s">
        <v>5354</v>
      </c>
      <c r="D2434" t="s">
        <v>227</v>
      </c>
      <c r="E2434">
        <v>27</v>
      </c>
      <c r="F2434" t="str">
        <f>IF(Table1[[#This Row],[age]]&lt;=25,"18-25",IF(Table1[[#This Row],[age]]&lt;=35,"26-35",IF(Table1[[#This Row],[age]]&lt;=50,"36-50","51+")))</f>
        <v>26-35</v>
      </c>
      <c r="G2434" t="s">
        <v>24</v>
      </c>
      <c r="H2434" t="s">
        <v>69</v>
      </c>
      <c r="I2434" t="s">
        <v>136</v>
      </c>
      <c r="J2434" t="s">
        <v>115</v>
      </c>
      <c r="K2434" t="s">
        <v>545</v>
      </c>
      <c r="L2434">
        <v>7</v>
      </c>
      <c r="M2434">
        <v>49930.01</v>
      </c>
      <c r="N2434">
        <v>0.18</v>
      </c>
      <c r="O2434">
        <v>305814.52</v>
      </c>
      <c r="P2434">
        <v>52733.26</v>
      </c>
      <c r="Q2434">
        <v>87.99</v>
      </c>
      <c r="R2434" t="s">
        <v>57</v>
      </c>
      <c r="S2434">
        <v>2</v>
      </c>
      <c r="T2434" t="b">
        <v>1</v>
      </c>
      <c r="U2434" t="s">
        <v>50</v>
      </c>
      <c r="V2434">
        <v>1</v>
      </c>
    </row>
    <row r="2435" spans="1:22" x14ac:dyDescent="0.25">
      <c r="A2435" t="s">
        <v>5355</v>
      </c>
      <c r="B2435" s="1">
        <v>44460</v>
      </c>
      <c r="C2435" t="s">
        <v>5356</v>
      </c>
      <c r="D2435" t="s">
        <v>40</v>
      </c>
      <c r="E2435">
        <v>56</v>
      </c>
      <c r="F2435" t="str">
        <f>IF(Table1[[#This Row],[age]]&lt;=25,"18-25",IF(Table1[[#This Row],[age]]&lt;=35,"26-35",IF(Table1[[#This Row],[age]]&lt;=50,"36-50","51+")))</f>
        <v>51+</v>
      </c>
      <c r="G2435" t="s">
        <v>24</v>
      </c>
      <c r="H2435" t="s">
        <v>80</v>
      </c>
      <c r="I2435" t="s">
        <v>86</v>
      </c>
      <c r="J2435" t="s">
        <v>115</v>
      </c>
      <c r="K2435" t="s">
        <v>197</v>
      </c>
      <c r="L2435">
        <v>8</v>
      </c>
      <c r="M2435">
        <v>75033.34</v>
      </c>
      <c r="N2435">
        <v>0.28000000000000003</v>
      </c>
      <c r="O2435">
        <v>506816.82</v>
      </c>
      <c r="P2435">
        <v>73937.62</v>
      </c>
      <c r="Q2435">
        <v>61.37</v>
      </c>
      <c r="R2435" t="s">
        <v>57</v>
      </c>
      <c r="S2435">
        <v>4</v>
      </c>
      <c r="T2435" t="b">
        <v>0</v>
      </c>
      <c r="U2435" t="s">
        <v>30</v>
      </c>
      <c r="V2435">
        <v>7</v>
      </c>
    </row>
    <row r="2436" spans="1:22" x14ac:dyDescent="0.25">
      <c r="A2436" t="s">
        <v>5357</v>
      </c>
      <c r="B2436" s="1">
        <v>44395</v>
      </c>
      <c r="C2436" t="s">
        <v>5358</v>
      </c>
      <c r="D2436" t="s">
        <v>734</v>
      </c>
      <c r="E2436">
        <v>28</v>
      </c>
      <c r="F2436" t="str">
        <f>IF(Table1[[#This Row],[age]]&lt;=25,"18-25",IF(Table1[[#This Row],[age]]&lt;=35,"26-35",IF(Table1[[#This Row],[age]]&lt;=50,"36-50","51+")))</f>
        <v>26-35</v>
      </c>
      <c r="G2436" t="s">
        <v>34</v>
      </c>
      <c r="H2436" t="s">
        <v>69</v>
      </c>
      <c r="I2436" t="s">
        <v>181</v>
      </c>
      <c r="J2436" t="s">
        <v>36</v>
      </c>
      <c r="K2436" t="s">
        <v>132</v>
      </c>
      <c r="L2436">
        <v>2</v>
      </c>
      <c r="M2436">
        <v>27494.42</v>
      </c>
      <c r="N2436">
        <v>0.09</v>
      </c>
      <c r="O2436">
        <v>66782.429999999993</v>
      </c>
      <c r="P2436">
        <v>17991.259999999998</v>
      </c>
      <c r="Q2436">
        <v>56.35</v>
      </c>
      <c r="R2436" t="s">
        <v>57</v>
      </c>
      <c r="S2436">
        <v>3</v>
      </c>
      <c r="T2436" t="b">
        <v>0</v>
      </c>
      <c r="U2436" t="s">
        <v>30</v>
      </c>
      <c r="V2436">
        <v>6</v>
      </c>
    </row>
    <row r="2437" spans="1:22" x14ac:dyDescent="0.25">
      <c r="A2437" t="s">
        <v>5359</v>
      </c>
      <c r="B2437" s="1">
        <v>44518</v>
      </c>
      <c r="C2437" t="s">
        <v>5360</v>
      </c>
      <c r="D2437" t="s">
        <v>884</v>
      </c>
      <c r="E2437">
        <v>30</v>
      </c>
      <c r="F2437" t="str">
        <f>IF(Table1[[#This Row],[age]]&lt;=25,"18-25",IF(Table1[[#This Row],[age]]&lt;=35,"26-35",IF(Table1[[#This Row],[age]]&lt;=50,"36-50","51+")))</f>
        <v>26-35</v>
      </c>
      <c r="G2437" t="s">
        <v>24</v>
      </c>
      <c r="H2437" t="s">
        <v>55</v>
      </c>
      <c r="I2437" t="s">
        <v>114</v>
      </c>
      <c r="J2437" t="s">
        <v>63</v>
      </c>
      <c r="K2437" t="s">
        <v>64</v>
      </c>
      <c r="L2437">
        <v>7</v>
      </c>
      <c r="M2437">
        <v>1494.18</v>
      </c>
      <c r="N2437">
        <v>0.13</v>
      </c>
      <c r="O2437">
        <v>7729.55</v>
      </c>
      <c r="P2437">
        <v>3630.71</v>
      </c>
      <c r="Q2437">
        <v>80.11</v>
      </c>
      <c r="R2437" t="s">
        <v>57</v>
      </c>
      <c r="S2437">
        <v>3</v>
      </c>
      <c r="T2437" t="b">
        <v>0</v>
      </c>
      <c r="U2437" t="s">
        <v>30</v>
      </c>
      <c r="V2437">
        <v>10</v>
      </c>
    </row>
    <row r="2438" spans="1:22" x14ac:dyDescent="0.25">
      <c r="A2438" t="s">
        <v>5361</v>
      </c>
      <c r="B2438" s="1">
        <v>44554</v>
      </c>
      <c r="C2438" t="s">
        <v>5362</v>
      </c>
      <c r="D2438" t="s">
        <v>2255</v>
      </c>
      <c r="E2438">
        <v>22</v>
      </c>
      <c r="F2438" t="str">
        <f>IF(Table1[[#This Row],[age]]&lt;=25,"18-25",IF(Table1[[#This Row],[age]]&lt;=35,"26-35",IF(Table1[[#This Row],[age]]&lt;=50,"36-50","51+")))</f>
        <v>18-25</v>
      </c>
      <c r="G2438" t="s">
        <v>24</v>
      </c>
      <c r="H2438" t="s">
        <v>80</v>
      </c>
      <c r="I2438" t="s">
        <v>242</v>
      </c>
      <c r="J2438" t="s">
        <v>63</v>
      </c>
      <c r="K2438" t="s">
        <v>434</v>
      </c>
      <c r="L2438">
        <v>4</v>
      </c>
      <c r="M2438">
        <v>1566.74</v>
      </c>
      <c r="N2438">
        <v>7.0000000000000007E-2</v>
      </c>
      <c r="O2438">
        <v>3925.14</v>
      </c>
      <c r="P2438">
        <v>1682.6</v>
      </c>
      <c r="Q2438">
        <v>77.040000000000006</v>
      </c>
      <c r="R2438" t="s">
        <v>29</v>
      </c>
      <c r="S2438">
        <v>4</v>
      </c>
      <c r="T2438" t="b">
        <v>0</v>
      </c>
      <c r="U2438" t="s">
        <v>93</v>
      </c>
      <c r="V2438">
        <v>9</v>
      </c>
    </row>
    <row r="2439" spans="1:22" x14ac:dyDescent="0.25">
      <c r="A2439" t="s">
        <v>5363</v>
      </c>
      <c r="B2439" s="1">
        <v>43896</v>
      </c>
      <c r="C2439" t="s">
        <v>5364</v>
      </c>
      <c r="D2439" t="s">
        <v>278</v>
      </c>
      <c r="E2439">
        <v>32</v>
      </c>
      <c r="F2439" t="str">
        <f>IF(Table1[[#This Row],[age]]&lt;=25,"18-25",IF(Table1[[#This Row],[age]]&lt;=35,"26-35",IF(Table1[[#This Row],[age]]&lt;=50,"36-50","51+")))</f>
        <v>26-35</v>
      </c>
      <c r="G2439" t="s">
        <v>24</v>
      </c>
      <c r="H2439" t="s">
        <v>55</v>
      </c>
      <c r="I2439" t="s">
        <v>114</v>
      </c>
      <c r="J2439" t="s">
        <v>63</v>
      </c>
      <c r="K2439" t="s">
        <v>111</v>
      </c>
      <c r="L2439">
        <v>7</v>
      </c>
      <c r="M2439">
        <v>634.01</v>
      </c>
      <c r="N2439">
        <v>0.35</v>
      </c>
      <c r="O2439">
        <v>2632.38</v>
      </c>
      <c r="P2439">
        <v>1034.24</v>
      </c>
      <c r="Q2439">
        <v>76.53</v>
      </c>
      <c r="R2439" t="s">
        <v>65</v>
      </c>
      <c r="S2439">
        <v>4</v>
      </c>
      <c r="T2439" t="b">
        <v>0</v>
      </c>
      <c r="U2439" t="s">
        <v>30</v>
      </c>
      <c r="V2439">
        <v>9</v>
      </c>
    </row>
    <row r="2440" spans="1:22" x14ac:dyDescent="0.25">
      <c r="A2440" t="s">
        <v>5365</v>
      </c>
      <c r="B2440" s="1">
        <v>43885</v>
      </c>
      <c r="C2440" t="s">
        <v>5366</v>
      </c>
      <c r="D2440" t="s">
        <v>1023</v>
      </c>
      <c r="E2440">
        <v>49</v>
      </c>
      <c r="F2440" t="str">
        <f>IF(Table1[[#This Row],[age]]&lt;=25,"18-25",IF(Table1[[#This Row],[age]]&lt;=35,"26-35",IF(Table1[[#This Row],[age]]&lt;=50,"36-50","51+")))</f>
        <v>36-50</v>
      </c>
      <c r="G2440" t="s">
        <v>54</v>
      </c>
      <c r="H2440" t="s">
        <v>55</v>
      </c>
      <c r="I2440" t="s">
        <v>56</v>
      </c>
      <c r="J2440" t="s">
        <v>27</v>
      </c>
      <c r="K2440" t="s">
        <v>480</v>
      </c>
      <c r="L2440">
        <v>3</v>
      </c>
      <c r="M2440">
        <v>2127.17</v>
      </c>
      <c r="N2440">
        <v>0.32</v>
      </c>
      <c r="O2440">
        <v>3803.64</v>
      </c>
      <c r="P2440">
        <v>1419.85</v>
      </c>
      <c r="Q2440">
        <v>67.56</v>
      </c>
      <c r="R2440" t="s">
        <v>65</v>
      </c>
      <c r="S2440">
        <v>1</v>
      </c>
      <c r="T2440" t="b">
        <v>0</v>
      </c>
      <c r="U2440" t="s">
        <v>30</v>
      </c>
      <c r="V2440">
        <v>1</v>
      </c>
    </row>
    <row r="2441" spans="1:22" x14ac:dyDescent="0.25">
      <c r="A2441" t="s">
        <v>5367</v>
      </c>
      <c r="B2441" s="1">
        <v>43913</v>
      </c>
      <c r="C2441" t="s">
        <v>5368</v>
      </c>
      <c r="D2441" t="s">
        <v>723</v>
      </c>
      <c r="E2441">
        <v>44</v>
      </c>
      <c r="F2441" t="str">
        <f>IF(Table1[[#This Row],[age]]&lt;=25,"18-25",IF(Table1[[#This Row],[age]]&lt;=35,"26-35",IF(Table1[[#This Row],[age]]&lt;=50,"36-50","51+")))</f>
        <v>36-50</v>
      </c>
      <c r="G2441" t="s">
        <v>34</v>
      </c>
      <c r="H2441" t="s">
        <v>69</v>
      </c>
      <c r="I2441" t="s">
        <v>136</v>
      </c>
      <c r="J2441" t="s">
        <v>106</v>
      </c>
      <c r="K2441" t="s">
        <v>188</v>
      </c>
      <c r="L2441">
        <v>3</v>
      </c>
      <c r="M2441">
        <v>315.98</v>
      </c>
      <c r="N2441">
        <v>0.2</v>
      </c>
      <c r="O2441">
        <v>801.2</v>
      </c>
      <c r="P2441">
        <v>62.11</v>
      </c>
      <c r="Q2441">
        <v>104.89</v>
      </c>
      <c r="R2441" t="s">
        <v>57</v>
      </c>
      <c r="S2441">
        <v>4</v>
      </c>
      <c r="T2441" t="b">
        <v>0</v>
      </c>
      <c r="U2441" t="s">
        <v>30</v>
      </c>
      <c r="V2441">
        <v>3</v>
      </c>
    </row>
    <row r="2442" spans="1:22" x14ac:dyDescent="0.25">
      <c r="A2442" t="s">
        <v>5369</v>
      </c>
      <c r="B2442" s="1">
        <v>44874</v>
      </c>
      <c r="C2442" t="s">
        <v>5370</v>
      </c>
      <c r="D2442" t="s">
        <v>313</v>
      </c>
      <c r="E2442">
        <v>41</v>
      </c>
      <c r="F2442" t="str">
        <f>IF(Table1[[#This Row],[age]]&lt;=25,"18-25",IF(Table1[[#This Row],[age]]&lt;=35,"26-35",IF(Table1[[#This Row],[age]]&lt;=50,"36-50","51+")))</f>
        <v>36-50</v>
      </c>
      <c r="G2442" t="s">
        <v>54</v>
      </c>
      <c r="H2442" t="s">
        <v>25</v>
      </c>
      <c r="I2442" t="s">
        <v>26</v>
      </c>
      <c r="J2442" t="s">
        <v>101</v>
      </c>
      <c r="K2442" t="s">
        <v>318</v>
      </c>
      <c r="L2442">
        <v>10</v>
      </c>
      <c r="M2442">
        <v>5187.53</v>
      </c>
      <c r="N2442">
        <v>0.13</v>
      </c>
      <c r="O2442">
        <v>41193.61</v>
      </c>
      <c r="P2442">
        <v>8791.81</v>
      </c>
      <c r="Q2442">
        <v>49.73</v>
      </c>
      <c r="R2442" t="s">
        <v>65</v>
      </c>
      <c r="S2442">
        <v>3</v>
      </c>
      <c r="T2442" t="b">
        <v>0</v>
      </c>
      <c r="U2442" t="s">
        <v>30</v>
      </c>
      <c r="V2442">
        <v>2</v>
      </c>
    </row>
    <row r="2443" spans="1:22" x14ac:dyDescent="0.25">
      <c r="A2443" t="s">
        <v>5371</v>
      </c>
      <c r="B2443" s="1">
        <v>44916</v>
      </c>
      <c r="C2443" t="s">
        <v>5372</v>
      </c>
      <c r="D2443" t="s">
        <v>140</v>
      </c>
      <c r="E2443">
        <v>38</v>
      </c>
      <c r="F2443" t="str">
        <f>IF(Table1[[#This Row],[age]]&lt;=25,"18-25",IF(Table1[[#This Row],[age]]&lt;=35,"26-35",IF(Table1[[#This Row],[age]]&lt;=50,"36-50","51+")))</f>
        <v>36-50</v>
      </c>
      <c r="G2443" t="s">
        <v>54</v>
      </c>
      <c r="H2443" t="s">
        <v>80</v>
      </c>
      <c r="I2443" t="s">
        <v>236</v>
      </c>
      <c r="J2443" t="s">
        <v>115</v>
      </c>
      <c r="K2443" t="s">
        <v>137</v>
      </c>
      <c r="L2443">
        <v>10</v>
      </c>
      <c r="M2443">
        <v>22540.09</v>
      </c>
      <c r="N2443">
        <v>0.08</v>
      </c>
      <c r="O2443">
        <v>196931.1</v>
      </c>
      <c r="P2443">
        <v>22056.79</v>
      </c>
      <c r="Q2443">
        <v>77.63</v>
      </c>
      <c r="R2443" t="s">
        <v>49</v>
      </c>
      <c r="S2443">
        <v>4</v>
      </c>
      <c r="T2443" t="b">
        <v>0</v>
      </c>
      <c r="U2443" t="s">
        <v>30</v>
      </c>
      <c r="V2443">
        <v>6</v>
      </c>
    </row>
    <row r="2444" spans="1:22" x14ac:dyDescent="0.25">
      <c r="A2444" t="s">
        <v>5373</v>
      </c>
      <c r="B2444" s="1">
        <v>44840</v>
      </c>
      <c r="C2444" t="s">
        <v>5374</v>
      </c>
      <c r="D2444" t="s">
        <v>68</v>
      </c>
      <c r="E2444">
        <v>27</v>
      </c>
      <c r="F2444" t="str">
        <f>IF(Table1[[#This Row],[age]]&lt;=25,"18-25",IF(Table1[[#This Row],[age]]&lt;=35,"26-35",IF(Table1[[#This Row],[age]]&lt;=50,"36-50","51+")))</f>
        <v>26-35</v>
      </c>
      <c r="G2444" t="s">
        <v>54</v>
      </c>
      <c r="H2444" t="s">
        <v>80</v>
      </c>
      <c r="I2444" t="s">
        <v>236</v>
      </c>
      <c r="J2444" t="s">
        <v>36</v>
      </c>
      <c r="K2444" t="s">
        <v>132</v>
      </c>
      <c r="L2444">
        <v>9</v>
      </c>
      <c r="M2444">
        <v>22455.86</v>
      </c>
      <c r="N2444">
        <v>0.23</v>
      </c>
      <c r="O2444">
        <v>158725.76000000001</v>
      </c>
      <c r="P2444">
        <v>35481.879999999997</v>
      </c>
      <c r="Q2444">
        <v>64.83</v>
      </c>
      <c r="R2444" t="s">
        <v>57</v>
      </c>
      <c r="S2444">
        <v>4</v>
      </c>
      <c r="T2444" t="b">
        <v>0</v>
      </c>
      <c r="U2444" t="s">
        <v>30</v>
      </c>
      <c r="V2444">
        <v>4</v>
      </c>
    </row>
    <row r="2445" spans="1:22" x14ac:dyDescent="0.25">
      <c r="A2445" t="s">
        <v>5375</v>
      </c>
      <c r="B2445" s="1">
        <v>45508</v>
      </c>
      <c r="C2445" t="s">
        <v>5376</v>
      </c>
      <c r="D2445" t="s">
        <v>967</v>
      </c>
      <c r="E2445">
        <v>37</v>
      </c>
      <c r="F2445" t="str">
        <f>IF(Table1[[#This Row],[age]]&lt;=25,"18-25",IF(Table1[[#This Row],[age]]&lt;=35,"26-35",IF(Table1[[#This Row],[age]]&lt;=50,"36-50","51+")))</f>
        <v>36-50</v>
      </c>
      <c r="G2445" t="s">
        <v>54</v>
      </c>
      <c r="H2445" t="s">
        <v>25</v>
      </c>
      <c r="I2445" t="s">
        <v>26</v>
      </c>
      <c r="J2445" t="s">
        <v>106</v>
      </c>
      <c r="K2445" t="s">
        <v>247</v>
      </c>
      <c r="L2445">
        <v>4</v>
      </c>
      <c r="M2445">
        <v>315.04000000000002</v>
      </c>
      <c r="N2445">
        <v>0.14000000000000001</v>
      </c>
      <c r="O2445">
        <v>1725.71</v>
      </c>
      <c r="P2445">
        <v>108.93</v>
      </c>
      <c r="Q2445">
        <v>49.89</v>
      </c>
      <c r="R2445" t="s">
        <v>57</v>
      </c>
      <c r="S2445">
        <v>3</v>
      </c>
      <c r="T2445" t="b">
        <v>0</v>
      </c>
      <c r="U2445" t="s">
        <v>30</v>
      </c>
      <c r="V2445">
        <v>10</v>
      </c>
    </row>
    <row r="2446" spans="1:22" x14ac:dyDescent="0.25">
      <c r="A2446" t="s">
        <v>5377</v>
      </c>
      <c r="B2446" s="1">
        <v>45301</v>
      </c>
      <c r="C2446" t="s">
        <v>5378</v>
      </c>
      <c r="D2446" t="s">
        <v>910</v>
      </c>
      <c r="E2446">
        <v>31</v>
      </c>
      <c r="F2446" t="str">
        <f>IF(Table1[[#This Row],[age]]&lt;=25,"18-25",IF(Table1[[#This Row],[age]]&lt;=35,"26-35",IF(Table1[[#This Row],[age]]&lt;=50,"36-50","51+")))</f>
        <v>26-35</v>
      </c>
      <c r="G2446" t="s">
        <v>24</v>
      </c>
      <c r="H2446" t="s">
        <v>55</v>
      </c>
      <c r="I2446" t="s">
        <v>75</v>
      </c>
      <c r="J2446" t="s">
        <v>27</v>
      </c>
      <c r="K2446" t="s">
        <v>28</v>
      </c>
      <c r="L2446">
        <v>10</v>
      </c>
      <c r="M2446">
        <v>412.64</v>
      </c>
      <c r="N2446">
        <v>0.28000000000000003</v>
      </c>
      <c r="O2446">
        <v>2849.95</v>
      </c>
      <c r="P2446">
        <v>1648.72</v>
      </c>
      <c r="Q2446">
        <v>35.19</v>
      </c>
      <c r="R2446" t="s">
        <v>57</v>
      </c>
      <c r="S2446">
        <v>5</v>
      </c>
      <c r="T2446" t="b">
        <v>0</v>
      </c>
      <c r="U2446" t="s">
        <v>30</v>
      </c>
      <c r="V2446">
        <v>6</v>
      </c>
    </row>
    <row r="2447" spans="1:22" x14ac:dyDescent="0.25">
      <c r="A2447" t="s">
        <v>5379</v>
      </c>
      <c r="B2447" s="1">
        <v>44967</v>
      </c>
      <c r="C2447" t="s">
        <v>5380</v>
      </c>
      <c r="D2447" t="s">
        <v>1267</v>
      </c>
      <c r="E2447">
        <v>50</v>
      </c>
      <c r="F2447" t="str">
        <f>IF(Table1[[#This Row],[age]]&lt;=25,"18-25",IF(Table1[[#This Row],[age]]&lt;=35,"26-35",IF(Table1[[#This Row],[age]]&lt;=50,"36-50","51+")))</f>
        <v>36-50</v>
      </c>
      <c r="G2447" t="s">
        <v>24</v>
      </c>
      <c r="H2447" t="s">
        <v>80</v>
      </c>
      <c r="I2447" t="s">
        <v>81</v>
      </c>
      <c r="J2447" t="s">
        <v>27</v>
      </c>
      <c r="K2447" t="s">
        <v>335</v>
      </c>
      <c r="L2447">
        <v>6</v>
      </c>
      <c r="M2447">
        <v>1758.55</v>
      </c>
      <c r="N2447">
        <v>0.28999999999999998</v>
      </c>
      <c r="O2447">
        <v>8300.7900000000009</v>
      </c>
      <c r="P2447">
        <v>4314.0200000000004</v>
      </c>
      <c r="Q2447">
        <v>64.459999999999994</v>
      </c>
      <c r="R2447" t="s">
        <v>92</v>
      </c>
      <c r="S2447">
        <v>4</v>
      </c>
      <c r="T2447" t="b">
        <v>0</v>
      </c>
      <c r="U2447" t="s">
        <v>30</v>
      </c>
      <c r="V2447">
        <v>1</v>
      </c>
    </row>
    <row r="2448" spans="1:22" x14ac:dyDescent="0.25">
      <c r="A2448" t="s">
        <v>5381</v>
      </c>
      <c r="B2448" s="1">
        <v>45013</v>
      </c>
      <c r="C2448" t="s">
        <v>5382</v>
      </c>
      <c r="D2448" t="s">
        <v>907</v>
      </c>
      <c r="E2448">
        <v>34</v>
      </c>
      <c r="F2448" t="str">
        <f>IF(Table1[[#This Row],[age]]&lt;=25,"18-25",IF(Table1[[#This Row],[age]]&lt;=35,"26-35",IF(Table1[[#This Row],[age]]&lt;=50,"36-50","51+")))</f>
        <v>26-35</v>
      </c>
      <c r="G2448" t="s">
        <v>24</v>
      </c>
      <c r="H2448" t="s">
        <v>61</v>
      </c>
      <c r="I2448" t="s">
        <v>62</v>
      </c>
      <c r="J2448" t="s">
        <v>36</v>
      </c>
      <c r="K2448" t="s">
        <v>37</v>
      </c>
      <c r="L2448">
        <v>2</v>
      </c>
      <c r="M2448">
        <v>25068.04</v>
      </c>
      <c r="N2448">
        <v>7.0000000000000007E-2</v>
      </c>
      <c r="O2448">
        <v>60153.24</v>
      </c>
      <c r="P2448">
        <v>15753.38</v>
      </c>
      <c r="Q2448">
        <v>16.5</v>
      </c>
      <c r="R2448" t="s">
        <v>29</v>
      </c>
      <c r="S2448">
        <v>1</v>
      </c>
      <c r="T2448" t="b">
        <v>0</v>
      </c>
      <c r="U2448" t="s">
        <v>30</v>
      </c>
      <c r="V2448">
        <v>2</v>
      </c>
    </row>
    <row r="2449" spans="1:22" x14ac:dyDescent="0.25">
      <c r="A2449" t="s">
        <v>5383</v>
      </c>
      <c r="B2449" s="1">
        <v>45366</v>
      </c>
      <c r="C2449" t="s">
        <v>5384</v>
      </c>
      <c r="D2449" t="s">
        <v>174</v>
      </c>
      <c r="E2449">
        <v>40</v>
      </c>
      <c r="F2449" t="str">
        <f>IF(Table1[[#This Row],[age]]&lt;=25,"18-25",IF(Table1[[#This Row],[age]]&lt;=35,"26-35",IF(Table1[[#This Row],[age]]&lt;=50,"36-50","51+")))</f>
        <v>36-50</v>
      </c>
      <c r="G2449" t="s">
        <v>24</v>
      </c>
      <c r="H2449" t="s">
        <v>69</v>
      </c>
      <c r="I2449" t="s">
        <v>221</v>
      </c>
      <c r="J2449" t="s">
        <v>115</v>
      </c>
      <c r="K2449" t="s">
        <v>116</v>
      </c>
      <c r="L2449">
        <v>4</v>
      </c>
      <c r="M2449">
        <v>12580.65</v>
      </c>
      <c r="N2449">
        <v>0.34</v>
      </c>
      <c r="O2449">
        <v>45132.09</v>
      </c>
      <c r="P2449">
        <v>5873.56</v>
      </c>
      <c r="Q2449">
        <v>101.02</v>
      </c>
      <c r="R2449" t="s">
        <v>92</v>
      </c>
      <c r="S2449">
        <v>5</v>
      </c>
      <c r="T2449" t="b">
        <v>0</v>
      </c>
      <c r="U2449" t="s">
        <v>30</v>
      </c>
      <c r="V2449">
        <v>2</v>
      </c>
    </row>
    <row r="2450" spans="1:22" x14ac:dyDescent="0.25">
      <c r="A2450" t="s">
        <v>5385</v>
      </c>
      <c r="B2450" s="1">
        <v>44227</v>
      </c>
      <c r="C2450" t="s">
        <v>5386</v>
      </c>
      <c r="D2450" t="s">
        <v>349</v>
      </c>
      <c r="E2450">
        <v>29</v>
      </c>
      <c r="F2450" t="str">
        <f>IF(Table1[[#This Row],[age]]&lt;=25,"18-25",IF(Table1[[#This Row],[age]]&lt;=35,"26-35",IF(Table1[[#This Row],[age]]&lt;=50,"36-50","51+")))</f>
        <v>26-35</v>
      </c>
      <c r="G2450" t="s">
        <v>54</v>
      </c>
      <c r="H2450" t="s">
        <v>80</v>
      </c>
      <c r="I2450" t="s">
        <v>86</v>
      </c>
      <c r="J2450" t="s">
        <v>27</v>
      </c>
      <c r="K2450" t="s">
        <v>192</v>
      </c>
      <c r="L2450">
        <v>3</v>
      </c>
      <c r="M2450">
        <v>1476.85</v>
      </c>
      <c r="N2450">
        <v>0.39</v>
      </c>
      <c r="O2450">
        <v>1955</v>
      </c>
      <c r="P2450">
        <v>946.31</v>
      </c>
      <c r="Q2450">
        <v>72.849999999999994</v>
      </c>
      <c r="R2450" t="s">
        <v>43</v>
      </c>
      <c r="S2450">
        <v>1</v>
      </c>
      <c r="T2450" t="b">
        <v>1</v>
      </c>
      <c r="U2450" t="s">
        <v>50</v>
      </c>
      <c r="V2450">
        <v>6</v>
      </c>
    </row>
    <row r="2451" spans="1:22" x14ac:dyDescent="0.25">
      <c r="A2451" t="s">
        <v>5387</v>
      </c>
      <c r="B2451" s="1">
        <v>44897</v>
      </c>
      <c r="C2451" t="s">
        <v>5388</v>
      </c>
      <c r="D2451" t="s">
        <v>634</v>
      </c>
      <c r="E2451">
        <v>42</v>
      </c>
      <c r="F2451" t="str">
        <f>IF(Table1[[#This Row],[age]]&lt;=25,"18-25",IF(Table1[[#This Row],[age]]&lt;=35,"26-35",IF(Table1[[#This Row],[age]]&lt;=50,"36-50","51+")))</f>
        <v>36-50</v>
      </c>
      <c r="G2451" t="s">
        <v>24</v>
      </c>
      <c r="H2451" t="s">
        <v>61</v>
      </c>
      <c r="I2451" t="s">
        <v>163</v>
      </c>
      <c r="J2451" t="s">
        <v>27</v>
      </c>
      <c r="K2451" t="s">
        <v>168</v>
      </c>
      <c r="L2451">
        <v>7</v>
      </c>
      <c r="M2451">
        <v>881.3</v>
      </c>
      <c r="N2451">
        <v>0.24</v>
      </c>
      <c r="O2451">
        <v>4536.6000000000004</v>
      </c>
      <c r="P2451">
        <v>2608.91</v>
      </c>
      <c r="Q2451">
        <v>49.35</v>
      </c>
      <c r="R2451" t="s">
        <v>65</v>
      </c>
      <c r="S2451">
        <v>2</v>
      </c>
      <c r="T2451" t="b">
        <v>0</v>
      </c>
      <c r="U2451" t="s">
        <v>30</v>
      </c>
      <c r="V2451">
        <v>3</v>
      </c>
    </row>
    <row r="2452" spans="1:22" x14ac:dyDescent="0.25">
      <c r="A2452" t="s">
        <v>5389</v>
      </c>
      <c r="B2452" s="1">
        <v>44719</v>
      </c>
      <c r="C2452" t="s">
        <v>5390</v>
      </c>
      <c r="D2452" t="s">
        <v>2142</v>
      </c>
      <c r="E2452">
        <v>36</v>
      </c>
      <c r="F2452" t="str">
        <f>IF(Table1[[#This Row],[age]]&lt;=25,"18-25",IF(Table1[[#This Row],[age]]&lt;=35,"26-35",IF(Table1[[#This Row],[age]]&lt;=50,"36-50","51+")))</f>
        <v>36-50</v>
      </c>
      <c r="G2452" t="s">
        <v>34</v>
      </c>
      <c r="H2452" t="s">
        <v>80</v>
      </c>
      <c r="I2452" t="s">
        <v>86</v>
      </c>
      <c r="J2452" t="s">
        <v>36</v>
      </c>
      <c r="K2452" t="s">
        <v>243</v>
      </c>
      <c r="L2452">
        <v>1</v>
      </c>
      <c r="M2452">
        <v>22337.23</v>
      </c>
      <c r="N2452">
        <v>0.08</v>
      </c>
      <c r="O2452">
        <v>24297.67</v>
      </c>
      <c r="P2452">
        <v>7115.37</v>
      </c>
      <c r="Q2452">
        <v>44.4</v>
      </c>
      <c r="R2452" t="s">
        <v>65</v>
      </c>
      <c r="S2452">
        <v>3</v>
      </c>
      <c r="T2452" t="b">
        <v>0</v>
      </c>
      <c r="U2452" t="s">
        <v>30</v>
      </c>
      <c r="V2452">
        <v>10</v>
      </c>
    </row>
    <row r="2453" spans="1:22" x14ac:dyDescent="0.25">
      <c r="A2453" t="s">
        <v>5391</v>
      </c>
      <c r="B2453" s="1">
        <v>44158</v>
      </c>
      <c r="C2453" t="s">
        <v>5392</v>
      </c>
      <c r="D2453" t="s">
        <v>789</v>
      </c>
      <c r="E2453">
        <v>35</v>
      </c>
      <c r="F2453" t="str">
        <f>IF(Table1[[#This Row],[age]]&lt;=25,"18-25",IF(Table1[[#This Row],[age]]&lt;=35,"26-35",IF(Table1[[#This Row],[age]]&lt;=50,"36-50","51+")))</f>
        <v>26-35</v>
      </c>
      <c r="G2453" t="s">
        <v>34</v>
      </c>
      <c r="H2453" t="s">
        <v>61</v>
      </c>
      <c r="I2453" t="s">
        <v>141</v>
      </c>
      <c r="J2453" t="s">
        <v>47</v>
      </c>
      <c r="K2453" t="s">
        <v>272</v>
      </c>
      <c r="L2453">
        <v>3</v>
      </c>
      <c r="M2453">
        <v>1024.92</v>
      </c>
      <c r="N2453">
        <v>0.4</v>
      </c>
      <c r="O2453">
        <v>1275.48</v>
      </c>
      <c r="P2453">
        <v>495.89</v>
      </c>
      <c r="Q2453">
        <v>60.02</v>
      </c>
      <c r="R2453" t="s">
        <v>57</v>
      </c>
      <c r="S2453">
        <v>4</v>
      </c>
      <c r="T2453" t="b">
        <v>0</v>
      </c>
      <c r="U2453" t="s">
        <v>30</v>
      </c>
      <c r="V2453">
        <v>10</v>
      </c>
    </row>
    <row r="2454" spans="1:22" x14ac:dyDescent="0.25">
      <c r="A2454" t="s">
        <v>5393</v>
      </c>
      <c r="B2454" s="1">
        <v>44350</v>
      </c>
      <c r="C2454" t="s">
        <v>5394</v>
      </c>
      <c r="D2454" t="s">
        <v>826</v>
      </c>
      <c r="E2454">
        <v>40</v>
      </c>
      <c r="F2454" t="str">
        <f>IF(Table1[[#This Row],[age]]&lt;=25,"18-25",IF(Table1[[#This Row],[age]]&lt;=35,"26-35",IF(Table1[[#This Row],[age]]&lt;=50,"36-50","51+")))</f>
        <v>36-50</v>
      </c>
      <c r="G2454" t="s">
        <v>54</v>
      </c>
      <c r="H2454" t="s">
        <v>61</v>
      </c>
      <c r="I2454" t="s">
        <v>62</v>
      </c>
      <c r="J2454" t="s">
        <v>47</v>
      </c>
      <c r="K2454" t="s">
        <v>272</v>
      </c>
      <c r="L2454">
        <v>7</v>
      </c>
      <c r="M2454">
        <v>775.88</v>
      </c>
      <c r="N2454">
        <v>0.38</v>
      </c>
      <c r="O2454">
        <v>4861.16</v>
      </c>
      <c r="P2454">
        <v>1295.29</v>
      </c>
      <c r="Q2454">
        <v>19.48</v>
      </c>
      <c r="R2454" t="s">
        <v>57</v>
      </c>
      <c r="S2454">
        <v>4</v>
      </c>
      <c r="T2454" t="b">
        <v>1</v>
      </c>
      <c r="U2454" t="s">
        <v>50</v>
      </c>
      <c r="V2454">
        <v>9</v>
      </c>
    </row>
    <row r="2455" spans="1:22" x14ac:dyDescent="0.25">
      <c r="A2455" t="s">
        <v>5395</v>
      </c>
      <c r="B2455" s="1">
        <v>44610</v>
      </c>
      <c r="C2455" t="s">
        <v>5396</v>
      </c>
      <c r="D2455" t="s">
        <v>2481</v>
      </c>
      <c r="E2455">
        <v>34</v>
      </c>
      <c r="F2455" t="str">
        <f>IF(Table1[[#This Row],[age]]&lt;=25,"18-25",IF(Table1[[#This Row],[age]]&lt;=35,"26-35",IF(Table1[[#This Row],[age]]&lt;=50,"36-50","51+")))</f>
        <v>26-35</v>
      </c>
      <c r="G2455" t="s">
        <v>24</v>
      </c>
      <c r="H2455" t="s">
        <v>25</v>
      </c>
      <c r="I2455" t="s">
        <v>35</v>
      </c>
      <c r="J2455" t="s">
        <v>106</v>
      </c>
      <c r="K2455" t="s">
        <v>314</v>
      </c>
      <c r="L2455">
        <v>4</v>
      </c>
      <c r="M2455">
        <v>421.19</v>
      </c>
      <c r="N2455">
        <v>0.39</v>
      </c>
      <c r="O2455">
        <v>993.67</v>
      </c>
      <c r="P2455">
        <v>79.81</v>
      </c>
      <c r="Q2455">
        <v>83.46</v>
      </c>
      <c r="R2455" t="s">
        <v>65</v>
      </c>
      <c r="S2455">
        <v>3</v>
      </c>
      <c r="T2455" t="b">
        <v>0</v>
      </c>
      <c r="U2455" t="s">
        <v>30</v>
      </c>
      <c r="V2455">
        <v>6</v>
      </c>
    </row>
    <row r="2456" spans="1:22" x14ac:dyDescent="0.25">
      <c r="A2456" t="s">
        <v>5397</v>
      </c>
      <c r="B2456" s="1">
        <v>45200</v>
      </c>
      <c r="C2456" t="s">
        <v>5398</v>
      </c>
      <c r="D2456" t="s">
        <v>1406</v>
      </c>
      <c r="E2456">
        <v>21</v>
      </c>
      <c r="F2456" t="str">
        <f>IF(Table1[[#This Row],[age]]&lt;=25,"18-25",IF(Table1[[#This Row],[age]]&lt;=35,"26-35",IF(Table1[[#This Row],[age]]&lt;=50,"36-50","51+")))</f>
        <v>18-25</v>
      </c>
      <c r="G2456" t="s">
        <v>24</v>
      </c>
      <c r="H2456" t="s">
        <v>69</v>
      </c>
      <c r="I2456" t="s">
        <v>181</v>
      </c>
      <c r="J2456" t="s">
        <v>63</v>
      </c>
      <c r="K2456" t="s">
        <v>152</v>
      </c>
      <c r="L2456">
        <v>8</v>
      </c>
      <c r="M2456">
        <v>3309.44</v>
      </c>
      <c r="N2456">
        <v>0.08</v>
      </c>
      <c r="O2456">
        <v>24146.23</v>
      </c>
      <c r="P2456">
        <v>7317.58</v>
      </c>
      <c r="Q2456">
        <v>108.32</v>
      </c>
      <c r="R2456" t="s">
        <v>92</v>
      </c>
      <c r="S2456">
        <v>2</v>
      </c>
      <c r="T2456" t="b">
        <v>0</v>
      </c>
      <c r="U2456" t="s">
        <v>93</v>
      </c>
      <c r="V2456">
        <v>8</v>
      </c>
    </row>
    <row r="2457" spans="1:22" x14ac:dyDescent="0.25">
      <c r="A2457" t="s">
        <v>5399</v>
      </c>
      <c r="B2457" s="1">
        <v>44721</v>
      </c>
      <c r="C2457" t="s">
        <v>5400</v>
      </c>
      <c r="D2457" t="s">
        <v>110</v>
      </c>
      <c r="E2457">
        <v>20</v>
      </c>
      <c r="F2457" t="str">
        <f>IF(Table1[[#This Row],[age]]&lt;=25,"18-25",IF(Table1[[#This Row],[age]]&lt;=35,"26-35",IF(Table1[[#This Row],[age]]&lt;=50,"36-50","51+")))</f>
        <v>18-25</v>
      </c>
      <c r="G2457" t="s">
        <v>24</v>
      </c>
      <c r="H2457" t="s">
        <v>69</v>
      </c>
      <c r="I2457" t="s">
        <v>136</v>
      </c>
      <c r="J2457" t="s">
        <v>106</v>
      </c>
      <c r="K2457" t="s">
        <v>107</v>
      </c>
      <c r="L2457">
        <v>4</v>
      </c>
      <c r="M2457">
        <v>342.63</v>
      </c>
      <c r="N2457">
        <v>0.04</v>
      </c>
      <c r="O2457">
        <v>1796.99</v>
      </c>
      <c r="P2457">
        <v>105.07</v>
      </c>
      <c r="Q2457">
        <v>65.400000000000006</v>
      </c>
      <c r="R2457" t="s">
        <v>65</v>
      </c>
      <c r="S2457">
        <v>3</v>
      </c>
      <c r="T2457" t="b">
        <v>0</v>
      </c>
      <c r="U2457" t="s">
        <v>30</v>
      </c>
      <c r="V2457">
        <v>2</v>
      </c>
    </row>
    <row r="2458" spans="1:22" x14ac:dyDescent="0.25">
      <c r="A2458" t="s">
        <v>5401</v>
      </c>
      <c r="B2458" s="1">
        <v>45599</v>
      </c>
      <c r="C2458" t="s">
        <v>5402</v>
      </c>
      <c r="D2458" t="s">
        <v>1442</v>
      </c>
      <c r="E2458">
        <v>32</v>
      </c>
      <c r="F2458" t="str">
        <f>IF(Table1[[#This Row],[age]]&lt;=25,"18-25",IF(Table1[[#This Row],[age]]&lt;=35,"26-35",IF(Table1[[#This Row],[age]]&lt;=50,"36-50","51+")))</f>
        <v>26-35</v>
      </c>
      <c r="G2458" t="s">
        <v>54</v>
      </c>
      <c r="H2458" t="s">
        <v>69</v>
      </c>
      <c r="I2458" t="s">
        <v>70</v>
      </c>
      <c r="J2458" t="s">
        <v>47</v>
      </c>
      <c r="K2458" t="s">
        <v>272</v>
      </c>
      <c r="L2458">
        <v>4</v>
      </c>
      <c r="M2458">
        <v>253.68</v>
      </c>
      <c r="N2458">
        <v>0.16</v>
      </c>
      <c r="O2458">
        <v>778.21</v>
      </c>
      <c r="P2458">
        <v>386.42</v>
      </c>
      <c r="Q2458">
        <v>76.22</v>
      </c>
      <c r="R2458" t="s">
        <v>65</v>
      </c>
      <c r="S2458">
        <v>4</v>
      </c>
      <c r="T2458" t="b">
        <v>0</v>
      </c>
      <c r="U2458" t="s">
        <v>93</v>
      </c>
      <c r="V2458">
        <v>9</v>
      </c>
    </row>
    <row r="2459" spans="1:22" x14ac:dyDescent="0.25">
      <c r="A2459" t="s">
        <v>5403</v>
      </c>
      <c r="B2459" s="1">
        <v>44096</v>
      </c>
      <c r="C2459" t="s">
        <v>5404</v>
      </c>
      <c r="D2459" t="s">
        <v>895</v>
      </c>
      <c r="E2459">
        <v>37</v>
      </c>
      <c r="F2459" t="str">
        <f>IF(Table1[[#This Row],[age]]&lt;=25,"18-25",IF(Table1[[#This Row],[age]]&lt;=35,"26-35",IF(Table1[[#This Row],[age]]&lt;=50,"36-50","51+")))</f>
        <v>36-50</v>
      </c>
      <c r="G2459" t="s">
        <v>24</v>
      </c>
      <c r="H2459" t="s">
        <v>61</v>
      </c>
      <c r="I2459" t="s">
        <v>62</v>
      </c>
      <c r="J2459" t="s">
        <v>63</v>
      </c>
      <c r="K2459" t="s">
        <v>111</v>
      </c>
      <c r="L2459">
        <v>2</v>
      </c>
      <c r="M2459">
        <v>2579.5700000000002</v>
      </c>
      <c r="N2459">
        <v>0.02</v>
      </c>
      <c r="O2459">
        <v>5743.74</v>
      </c>
      <c r="P2459">
        <v>1991.02</v>
      </c>
      <c r="Q2459">
        <v>37.72</v>
      </c>
      <c r="R2459" t="s">
        <v>43</v>
      </c>
      <c r="S2459">
        <v>4</v>
      </c>
      <c r="T2459" t="b">
        <v>0</v>
      </c>
      <c r="U2459" t="s">
        <v>30</v>
      </c>
      <c r="V2459">
        <v>1</v>
      </c>
    </row>
    <row r="2460" spans="1:22" x14ac:dyDescent="0.25">
      <c r="A2460" t="s">
        <v>5405</v>
      </c>
      <c r="B2460" s="1">
        <v>45080</v>
      </c>
      <c r="C2460" t="s">
        <v>5406</v>
      </c>
      <c r="D2460" t="s">
        <v>3259</v>
      </c>
      <c r="E2460">
        <v>66</v>
      </c>
      <c r="F2460" t="str">
        <f>IF(Table1[[#This Row],[age]]&lt;=25,"18-25",IF(Table1[[#This Row],[age]]&lt;=35,"26-35",IF(Table1[[#This Row],[age]]&lt;=50,"36-50","51+")))</f>
        <v>51+</v>
      </c>
      <c r="G2460" t="s">
        <v>24</v>
      </c>
      <c r="H2460" t="s">
        <v>69</v>
      </c>
      <c r="I2460" t="s">
        <v>221</v>
      </c>
      <c r="J2460" t="s">
        <v>115</v>
      </c>
      <c r="K2460" t="s">
        <v>137</v>
      </c>
      <c r="L2460">
        <v>7</v>
      </c>
      <c r="M2460">
        <v>18211.07</v>
      </c>
      <c r="N2460">
        <v>0.04</v>
      </c>
      <c r="O2460">
        <v>212071.33</v>
      </c>
      <c r="P2460">
        <v>30254.35</v>
      </c>
      <c r="Q2460">
        <v>85.57</v>
      </c>
      <c r="R2460" t="s">
        <v>57</v>
      </c>
      <c r="S2460">
        <v>1</v>
      </c>
      <c r="T2460" t="b">
        <v>0</v>
      </c>
      <c r="U2460" t="s">
        <v>30</v>
      </c>
      <c r="V2460">
        <v>10</v>
      </c>
    </row>
    <row r="2461" spans="1:22" x14ac:dyDescent="0.25">
      <c r="A2461" t="s">
        <v>5407</v>
      </c>
      <c r="B2461" s="1">
        <v>44988</v>
      </c>
      <c r="C2461" t="s">
        <v>5408</v>
      </c>
      <c r="D2461" t="s">
        <v>321</v>
      </c>
      <c r="E2461">
        <v>27</v>
      </c>
      <c r="F2461" t="str">
        <f>IF(Table1[[#This Row],[age]]&lt;=25,"18-25",IF(Table1[[#This Row],[age]]&lt;=35,"26-35",IF(Table1[[#This Row],[age]]&lt;=50,"36-50","51+")))</f>
        <v>26-35</v>
      </c>
      <c r="G2461" t="s">
        <v>24</v>
      </c>
      <c r="H2461" t="s">
        <v>80</v>
      </c>
      <c r="I2461" t="s">
        <v>81</v>
      </c>
      <c r="J2461" t="s">
        <v>47</v>
      </c>
      <c r="K2461" t="s">
        <v>204</v>
      </c>
      <c r="L2461">
        <v>1</v>
      </c>
      <c r="M2461">
        <v>948.68</v>
      </c>
      <c r="N2461">
        <v>0.05</v>
      </c>
      <c r="O2461">
        <v>1052.6300000000001</v>
      </c>
      <c r="P2461">
        <v>436.63</v>
      </c>
      <c r="Q2461">
        <v>60.66</v>
      </c>
      <c r="R2461" t="s">
        <v>92</v>
      </c>
      <c r="S2461">
        <v>3</v>
      </c>
      <c r="T2461" t="b">
        <v>0</v>
      </c>
      <c r="U2461" t="s">
        <v>30</v>
      </c>
      <c r="V2461">
        <v>4</v>
      </c>
    </row>
    <row r="2462" spans="1:22" x14ac:dyDescent="0.25">
      <c r="A2462" t="s">
        <v>5409</v>
      </c>
      <c r="B2462" s="1">
        <v>44907</v>
      </c>
      <c r="C2462" t="s">
        <v>5410</v>
      </c>
      <c r="D2462" t="s">
        <v>455</v>
      </c>
      <c r="E2462">
        <v>25</v>
      </c>
      <c r="F2462" t="str">
        <f>IF(Table1[[#This Row],[age]]&lt;=25,"18-25",IF(Table1[[#This Row],[age]]&lt;=35,"26-35",IF(Table1[[#This Row],[age]]&lt;=50,"36-50","51+")))</f>
        <v>18-25</v>
      </c>
      <c r="G2462" t="s">
        <v>24</v>
      </c>
      <c r="H2462" t="s">
        <v>80</v>
      </c>
      <c r="I2462" t="s">
        <v>236</v>
      </c>
      <c r="J2462" t="s">
        <v>115</v>
      </c>
      <c r="K2462" t="s">
        <v>145</v>
      </c>
      <c r="L2462">
        <v>7</v>
      </c>
      <c r="M2462">
        <v>78827.09</v>
      </c>
      <c r="N2462">
        <v>0.17</v>
      </c>
      <c r="O2462">
        <v>329759.69</v>
      </c>
      <c r="P2462">
        <v>33092.480000000003</v>
      </c>
      <c r="Q2462">
        <v>81.42</v>
      </c>
      <c r="R2462" t="s">
        <v>57</v>
      </c>
      <c r="S2462">
        <v>2</v>
      </c>
      <c r="T2462" t="b">
        <v>0</v>
      </c>
      <c r="U2462" t="s">
        <v>30</v>
      </c>
      <c r="V2462">
        <v>7</v>
      </c>
    </row>
    <row r="2463" spans="1:22" x14ac:dyDescent="0.25">
      <c r="A2463" t="s">
        <v>5411</v>
      </c>
      <c r="B2463" s="1">
        <v>45294</v>
      </c>
      <c r="C2463" t="s">
        <v>5412</v>
      </c>
      <c r="D2463" t="s">
        <v>412</v>
      </c>
      <c r="E2463">
        <v>22</v>
      </c>
      <c r="F2463" t="str">
        <f>IF(Table1[[#This Row],[age]]&lt;=25,"18-25",IF(Table1[[#This Row],[age]]&lt;=35,"26-35",IF(Table1[[#This Row],[age]]&lt;=50,"36-50","51+")))</f>
        <v>18-25</v>
      </c>
      <c r="G2463" t="s">
        <v>24</v>
      </c>
      <c r="H2463" t="s">
        <v>61</v>
      </c>
      <c r="I2463" t="s">
        <v>62</v>
      </c>
      <c r="J2463" t="s">
        <v>115</v>
      </c>
      <c r="K2463" t="s">
        <v>545</v>
      </c>
      <c r="L2463">
        <v>7</v>
      </c>
      <c r="M2463">
        <v>65406.74</v>
      </c>
      <c r="N2463">
        <v>0.23</v>
      </c>
      <c r="O2463">
        <v>311838.93</v>
      </c>
      <c r="P2463">
        <v>30172.94</v>
      </c>
      <c r="Q2463">
        <v>56.16</v>
      </c>
      <c r="R2463" t="s">
        <v>49</v>
      </c>
      <c r="S2463">
        <v>4</v>
      </c>
      <c r="T2463" t="b">
        <v>0</v>
      </c>
      <c r="U2463" t="s">
        <v>30</v>
      </c>
      <c r="V2463">
        <v>9</v>
      </c>
    </row>
    <row r="2464" spans="1:22" x14ac:dyDescent="0.25">
      <c r="A2464" t="s">
        <v>5413</v>
      </c>
      <c r="B2464" s="1">
        <v>44298</v>
      </c>
      <c r="C2464" t="s">
        <v>5414</v>
      </c>
      <c r="D2464" t="s">
        <v>191</v>
      </c>
      <c r="E2464">
        <v>30</v>
      </c>
      <c r="F2464" t="str">
        <f>IF(Table1[[#This Row],[age]]&lt;=25,"18-25",IF(Table1[[#This Row],[age]]&lt;=35,"26-35",IF(Table1[[#This Row],[age]]&lt;=50,"36-50","51+")))</f>
        <v>26-35</v>
      </c>
      <c r="G2464" t="s">
        <v>24</v>
      </c>
      <c r="H2464" t="s">
        <v>80</v>
      </c>
      <c r="I2464" t="s">
        <v>242</v>
      </c>
      <c r="J2464" t="s">
        <v>101</v>
      </c>
      <c r="K2464" t="s">
        <v>164</v>
      </c>
      <c r="L2464">
        <v>2</v>
      </c>
      <c r="M2464">
        <v>3848.71</v>
      </c>
      <c r="N2464">
        <v>0.13</v>
      </c>
      <c r="O2464">
        <v>7629.53</v>
      </c>
      <c r="P2464">
        <v>1845.42</v>
      </c>
      <c r="Q2464">
        <v>94.87</v>
      </c>
      <c r="R2464" t="s">
        <v>65</v>
      </c>
      <c r="S2464">
        <v>1</v>
      </c>
      <c r="T2464" t="b">
        <v>0</v>
      </c>
      <c r="U2464" t="s">
        <v>30</v>
      </c>
      <c r="V2464">
        <v>5</v>
      </c>
    </row>
    <row r="2465" spans="1:22" x14ac:dyDescent="0.25">
      <c r="A2465" t="s">
        <v>5415</v>
      </c>
      <c r="B2465" s="1">
        <v>43979</v>
      </c>
      <c r="C2465" t="s">
        <v>5416</v>
      </c>
      <c r="D2465" t="s">
        <v>1630</v>
      </c>
      <c r="E2465">
        <v>39</v>
      </c>
      <c r="F2465" t="str">
        <f>IF(Table1[[#This Row],[age]]&lt;=25,"18-25",IF(Table1[[#This Row],[age]]&lt;=35,"26-35",IF(Table1[[#This Row],[age]]&lt;=50,"36-50","51+")))</f>
        <v>36-50</v>
      </c>
      <c r="G2465" t="s">
        <v>34</v>
      </c>
      <c r="H2465" t="s">
        <v>55</v>
      </c>
      <c r="I2465" t="s">
        <v>97</v>
      </c>
      <c r="J2465" t="s">
        <v>106</v>
      </c>
      <c r="K2465" t="s">
        <v>331</v>
      </c>
      <c r="L2465">
        <v>9</v>
      </c>
      <c r="M2465">
        <v>253.54</v>
      </c>
      <c r="N2465">
        <v>0.26</v>
      </c>
      <c r="O2465">
        <v>2172.54</v>
      </c>
      <c r="P2465">
        <v>173.86</v>
      </c>
      <c r="Q2465">
        <v>63.2</v>
      </c>
      <c r="R2465" t="s">
        <v>92</v>
      </c>
      <c r="S2465">
        <v>5</v>
      </c>
      <c r="T2465" t="b">
        <v>0</v>
      </c>
      <c r="U2465" t="s">
        <v>30</v>
      </c>
      <c r="V2465">
        <v>7</v>
      </c>
    </row>
    <row r="2466" spans="1:22" x14ac:dyDescent="0.25">
      <c r="A2466" t="s">
        <v>5417</v>
      </c>
      <c r="B2466" s="1">
        <v>45461</v>
      </c>
      <c r="C2466" t="s">
        <v>5418</v>
      </c>
      <c r="D2466" t="s">
        <v>1114</v>
      </c>
      <c r="E2466">
        <v>36</v>
      </c>
      <c r="F2466" t="str">
        <f>IF(Table1[[#This Row],[age]]&lt;=25,"18-25",IF(Table1[[#This Row],[age]]&lt;=35,"26-35",IF(Table1[[#This Row],[age]]&lt;=50,"36-50","51+")))</f>
        <v>36-50</v>
      </c>
      <c r="G2466" t="s">
        <v>34</v>
      </c>
      <c r="H2466" t="s">
        <v>69</v>
      </c>
      <c r="I2466" t="s">
        <v>136</v>
      </c>
      <c r="J2466" t="s">
        <v>63</v>
      </c>
      <c r="K2466" t="s">
        <v>64</v>
      </c>
      <c r="L2466">
        <v>2</v>
      </c>
      <c r="M2466">
        <v>419.29</v>
      </c>
      <c r="N2466">
        <v>0.4</v>
      </c>
      <c r="O2466">
        <v>977.42</v>
      </c>
      <c r="P2466">
        <v>372.17</v>
      </c>
      <c r="Q2466">
        <v>91.04</v>
      </c>
      <c r="R2466" t="s">
        <v>29</v>
      </c>
      <c r="S2466">
        <v>4</v>
      </c>
      <c r="T2466" t="b">
        <v>0</v>
      </c>
      <c r="U2466" t="s">
        <v>30</v>
      </c>
      <c r="V2466">
        <v>6</v>
      </c>
    </row>
    <row r="2467" spans="1:22" x14ac:dyDescent="0.25">
      <c r="A2467" t="s">
        <v>5419</v>
      </c>
      <c r="B2467" s="1">
        <v>45656</v>
      </c>
      <c r="C2467" t="s">
        <v>5420</v>
      </c>
      <c r="D2467" t="s">
        <v>1129</v>
      </c>
      <c r="E2467">
        <v>22</v>
      </c>
      <c r="F2467" t="str">
        <f>IF(Table1[[#This Row],[age]]&lt;=25,"18-25",IF(Table1[[#This Row],[age]]&lt;=35,"26-35",IF(Table1[[#This Row],[age]]&lt;=50,"36-50","51+")))</f>
        <v>18-25</v>
      </c>
      <c r="G2467" t="s">
        <v>34</v>
      </c>
      <c r="H2467" t="s">
        <v>80</v>
      </c>
      <c r="I2467" t="s">
        <v>81</v>
      </c>
      <c r="J2467" t="s">
        <v>36</v>
      </c>
      <c r="K2467" t="s">
        <v>37</v>
      </c>
      <c r="L2467">
        <v>6</v>
      </c>
      <c r="M2467">
        <v>5868.58</v>
      </c>
      <c r="N2467">
        <v>0.28999999999999998</v>
      </c>
      <c r="O2467">
        <v>27272.26</v>
      </c>
      <c r="P2467">
        <v>8506.9599999999991</v>
      </c>
      <c r="Q2467">
        <v>61.17</v>
      </c>
      <c r="R2467" t="s">
        <v>49</v>
      </c>
      <c r="S2467">
        <v>3</v>
      </c>
      <c r="T2467" t="b">
        <v>1</v>
      </c>
      <c r="U2467" t="s">
        <v>50</v>
      </c>
      <c r="V2467">
        <v>5</v>
      </c>
    </row>
    <row r="2468" spans="1:22" x14ac:dyDescent="0.25">
      <c r="A2468" t="s">
        <v>5421</v>
      </c>
      <c r="B2468" s="1">
        <v>45373</v>
      </c>
      <c r="C2468" t="s">
        <v>5422</v>
      </c>
      <c r="D2468" t="s">
        <v>812</v>
      </c>
      <c r="E2468">
        <v>42</v>
      </c>
      <c r="F2468" t="str">
        <f>IF(Table1[[#This Row],[age]]&lt;=25,"18-25",IF(Table1[[#This Row],[age]]&lt;=35,"26-35",IF(Table1[[#This Row],[age]]&lt;=50,"36-50","51+")))</f>
        <v>36-50</v>
      </c>
      <c r="G2468" t="s">
        <v>34</v>
      </c>
      <c r="H2468" t="s">
        <v>25</v>
      </c>
      <c r="I2468" t="s">
        <v>298</v>
      </c>
      <c r="J2468" t="s">
        <v>36</v>
      </c>
      <c r="K2468" t="s">
        <v>37</v>
      </c>
      <c r="L2468">
        <v>8</v>
      </c>
      <c r="M2468">
        <v>8470.42</v>
      </c>
      <c r="N2468">
        <v>0.28999999999999998</v>
      </c>
      <c r="O2468">
        <v>55529.13</v>
      </c>
      <c r="P2468">
        <v>17657.48</v>
      </c>
      <c r="Q2468">
        <v>72.33</v>
      </c>
      <c r="R2468" t="s">
        <v>65</v>
      </c>
      <c r="S2468">
        <v>4</v>
      </c>
      <c r="T2468" t="b">
        <v>0</v>
      </c>
      <c r="U2468" t="s">
        <v>30</v>
      </c>
      <c r="V2468">
        <v>2</v>
      </c>
    </row>
    <row r="2469" spans="1:22" x14ac:dyDescent="0.25">
      <c r="A2469" t="s">
        <v>5423</v>
      </c>
      <c r="B2469" s="1">
        <v>44321</v>
      </c>
      <c r="C2469" t="s">
        <v>5424</v>
      </c>
      <c r="D2469" t="s">
        <v>317</v>
      </c>
      <c r="E2469">
        <v>36</v>
      </c>
      <c r="F2469" t="str">
        <f>IF(Table1[[#This Row],[age]]&lt;=25,"18-25",IF(Table1[[#This Row],[age]]&lt;=35,"26-35",IF(Table1[[#This Row],[age]]&lt;=50,"36-50","51+")))</f>
        <v>36-50</v>
      </c>
      <c r="G2469" t="s">
        <v>24</v>
      </c>
      <c r="H2469" t="s">
        <v>25</v>
      </c>
      <c r="I2469" t="s">
        <v>41</v>
      </c>
      <c r="J2469" t="s">
        <v>115</v>
      </c>
      <c r="K2469" t="s">
        <v>137</v>
      </c>
      <c r="L2469">
        <v>3</v>
      </c>
      <c r="M2469">
        <v>19106.04</v>
      </c>
      <c r="N2469">
        <v>0.28999999999999998</v>
      </c>
      <c r="O2469">
        <v>55864.82</v>
      </c>
      <c r="P2469">
        <v>5910.7</v>
      </c>
      <c r="Q2469">
        <v>48.94</v>
      </c>
      <c r="R2469" t="s">
        <v>65</v>
      </c>
      <c r="S2469">
        <v>5</v>
      </c>
      <c r="T2469" t="b">
        <v>0</v>
      </c>
      <c r="U2469" t="s">
        <v>30</v>
      </c>
      <c r="V2469">
        <v>10</v>
      </c>
    </row>
    <row r="2470" spans="1:22" x14ac:dyDescent="0.25">
      <c r="A2470" t="s">
        <v>5425</v>
      </c>
      <c r="B2470" s="1">
        <v>43851</v>
      </c>
      <c r="C2470" t="s">
        <v>5426</v>
      </c>
      <c r="D2470" t="s">
        <v>1573</v>
      </c>
      <c r="E2470">
        <v>30</v>
      </c>
      <c r="F2470" t="str">
        <f>IF(Table1[[#This Row],[age]]&lt;=25,"18-25",IF(Table1[[#This Row],[age]]&lt;=35,"26-35",IF(Table1[[#This Row],[age]]&lt;=50,"36-50","51+")))</f>
        <v>26-35</v>
      </c>
      <c r="G2470" t="s">
        <v>34</v>
      </c>
      <c r="H2470" t="s">
        <v>69</v>
      </c>
      <c r="I2470" t="s">
        <v>70</v>
      </c>
      <c r="J2470" t="s">
        <v>106</v>
      </c>
      <c r="K2470" t="s">
        <v>331</v>
      </c>
      <c r="L2470">
        <v>8</v>
      </c>
      <c r="M2470">
        <v>93.43</v>
      </c>
      <c r="N2470">
        <v>0.03</v>
      </c>
      <c r="O2470">
        <v>527.34</v>
      </c>
      <c r="P2470">
        <v>58.06</v>
      </c>
      <c r="Q2470">
        <v>67.75</v>
      </c>
      <c r="R2470" t="s">
        <v>57</v>
      </c>
      <c r="S2470">
        <v>5</v>
      </c>
      <c r="T2470" t="b">
        <v>0</v>
      </c>
      <c r="U2470" t="s">
        <v>93</v>
      </c>
      <c r="V2470">
        <v>3</v>
      </c>
    </row>
    <row r="2471" spans="1:22" x14ac:dyDescent="0.25">
      <c r="A2471" t="s">
        <v>5427</v>
      </c>
      <c r="B2471" s="1">
        <v>45235</v>
      </c>
      <c r="C2471" t="s">
        <v>5428</v>
      </c>
      <c r="D2471" t="s">
        <v>1373</v>
      </c>
      <c r="E2471">
        <v>24</v>
      </c>
      <c r="F2471" t="str">
        <f>IF(Table1[[#This Row],[age]]&lt;=25,"18-25",IF(Table1[[#This Row],[age]]&lt;=35,"26-35",IF(Table1[[#This Row],[age]]&lt;=50,"36-50","51+")))</f>
        <v>18-25</v>
      </c>
      <c r="G2471" t="s">
        <v>54</v>
      </c>
      <c r="H2471" t="s">
        <v>55</v>
      </c>
      <c r="I2471" t="s">
        <v>97</v>
      </c>
      <c r="J2471" t="s">
        <v>27</v>
      </c>
      <c r="K2471" t="s">
        <v>28</v>
      </c>
      <c r="L2471">
        <v>3</v>
      </c>
      <c r="M2471">
        <v>2286.34</v>
      </c>
      <c r="N2471">
        <v>0.34</v>
      </c>
      <c r="O2471">
        <v>4041.13</v>
      </c>
      <c r="P2471">
        <v>2413.02</v>
      </c>
      <c r="Q2471">
        <v>61.28</v>
      </c>
      <c r="R2471" t="s">
        <v>65</v>
      </c>
      <c r="S2471">
        <v>2</v>
      </c>
      <c r="T2471" t="b">
        <v>1</v>
      </c>
      <c r="U2471" t="s">
        <v>50</v>
      </c>
      <c r="V2471">
        <v>1</v>
      </c>
    </row>
    <row r="2472" spans="1:22" x14ac:dyDescent="0.25">
      <c r="A2472" t="s">
        <v>5429</v>
      </c>
      <c r="B2472" s="1">
        <v>44653</v>
      </c>
      <c r="C2472" t="s">
        <v>5430</v>
      </c>
      <c r="D2472" t="s">
        <v>907</v>
      </c>
      <c r="E2472">
        <v>44</v>
      </c>
      <c r="F2472" t="str">
        <f>IF(Table1[[#This Row],[age]]&lt;=25,"18-25",IF(Table1[[#This Row],[age]]&lt;=35,"26-35",IF(Table1[[#This Row],[age]]&lt;=50,"36-50","51+")))</f>
        <v>36-50</v>
      </c>
      <c r="G2472" t="s">
        <v>24</v>
      </c>
      <c r="H2472" t="s">
        <v>69</v>
      </c>
      <c r="I2472" t="s">
        <v>136</v>
      </c>
      <c r="J2472" t="s">
        <v>63</v>
      </c>
      <c r="K2472" t="s">
        <v>87</v>
      </c>
      <c r="L2472">
        <v>8</v>
      </c>
      <c r="M2472">
        <v>2007.46</v>
      </c>
      <c r="N2472">
        <v>7.0000000000000007E-2</v>
      </c>
      <c r="O2472">
        <v>22694.82</v>
      </c>
      <c r="P2472">
        <v>8877.57</v>
      </c>
      <c r="Q2472">
        <v>29.19</v>
      </c>
      <c r="R2472" t="s">
        <v>92</v>
      </c>
      <c r="S2472">
        <v>5</v>
      </c>
      <c r="T2472" t="b">
        <v>0</v>
      </c>
      <c r="U2472" t="s">
        <v>30</v>
      </c>
      <c r="V2472">
        <v>8</v>
      </c>
    </row>
    <row r="2473" spans="1:22" x14ac:dyDescent="0.25">
      <c r="A2473" t="s">
        <v>5431</v>
      </c>
      <c r="B2473" s="1">
        <v>45411</v>
      </c>
      <c r="C2473" t="s">
        <v>5432</v>
      </c>
      <c r="D2473" t="s">
        <v>468</v>
      </c>
      <c r="E2473">
        <v>31</v>
      </c>
      <c r="F2473" t="str">
        <f>IF(Table1[[#This Row],[age]]&lt;=25,"18-25",IF(Table1[[#This Row],[age]]&lt;=35,"26-35",IF(Table1[[#This Row],[age]]&lt;=50,"36-50","51+")))</f>
        <v>26-35</v>
      </c>
      <c r="G2473" t="s">
        <v>24</v>
      </c>
      <c r="H2473" t="s">
        <v>61</v>
      </c>
      <c r="I2473" t="s">
        <v>141</v>
      </c>
      <c r="J2473" t="s">
        <v>63</v>
      </c>
      <c r="K2473" t="s">
        <v>87</v>
      </c>
      <c r="L2473">
        <v>1</v>
      </c>
      <c r="M2473">
        <v>2333.8200000000002</v>
      </c>
      <c r="N2473">
        <v>0.3</v>
      </c>
      <c r="O2473">
        <v>2311.2600000000002</v>
      </c>
      <c r="P2473">
        <v>857.57</v>
      </c>
      <c r="Q2473">
        <v>31.53</v>
      </c>
      <c r="R2473" t="s">
        <v>29</v>
      </c>
      <c r="S2473">
        <v>2</v>
      </c>
      <c r="T2473" t="b">
        <v>1</v>
      </c>
      <c r="U2473" t="s">
        <v>50</v>
      </c>
      <c r="V2473">
        <v>10</v>
      </c>
    </row>
    <row r="2474" spans="1:22" x14ac:dyDescent="0.25">
      <c r="A2474" t="s">
        <v>5433</v>
      </c>
      <c r="B2474" s="1">
        <v>44275</v>
      </c>
      <c r="C2474" t="s">
        <v>5434</v>
      </c>
      <c r="D2474" t="s">
        <v>907</v>
      </c>
      <c r="E2474">
        <v>30</v>
      </c>
      <c r="F2474" t="str">
        <f>IF(Table1[[#This Row],[age]]&lt;=25,"18-25",IF(Table1[[#This Row],[age]]&lt;=35,"26-35",IF(Table1[[#This Row],[age]]&lt;=50,"36-50","51+")))</f>
        <v>26-35</v>
      </c>
      <c r="G2474" t="s">
        <v>24</v>
      </c>
      <c r="H2474" t="s">
        <v>80</v>
      </c>
      <c r="I2474" t="s">
        <v>86</v>
      </c>
      <c r="J2474" t="s">
        <v>101</v>
      </c>
      <c r="K2474" t="s">
        <v>124</v>
      </c>
      <c r="L2474">
        <v>8</v>
      </c>
      <c r="M2474">
        <v>1086.23</v>
      </c>
      <c r="N2474">
        <v>0.23</v>
      </c>
      <c r="O2474">
        <v>7051.86</v>
      </c>
      <c r="P2474">
        <v>1305.99</v>
      </c>
      <c r="Q2474">
        <v>55.27</v>
      </c>
      <c r="R2474" t="s">
        <v>29</v>
      </c>
      <c r="S2474">
        <v>4</v>
      </c>
      <c r="T2474" t="b">
        <v>1</v>
      </c>
      <c r="U2474" t="s">
        <v>50</v>
      </c>
      <c r="V2474">
        <v>8</v>
      </c>
    </row>
    <row r="2475" spans="1:22" x14ac:dyDescent="0.25">
      <c r="A2475" t="s">
        <v>5435</v>
      </c>
      <c r="B2475" s="1">
        <v>45017</v>
      </c>
      <c r="C2475" t="s">
        <v>5436</v>
      </c>
      <c r="D2475" t="s">
        <v>1641</v>
      </c>
      <c r="E2475">
        <v>23</v>
      </c>
      <c r="F2475" t="str">
        <f>IF(Table1[[#This Row],[age]]&lt;=25,"18-25",IF(Table1[[#This Row],[age]]&lt;=35,"26-35",IF(Table1[[#This Row],[age]]&lt;=50,"36-50","51+")))</f>
        <v>18-25</v>
      </c>
      <c r="G2475" t="s">
        <v>24</v>
      </c>
      <c r="H2475" t="s">
        <v>69</v>
      </c>
      <c r="I2475" t="s">
        <v>136</v>
      </c>
      <c r="J2475" t="s">
        <v>101</v>
      </c>
      <c r="K2475" t="s">
        <v>318</v>
      </c>
      <c r="L2475">
        <v>6</v>
      </c>
      <c r="M2475">
        <v>5555.87</v>
      </c>
      <c r="N2475">
        <v>0.31</v>
      </c>
      <c r="O2475">
        <v>34653.360000000001</v>
      </c>
      <c r="P2475">
        <v>9878.4</v>
      </c>
      <c r="Q2475">
        <v>74.61</v>
      </c>
      <c r="R2475" t="s">
        <v>29</v>
      </c>
      <c r="S2475">
        <v>5</v>
      </c>
      <c r="T2475" t="b">
        <v>0</v>
      </c>
      <c r="U2475" t="s">
        <v>30</v>
      </c>
      <c r="V2475">
        <v>4</v>
      </c>
    </row>
    <row r="2476" spans="1:22" x14ac:dyDescent="0.25">
      <c r="A2476" t="s">
        <v>5437</v>
      </c>
      <c r="B2476" s="1">
        <v>45205</v>
      </c>
      <c r="C2476" t="s">
        <v>5438</v>
      </c>
      <c r="D2476" t="s">
        <v>596</v>
      </c>
      <c r="E2476">
        <v>24</v>
      </c>
      <c r="F2476" t="str">
        <f>IF(Table1[[#This Row],[age]]&lt;=25,"18-25",IF(Table1[[#This Row],[age]]&lt;=35,"26-35",IF(Table1[[#This Row],[age]]&lt;=50,"36-50","51+")))</f>
        <v>18-25</v>
      </c>
      <c r="G2476" t="s">
        <v>54</v>
      </c>
      <c r="H2476" t="s">
        <v>61</v>
      </c>
      <c r="I2476" t="s">
        <v>141</v>
      </c>
      <c r="J2476" t="s">
        <v>101</v>
      </c>
      <c r="K2476" t="s">
        <v>164</v>
      </c>
      <c r="L2476">
        <v>6</v>
      </c>
      <c r="M2476">
        <v>4814.34</v>
      </c>
      <c r="N2476">
        <v>0.11</v>
      </c>
      <c r="O2476">
        <v>27501.279999999999</v>
      </c>
      <c r="P2476">
        <v>3795.89</v>
      </c>
      <c r="Q2476">
        <v>44.25</v>
      </c>
      <c r="R2476" t="s">
        <v>49</v>
      </c>
      <c r="S2476">
        <v>3</v>
      </c>
      <c r="T2476" t="b">
        <v>0</v>
      </c>
      <c r="U2476" t="s">
        <v>30</v>
      </c>
      <c r="V2476">
        <v>6</v>
      </c>
    </row>
    <row r="2477" spans="1:22" x14ac:dyDescent="0.25">
      <c r="A2477" t="s">
        <v>5439</v>
      </c>
      <c r="B2477" s="1">
        <v>44061</v>
      </c>
      <c r="C2477" t="s">
        <v>5440</v>
      </c>
      <c r="D2477" t="s">
        <v>702</v>
      </c>
      <c r="E2477">
        <v>21</v>
      </c>
      <c r="F2477" t="str">
        <f>IF(Table1[[#This Row],[age]]&lt;=25,"18-25",IF(Table1[[#This Row],[age]]&lt;=35,"26-35",IF(Table1[[#This Row],[age]]&lt;=50,"36-50","51+")))</f>
        <v>18-25</v>
      </c>
      <c r="G2477" t="s">
        <v>24</v>
      </c>
      <c r="H2477" t="s">
        <v>55</v>
      </c>
      <c r="I2477" t="s">
        <v>114</v>
      </c>
      <c r="J2477" t="s">
        <v>101</v>
      </c>
      <c r="K2477" t="s">
        <v>164</v>
      </c>
      <c r="L2477">
        <v>4</v>
      </c>
      <c r="M2477">
        <v>2245.2600000000002</v>
      </c>
      <c r="N2477">
        <v>0.05</v>
      </c>
      <c r="O2477">
        <v>10562.68</v>
      </c>
      <c r="P2477">
        <v>1551.12</v>
      </c>
      <c r="Q2477">
        <v>67.36</v>
      </c>
      <c r="R2477" t="s">
        <v>92</v>
      </c>
      <c r="S2477">
        <v>1</v>
      </c>
      <c r="T2477" t="b">
        <v>0</v>
      </c>
      <c r="U2477" t="s">
        <v>30</v>
      </c>
      <c r="V2477">
        <v>8</v>
      </c>
    </row>
    <row r="2478" spans="1:22" x14ac:dyDescent="0.25">
      <c r="A2478" t="s">
        <v>5441</v>
      </c>
      <c r="B2478" s="1">
        <v>45307</v>
      </c>
      <c r="C2478" t="s">
        <v>5442</v>
      </c>
      <c r="D2478" t="s">
        <v>1163</v>
      </c>
      <c r="E2478">
        <v>35</v>
      </c>
      <c r="F2478" t="str">
        <f>IF(Table1[[#This Row],[age]]&lt;=25,"18-25",IF(Table1[[#This Row],[age]]&lt;=35,"26-35",IF(Table1[[#This Row],[age]]&lt;=50,"36-50","51+")))</f>
        <v>26-35</v>
      </c>
      <c r="G2478" t="s">
        <v>34</v>
      </c>
      <c r="H2478" t="s">
        <v>80</v>
      </c>
      <c r="I2478" t="s">
        <v>86</v>
      </c>
      <c r="J2478" t="s">
        <v>63</v>
      </c>
      <c r="K2478" t="s">
        <v>152</v>
      </c>
      <c r="L2478">
        <v>2</v>
      </c>
      <c r="M2478">
        <v>2942.34</v>
      </c>
      <c r="N2478">
        <v>0.26</v>
      </c>
      <c r="O2478">
        <v>4536.4799999999996</v>
      </c>
      <c r="P2478">
        <v>1703.86</v>
      </c>
      <c r="Q2478">
        <v>54.7</v>
      </c>
      <c r="R2478" t="s">
        <v>29</v>
      </c>
      <c r="S2478">
        <v>5</v>
      </c>
      <c r="T2478" t="b">
        <v>1</v>
      </c>
      <c r="U2478" t="s">
        <v>50</v>
      </c>
      <c r="V2478">
        <v>7</v>
      </c>
    </row>
    <row r="2479" spans="1:22" x14ac:dyDescent="0.25">
      <c r="A2479" t="s">
        <v>5443</v>
      </c>
      <c r="B2479" s="1">
        <v>45519</v>
      </c>
      <c r="C2479" t="s">
        <v>5444</v>
      </c>
      <c r="D2479" t="s">
        <v>1030</v>
      </c>
      <c r="E2479">
        <v>33</v>
      </c>
      <c r="F2479" t="str">
        <f>IF(Table1[[#This Row],[age]]&lt;=25,"18-25",IF(Table1[[#This Row],[age]]&lt;=35,"26-35",IF(Table1[[#This Row],[age]]&lt;=50,"36-50","51+")))</f>
        <v>26-35</v>
      </c>
      <c r="G2479" t="s">
        <v>24</v>
      </c>
      <c r="H2479" t="s">
        <v>80</v>
      </c>
      <c r="I2479" t="s">
        <v>86</v>
      </c>
      <c r="J2479" t="s">
        <v>47</v>
      </c>
      <c r="K2479" t="s">
        <v>48</v>
      </c>
      <c r="L2479">
        <v>8</v>
      </c>
      <c r="M2479">
        <v>1226.8399999999999</v>
      </c>
      <c r="N2479">
        <v>0.23</v>
      </c>
      <c r="O2479">
        <v>11994.58</v>
      </c>
      <c r="P2479">
        <v>3912.8</v>
      </c>
      <c r="Q2479">
        <v>69.45</v>
      </c>
      <c r="R2479" t="s">
        <v>43</v>
      </c>
      <c r="S2479">
        <v>4</v>
      </c>
      <c r="T2479" t="b">
        <v>0</v>
      </c>
      <c r="U2479" t="s">
        <v>30</v>
      </c>
      <c r="V2479">
        <v>6</v>
      </c>
    </row>
    <row r="2480" spans="1:22" x14ac:dyDescent="0.25">
      <c r="A2480" t="s">
        <v>5445</v>
      </c>
      <c r="B2480" s="1">
        <v>44229</v>
      </c>
      <c r="C2480" t="s">
        <v>5446</v>
      </c>
      <c r="D2480" t="s">
        <v>1039</v>
      </c>
      <c r="E2480">
        <v>36</v>
      </c>
      <c r="F2480" t="str">
        <f>IF(Table1[[#This Row],[age]]&lt;=25,"18-25",IF(Table1[[#This Row],[age]]&lt;=35,"26-35",IF(Table1[[#This Row],[age]]&lt;=50,"36-50","51+")))</f>
        <v>36-50</v>
      </c>
      <c r="G2480" t="s">
        <v>34</v>
      </c>
      <c r="H2480" t="s">
        <v>69</v>
      </c>
      <c r="I2480" t="s">
        <v>136</v>
      </c>
      <c r="J2480" t="s">
        <v>47</v>
      </c>
      <c r="K2480" t="s">
        <v>120</v>
      </c>
      <c r="L2480">
        <v>9</v>
      </c>
      <c r="M2480">
        <v>1355.32</v>
      </c>
      <c r="N2480">
        <v>0.11</v>
      </c>
      <c r="O2480">
        <v>9672.16</v>
      </c>
      <c r="P2480">
        <v>3948.56</v>
      </c>
      <c r="Q2480">
        <v>95.05</v>
      </c>
      <c r="R2480" t="s">
        <v>29</v>
      </c>
      <c r="S2480">
        <v>4</v>
      </c>
      <c r="T2480" t="b">
        <v>0</v>
      </c>
      <c r="U2480" t="s">
        <v>30</v>
      </c>
      <c r="V2480">
        <v>4</v>
      </c>
    </row>
    <row r="2481" spans="1:22" x14ac:dyDescent="0.25">
      <c r="A2481" t="s">
        <v>5447</v>
      </c>
      <c r="B2481" s="1">
        <v>44568</v>
      </c>
      <c r="C2481" t="s">
        <v>5448</v>
      </c>
      <c r="D2481" t="s">
        <v>1430</v>
      </c>
      <c r="E2481">
        <v>28</v>
      </c>
      <c r="F2481" t="str">
        <f>IF(Table1[[#This Row],[age]]&lt;=25,"18-25",IF(Table1[[#This Row],[age]]&lt;=35,"26-35",IF(Table1[[#This Row],[age]]&lt;=50,"36-50","51+")))</f>
        <v>26-35</v>
      </c>
      <c r="G2481" t="s">
        <v>34</v>
      </c>
      <c r="H2481" t="s">
        <v>61</v>
      </c>
      <c r="I2481" t="s">
        <v>163</v>
      </c>
      <c r="J2481" t="s">
        <v>36</v>
      </c>
      <c r="K2481" t="s">
        <v>230</v>
      </c>
      <c r="L2481">
        <v>2</v>
      </c>
      <c r="M2481">
        <v>15019.51</v>
      </c>
      <c r="N2481">
        <v>0.21</v>
      </c>
      <c r="O2481">
        <v>22257.16</v>
      </c>
      <c r="P2481">
        <v>6736.14</v>
      </c>
      <c r="Q2481">
        <v>45.65</v>
      </c>
      <c r="R2481" t="s">
        <v>65</v>
      </c>
      <c r="S2481">
        <v>2</v>
      </c>
      <c r="T2481" t="b">
        <v>0</v>
      </c>
      <c r="U2481" t="s">
        <v>71</v>
      </c>
      <c r="V2481">
        <v>7</v>
      </c>
    </row>
    <row r="2482" spans="1:22" x14ac:dyDescent="0.25">
      <c r="A2482" t="s">
        <v>5449</v>
      </c>
      <c r="B2482" s="1">
        <v>44816</v>
      </c>
      <c r="C2482" t="s">
        <v>5450</v>
      </c>
      <c r="D2482" t="s">
        <v>284</v>
      </c>
      <c r="E2482">
        <v>48</v>
      </c>
      <c r="F2482" t="str">
        <f>IF(Table1[[#This Row],[age]]&lt;=25,"18-25",IF(Table1[[#This Row],[age]]&lt;=35,"26-35",IF(Table1[[#This Row],[age]]&lt;=50,"36-50","51+")))</f>
        <v>36-50</v>
      </c>
      <c r="G2482" t="s">
        <v>54</v>
      </c>
      <c r="H2482" t="s">
        <v>25</v>
      </c>
      <c r="I2482" t="s">
        <v>26</v>
      </c>
      <c r="J2482" t="s">
        <v>115</v>
      </c>
      <c r="K2482" t="s">
        <v>137</v>
      </c>
      <c r="L2482">
        <v>7</v>
      </c>
      <c r="M2482">
        <v>17875.78</v>
      </c>
      <c r="N2482">
        <v>0.39</v>
      </c>
      <c r="O2482">
        <v>88594.37</v>
      </c>
      <c r="P2482">
        <v>10922.5</v>
      </c>
      <c r="Q2482">
        <v>64.930000000000007</v>
      </c>
      <c r="R2482" t="s">
        <v>57</v>
      </c>
      <c r="S2482">
        <v>1</v>
      </c>
      <c r="T2482" t="b">
        <v>0</v>
      </c>
      <c r="U2482" t="s">
        <v>93</v>
      </c>
      <c r="V2482">
        <v>3</v>
      </c>
    </row>
    <row r="2483" spans="1:22" x14ac:dyDescent="0.25">
      <c r="A2483" t="s">
        <v>5451</v>
      </c>
      <c r="B2483" s="1">
        <v>45394</v>
      </c>
      <c r="C2483" t="s">
        <v>5452</v>
      </c>
      <c r="D2483" t="s">
        <v>1330</v>
      </c>
      <c r="E2483">
        <v>20</v>
      </c>
      <c r="F2483" t="str">
        <f>IF(Table1[[#This Row],[age]]&lt;=25,"18-25",IF(Table1[[#This Row],[age]]&lt;=35,"26-35",IF(Table1[[#This Row],[age]]&lt;=50,"36-50","51+")))</f>
        <v>18-25</v>
      </c>
      <c r="G2483" t="s">
        <v>24</v>
      </c>
      <c r="H2483" t="s">
        <v>69</v>
      </c>
      <c r="I2483" t="s">
        <v>136</v>
      </c>
      <c r="J2483" t="s">
        <v>36</v>
      </c>
      <c r="K2483" t="s">
        <v>42</v>
      </c>
      <c r="L2483">
        <v>9</v>
      </c>
      <c r="M2483">
        <v>31889.55</v>
      </c>
      <c r="N2483">
        <v>0.03</v>
      </c>
      <c r="O2483">
        <v>231659.35</v>
      </c>
      <c r="P2483">
        <v>73647.320000000007</v>
      </c>
      <c r="Q2483">
        <v>82.21</v>
      </c>
      <c r="R2483" t="s">
        <v>57</v>
      </c>
      <c r="S2483">
        <v>4</v>
      </c>
      <c r="T2483" t="b">
        <v>0</v>
      </c>
      <c r="U2483" t="s">
        <v>30</v>
      </c>
      <c r="V2483">
        <v>3</v>
      </c>
    </row>
    <row r="2484" spans="1:22" x14ac:dyDescent="0.25">
      <c r="A2484" t="s">
        <v>5453</v>
      </c>
      <c r="B2484" s="1">
        <v>44262</v>
      </c>
      <c r="C2484" t="s">
        <v>5454</v>
      </c>
      <c r="D2484" t="s">
        <v>1436</v>
      </c>
      <c r="E2484">
        <v>51</v>
      </c>
      <c r="F2484" t="str">
        <f>IF(Table1[[#This Row],[age]]&lt;=25,"18-25",IF(Table1[[#This Row],[age]]&lt;=35,"26-35",IF(Table1[[#This Row],[age]]&lt;=50,"36-50","51+")))</f>
        <v>51+</v>
      </c>
      <c r="G2484" t="s">
        <v>24</v>
      </c>
      <c r="H2484" t="s">
        <v>25</v>
      </c>
      <c r="I2484" t="s">
        <v>26</v>
      </c>
      <c r="J2484" t="s">
        <v>106</v>
      </c>
      <c r="K2484" t="s">
        <v>188</v>
      </c>
      <c r="L2484">
        <v>8</v>
      </c>
      <c r="M2484">
        <v>304.95999999999998</v>
      </c>
      <c r="N2484">
        <v>0.05</v>
      </c>
      <c r="O2484">
        <v>2345.4</v>
      </c>
      <c r="P2484">
        <v>225.25</v>
      </c>
      <c r="Q2484">
        <v>36.35</v>
      </c>
      <c r="R2484" t="s">
        <v>49</v>
      </c>
      <c r="S2484">
        <v>2</v>
      </c>
      <c r="T2484" t="b">
        <v>0</v>
      </c>
      <c r="U2484" t="s">
        <v>30</v>
      </c>
      <c r="V2484">
        <v>3</v>
      </c>
    </row>
    <row r="2485" spans="1:22" x14ac:dyDescent="0.25">
      <c r="A2485" t="s">
        <v>5455</v>
      </c>
      <c r="B2485" s="1">
        <v>45218</v>
      </c>
      <c r="C2485" t="s">
        <v>5456</v>
      </c>
      <c r="D2485" t="s">
        <v>1439</v>
      </c>
      <c r="E2485">
        <v>39</v>
      </c>
      <c r="F2485" t="str">
        <f>IF(Table1[[#This Row],[age]]&lt;=25,"18-25",IF(Table1[[#This Row],[age]]&lt;=35,"26-35",IF(Table1[[#This Row],[age]]&lt;=50,"36-50","51+")))</f>
        <v>36-50</v>
      </c>
      <c r="G2485" t="s">
        <v>24</v>
      </c>
      <c r="H2485" t="s">
        <v>55</v>
      </c>
      <c r="I2485" t="s">
        <v>75</v>
      </c>
      <c r="J2485" t="s">
        <v>27</v>
      </c>
      <c r="K2485" t="s">
        <v>168</v>
      </c>
      <c r="L2485">
        <v>6</v>
      </c>
      <c r="M2485">
        <v>1870.67</v>
      </c>
      <c r="N2485">
        <v>0.31</v>
      </c>
      <c r="O2485">
        <v>7697.7</v>
      </c>
      <c r="P2485">
        <v>4210.6099999999997</v>
      </c>
      <c r="Q2485">
        <v>51.88</v>
      </c>
      <c r="R2485" t="s">
        <v>29</v>
      </c>
      <c r="S2485">
        <v>5</v>
      </c>
      <c r="T2485" t="b">
        <v>0</v>
      </c>
      <c r="U2485" t="s">
        <v>30</v>
      </c>
      <c r="V2485">
        <v>1</v>
      </c>
    </row>
    <row r="2486" spans="1:22" x14ac:dyDescent="0.25">
      <c r="A2486" t="s">
        <v>5457</v>
      </c>
      <c r="B2486" s="1">
        <v>45170</v>
      </c>
      <c r="C2486" t="s">
        <v>5458</v>
      </c>
      <c r="D2486" t="s">
        <v>2405</v>
      </c>
      <c r="E2486">
        <v>31</v>
      </c>
      <c r="F2486" t="str">
        <f>IF(Table1[[#This Row],[age]]&lt;=25,"18-25",IF(Table1[[#This Row],[age]]&lt;=35,"26-35",IF(Table1[[#This Row],[age]]&lt;=50,"36-50","51+")))</f>
        <v>26-35</v>
      </c>
      <c r="G2486" t="s">
        <v>54</v>
      </c>
      <c r="H2486" t="s">
        <v>55</v>
      </c>
      <c r="I2486" t="s">
        <v>97</v>
      </c>
      <c r="J2486" t="s">
        <v>47</v>
      </c>
      <c r="K2486" t="s">
        <v>156</v>
      </c>
      <c r="L2486">
        <v>7</v>
      </c>
      <c r="M2486">
        <v>1057.54</v>
      </c>
      <c r="N2486">
        <v>0.2</v>
      </c>
      <c r="O2486">
        <v>6459.84</v>
      </c>
      <c r="P2486">
        <v>2620.0500000000002</v>
      </c>
      <c r="Q2486">
        <v>60.64</v>
      </c>
      <c r="R2486" t="s">
        <v>29</v>
      </c>
      <c r="S2486">
        <v>2</v>
      </c>
      <c r="T2486" t="b">
        <v>1</v>
      </c>
      <c r="U2486" t="s">
        <v>50</v>
      </c>
      <c r="V2486">
        <v>2</v>
      </c>
    </row>
    <row r="2487" spans="1:22" x14ac:dyDescent="0.25">
      <c r="A2487" t="s">
        <v>5459</v>
      </c>
      <c r="B2487" s="1">
        <v>45205</v>
      </c>
      <c r="C2487" t="s">
        <v>5460</v>
      </c>
      <c r="D2487" t="s">
        <v>1578</v>
      </c>
      <c r="E2487">
        <v>19</v>
      </c>
      <c r="F2487" t="str">
        <f>IF(Table1[[#This Row],[age]]&lt;=25,"18-25",IF(Table1[[#This Row],[age]]&lt;=35,"26-35",IF(Table1[[#This Row],[age]]&lt;=50,"36-50","51+")))</f>
        <v>18-25</v>
      </c>
      <c r="G2487" t="s">
        <v>24</v>
      </c>
      <c r="H2487" t="s">
        <v>25</v>
      </c>
      <c r="I2487" t="s">
        <v>35</v>
      </c>
      <c r="J2487" t="s">
        <v>101</v>
      </c>
      <c r="K2487" t="s">
        <v>214</v>
      </c>
      <c r="L2487">
        <v>5</v>
      </c>
      <c r="M2487">
        <v>13947.97</v>
      </c>
      <c r="N2487">
        <v>0.28999999999999998</v>
      </c>
      <c r="O2487">
        <v>76540.789999999994</v>
      </c>
      <c r="P2487">
        <v>25167.53</v>
      </c>
      <c r="Q2487">
        <v>78.239999999999995</v>
      </c>
      <c r="R2487" t="s">
        <v>43</v>
      </c>
      <c r="S2487">
        <v>1</v>
      </c>
      <c r="T2487" t="b">
        <v>0</v>
      </c>
      <c r="U2487" t="s">
        <v>71</v>
      </c>
      <c r="V2487">
        <v>7</v>
      </c>
    </row>
    <row r="2488" spans="1:22" x14ac:dyDescent="0.25">
      <c r="A2488" t="s">
        <v>5461</v>
      </c>
      <c r="B2488" s="1">
        <v>45371</v>
      </c>
      <c r="C2488" t="s">
        <v>5462</v>
      </c>
      <c r="D2488" t="s">
        <v>287</v>
      </c>
      <c r="E2488">
        <v>48</v>
      </c>
      <c r="F2488" t="str">
        <f>IF(Table1[[#This Row],[age]]&lt;=25,"18-25",IF(Table1[[#This Row],[age]]&lt;=35,"26-35",IF(Table1[[#This Row],[age]]&lt;=50,"36-50","51+")))</f>
        <v>36-50</v>
      </c>
      <c r="G2488" t="s">
        <v>54</v>
      </c>
      <c r="H2488" t="s">
        <v>55</v>
      </c>
      <c r="I2488" t="s">
        <v>56</v>
      </c>
      <c r="J2488" t="s">
        <v>27</v>
      </c>
      <c r="K2488" t="s">
        <v>168</v>
      </c>
      <c r="L2488">
        <v>7</v>
      </c>
      <c r="M2488">
        <v>2483.1</v>
      </c>
      <c r="N2488">
        <v>0.23</v>
      </c>
      <c r="O2488">
        <v>19141.88</v>
      </c>
      <c r="P2488">
        <v>9979.84</v>
      </c>
      <c r="Q2488">
        <v>55.38</v>
      </c>
      <c r="R2488" t="s">
        <v>92</v>
      </c>
      <c r="S2488">
        <v>3</v>
      </c>
      <c r="T2488" t="b">
        <v>0</v>
      </c>
      <c r="U2488" t="s">
        <v>30</v>
      </c>
      <c r="V2488">
        <v>10</v>
      </c>
    </row>
    <row r="2489" spans="1:22" x14ac:dyDescent="0.25">
      <c r="A2489" t="s">
        <v>5463</v>
      </c>
      <c r="B2489" s="1">
        <v>44366</v>
      </c>
      <c r="C2489" t="s">
        <v>5464</v>
      </c>
      <c r="D2489" t="s">
        <v>452</v>
      </c>
      <c r="E2489">
        <v>24</v>
      </c>
      <c r="F2489" t="str">
        <f>IF(Table1[[#This Row],[age]]&lt;=25,"18-25",IF(Table1[[#This Row],[age]]&lt;=35,"26-35",IF(Table1[[#This Row],[age]]&lt;=50,"36-50","51+")))</f>
        <v>18-25</v>
      </c>
      <c r="G2489" t="s">
        <v>24</v>
      </c>
      <c r="H2489" t="s">
        <v>61</v>
      </c>
      <c r="I2489" t="s">
        <v>141</v>
      </c>
      <c r="J2489" t="s">
        <v>106</v>
      </c>
      <c r="K2489" t="s">
        <v>247</v>
      </c>
      <c r="L2489">
        <v>8</v>
      </c>
      <c r="M2489">
        <v>134.32</v>
      </c>
      <c r="N2489">
        <v>0.04</v>
      </c>
      <c r="O2489">
        <v>1451.63</v>
      </c>
      <c r="P2489">
        <v>139.04</v>
      </c>
      <c r="Q2489">
        <v>56.65</v>
      </c>
      <c r="R2489" t="s">
        <v>29</v>
      </c>
      <c r="S2489">
        <v>2</v>
      </c>
      <c r="T2489" t="b">
        <v>0</v>
      </c>
      <c r="U2489" t="s">
        <v>30</v>
      </c>
      <c r="V2489">
        <v>5</v>
      </c>
    </row>
    <row r="2490" spans="1:22" x14ac:dyDescent="0.25">
      <c r="A2490" t="s">
        <v>5465</v>
      </c>
      <c r="B2490" s="1">
        <v>45408</v>
      </c>
      <c r="C2490" t="s">
        <v>5466</v>
      </c>
      <c r="D2490" t="s">
        <v>542</v>
      </c>
      <c r="E2490">
        <v>37</v>
      </c>
      <c r="F2490" t="str">
        <f>IF(Table1[[#This Row],[age]]&lt;=25,"18-25",IF(Table1[[#This Row],[age]]&lt;=35,"26-35",IF(Table1[[#This Row],[age]]&lt;=50,"36-50","51+")))</f>
        <v>36-50</v>
      </c>
      <c r="G2490" t="s">
        <v>24</v>
      </c>
      <c r="H2490" t="s">
        <v>69</v>
      </c>
      <c r="I2490" t="s">
        <v>136</v>
      </c>
      <c r="J2490" t="s">
        <v>63</v>
      </c>
      <c r="K2490" t="s">
        <v>111</v>
      </c>
      <c r="L2490">
        <v>2</v>
      </c>
      <c r="M2490">
        <v>336.81</v>
      </c>
      <c r="N2490">
        <v>0.23</v>
      </c>
      <c r="O2490">
        <v>928.67</v>
      </c>
      <c r="P2490">
        <v>222.36</v>
      </c>
      <c r="Q2490">
        <v>105.46</v>
      </c>
      <c r="R2490" t="s">
        <v>57</v>
      </c>
      <c r="S2490">
        <v>4</v>
      </c>
      <c r="T2490" t="b">
        <v>0</v>
      </c>
      <c r="U2490" t="s">
        <v>30</v>
      </c>
      <c r="V2490">
        <v>8</v>
      </c>
    </row>
    <row r="2491" spans="1:22" x14ac:dyDescent="0.25">
      <c r="A2491" t="s">
        <v>5467</v>
      </c>
      <c r="B2491" s="1">
        <v>44307</v>
      </c>
      <c r="C2491" t="s">
        <v>5468</v>
      </c>
      <c r="D2491" t="s">
        <v>1420</v>
      </c>
      <c r="E2491">
        <v>18</v>
      </c>
      <c r="F2491" t="str">
        <f>IF(Table1[[#This Row],[age]]&lt;=25,"18-25",IF(Table1[[#This Row],[age]]&lt;=35,"26-35",IF(Table1[[#This Row],[age]]&lt;=50,"36-50","51+")))</f>
        <v>18-25</v>
      </c>
      <c r="G2491" t="s">
        <v>34</v>
      </c>
      <c r="H2491" t="s">
        <v>69</v>
      </c>
      <c r="I2491" t="s">
        <v>221</v>
      </c>
      <c r="J2491" t="s">
        <v>106</v>
      </c>
      <c r="K2491" t="s">
        <v>718</v>
      </c>
      <c r="L2491">
        <v>2</v>
      </c>
      <c r="M2491">
        <v>94.76</v>
      </c>
      <c r="N2491">
        <v>0.39</v>
      </c>
      <c r="O2491">
        <v>140.80000000000001</v>
      </c>
      <c r="P2491">
        <v>10.16</v>
      </c>
      <c r="Q2491">
        <v>69.7</v>
      </c>
      <c r="R2491" t="s">
        <v>57</v>
      </c>
      <c r="S2491">
        <v>3</v>
      </c>
      <c r="T2491" t="b">
        <v>0</v>
      </c>
      <c r="U2491" t="s">
        <v>30</v>
      </c>
      <c r="V2491">
        <v>5</v>
      </c>
    </row>
    <row r="2492" spans="1:22" x14ac:dyDescent="0.25">
      <c r="A2492" t="s">
        <v>5469</v>
      </c>
      <c r="B2492" s="1">
        <v>45623</v>
      </c>
      <c r="C2492" t="s">
        <v>5470</v>
      </c>
      <c r="D2492" t="s">
        <v>859</v>
      </c>
      <c r="E2492">
        <v>21</v>
      </c>
      <c r="F2492" t="str">
        <f>IF(Table1[[#This Row],[age]]&lt;=25,"18-25",IF(Table1[[#This Row],[age]]&lt;=35,"26-35",IF(Table1[[#This Row],[age]]&lt;=50,"36-50","51+")))</f>
        <v>18-25</v>
      </c>
      <c r="G2492" t="s">
        <v>34</v>
      </c>
      <c r="H2492" t="s">
        <v>80</v>
      </c>
      <c r="I2492" t="s">
        <v>86</v>
      </c>
      <c r="J2492" t="s">
        <v>115</v>
      </c>
      <c r="K2492" t="s">
        <v>145</v>
      </c>
      <c r="L2492">
        <v>10</v>
      </c>
      <c r="M2492">
        <v>78416.649999999994</v>
      </c>
      <c r="N2492">
        <v>0.19</v>
      </c>
      <c r="O2492">
        <v>598247.4</v>
      </c>
      <c r="P2492">
        <v>76981.5</v>
      </c>
      <c r="Q2492">
        <v>47.97</v>
      </c>
      <c r="R2492" t="s">
        <v>65</v>
      </c>
      <c r="S2492">
        <v>3</v>
      </c>
      <c r="T2492" t="b">
        <v>0</v>
      </c>
      <c r="U2492" t="s">
        <v>71</v>
      </c>
      <c r="V2492">
        <v>8</v>
      </c>
    </row>
    <row r="2493" spans="1:22" x14ac:dyDescent="0.25">
      <c r="A2493" t="s">
        <v>5471</v>
      </c>
      <c r="B2493" s="1">
        <v>44866</v>
      </c>
      <c r="C2493" t="s">
        <v>5472</v>
      </c>
      <c r="D2493" t="s">
        <v>967</v>
      </c>
      <c r="E2493">
        <v>19</v>
      </c>
      <c r="F2493" t="str">
        <f>IF(Table1[[#This Row],[age]]&lt;=25,"18-25",IF(Table1[[#This Row],[age]]&lt;=35,"26-35",IF(Table1[[#This Row],[age]]&lt;=50,"36-50","51+")))</f>
        <v>18-25</v>
      </c>
      <c r="G2493" t="s">
        <v>54</v>
      </c>
      <c r="H2493" t="s">
        <v>80</v>
      </c>
      <c r="I2493" t="s">
        <v>236</v>
      </c>
      <c r="J2493" t="s">
        <v>27</v>
      </c>
      <c r="K2493" t="s">
        <v>480</v>
      </c>
      <c r="L2493">
        <v>4</v>
      </c>
      <c r="M2493">
        <v>901.35</v>
      </c>
      <c r="N2493">
        <v>0.21</v>
      </c>
      <c r="O2493">
        <v>2292.2800000000002</v>
      </c>
      <c r="P2493">
        <v>1103.3599999999999</v>
      </c>
      <c r="Q2493">
        <v>70.489999999999995</v>
      </c>
      <c r="R2493" t="s">
        <v>65</v>
      </c>
      <c r="S2493">
        <v>3</v>
      </c>
      <c r="T2493" t="b">
        <v>0</v>
      </c>
      <c r="U2493" t="s">
        <v>30</v>
      </c>
      <c r="V2493">
        <v>9</v>
      </c>
    </row>
    <row r="2494" spans="1:22" x14ac:dyDescent="0.25">
      <c r="A2494" t="s">
        <v>5473</v>
      </c>
      <c r="B2494" s="1">
        <v>44285</v>
      </c>
      <c r="C2494" t="s">
        <v>5474</v>
      </c>
      <c r="D2494" t="s">
        <v>346</v>
      </c>
      <c r="E2494">
        <v>29</v>
      </c>
      <c r="F2494" t="str">
        <f>IF(Table1[[#This Row],[age]]&lt;=25,"18-25",IF(Table1[[#This Row],[age]]&lt;=35,"26-35",IF(Table1[[#This Row],[age]]&lt;=50,"36-50","51+")))</f>
        <v>26-35</v>
      </c>
      <c r="G2494" t="s">
        <v>34</v>
      </c>
      <c r="H2494" t="s">
        <v>69</v>
      </c>
      <c r="I2494" t="s">
        <v>136</v>
      </c>
      <c r="J2494" t="s">
        <v>101</v>
      </c>
      <c r="K2494" t="s">
        <v>102</v>
      </c>
      <c r="L2494">
        <v>8</v>
      </c>
      <c r="M2494">
        <v>10920.29</v>
      </c>
      <c r="N2494">
        <v>0.06</v>
      </c>
      <c r="O2494">
        <v>83283.38</v>
      </c>
      <c r="P2494">
        <v>15878.93</v>
      </c>
      <c r="Q2494">
        <v>109.6</v>
      </c>
      <c r="R2494" t="s">
        <v>43</v>
      </c>
      <c r="S2494">
        <v>2</v>
      </c>
      <c r="T2494" t="b">
        <v>0</v>
      </c>
      <c r="U2494" t="s">
        <v>30</v>
      </c>
      <c r="V2494">
        <v>7</v>
      </c>
    </row>
    <row r="2495" spans="1:22" x14ac:dyDescent="0.25">
      <c r="A2495" t="s">
        <v>5475</v>
      </c>
      <c r="B2495" s="1">
        <v>44397</v>
      </c>
      <c r="C2495" t="s">
        <v>5476</v>
      </c>
      <c r="D2495" t="s">
        <v>596</v>
      </c>
      <c r="E2495">
        <v>32</v>
      </c>
      <c r="F2495" t="str">
        <f>IF(Table1[[#This Row],[age]]&lt;=25,"18-25",IF(Table1[[#This Row],[age]]&lt;=35,"26-35",IF(Table1[[#This Row],[age]]&lt;=50,"36-50","51+")))</f>
        <v>26-35</v>
      </c>
      <c r="G2495" t="s">
        <v>54</v>
      </c>
      <c r="H2495" t="s">
        <v>25</v>
      </c>
      <c r="I2495" t="s">
        <v>35</v>
      </c>
      <c r="J2495" t="s">
        <v>106</v>
      </c>
      <c r="K2495" t="s">
        <v>331</v>
      </c>
      <c r="L2495">
        <v>10</v>
      </c>
      <c r="M2495">
        <v>311.3</v>
      </c>
      <c r="N2495">
        <v>0.22</v>
      </c>
      <c r="O2495">
        <v>2697.43</v>
      </c>
      <c r="P2495">
        <v>192.38</v>
      </c>
      <c r="Q2495">
        <v>47.53</v>
      </c>
      <c r="R2495" t="s">
        <v>43</v>
      </c>
      <c r="S2495">
        <v>5</v>
      </c>
      <c r="T2495" t="b">
        <v>0</v>
      </c>
      <c r="U2495" t="s">
        <v>30</v>
      </c>
      <c r="V2495">
        <v>5</v>
      </c>
    </row>
    <row r="2496" spans="1:22" x14ac:dyDescent="0.25">
      <c r="A2496" t="s">
        <v>5477</v>
      </c>
      <c r="B2496" s="1">
        <v>44443</v>
      </c>
      <c r="C2496" t="s">
        <v>5478</v>
      </c>
      <c r="D2496" t="s">
        <v>874</v>
      </c>
      <c r="E2496">
        <v>41</v>
      </c>
      <c r="F2496" t="str">
        <f>IF(Table1[[#This Row],[age]]&lt;=25,"18-25",IF(Table1[[#This Row],[age]]&lt;=35,"26-35",IF(Table1[[#This Row],[age]]&lt;=50,"36-50","51+")))</f>
        <v>36-50</v>
      </c>
      <c r="G2496" t="s">
        <v>34</v>
      </c>
      <c r="H2496" t="s">
        <v>61</v>
      </c>
      <c r="I2496" t="s">
        <v>62</v>
      </c>
      <c r="J2496" t="s">
        <v>115</v>
      </c>
      <c r="K2496" t="s">
        <v>116</v>
      </c>
      <c r="L2496">
        <v>4</v>
      </c>
      <c r="M2496">
        <v>58347.92</v>
      </c>
      <c r="N2496">
        <v>0.26</v>
      </c>
      <c r="O2496">
        <v>187775.6</v>
      </c>
      <c r="P2496">
        <v>29981.09</v>
      </c>
      <c r="Q2496">
        <v>40.020000000000003</v>
      </c>
      <c r="R2496" t="s">
        <v>49</v>
      </c>
      <c r="S2496">
        <v>5</v>
      </c>
      <c r="T2496" t="b">
        <v>1</v>
      </c>
      <c r="U2496" t="s">
        <v>50</v>
      </c>
      <c r="V2496">
        <v>1</v>
      </c>
    </row>
    <row r="2497" spans="1:22" x14ac:dyDescent="0.25">
      <c r="A2497" t="s">
        <v>5479</v>
      </c>
      <c r="B2497" s="1">
        <v>44500</v>
      </c>
      <c r="C2497" t="s">
        <v>5480</v>
      </c>
      <c r="D2497" t="s">
        <v>1622</v>
      </c>
      <c r="E2497">
        <v>55</v>
      </c>
      <c r="F2497" t="str">
        <f>IF(Table1[[#This Row],[age]]&lt;=25,"18-25",IF(Table1[[#This Row],[age]]&lt;=35,"26-35",IF(Table1[[#This Row],[age]]&lt;=50,"36-50","51+")))</f>
        <v>51+</v>
      </c>
      <c r="G2497" t="s">
        <v>24</v>
      </c>
      <c r="H2497" t="s">
        <v>55</v>
      </c>
      <c r="I2497" t="s">
        <v>97</v>
      </c>
      <c r="J2497" t="s">
        <v>115</v>
      </c>
      <c r="K2497" t="s">
        <v>116</v>
      </c>
      <c r="L2497">
        <v>8</v>
      </c>
      <c r="M2497">
        <v>55123.63</v>
      </c>
      <c r="N2497">
        <v>0.15</v>
      </c>
      <c r="O2497">
        <v>356673.17</v>
      </c>
      <c r="P2497">
        <v>10636.55</v>
      </c>
      <c r="Q2497">
        <v>57.56</v>
      </c>
      <c r="R2497" t="s">
        <v>29</v>
      </c>
      <c r="S2497">
        <v>5</v>
      </c>
      <c r="T2497" t="b">
        <v>0</v>
      </c>
      <c r="U2497" t="s">
        <v>30</v>
      </c>
      <c r="V2497">
        <v>5</v>
      </c>
    </row>
    <row r="2498" spans="1:22" x14ac:dyDescent="0.25">
      <c r="A2498" t="s">
        <v>5481</v>
      </c>
      <c r="B2498" s="1">
        <v>44530</v>
      </c>
      <c r="C2498" t="s">
        <v>5482</v>
      </c>
      <c r="D2498" t="s">
        <v>297</v>
      </c>
      <c r="E2498">
        <v>28</v>
      </c>
      <c r="F2498" t="str">
        <f>IF(Table1[[#This Row],[age]]&lt;=25,"18-25",IF(Table1[[#This Row],[age]]&lt;=35,"26-35",IF(Table1[[#This Row],[age]]&lt;=50,"36-50","51+")))</f>
        <v>26-35</v>
      </c>
      <c r="G2498" t="s">
        <v>34</v>
      </c>
      <c r="H2498" t="s">
        <v>25</v>
      </c>
      <c r="I2498" t="s">
        <v>35</v>
      </c>
      <c r="J2498" t="s">
        <v>63</v>
      </c>
      <c r="K2498" t="s">
        <v>111</v>
      </c>
      <c r="L2498">
        <v>6</v>
      </c>
      <c r="M2498">
        <v>3969.96</v>
      </c>
      <c r="N2498">
        <v>0.03</v>
      </c>
      <c r="O2498">
        <v>17673.419999999998</v>
      </c>
      <c r="P2498">
        <v>4862.5</v>
      </c>
      <c r="Q2498">
        <v>49.67</v>
      </c>
      <c r="R2498" t="s">
        <v>43</v>
      </c>
      <c r="S2498">
        <v>2</v>
      </c>
      <c r="T2498" t="b">
        <v>0</v>
      </c>
      <c r="U2498" t="s">
        <v>93</v>
      </c>
      <c r="V2498">
        <v>2</v>
      </c>
    </row>
    <row r="2499" spans="1:22" x14ac:dyDescent="0.25">
      <c r="A2499" t="s">
        <v>5483</v>
      </c>
      <c r="B2499" s="1">
        <v>45017</v>
      </c>
      <c r="C2499" t="s">
        <v>5484</v>
      </c>
      <c r="D2499" t="s">
        <v>859</v>
      </c>
      <c r="E2499">
        <v>31</v>
      </c>
      <c r="F2499" t="str">
        <f>IF(Table1[[#This Row],[age]]&lt;=25,"18-25",IF(Table1[[#This Row],[age]]&lt;=35,"26-35",IF(Table1[[#This Row],[age]]&lt;=50,"36-50","51+")))</f>
        <v>26-35</v>
      </c>
      <c r="G2499" t="s">
        <v>54</v>
      </c>
      <c r="H2499" t="s">
        <v>61</v>
      </c>
      <c r="I2499" t="s">
        <v>91</v>
      </c>
      <c r="J2499" t="s">
        <v>27</v>
      </c>
      <c r="K2499" t="s">
        <v>192</v>
      </c>
      <c r="L2499">
        <v>8</v>
      </c>
      <c r="M2499">
        <v>2199.06</v>
      </c>
      <c r="N2499">
        <v>0.31</v>
      </c>
      <c r="O2499">
        <v>19643.63</v>
      </c>
      <c r="P2499">
        <v>6740.03</v>
      </c>
      <c r="Q2499">
        <v>50.62</v>
      </c>
      <c r="R2499" t="s">
        <v>49</v>
      </c>
      <c r="S2499">
        <v>1</v>
      </c>
      <c r="T2499" t="b">
        <v>0</v>
      </c>
      <c r="U2499" t="s">
        <v>30</v>
      </c>
      <c r="V2499">
        <v>8</v>
      </c>
    </row>
    <row r="2500" spans="1:22" x14ac:dyDescent="0.25">
      <c r="A2500" t="s">
        <v>5485</v>
      </c>
      <c r="B2500" s="1">
        <v>45434</v>
      </c>
      <c r="C2500" t="s">
        <v>5486</v>
      </c>
      <c r="D2500" t="s">
        <v>833</v>
      </c>
      <c r="E2500">
        <v>45</v>
      </c>
      <c r="F2500" t="str">
        <f>IF(Table1[[#This Row],[age]]&lt;=25,"18-25",IF(Table1[[#This Row],[age]]&lt;=35,"26-35",IF(Table1[[#This Row],[age]]&lt;=50,"36-50","51+")))</f>
        <v>36-50</v>
      </c>
      <c r="G2500" t="s">
        <v>24</v>
      </c>
      <c r="H2500" t="s">
        <v>80</v>
      </c>
      <c r="I2500" t="s">
        <v>81</v>
      </c>
      <c r="J2500" t="s">
        <v>47</v>
      </c>
      <c r="K2500" t="s">
        <v>204</v>
      </c>
      <c r="L2500">
        <v>4</v>
      </c>
      <c r="M2500">
        <v>1444.05</v>
      </c>
      <c r="N2500">
        <v>0.31</v>
      </c>
      <c r="O2500">
        <v>6939.46</v>
      </c>
      <c r="P2500">
        <v>2386.88</v>
      </c>
      <c r="Q2500">
        <v>95.97</v>
      </c>
      <c r="R2500" t="s">
        <v>65</v>
      </c>
      <c r="S2500">
        <v>3</v>
      </c>
      <c r="T2500" t="b">
        <v>0</v>
      </c>
      <c r="U2500" t="s">
        <v>30</v>
      </c>
      <c r="V2500">
        <v>3</v>
      </c>
    </row>
    <row r="2501" spans="1:22" x14ac:dyDescent="0.25">
      <c r="A2501" t="s">
        <v>5487</v>
      </c>
      <c r="B2501" s="1">
        <v>43958</v>
      </c>
      <c r="C2501" t="s">
        <v>5488</v>
      </c>
      <c r="D2501" t="s">
        <v>1141</v>
      </c>
      <c r="E2501">
        <v>46</v>
      </c>
      <c r="F2501" t="str">
        <f>IF(Table1[[#This Row],[age]]&lt;=25,"18-25",IF(Table1[[#This Row],[age]]&lt;=35,"26-35",IF(Table1[[#This Row],[age]]&lt;=50,"36-50","51+")))</f>
        <v>36-50</v>
      </c>
      <c r="G2501" t="s">
        <v>24</v>
      </c>
      <c r="H2501" t="s">
        <v>80</v>
      </c>
      <c r="I2501" t="s">
        <v>81</v>
      </c>
      <c r="J2501" t="s">
        <v>47</v>
      </c>
      <c r="K2501" t="s">
        <v>120</v>
      </c>
      <c r="L2501">
        <v>6</v>
      </c>
      <c r="M2501">
        <v>366.68</v>
      </c>
      <c r="N2501">
        <v>0.22</v>
      </c>
      <c r="O2501">
        <v>2435.14</v>
      </c>
      <c r="P2501">
        <v>744.83</v>
      </c>
      <c r="Q2501">
        <v>60.14</v>
      </c>
      <c r="R2501" t="s">
        <v>65</v>
      </c>
      <c r="S2501">
        <v>2</v>
      </c>
      <c r="T2501" t="b">
        <v>1</v>
      </c>
      <c r="U2501" t="s">
        <v>50</v>
      </c>
      <c r="V2501">
        <v>2</v>
      </c>
    </row>
    <row r="2502" spans="1:22" x14ac:dyDescent="0.25">
      <c r="A2502" t="s">
        <v>5489</v>
      </c>
      <c r="B2502" s="1">
        <v>44291</v>
      </c>
      <c r="C2502" t="s">
        <v>5490</v>
      </c>
      <c r="D2502" t="s">
        <v>446</v>
      </c>
      <c r="E2502">
        <v>30</v>
      </c>
      <c r="F2502" t="str">
        <f>IF(Table1[[#This Row],[age]]&lt;=25,"18-25",IF(Table1[[#This Row],[age]]&lt;=35,"26-35",IF(Table1[[#This Row],[age]]&lt;=50,"36-50","51+")))</f>
        <v>26-35</v>
      </c>
      <c r="G2502" t="s">
        <v>24</v>
      </c>
      <c r="H2502" t="s">
        <v>55</v>
      </c>
      <c r="I2502" t="s">
        <v>97</v>
      </c>
      <c r="J2502" t="s">
        <v>106</v>
      </c>
      <c r="K2502" t="s">
        <v>314</v>
      </c>
      <c r="L2502">
        <v>10</v>
      </c>
      <c r="M2502">
        <v>140.77000000000001</v>
      </c>
      <c r="N2502">
        <v>0.04</v>
      </c>
      <c r="O2502">
        <v>1620.6</v>
      </c>
      <c r="P2502">
        <v>92.58</v>
      </c>
      <c r="Q2502">
        <v>48.86</v>
      </c>
      <c r="R2502" t="s">
        <v>43</v>
      </c>
      <c r="S2502">
        <v>5</v>
      </c>
      <c r="T2502" t="b">
        <v>0</v>
      </c>
      <c r="U2502" t="s">
        <v>30</v>
      </c>
      <c r="V2502">
        <v>5</v>
      </c>
    </row>
    <row r="2503" spans="1:22" x14ac:dyDescent="0.25">
      <c r="A2503" t="s">
        <v>5491</v>
      </c>
      <c r="B2503" s="1">
        <v>44924</v>
      </c>
      <c r="C2503" t="s">
        <v>5492</v>
      </c>
      <c r="D2503" t="s">
        <v>3889</v>
      </c>
      <c r="E2503">
        <v>61</v>
      </c>
      <c r="F2503" t="str">
        <f>IF(Table1[[#This Row],[age]]&lt;=25,"18-25",IF(Table1[[#This Row],[age]]&lt;=35,"26-35",IF(Table1[[#This Row],[age]]&lt;=50,"36-50","51+")))</f>
        <v>51+</v>
      </c>
      <c r="G2503" t="s">
        <v>54</v>
      </c>
      <c r="H2503" t="s">
        <v>80</v>
      </c>
      <c r="I2503" t="s">
        <v>86</v>
      </c>
      <c r="J2503" t="s">
        <v>106</v>
      </c>
      <c r="K2503" t="s">
        <v>314</v>
      </c>
      <c r="L2503">
        <v>10</v>
      </c>
      <c r="M2503">
        <v>477.67</v>
      </c>
      <c r="N2503">
        <v>0.38</v>
      </c>
      <c r="O2503">
        <v>2743.7</v>
      </c>
      <c r="P2503">
        <v>241.54</v>
      </c>
      <c r="Q2503">
        <v>64.260000000000005</v>
      </c>
      <c r="R2503" t="s">
        <v>29</v>
      </c>
      <c r="S2503">
        <v>3</v>
      </c>
      <c r="T2503" t="b">
        <v>0</v>
      </c>
      <c r="U2503" t="s">
        <v>30</v>
      </c>
      <c r="V2503">
        <v>2</v>
      </c>
    </row>
    <row r="2504" spans="1:22" x14ac:dyDescent="0.25">
      <c r="A2504" t="s">
        <v>5493</v>
      </c>
      <c r="B2504" s="1">
        <v>44329</v>
      </c>
      <c r="C2504" t="s">
        <v>5494</v>
      </c>
      <c r="D2504" t="s">
        <v>449</v>
      </c>
      <c r="E2504">
        <v>47</v>
      </c>
      <c r="F2504" t="str">
        <f>IF(Table1[[#This Row],[age]]&lt;=25,"18-25",IF(Table1[[#This Row],[age]]&lt;=35,"26-35",IF(Table1[[#This Row],[age]]&lt;=50,"36-50","51+")))</f>
        <v>36-50</v>
      </c>
      <c r="G2504" t="s">
        <v>54</v>
      </c>
      <c r="H2504" t="s">
        <v>61</v>
      </c>
      <c r="I2504" t="s">
        <v>141</v>
      </c>
      <c r="J2504" t="s">
        <v>36</v>
      </c>
      <c r="K2504" t="s">
        <v>76</v>
      </c>
      <c r="L2504">
        <v>2</v>
      </c>
      <c r="M2504">
        <v>11894.06</v>
      </c>
      <c r="N2504">
        <v>0.21</v>
      </c>
      <c r="O2504">
        <v>27604.98</v>
      </c>
      <c r="P2504">
        <v>6286.41</v>
      </c>
      <c r="Q2504">
        <v>70.91</v>
      </c>
      <c r="R2504" t="s">
        <v>43</v>
      </c>
      <c r="S2504">
        <v>4</v>
      </c>
      <c r="T2504" t="b">
        <v>0</v>
      </c>
      <c r="U2504" t="s">
        <v>71</v>
      </c>
      <c r="V2504">
        <v>4</v>
      </c>
    </row>
    <row r="2505" spans="1:22" x14ac:dyDescent="0.25">
      <c r="A2505" t="s">
        <v>5495</v>
      </c>
      <c r="B2505" s="1">
        <v>45517</v>
      </c>
      <c r="C2505" t="s">
        <v>5496</v>
      </c>
      <c r="D2505" t="s">
        <v>2037</v>
      </c>
      <c r="E2505">
        <v>29</v>
      </c>
      <c r="F2505" t="str">
        <f>IF(Table1[[#This Row],[age]]&lt;=25,"18-25",IF(Table1[[#This Row],[age]]&lt;=35,"26-35",IF(Table1[[#This Row],[age]]&lt;=50,"36-50","51+")))</f>
        <v>26-35</v>
      </c>
      <c r="G2505" t="s">
        <v>24</v>
      </c>
      <c r="H2505" t="s">
        <v>61</v>
      </c>
      <c r="I2505" t="s">
        <v>141</v>
      </c>
      <c r="J2505" t="s">
        <v>115</v>
      </c>
      <c r="K2505" t="s">
        <v>116</v>
      </c>
      <c r="L2505">
        <v>10</v>
      </c>
      <c r="M2505">
        <v>53218.559999999998</v>
      </c>
      <c r="N2505">
        <v>0.27</v>
      </c>
      <c r="O2505">
        <v>560937.53</v>
      </c>
      <c r="P2505">
        <v>68296.39</v>
      </c>
      <c r="Q2505">
        <v>20.81</v>
      </c>
      <c r="R2505" t="s">
        <v>49</v>
      </c>
      <c r="S2505">
        <v>3</v>
      </c>
      <c r="T2505" t="b">
        <v>0</v>
      </c>
      <c r="U2505" t="s">
        <v>30</v>
      </c>
      <c r="V2505">
        <v>6</v>
      </c>
    </row>
    <row r="2506" spans="1:22" x14ac:dyDescent="0.25">
      <c r="A2506" t="s">
        <v>5497</v>
      </c>
      <c r="B2506" s="1">
        <v>44517</v>
      </c>
      <c r="C2506" t="s">
        <v>5498</v>
      </c>
      <c r="D2506" t="s">
        <v>292</v>
      </c>
      <c r="E2506">
        <v>60</v>
      </c>
      <c r="F2506" t="str">
        <f>IF(Table1[[#This Row],[age]]&lt;=25,"18-25",IF(Table1[[#This Row],[age]]&lt;=35,"26-35",IF(Table1[[#This Row],[age]]&lt;=50,"36-50","51+")))</f>
        <v>51+</v>
      </c>
      <c r="G2506" t="s">
        <v>24</v>
      </c>
      <c r="H2506" t="s">
        <v>80</v>
      </c>
      <c r="I2506" t="s">
        <v>86</v>
      </c>
      <c r="J2506" t="s">
        <v>47</v>
      </c>
      <c r="K2506" t="s">
        <v>272</v>
      </c>
      <c r="L2506">
        <v>2</v>
      </c>
      <c r="M2506">
        <v>371.2</v>
      </c>
      <c r="N2506">
        <v>0.25</v>
      </c>
      <c r="O2506">
        <v>427.53</v>
      </c>
      <c r="P2506">
        <v>199.91</v>
      </c>
      <c r="Q2506">
        <v>67.34</v>
      </c>
      <c r="R2506" t="s">
        <v>49</v>
      </c>
      <c r="S2506">
        <v>2</v>
      </c>
      <c r="T2506" t="b">
        <v>0</v>
      </c>
      <c r="U2506" t="s">
        <v>30</v>
      </c>
      <c r="V2506">
        <v>4</v>
      </c>
    </row>
    <row r="2507" spans="1:22" x14ac:dyDescent="0.25">
      <c r="A2507" t="s">
        <v>5499</v>
      </c>
      <c r="B2507" s="1">
        <v>44847</v>
      </c>
      <c r="C2507" t="s">
        <v>5500</v>
      </c>
      <c r="D2507" t="s">
        <v>271</v>
      </c>
      <c r="E2507">
        <v>26</v>
      </c>
      <c r="F2507" t="str">
        <f>IF(Table1[[#This Row],[age]]&lt;=25,"18-25",IF(Table1[[#This Row],[age]]&lt;=35,"26-35",IF(Table1[[#This Row],[age]]&lt;=50,"36-50","51+")))</f>
        <v>26-35</v>
      </c>
      <c r="G2507" t="s">
        <v>24</v>
      </c>
      <c r="H2507" t="s">
        <v>25</v>
      </c>
      <c r="I2507" t="s">
        <v>26</v>
      </c>
      <c r="J2507" t="s">
        <v>63</v>
      </c>
      <c r="K2507" t="s">
        <v>434</v>
      </c>
      <c r="L2507">
        <v>5</v>
      </c>
      <c r="M2507">
        <v>3741.86</v>
      </c>
      <c r="N2507">
        <v>0.22</v>
      </c>
      <c r="O2507">
        <v>13643.24</v>
      </c>
      <c r="P2507">
        <v>4735.93</v>
      </c>
      <c r="Q2507">
        <v>53.44</v>
      </c>
      <c r="R2507" t="s">
        <v>65</v>
      </c>
      <c r="S2507">
        <v>4</v>
      </c>
      <c r="T2507" t="b">
        <v>1</v>
      </c>
      <c r="U2507" t="s">
        <v>50</v>
      </c>
      <c r="V2507">
        <v>1</v>
      </c>
    </row>
    <row r="2508" spans="1:22" x14ac:dyDescent="0.25">
      <c r="A2508" t="s">
        <v>5501</v>
      </c>
      <c r="B2508" s="1">
        <v>44846</v>
      </c>
      <c r="C2508" t="s">
        <v>5502</v>
      </c>
      <c r="D2508" t="s">
        <v>370</v>
      </c>
      <c r="E2508">
        <v>36</v>
      </c>
      <c r="F2508" t="str">
        <f>IF(Table1[[#This Row],[age]]&lt;=25,"18-25",IF(Table1[[#This Row],[age]]&lt;=35,"26-35",IF(Table1[[#This Row],[age]]&lt;=50,"36-50","51+")))</f>
        <v>36-50</v>
      </c>
      <c r="G2508" t="s">
        <v>24</v>
      </c>
      <c r="H2508" t="s">
        <v>55</v>
      </c>
      <c r="I2508" t="s">
        <v>75</v>
      </c>
      <c r="J2508" t="s">
        <v>106</v>
      </c>
      <c r="K2508" t="s">
        <v>107</v>
      </c>
      <c r="L2508">
        <v>3</v>
      </c>
      <c r="M2508">
        <v>403.22</v>
      </c>
      <c r="N2508">
        <v>0.33</v>
      </c>
      <c r="O2508">
        <v>824.95</v>
      </c>
      <c r="P2508">
        <v>82.5</v>
      </c>
      <c r="Q2508">
        <v>62.33</v>
      </c>
      <c r="R2508" t="s">
        <v>57</v>
      </c>
      <c r="S2508">
        <v>3</v>
      </c>
      <c r="T2508" t="b">
        <v>0</v>
      </c>
      <c r="U2508" t="s">
        <v>30</v>
      </c>
      <c r="V2508">
        <v>9</v>
      </c>
    </row>
    <row r="2509" spans="1:22" x14ac:dyDescent="0.25">
      <c r="A2509" t="s">
        <v>5503</v>
      </c>
      <c r="B2509" s="1">
        <v>44953</v>
      </c>
      <c r="C2509" t="s">
        <v>949</v>
      </c>
      <c r="D2509" t="s">
        <v>685</v>
      </c>
      <c r="E2509">
        <v>38</v>
      </c>
      <c r="F2509" t="str">
        <f>IF(Table1[[#This Row],[age]]&lt;=25,"18-25",IF(Table1[[#This Row],[age]]&lt;=35,"26-35",IF(Table1[[#This Row],[age]]&lt;=50,"36-50","51+")))</f>
        <v>36-50</v>
      </c>
      <c r="G2509" t="s">
        <v>34</v>
      </c>
      <c r="H2509" t="s">
        <v>69</v>
      </c>
      <c r="I2509" t="s">
        <v>70</v>
      </c>
      <c r="J2509" t="s">
        <v>63</v>
      </c>
      <c r="K2509" t="s">
        <v>87</v>
      </c>
      <c r="L2509">
        <v>1</v>
      </c>
      <c r="M2509">
        <v>3316.89</v>
      </c>
      <c r="N2509">
        <v>0.02</v>
      </c>
      <c r="O2509">
        <v>2808.53</v>
      </c>
      <c r="P2509">
        <v>1124.49</v>
      </c>
      <c r="Q2509">
        <v>73.41</v>
      </c>
      <c r="R2509" t="s">
        <v>65</v>
      </c>
      <c r="S2509">
        <v>5</v>
      </c>
      <c r="T2509" t="b">
        <v>0</v>
      </c>
      <c r="U2509" t="s">
        <v>71</v>
      </c>
      <c r="V2509">
        <v>10</v>
      </c>
    </row>
    <row r="2510" spans="1:22" x14ac:dyDescent="0.25">
      <c r="A2510" t="s">
        <v>5504</v>
      </c>
      <c r="B2510" s="1">
        <v>44393</v>
      </c>
      <c r="C2510" t="s">
        <v>5505</v>
      </c>
      <c r="D2510" t="s">
        <v>1756</v>
      </c>
      <c r="E2510">
        <v>52</v>
      </c>
      <c r="F2510" t="str">
        <f>IF(Table1[[#This Row],[age]]&lt;=25,"18-25",IF(Table1[[#This Row],[age]]&lt;=35,"26-35",IF(Table1[[#This Row],[age]]&lt;=50,"36-50","51+")))</f>
        <v>51+</v>
      </c>
      <c r="G2510" t="s">
        <v>54</v>
      </c>
      <c r="H2510" t="s">
        <v>69</v>
      </c>
      <c r="I2510" t="s">
        <v>70</v>
      </c>
      <c r="J2510" t="s">
        <v>106</v>
      </c>
      <c r="K2510" t="s">
        <v>247</v>
      </c>
      <c r="L2510">
        <v>10</v>
      </c>
      <c r="M2510">
        <v>422.95</v>
      </c>
      <c r="N2510">
        <v>0.01</v>
      </c>
      <c r="O2510">
        <v>5380.7</v>
      </c>
      <c r="P2510">
        <v>403.1</v>
      </c>
      <c r="Q2510">
        <v>74.58</v>
      </c>
      <c r="R2510" t="s">
        <v>29</v>
      </c>
      <c r="S2510">
        <v>4</v>
      </c>
      <c r="T2510" t="b">
        <v>0</v>
      </c>
      <c r="U2510" t="s">
        <v>30</v>
      </c>
      <c r="V2510">
        <v>6</v>
      </c>
    </row>
    <row r="2511" spans="1:22" x14ac:dyDescent="0.25">
      <c r="A2511" t="s">
        <v>5506</v>
      </c>
      <c r="B2511" s="1">
        <v>44311</v>
      </c>
      <c r="C2511" t="s">
        <v>5507</v>
      </c>
      <c r="D2511" t="s">
        <v>310</v>
      </c>
      <c r="E2511">
        <v>37</v>
      </c>
      <c r="F2511" t="str">
        <f>IF(Table1[[#This Row],[age]]&lt;=25,"18-25",IF(Table1[[#This Row],[age]]&lt;=35,"26-35",IF(Table1[[#This Row],[age]]&lt;=50,"36-50","51+")))</f>
        <v>36-50</v>
      </c>
      <c r="G2511" t="s">
        <v>24</v>
      </c>
      <c r="H2511" t="s">
        <v>61</v>
      </c>
      <c r="I2511" t="s">
        <v>91</v>
      </c>
      <c r="J2511" t="s">
        <v>101</v>
      </c>
      <c r="K2511" t="s">
        <v>214</v>
      </c>
      <c r="L2511">
        <v>5</v>
      </c>
      <c r="M2511">
        <v>8455.8700000000008</v>
      </c>
      <c r="N2511">
        <v>0.31</v>
      </c>
      <c r="O2511">
        <v>32604.639999999999</v>
      </c>
      <c r="P2511">
        <v>8841.2900000000009</v>
      </c>
      <c r="Q2511">
        <v>51.91</v>
      </c>
      <c r="R2511" t="s">
        <v>29</v>
      </c>
      <c r="S2511">
        <v>5</v>
      </c>
      <c r="T2511" t="b">
        <v>0</v>
      </c>
      <c r="U2511" t="s">
        <v>30</v>
      </c>
      <c r="V2511">
        <v>5</v>
      </c>
    </row>
    <row r="2512" spans="1:22" x14ac:dyDescent="0.25">
      <c r="A2512" t="s">
        <v>5508</v>
      </c>
      <c r="B2512" s="1">
        <v>45623</v>
      </c>
      <c r="C2512" t="s">
        <v>5509</v>
      </c>
      <c r="D2512" t="s">
        <v>2503</v>
      </c>
      <c r="E2512">
        <v>20</v>
      </c>
      <c r="F2512" t="str">
        <f>IF(Table1[[#This Row],[age]]&lt;=25,"18-25",IF(Table1[[#This Row],[age]]&lt;=35,"26-35",IF(Table1[[#This Row],[age]]&lt;=50,"36-50","51+")))</f>
        <v>18-25</v>
      </c>
      <c r="G2512" t="s">
        <v>54</v>
      </c>
      <c r="H2512" t="s">
        <v>80</v>
      </c>
      <c r="I2512" t="s">
        <v>81</v>
      </c>
      <c r="J2512" t="s">
        <v>63</v>
      </c>
      <c r="K2512" t="s">
        <v>82</v>
      </c>
      <c r="L2512">
        <v>1</v>
      </c>
      <c r="M2512">
        <v>335.42</v>
      </c>
      <c r="N2512">
        <v>0.23</v>
      </c>
      <c r="O2512">
        <v>247.75</v>
      </c>
      <c r="P2512">
        <v>88.1</v>
      </c>
      <c r="Q2512">
        <v>73.88</v>
      </c>
      <c r="R2512" t="s">
        <v>29</v>
      </c>
      <c r="S2512">
        <v>3</v>
      </c>
      <c r="T2512" t="b">
        <v>0</v>
      </c>
      <c r="U2512" t="s">
        <v>30</v>
      </c>
      <c r="V2512">
        <v>3</v>
      </c>
    </row>
    <row r="2513" spans="1:22" x14ac:dyDescent="0.25">
      <c r="A2513" t="s">
        <v>5510</v>
      </c>
      <c r="B2513" s="1">
        <v>44094</v>
      </c>
      <c r="C2513" t="s">
        <v>5511</v>
      </c>
      <c r="D2513" t="s">
        <v>105</v>
      </c>
      <c r="E2513">
        <v>24</v>
      </c>
      <c r="F2513" t="str">
        <f>IF(Table1[[#This Row],[age]]&lt;=25,"18-25",IF(Table1[[#This Row],[age]]&lt;=35,"26-35",IF(Table1[[#This Row],[age]]&lt;=50,"36-50","51+")))</f>
        <v>18-25</v>
      </c>
      <c r="G2513" t="s">
        <v>34</v>
      </c>
      <c r="H2513" t="s">
        <v>61</v>
      </c>
      <c r="I2513" t="s">
        <v>91</v>
      </c>
      <c r="J2513" t="s">
        <v>63</v>
      </c>
      <c r="K2513" t="s">
        <v>82</v>
      </c>
      <c r="L2513">
        <v>4</v>
      </c>
      <c r="M2513">
        <v>3802.14</v>
      </c>
      <c r="N2513">
        <v>0.16</v>
      </c>
      <c r="O2513">
        <v>11713.77</v>
      </c>
      <c r="P2513">
        <v>4073.09</v>
      </c>
      <c r="Q2513">
        <v>63.7</v>
      </c>
      <c r="R2513" t="s">
        <v>57</v>
      </c>
      <c r="S2513">
        <v>4</v>
      </c>
      <c r="T2513" t="b">
        <v>0</v>
      </c>
      <c r="U2513" t="s">
        <v>30</v>
      </c>
      <c r="V2513">
        <v>10</v>
      </c>
    </row>
    <row r="2514" spans="1:22" x14ac:dyDescent="0.25">
      <c r="A2514" t="s">
        <v>5512</v>
      </c>
      <c r="B2514" s="1">
        <v>44582</v>
      </c>
      <c r="C2514" t="s">
        <v>5513</v>
      </c>
      <c r="D2514" t="s">
        <v>789</v>
      </c>
      <c r="E2514">
        <v>24</v>
      </c>
      <c r="F2514" t="str">
        <f>IF(Table1[[#This Row],[age]]&lt;=25,"18-25",IF(Table1[[#This Row],[age]]&lt;=35,"26-35",IF(Table1[[#This Row],[age]]&lt;=50,"36-50","51+")))</f>
        <v>18-25</v>
      </c>
      <c r="G2514" t="s">
        <v>24</v>
      </c>
      <c r="H2514" t="s">
        <v>55</v>
      </c>
      <c r="I2514" t="s">
        <v>75</v>
      </c>
      <c r="J2514" t="s">
        <v>36</v>
      </c>
      <c r="K2514" t="s">
        <v>243</v>
      </c>
      <c r="L2514">
        <v>8</v>
      </c>
      <c r="M2514">
        <v>6492.13</v>
      </c>
      <c r="N2514">
        <v>0.09</v>
      </c>
      <c r="O2514">
        <v>42405.18</v>
      </c>
      <c r="P2514">
        <v>10060.56</v>
      </c>
      <c r="Q2514">
        <v>52.57</v>
      </c>
      <c r="R2514" t="s">
        <v>57</v>
      </c>
      <c r="S2514">
        <v>3</v>
      </c>
      <c r="T2514" t="b">
        <v>0</v>
      </c>
      <c r="U2514" t="s">
        <v>30</v>
      </c>
      <c r="V2514">
        <v>10</v>
      </c>
    </row>
    <row r="2515" spans="1:22" x14ac:dyDescent="0.25">
      <c r="A2515" t="s">
        <v>5514</v>
      </c>
      <c r="B2515" s="1">
        <v>44938</v>
      </c>
      <c r="C2515" t="s">
        <v>5515</v>
      </c>
      <c r="D2515" t="s">
        <v>1236</v>
      </c>
      <c r="E2515">
        <v>46</v>
      </c>
      <c r="F2515" t="str">
        <f>IF(Table1[[#This Row],[age]]&lt;=25,"18-25",IF(Table1[[#This Row],[age]]&lt;=35,"26-35",IF(Table1[[#This Row],[age]]&lt;=50,"36-50","51+")))</f>
        <v>36-50</v>
      </c>
      <c r="G2515" t="s">
        <v>24</v>
      </c>
      <c r="H2515" t="s">
        <v>69</v>
      </c>
      <c r="I2515" t="s">
        <v>136</v>
      </c>
      <c r="J2515" t="s">
        <v>36</v>
      </c>
      <c r="K2515" t="s">
        <v>37</v>
      </c>
      <c r="L2515">
        <v>10</v>
      </c>
      <c r="M2515">
        <v>14207.99</v>
      </c>
      <c r="N2515">
        <v>0.06</v>
      </c>
      <c r="O2515">
        <v>135263.66</v>
      </c>
      <c r="P2515">
        <v>39842.93</v>
      </c>
      <c r="Q2515">
        <v>65.88</v>
      </c>
      <c r="R2515" t="s">
        <v>49</v>
      </c>
      <c r="S2515">
        <v>4</v>
      </c>
      <c r="T2515" t="b">
        <v>0</v>
      </c>
      <c r="U2515" t="s">
        <v>30</v>
      </c>
      <c r="V2515">
        <v>3</v>
      </c>
    </row>
    <row r="2516" spans="1:22" x14ac:dyDescent="0.25">
      <c r="A2516" t="s">
        <v>5516</v>
      </c>
      <c r="B2516" s="1">
        <v>44709</v>
      </c>
      <c r="C2516" t="s">
        <v>5517</v>
      </c>
      <c r="D2516" t="s">
        <v>1051</v>
      </c>
      <c r="E2516">
        <v>30</v>
      </c>
      <c r="F2516" t="str">
        <f>IF(Table1[[#This Row],[age]]&lt;=25,"18-25",IF(Table1[[#This Row],[age]]&lt;=35,"26-35",IF(Table1[[#This Row],[age]]&lt;=50,"36-50","51+")))</f>
        <v>26-35</v>
      </c>
      <c r="G2516" t="s">
        <v>54</v>
      </c>
      <c r="H2516" t="s">
        <v>61</v>
      </c>
      <c r="I2516" t="s">
        <v>163</v>
      </c>
      <c r="J2516" t="s">
        <v>63</v>
      </c>
      <c r="K2516" t="s">
        <v>152</v>
      </c>
      <c r="L2516">
        <v>2</v>
      </c>
      <c r="M2516">
        <v>3929.54</v>
      </c>
      <c r="N2516">
        <v>0.16</v>
      </c>
      <c r="O2516">
        <v>9882.86</v>
      </c>
      <c r="P2516">
        <v>4050.34</v>
      </c>
      <c r="Q2516">
        <v>67.09</v>
      </c>
      <c r="R2516" t="s">
        <v>49</v>
      </c>
      <c r="S2516">
        <v>3</v>
      </c>
      <c r="T2516" t="b">
        <v>0</v>
      </c>
      <c r="U2516" t="s">
        <v>30</v>
      </c>
      <c r="V2516">
        <v>5</v>
      </c>
    </row>
    <row r="2517" spans="1:22" x14ac:dyDescent="0.25">
      <c r="A2517" t="s">
        <v>5518</v>
      </c>
      <c r="B2517" s="1">
        <v>44418</v>
      </c>
      <c r="C2517" t="s">
        <v>5519</v>
      </c>
      <c r="D2517" t="s">
        <v>304</v>
      </c>
      <c r="E2517">
        <v>36</v>
      </c>
      <c r="F2517" t="str">
        <f>IF(Table1[[#This Row],[age]]&lt;=25,"18-25",IF(Table1[[#This Row],[age]]&lt;=35,"26-35",IF(Table1[[#This Row],[age]]&lt;=50,"36-50","51+")))</f>
        <v>36-50</v>
      </c>
      <c r="G2517" t="s">
        <v>34</v>
      </c>
      <c r="H2517" t="s">
        <v>55</v>
      </c>
      <c r="I2517" t="s">
        <v>75</v>
      </c>
      <c r="J2517" t="s">
        <v>115</v>
      </c>
      <c r="K2517" t="s">
        <v>398</v>
      </c>
      <c r="L2517">
        <v>8</v>
      </c>
      <c r="M2517">
        <v>58571.61</v>
      </c>
      <c r="N2517">
        <v>0.28000000000000003</v>
      </c>
      <c r="O2517">
        <v>475115.46</v>
      </c>
      <c r="P2517">
        <v>53027.1</v>
      </c>
      <c r="Q2517">
        <v>56.37</v>
      </c>
      <c r="R2517" t="s">
        <v>43</v>
      </c>
      <c r="S2517">
        <v>4</v>
      </c>
      <c r="T2517" t="b">
        <v>1</v>
      </c>
      <c r="U2517" t="s">
        <v>50</v>
      </c>
      <c r="V2517">
        <v>4</v>
      </c>
    </row>
    <row r="2518" spans="1:22" x14ac:dyDescent="0.25">
      <c r="A2518" t="s">
        <v>5520</v>
      </c>
      <c r="B2518" s="1">
        <v>44636</v>
      </c>
      <c r="C2518" t="s">
        <v>5521</v>
      </c>
      <c r="D2518" t="s">
        <v>304</v>
      </c>
      <c r="E2518">
        <v>35</v>
      </c>
      <c r="F2518" t="str">
        <f>IF(Table1[[#This Row],[age]]&lt;=25,"18-25",IF(Table1[[#This Row],[age]]&lt;=35,"26-35",IF(Table1[[#This Row],[age]]&lt;=50,"36-50","51+")))</f>
        <v>26-35</v>
      </c>
      <c r="G2518" t="s">
        <v>54</v>
      </c>
      <c r="H2518" t="s">
        <v>55</v>
      </c>
      <c r="I2518" t="s">
        <v>75</v>
      </c>
      <c r="J2518" t="s">
        <v>101</v>
      </c>
      <c r="K2518" t="s">
        <v>214</v>
      </c>
      <c r="L2518">
        <v>4</v>
      </c>
      <c r="M2518">
        <v>5236.2700000000004</v>
      </c>
      <c r="N2518">
        <v>0.09</v>
      </c>
      <c r="O2518">
        <v>24896.51</v>
      </c>
      <c r="P2518">
        <v>4435.7299999999996</v>
      </c>
      <c r="Q2518">
        <v>74.78</v>
      </c>
      <c r="R2518" t="s">
        <v>49</v>
      </c>
      <c r="S2518">
        <v>1</v>
      </c>
      <c r="T2518" t="b">
        <v>0</v>
      </c>
      <c r="U2518" t="s">
        <v>93</v>
      </c>
      <c r="V2518">
        <v>8</v>
      </c>
    </row>
    <row r="2519" spans="1:22" x14ac:dyDescent="0.25">
      <c r="A2519" t="s">
        <v>5522</v>
      </c>
      <c r="B2519" s="1">
        <v>45174</v>
      </c>
      <c r="C2519" t="s">
        <v>5523</v>
      </c>
      <c r="D2519" t="s">
        <v>105</v>
      </c>
      <c r="E2519">
        <v>50</v>
      </c>
      <c r="F2519" t="str">
        <f>IF(Table1[[#This Row],[age]]&lt;=25,"18-25",IF(Table1[[#This Row],[age]]&lt;=35,"26-35",IF(Table1[[#This Row],[age]]&lt;=50,"36-50","51+")))</f>
        <v>36-50</v>
      </c>
      <c r="G2519" t="s">
        <v>24</v>
      </c>
      <c r="H2519" t="s">
        <v>80</v>
      </c>
      <c r="I2519" t="s">
        <v>236</v>
      </c>
      <c r="J2519" t="s">
        <v>63</v>
      </c>
      <c r="K2519" t="s">
        <v>434</v>
      </c>
      <c r="L2519">
        <v>7</v>
      </c>
      <c r="M2519">
        <v>3365.93</v>
      </c>
      <c r="N2519">
        <v>0.11</v>
      </c>
      <c r="O2519">
        <v>25929.31</v>
      </c>
      <c r="P2519">
        <v>13312.04</v>
      </c>
      <c r="Q2519">
        <v>74.84</v>
      </c>
      <c r="R2519" t="s">
        <v>29</v>
      </c>
      <c r="S2519">
        <v>3</v>
      </c>
      <c r="T2519" t="b">
        <v>0</v>
      </c>
      <c r="U2519" t="s">
        <v>71</v>
      </c>
      <c r="V2519">
        <v>4</v>
      </c>
    </row>
    <row r="2520" spans="1:22" x14ac:dyDescent="0.25">
      <c r="A2520" t="s">
        <v>5524</v>
      </c>
      <c r="B2520" s="1">
        <v>45022</v>
      </c>
      <c r="C2520" t="s">
        <v>5525</v>
      </c>
      <c r="D2520" t="s">
        <v>879</v>
      </c>
      <c r="E2520">
        <v>46</v>
      </c>
      <c r="F2520" t="str">
        <f>IF(Table1[[#This Row],[age]]&lt;=25,"18-25",IF(Table1[[#This Row],[age]]&lt;=35,"26-35",IF(Table1[[#This Row],[age]]&lt;=50,"36-50","51+")))</f>
        <v>36-50</v>
      </c>
      <c r="G2520" t="s">
        <v>24</v>
      </c>
      <c r="H2520" t="s">
        <v>61</v>
      </c>
      <c r="I2520" t="s">
        <v>141</v>
      </c>
      <c r="J2520" t="s">
        <v>47</v>
      </c>
      <c r="K2520" t="s">
        <v>600</v>
      </c>
      <c r="L2520">
        <v>9</v>
      </c>
      <c r="M2520">
        <v>421.91</v>
      </c>
      <c r="N2520">
        <v>0.16</v>
      </c>
      <c r="O2520">
        <v>4945.5200000000004</v>
      </c>
      <c r="P2520">
        <v>2326.52</v>
      </c>
      <c r="Q2520">
        <v>51.34</v>
      </c>
      <c r="R2520" t="s">
        <v>43</v>
      </c>
      <c r="S2520">
        <v>5</v>
      </c>
      <c r="T2520" t="b">
        <v>0</v>
      </c>
      <c r="U2520" t="s">
        <v>30</v>
      </c>
      <c r="V2520">
        <v>1</v>
      </c>
    </row>
    <row r="2521" spans="1:22" x14ac:dyDescent="0.25">
      <c r="A2521" t="s">
        <v>5526</v>
      </c>
      <c r="B2521" s="1">
        <v>45604</v>
      </c>
      <c r="C2521" t="s">
        <v>5527</v>
      </c>
      <c r="D2521" t="s">
        <v>1782</v>
      </c>
      <c r="E2521">
        <v>34</v>
      </c>
      <c r="F2521" t="str">
        <f>IF(Table1[[#This Row],[age]]&lt;=25,"18-25",IF(Table1[[#This Row],[age]]&lt;=35,"26-35",IF(Table1[[#This Row],[age]]&lt;=50,"36-50","51+")))</f>
        <v>26-35</v>
      </c>
      <c r="G2521" t="s">
        <v>34</v>
      </c>
      <c r="H2521" t="s">
        <v>69</v>
      </c>
      <c r="I2521" t="s">
        <v>221</v>
      </c>
      <c r="J2521" t="s">
        <v>63</v>
      </c>
      <c r="K2521" t="s">
        <v>64</v>
      </c>
      <c r="L2521">
        <v>9</v>
      </c>
      <c r="M2521">
        <v>1665.92</v>
      </c>
      <c r="N2521">
        <v>0.18</v>
      </c>
      <c r="O2521">
        <v>11063</v>
      </c>
      <c r="P2521">
        <v>2273.36</v>
      </c>
      <c r="Q2521">
        <v>91.64</v>
      </c>
      <c r="R2521" t="s">
        <v>57</v>
      </c>
      <c r="S2521">
        <v>3</v>
      </c>
      <c r="T2521" t="b">
        <v>0</v>
      </c>
      <c r="U2521" t="s">
        <v>30</v>
      </c>
      <c r="V2521">
        <v>1</v>
      </c>
    </row>
    <row r="2522" spans="1:22" x14ac:dyDescent="0.25">
      <c r="A2522" t="s">
        <v>5528</v>
      </c>
      <c r="B2522" s="1">
        <v>44512</v>
      </c>
      <c r="C2522" t="s">
        <v>5529</v>
      </c>
      <c r="D2522" t="s">
        <v>572</v>
      </c>
      <c r="E2522">
        <v>58</v>
      </c>
      <c r="F2522" t="str">
        <f>IF(Table1[[#This Row],[age]]&lt;=25,"18-25",IF(Table1[[#This Row],[age]]&lt;=35,"26-35",IF(Table1[[#This Row],[age]]&lt;=50,"36-50","51+")))</f>
        <v>51+</v>
      </c>
      <c r="G2522" t="s">
        <v>34</v>
      </c>
      <c r="H2522" t="s">
        <v>61</v>
      </c>
      <c r="I2522" t="s">
        <v>62</v>
      </c>
      <c r="J2522" t="s">
        <v>101</v>
      </c>
      <c r="K2522" t="s">
        <v>124</v>
      </c>
      <c r="L2522">
        <v>10</v>
      </c>
      <c r="M2522">
        <v>11652.14</v>
      </c>
      <c r="N2522">
        <v>0.17</v>
      </c>
      <c r="O2522">
        <v>75606.39</v>
      </c>
      <c r="P2522">
        <v>12791.68</v>
      </c>
      <c r="Q2522">
        <v>49.96</v>
      </c>
      <c r="R2522" t="s">
        <v>43</v>
      </c>
      <c r="S2522">
        <v>1</v>
      </c>
      <c r="T2522" t="b">
        <v>0</v>
      </c>
      <c r="U2522" t="s">
        <v>30</v>
      </c>
      <c r="V2522">
        <v>10</v>
      </c>
    </row>
    <row r="2523" spans="1:22" x14ac:dyDescent="0.25">
      <c r="A2523" t="s">
        <v>5530</v>
      </c>
      <c r="B2523" s="1">
        <v>45235</v>
      </c>
      <c r="C2523" t="s">
        <v>5531</v>
      </c>
      <c r="D2523" t="s">
        <v>2333</v>
      </c>
      <c r="E2523">
        <v>32</v>
      </c>
      <c r="F2523" t="str">
        <f>IF(Table1[[#This Row],[age]]&lt;=25,"18-25",IF(Table1[[#This Row],[age]]&lt;=35,"26-35",IF(Table1[[#This Row],[age]]&lt;=50,"36-50","51+")))</f>
        <v>26-35</v>
      </c>
      <c r="G2523" t="s">
        <v>54</v>
      </c>
      <c r="H2523" t="s">
        <v>25</v>
      </c>
      <c r="I2523" t="s">
        <v>35</v>
      </c>
      <c r="J2523" t="s">
        <v>101</v>
      </c>
      <c r="K2523" t="s">
        <v>124</v>
      </c>
      <c r="L2523">
        <v>3</v>
      </c>
      <c r="M2523">
        <v>10070.36</v>
      </c>
      <c r="N2523">
        <v>0.28999999999999998</v>
      </c>
      <c r="O2523">
        <v>20450.62</v>
      </c>
      <c r="P2523">
        <v>4777.96</v>
      </c>
      <c r="Q2523">
        <v>40.78</v>
      </c>
      <c r="R2523" t="s">
        <v>65</v>
      </c>
      <c r="S2523">
        <v>4</v>
      </c>
      <c r="T2523" t="b">
        <v>0</v>
      </c>
      <c r="U2523" t="s">
        <v>30</v>
      </c>
      <c r="V2523">
        <v>3</v>
      </c>
    </row>
    <row r="2524" spans="1:22" x14ac:dyDescent="0.25">
      <c r="A2524" t="s">
        <v>5532</v>
      </c>
      <c r="B2524" s="1">
        <v>44999</v>
      </c>
      <c r="C2524" t="s">
        <v>5533</v>
      </c>
      <c r="D2524" t="s">
        <v>1083</v>
      </c>
      <c r="E2524">
        <v>43</v>
      </c>
      <c r="F2524" t="str">
        <f>IF(Table1[[#This Row],[age]]&lt;=25,"18-25",IF(Table1[[#This Row],[age]]&lt;=35,"26-35",IF(Table1[[#This Row],[age]]&lt;=50,"36-50","51+")))</f>
        <v>36-50</v>
      </c>
      <c r="G2524" t="s">
        <v>54</v>
      </c>
      <c r="H2524" t="s">
        <v>25</v>
      </c>
      <c r="I2524" t="s">
        <v>41</v>
      </c>
      <c r="J2524" t="s">
        <v>27</v>
      </c>
      <c r="K2524" t="s">
        <v>480</v>
      </c>
      <c r="L2524">
        <v>9</v>
      </c>
      <c r="M2524">
        <v>415.58</v>
      </c>
      <c r="N2524">
        <v>0.35</v>
      </c>
      <c r="O2524">
        <v>3291.09</v>
      </c>
      <c r="P2524">
        <v>1457.49</v>
      </c>
      <c r="Q2524">
        <v>93.37</v>
      </c>
      <c r="R2524" t="s">
        <v>29</v>
      </c>
      <c r="S2524">
        <v>4</v>
      </c>
      <c r="T2524" t="b">
        <v>0</v>
      </c>
      <c r="U2524" t="s">
        <v>193</v>
      </c>
      <c r="V2524">
        <v>3</v>
      </c>
    </row>
    <row r="2525" spans="1:22" x14ac:dyDescent="0.25">
      <c r="A2525" t="s">
        <v>5534</v>
      </c>
      <c r="B2525" s="1">
        <v>45274</v>
      </c>
      <c r="C2525" t="s">
        <v>5535</v>
      </c>
      <c r="D2525" t="s">
        <v>224</v>
      </c>
      <c r="E2525">
        <v>35</v>
      </c>
      <c r="F2525" t="str">
        <f>IF(Table1[[#This Row],[age]]&lt;=25,"18-25",IF(Table1[[#This Row],[age]]&lt;=35,"26-35",IF(Table1[[#This Row],[age]]&lt;=50,"36-50","51+")))</f>
        <v>26-35</v>
      </c>
      <c r="G2525" t="s">
        <v>34</v>
      </c>
      <c r="H2525" t="s">
        <v>69</v>
      </c>
      <c r="I2525" t="s">
        <v>70</v>
      </c>
      <c r="J2525" t="s">
        <v>106</v>
      </c>
      <c r="K2525" t="s">
        <v>188</v>
      </c>
      <c r="L2525">
        <v>3</v>
      </c>
      <c r="M2525">
        <v>362.51</v>
      </c>
      <c r="N2525">
        <v>0.05</v>
      </c>
      <c r="O2525">
        <v>803.64</v>
      </c>
      <c r="P2525">
        <v>58</v>
      </c>
      <c r="Q2525">
        <v>84.62</v>
      </c>
      <c r="R2525" t="s">
        <v>29</v>
      </c>
      <c r="S2525">
        <v>3</v>
      </c>
      <c r="T2525" t="b">
        <v>0</v>
      </c>
      <c r="U2525" t="s">
        <v>71</v>
      </c>
      <c r="V2525">
        <v>10</v>
      </c>
    </row>
    <row r="2526" spans="1:22" x14ac:dyDescent="0.25">
      <c r="A2526" t="s">
        <v>5536</v>
      </c>
      <c r="B2526" s="1">
        <v>45036</v>
      </c>
      <c r="C2526" t="s">
        <v>5537</v>
      </c>
      <c r="D2526" t="s">
        <v>471</v>
      </c>
      <c r="E2526">
        <v>23</v>
      </c>
      <c r="F2526" t="str">
        <f>IF(Table1[[#This Row],[age]]&lt;=25,"18-25",IF(Table1[[#This Row],[age]]&lt;=35,"26-35",IF(Table1[[#This Row],[age]]&lt;=50,"36-50","51+")))</f>
        <v>18-25</v>
      </c>
      <c r="G2526" t="s">
        <v>34</v>
      </c>
      <c r="H2526" t="s">
        <v>25</v>
      </c>
      <c r="I2526" t="s">
        <v>41</v>
      </c>
      <c r="J2526" t="s">
        <v>101</v>
      </c>
      <c r="K2526" t="s">
        <v>318</v>
      </c>
      <c r="L2526">
        <v>6</v>
      </c>
      <c r="M2526">
        <v>3259.56</v>
      </c>
      <c r="N2526">
        <v>0.28000000000000003</v>
      </c>
      <c r="O2526">
        <v>20331.59</v>
      </c>
      <c r="P2526">
        <v>3788.35</v>
      </c>
      <c r="Q2526">
        <v>62.56</v>
      </c>
      <c r="R2526" t="s">
        <v>49</v>
      </c>
      <c r="S2526">
        <v>2</v>
      </c>
      <c r="T2526" t="b">
        <v>0</v>
      </c>
      <c r="U2526" t="s">
        <v>30</v>
      </c>
      <c r="V2526">
        <v>9</v>
      </c>
    </row>
    <row r="2527" spans="1:22" x14ac:dyDescent="0.25">
      <c r="A2527" t="s">
        <v>5538</v>
      </c>
      <c r="B2527" s="1">
        <v>45625</v>
      </c>
      <c r="C2527" t="s">
        <v>5539</v>
      </c>
      <c r="D2527" t="s">
        <v>2142</v>
      </c>
      <c r="E2527">
        <v>57</v>
      </c>
      <c r="F2527" t="str">
        <f>IF(Table1[[#This Row],[age]]&lt;=25,"18-25",IF(Table1[[#This Row],[age]]&lt;=35,"26-35",IF(Table1[[#This Row],[age]]&lt;=50,"36-50","51+")))</f>
        <v>51+</v>
      </c>
      <c r="G2527" t="s">
        <v>34</v>
      </c>
      <c r="H2527" t="s">
        <v>80</v>
      </c>
      <c r="I2527" t="s">
        <v>236</v>
      </c>
      <c r="J2527" t="s">
        <v>63</v>
      </c>
      <c r="K2527" t="s">
        <v>64</v>
      </c>
      <c r="L2527">
        <v>7</v>
      </c>
      <c r="M2527">
        <v>2979.19</v>
      </c>
      <c r="N2527">
        <v>0.27</v>
      </c>
      <c r="O2527">
        <v>16150.97</v>
      </c>
      <c r="P2527">
        <v>6112.46</v>
      </c>
      <c r="Q2527">
        <v>84.04</v>
      </c>
      <c r="R2527" t="s">
        <v>49</v>
      </c>
      <c r="S2527">
        <v>1</v>
      </c>
      <c r="T2527" t="b">
        <v>0</v>
      </c>
      <c r="U2527" t="s">
        <v>30</v>
      </c>
      <c r="V2527">
        <v>7</v>
      </c>
    </row>
    <row r="2528" spans="1:22" x14ac:dyDescent="0.25">
      <c r="A2528" t="s">
        <v>5540</v>
      </c>
      <c r="B2528" s="1">
        <v>44535</v>
      </c>
      <c r="C2528" t="s">
        <v>5541</v>
      </c>
      <c r="D2528" t="s">
        <v>1659</v>
      </c>
      <c r="E2528">
        <v>38</v>
      </c>
      <c r="F2528" t="str">
        <f>IF(Table1[[#This Row],[age]]&lt;=25,"18-25",IF(Table1[[#This Row],[age]]&lt;=35,"26-35",IF(Table1[[#This Row],[age]]&lt;=50,"36-50","51+")))</f>
        <v>36-50</v>
      </c>
      <c r="G2528" t="s">
        <v>34</v>
      </c>
      <c r="H2528" t="s">
        <v>25</v>
      </c>
      <c r="I2528" t="s">
        <v>35</v>
      </c>
      <c r="J2528" t="s">
        <v>63</v>
      </c>
      <c r="K2528" t="s">
        <v>152</v>
      </c>
      <c r="L2528">
        <v>3</v>
      </c>
      <c r="M2528">
        <v>3600.05</v>
      </c>
      <c r="N2528">
        <v>0.1</v>
      </c>
      <c r="O2528">
        <v>7315.14</v>
      </c>
      <c r="P2528">
        <v>3342.94</v>
      </c>
      <c r="Q2528">
        <v>28.05</v>
      </c>
      <c r="R2528" t="s">
        <v>57</v>
      </c>
      <c r="S2528">
        <v>3</v>
      </c>
      <c r="T2528" t="b">
        <v>1</v>
      </c>
      <c r="U2528" t="s">
        <v>50</v>
      </c>
      <c r="V2528">
        <v>1</v>
      </c>
    </row>
    <row r="2529" spans="1:22" x14ac:dyDescent="0.25">
      <c r="A2529" t="s">
        <v>5542</v>
      </c>
      <c r="B2529" s="1">
        <v>45184</v>
      </c>
      <c r="C2529" t="s">
        <v>5543</v>
      </c>
      <c r="D2529" t="s">
        <v>352</v>
      </c>
      <c r="E2529">
        <v>37</v>
      </c>
      <c r="F2529" t="str">
        <f>IF(Table1[[#This Row],[age]]&lt;=25,"18-25",IF(Table1[[#This Row],[age]]&lt;=35,"26-35",IF(Table1[[#This Row],[age]]&lt;=50,"36-50","51+")))</f>
        <v>36-50</v>
      </c>
      <c r="G2529" t="s">
        <v>24</v>
      </c>
      <c r="H2529" t="s">
        <v>55</v>
      </c>
      <c r="I2529" t="s">
        <v>56</v>
      </c>
      <c r="J2529" t="s">
        <v>63</v>
      </c>
      <c r="K2529" t="s">
        <v>87</v>
      </c>
      <c r="L2529">
        <v>9</v>
      </c>
      <c r="M2529">
        <v>1920.93</v>
      </c>
      <c r="N2529">
        <v>0.04</v>
      </c>
      <c r="O2529">
        <v>18611.05</v>
      </c>
      <c r="P2529">
        <v>7106.9</v>
      </c>
      <c r="Q2529">
        <v>65.709999999999994</v>
      </c>
      <c r="R2529" t="s">
        <v>43</v>
      </c>
      <c r="S2529">
        <v>4</v>
      </c>
      <c r="T2529" t="b">
        <v>1</v>
      </c>
      <c r="U2529" t="s">
        <v>50</v>
      </c>
      <c r="V2529">
        <v>9</v>
      </c>
    </row>
    <row r="2530" spans="1:22" x14ac:dyDescent="0.25">
      <c r="A2530" t="s">
        <v>5544</v>
      </c>
      <c r="B2530" s="1">
        <v>45421</v>
      </c>
      <c r="C2530" t="s">
        <v>5545</v>
      </c>
      <c r="D2530" t="s">
        <v>956</v>
      </c>
      <c r="E2530">
        <v>35</v>
      </c>
      <c r="F2530" t="str">
        <f>IF(Table1[[#This Row],[age]]&lt;=25,"18-25",IF(Table1[[#This Row],[age]]&lt;=35,"26-35",IF(Table1[[#This Row],[age]]&lt;=50,"36-50","51+")))</f>
        <v>26-35</v>
      </c>
      <c r="G2530" t="s">
        <v>54</v>
      </c>
      <c r="H2530" t="s">
        <v>25</v>
      </c>
      <c r="I2530" t="s">
        <v>41</v>
      </c>
      <c r="J2530" t="s">
        <v>27</v>
      </c>
      <c r="K2530" t="s">
        <v>28</v>
      </c>
      <c r="L2530">
        <v>8</v>
      </c>
      <c r="M2530">
        <v>1212.69</v>
      </c>
      <c r="N2530">
        <v>0.21</v>
      </c>
      <c r="O2530">
        <v>13771.38</v>
      </c>
      <c r="P2530">
        <v>6491.12</v>
      </c>
      <c r="Q2530">
        <v>40.26</v>
      </c>
      <c r="R2530" t="s">
        <v>57</v>
      </c>
      <c r="S2530">
        <v>3</v>
      </c>
      <c r="T2530" t="b">
        <v>0</v>
      </c>
      <c r="U2530" t="s">
        <v>30</v>
      </c>
      <c r="V2530">
        <v>8</v>
      </c>
    </row>
    <row r="2531" spans="1:22" x14ac:dyDescent="0.25">
      <c r="A2531" t="s">
        <v>5546</v>
      </c>
      <c r="B2531" s="1">
        <v>43899</v>
      </c>
      <c r="C2531" t="s">
        <v>3812</v>
      </c>
      <c r="D2531" t="s">
        <v>3889</v>
      </c>
      <c r="E2531">
        <v>26</v>
      </c>
      <c r="F2531" t="str">
        <f>IF(Table1[[#This Row],[age]]&lt;=25,"18-25",IF(Table1[[#This Row],[age]]&lt;=35,"26-35",IF(Table1[[#This Row],[age]]&lt;=50,"36-50","51+")))</f>
        <v>26-35</v>
      </c>
      <c r="G2531" t="s">
        <v>24</v>
      </c>
      <c r="H2531" t="s">
        <v>55</v>
      </c>
      <c r="I2531" t="s">
        <v>114</v>
      </c>
      <c r="J2531" t="s">
        <v>115</v>
      </c>
      <c r="K2531" t="s">
        <v>197</v>
      </c>
      <c r="L2531">
        <v>6</v>
      </c>
      <c r="M2531">
        <v>79957.919999999998</v>
      </c>
      <c r="N2531">
        <v>0.21</v>
      </c>
      <c r="O2531">
        <v>431664.73</v>
      </c>
      <c r="P2531">
        <v>54036.34</v>
      </c>
      <c r="Q2531">
        <v>51.2</v>
      </c>
      <c r="R2531" t="s">
        <v>49</v>
      </c>
      <c r="S2531">
        <v>3</v>
      </c>
      <c r="T2531" t="b">
        <v>0</v>
      </c>
      <c r="U2531" t="s">
        <v>30</v>
      </c>
      <c r="V2531">
        <v>10</v>
      </c>
    </row>
    <row r="2532" spans="1:22" x14ac:dyDescent="0.25">
      <c r="A2532" t="s">
        <v>5547</v>
      </c>
      <c r="B2532" s="1">
        <v>45087</v>
      </c>
      <c r="C2532" t="s">
        <v>5548</v>
      </c>
      <c r="D2532" t="s">
        <v>79</v>
      </c>
      <c r="E2532">
        <v>23</v>
      </c>
      <c r="F2532" t="str">
        <f>IF(Table1[[#This Row],[age]]&lt;=25,"18-25",IF(Table1[[#This Row],[age]]&lt;=35,"26-35",IF(Table1[[#This Row],[age]]&lt;=50,"36-50","51+")))</f>
        <v>18-25</v>
      </c>
      <c r="G2532" t="s">
        <v>34</v>
      </c>
      <c r="H2532" t="s">
        <v>69</v>
      </c>
      <c r="I2532" t="s">
        <v>181</v>
      </c>
      <c r="J2532" t="s">
        <v>115</v>
      </c>
      <c r="K2532" t="s">
        <v>545</v>
      </c>
      <c r="L2532">
        <v>2</v>
      </c>
      <c r="M2532">
        <v>65714.09</v>
      </c>
      <c r="N2532">
        <v>0.32</v>
      </c>
      <c r="O2532">
        <v>147617.57999999999</v>
      </c>
      <c r="P2532">
        <v>16129.94</v>
      </c>
      <c r="Q2532">
        <v>76.709999999999994</v>
      </c>
      <c r="R2532" t="s">
        <v>92</v>
      </c>
      <c r="S2532">
        <v>5</v>
      </c>
      <c r="T2532" t="b">
        <v>0</v>
      </c>
      <c r="U2532" t="s">
        <v>30</v>
      </c>
      <c r="V2532">
        <v>7</v>
      </c>
    </row>
    <row r="2533" spans="1:22" x14ac:dyDescent="0.25">
      <c r="A2533" t="s">
        <v>5549</v>
      </c>
      <c r="B2533" s="1">
        <v>45579</v>
      </c>
      <c r="C2533" t="s">
        <v>5550</v>
      </c>
      <c r="D2533" t="s">
        <v>964</v>
      </c>
      <c r="E2533">
        <v>20</v>
      </c>
      <c r="F2533" t="str">
        <f>IF(Table1[[#This Row],[age]]&lt;=25,"18-25",IF(Table1[[#This Row],[age]]&lt;=35,"26-35",IF(Table1[[#This Row],[age]]&lt;=50,"36-50","51+")))</f>
        <v>18-25</v>
      </c>
      <c r="G2533" t="s">
        <v>24</v>
      </c>
      <c r="H2533" t="s">
        <v>61</v>
      </c>
      <c r="I2533" t="s">
        <v>141</v>
      </c>
      <c r="J2533" t="s">
        <v>106</v>
      </c>
      <c r="K2533" t="s">
        <v>331</v>
      </c>
      <c r="L2533">
        <v>10</v>
      </c>
      <c r="M2533">
        <v>171.99</v>
      </c>
      <c r="N2533">
        <v>0.18</v>
      </c>
      <c r="O2533">
        <v>1542.88</v>
      </c>
      <c r="P2533">
        <v>98.26</v>
      </c>
      <c r="Q2533">
        <v>65.88</v>
      </c>
      <c r="R2533" t="s">
        <v>29</v>
      </c>
      <c r="S2533">
        <v>4</v>
      </c>
      <c r="T2533" t="b">
        <v>1</v>
      </c>
      <c r="U2533" t="s">
        <v>50</v>
      </c>
      <c r="V2533">
        <v>3</v>
      </c>
    </row>
    <row r="2534" spans="1:22" x14ac:dyDescent="0.25">
      <c r="A2534" t="s">
        <v>5551</v>
      </c>
      <c r="B2534" s="1">
        <v>45155</v>
      </c>
      <c r="C2534" t="s">
        <v>5552</v>
      </c>
      <c r="D2534" t="s">
        <v>1406</v>
      </c>
      <c r="E2534">
        <v>34</v>
      </c>
      <c r="F2534" t="str">
        <f>IF(Table1[[#This Row],[age]]&lt;=25,"18-25",IF(Table1[[#This Row],[age]]&lt;=35,"26-35",IF(Table1[[#This Row],[age]]&lt;=50,"36-50","51+")))</f>
        <v>26-35</v>
      </c>
      <c r="G2534" t="s">
        <v>24</v>
      </c>
      <c r="H2534" t="s">
        <v>55</v>
      </c>
      <c r="I2534" t="s">
        <v>114</v>
      </c>
      <c r="J2534" t="s">
        <v>36</v>
      </c>
      <c r="K2534" t="s">
        <v>37</v>
      </c>
      <c r="L2534">
        <v>9</v>
      </c>
      <c r="M2534">
        <v>19162.75</v>
      </c>
      <c r="N2534">
        <v>0.32</v>
      </c>
      <c r="O2534">
        <v>178414.75</v>
      </c>
      <c r="P2534">
        <v>35608.129999999997</v>
      </c>
      <c r="Q2534">
        <v>38.92</v>
      </c>
      <c r="R2534" t="s">
        <v>49</v>
      </c>
      <c r="S2534">
        <v>4</v>
      </c>
      <c r="T2534" t="b">
        <v>0</v>
      </c>
      <c r="U2534" t="s">
        <v>30</v>
      </c>
      <c r="V2534">
        <v>5</v>
      </c>
    </row>
    <row r="2535" spans="1:22" x14ac:dyDescent="0.25">
      <c r="A2535" t="s">
        <v>5553</v>
      </c>
      <c r="B2535" s="1">
        <v>44836</v>
      </c>
      <c r="C2535" t="s">
        <v>5554</v>
      </c>
      <c r="D2535" t="s">
        <v>3889</v>
      </c>
      <c r="E2535">
        <v>27</v>
      </c>
      <c r="F2535" t="str">
        <f>IF(Table1[[#This Row],[age]]&lt;=25,"18-25",IF(Table1[[#This Row],[age]]&lt;=35,"26-35",IF(Table1[[#This Row],[age]]&lt;=50,"36-50","51+")))</f>
        <v>26-35</v>
      </c>
      <c r="G2535" t="s">
        <v>54</v>
      </c>
      <c r="H2535" t="s">
        <v>25</v>
      </c>
      <c r="I2535" t="s">
        <v>26</v>
      </c>
      <c r="J2535" t="s">
        <v>63</v>
      </c>
      <c r="K2535" t="s">
        <v>82</v>
      </c>
      <c r="L2535">
        <v>2</v>
      </c>
      <c r="M2535">
        <v>3211.68</v>
      </c>
      <c r="N2535">
        <v>0.36</v>
      </c>
      <c r="O2535">
        <v>3765.49</v>
      </c>
      <c r="P2535">
        <v>1384.04</v>
      </c>
      <c r="Q2535">
        <v>46.54</v>
      </c>
      <c r="R2535" t="s">
        <v>43</v>
      </c>
      <c r="S2535">
        <v>4</v>
      </c>
      <c r="T2535" t="b">
        <v>0</v>
      </c>
      <c r="U2535" t="s">
        <v>30</v>
      </c>
      <c r="V2535">
        <v>8</v>
      </c>
    </row>
    <row r="2536" spans="1:22" x14ac:dyDescent="0.25">
      <c r="A2536" t="s">
        <v>5555</v>
      </c>
      <c r="B2536" s="1">
        <v>44043</v>
      </c>
      <c r="C2536" t="s">
        <v>5556</v>
      </c>
      <c r="D2536" t="s">
        <v>1136</v>
      </c>
      <c r="E2536">
        <v>43</v>
      </c>
      <c r="F2536" t="str">
        <f>IF(Table1[[#This Row],[age]]&lt;=25,"18-25",IF(Table1[[#This Row],[age]]&lt;=35,"26-35",IF(Table1[[#This Row],[age]]&lt;=50,"36-50","51+")))</f>
        <v>36-50</v>
      </c>
      <c r="G2536" t="s">
        <v>34</v>
      </c>
      <c r="H2536" t="s">
        <v>25</v>
      </c>
      <c r="I2536" t="s">
        <v>298</v>
      </c>
      <c r="J2536" t="s">
        <v>63</v>
      </c>
      <c r="K2536" t="s">
        <v>111</v>
      </c>
      <c r="L2536">
        <v>10</v>
      </c>
      <c r="M2536">
        <v>2139.09</v>
      </c>
      <c r="N2536">
        <v>0.23</v>
      </c>
      <c r="O2536">
        <v>21182.67</v>
      </c>
      <c r="P2536">
        <v>8554.34</v>
      </c>
      <c r="Q2536">
        <v>72.73</v>
      </c>
      <c r="R2536" t="s">
        <v>49</v>
      </c>
      <c r="S2536">
        <v>2</v>
      </c>
      <c r="T2536" t="b">
        <v>0</v>
      </c>
      <c r="U2536" t="s">
        <v>30</v>
      </c>
      <c r="V2536">
        <v>8</v>
      </c>
    </row>
    <row r="2537" spans="1:22" x14ac:dyDescent="0.25">
      <c r="A2537" t="s">
        <v>5557</v>
      </c>
      <c r="B2537" s="1">
        <v>44627</v>
      </c>
      <c r="C2537" t="s">
        <v>5558</v>
      </c>
      <c r="D2537" t="s">
        <v>1625</v>
      </c>
      <c r="E2537">
        <v>31</v>
      </c>
      <c r="F2537" t="str">
        <f>IF(Table1[[#This Row],[age]]&lt;=25,"18-25",IF(Table1[[#This Row],[age]]&lt;=35,"26-35",IF(Table1[[#This Row],[age]]&lt;=50,"36-50","51+")))</f>
        <v>26-35</v>
      </c>
      <c r="G2537" t="s">
        <v>34</v>
      </c>
      <c r="H2537" t="s">
        <v>80</v>
      </c>
      <c r="I2537" t="s">
        <v>86</v>
      </c>
      <c r="J2537" t="s">
        <v>106</v>
      </c>
      <c r="K2537" t="s">
        <v>718</v>
      </c>
      <c r="L2537">
        <v>3</v>
      </c>
      <c r="M2537">
        <v>323.91000000000003</v>
      </c>
      <c r="N2537">
        <v>0</v>
      </c>
      <c r="O2537">
        <v>1207.23</v>
      </c>
      <c r="P2537">
        <v>88.05</v>
      </c>
      <c r="Q2537">
        <v>64.989999999999995</v>
      </c>
      <c r="R2537" t="s">
        <v>29</v>
      </c>
      <c r="S2537">
        <v>1</v>
      </c>
      <c r="T2537" t="b">
        <v>0</v>
      </c>
      <c r="U2537" t="s">
        <v>71</v>
      </c>
      <c r="V2537">
        <v>3</v>
      </c>
    </row>
    <row r="2538" spans="1:22" x14ac:dyDescent="0.25">
      <c r="A2538" t="s">
        <v>5559</v>
      </c>
      <c r="B2538" s="1">
        <v>44286</v>
      </c>
      <c r="C2538" t="s">
        <v>5560</v>
      </c>
      <c r="D2538" t="s">
        <v>726</v>
      </c>
      <c r="E2538">
        <v>42</v>
      </c>
      <c r="F2538" t="str">
        <f>IF(Table1[[#This Row],[age]]&lt;=25,"18-25",IF(Table1[[#This Row],[age]]&lt;=35,"26-35",IF(Table1[[#This Row],[age]]&lt;=50,"36-50","51+")))</f>
        <v>36-50</v>
      </c>
      <c r="G2538" t="s">
        <v>54</v>
      </c>
      <c r="H2538" t="s">
        <v>69</v>
      </c>
      <c r="I2538" t="s">
        <v>136</v>
      </c>
      <c r="J2538" t="s">
        <v>27</v>
      </c>
      <c r="K2538" t="s">
        <v>192</v>
      </c>
      <c r="L2538">
        <v>3</v>
      </c>
      <c r="M2538">
        <v>1034.33</v>
      </c>
      <c r="N2538">
        <v>0.12</v>
      </c>
      <c r="O2538">
        <v>3430.9</v>
      </c>
      <c r="P2538">
        <v>1457.51</v>
      </c>
      <c r="Q2538">
        <v>77.03</v>
      </c>
      <c r="R2538" t="s">
        <v>65</v>
      </c>
      <c r="S2538">
        <v>1</v>
      </c>
      <c r="T2538" t="b">
        <v>0</v>
      </c>
      <c r="U2538" t="s">
        <v>193</v>
      </c>
      <c r="V2538">
        <v>9</v>
      </c>
    </row>
    <row r="2539" spans="1:22" x14ac:dyDescent="0.25">
      <c r="A2539" t="s">
        <v>5561</v>
      </c>
      <c r="B2539" s="1">
        <v>44462</v>
      </c>
      <c r="C2539" t="s">
        <v>5562</v>
      </c>
      <c r="D2539" t="s">
        <v>1203</v>
      </c>
      <c r="E2539">
        <v>25</v>
      </c>
      <c r="F2539" t="str">
        <f>IF(Table1[[#This Row],[age]]&lt;=25,"18-25",IF(Table1[[#This Row],[age]]&lt;=35,"26-35",IF(Table1[[#This Row],[age]]&lt;=50,"36-50","51+")))</f>
        <v>18-25</v>
      </c>
      <c r="G2539" t="s">
        <v>34</v>
      </c>
      <c r="H2539" t="s">
        <v>69</v>
      </c>
      <c r="I2539" t="s">
        <v>136</v>
      </c>
      <c r="J2539" t="s">
        <v>36</v>
      </c>
      <c r="K2539" t="s">
        <v>230</v>
      </c>
      <c r="L2539">
        <v>8</v>
      </c>
      <c r="M2539">
        <v>19149.45</v>
      </c>
      <c r="N2539">
        <v>0.14000000000000001</v>
      </c>
      <c r="O2539">
        <v>163824.93</v>
      </c>
      <c r="P2539">
        <v>43339.07</v>
      </c>
      <c r="Q2539">
        <v>77.260000000000005</v>
      </c>
      <c r="R2539" t="s">
        <v>65</v>
      </c>
      <c r="S2539">
        <v>2</v>
      </c>
      <c r="T2539" t="b">
        <v>0</v>
      </c>
      <c r="U2539" t="s">
        <v>30</v>
      </c>
      <c r="V2539">
        <v>4</v>
      </c>
    </row>
    <row r="2540" spans="1:22" x14ac:dyDescent="0.25">
      <c r="A2540" t="s">
        <v>5563</v>
      </c>
      <c r="B2540" s="1">
        <v>44114</v>
      </c>
      <c r="C2540" t="s">
        <v>5564</v>
      </c>
      <c r="D2540" t="s">
        <v>1401</v>
      </c>
      <c r="E2540">
        <v>25</v>
      </c>
      <c r="F2540" t="str">
        <f>IF(Table1[[#This Row],[age]]&lt;=25,"18-25",IF(Table1[[#This Row],[age]]&lt;=35,"26-35",IF(Table1[[#This Row],[age]]&lt;=50,"36-50","51+")))</f>
        <v>18-25</v>
      </c>
      <c r="G2540" t="s">
        <v>54</v>
      </c>
      <c r="H2540" t="s">
        <v>55</v>
      </c>
      <c r="I2540" t="s">
        <v>56</v>
      </c>
      <c r="J2540" t="s">
        <v>36</v>
      </c>
      <c r="K2540" t="s">
        <v>76</v>
      </c>
      <c r="L2540">
        <v>1</v>
      </c>
      <c r="M2540">
        <v>23097.37</v>
      </c>
      <c r="N2540">
        <v>0.34</v>
      </c>
      <c r="O2540">
        <v>12857.46</v>
      </c>
      <c r="P2540">
        <v>4344.32</v>
      </c>
      <c r="Q2540">
        <v>107.34</v>
      </c>
      <c r="R2540" t="s">
        <v>49</v>
      </c>
      <c r="S2540">
        <v>5</v>
      </c>
      <c r="T2540" t="b">
        <v>0</v>
      </c>
      <c r="U2540" t="s">
        <v>30</v>
      </c>
      <c r="V2540">
        <v>2</v>
      </c>
    </row>
    <row r="2541" spans="1:22" x14ac:dyDescent="0.25">
      <c r="A2541" t="s">
        <v>5565</v>
      </c>
      <c r="B2541" s="1">
        <v>44724</v>
      </c>
      <c r="C2541" t="s">
        <v>5566</v>
      </c>
      <c r="D2541" t="s">
        <v>505</v>
      </c>
      <c r="E2541">
        <v>28</v>
      </c>
      <c r="F2541" t="str">
        <f>IF(Table1[[#This Row],[age]]&lt;=25,"18-25",IF(Table1[[#This Row],[age]]&lt;=35,"26-35",IF(Table1[[#This Row],[age]]&lt;=50,"36-50","51+")))</f>
        <v>26-35</v>
      </c>
      <c r="G2541" t="s">
        <v>34</v>
      </c>
      <c r="H2541" t="s">
        <v>55</v>
      </c>
      <c r="I2541" t="s">
        <v>56</v>
      </c>
      <c r="J2541" t="s">
        <v>106</v>
      </c>
      <c r="K2541" t="s">
        <v>314</v>
      </c>
      <c r="L2541">
        <v>8</v>
      </c>
      <c r="M2541">
        <v>115.46</v>
      </c>
      <c r="N2541">
        <v>0.22</v>
      </c>
      <c r="O2541">
        <v>1183.48</v>
      </c>
      <c r="P2541">
        <v>105.86</v>
      </c>
      <c r="Q2541">
        <v>42.35</v>
      </c>
      <c r="R2541" t="s">
        <v>43</v>
      </c>
      <c r="S2541">
        <v>4</v>
      </c>
      <c r="T2541" t="b">
        <v>0</v>
      </c>
      <c r="U2541" t="s">
        <v>71</v>
      </c>
      <c r="V2541">
        <v>8</v>
      </c>
    </row>
    <row r="2542" spans="1:22" x14ac:dyDescent="0.25">
      <c r="A2542" t="s">
        <v>5567</v>
      </c>
      <c r="B2542" s="1">
        <v>45369</v>
      </c>
      <c r="C2542" t="s">
        <v>5568</v>
      </c>
      <c r="D2542" t="s">
        <v>327</v>
      </c>
      <c r="E2542">
        <v>46</v>
      </c>
      <c r="F2542" t="str">
        <f>IF(Table1[[#This Row],[age]]&lt;=25,"18-25",IF(Table1[[#This Row],[age]]&lt;=35,"26-35",IF(Table1[[#This Row],[age]]&lt;=50,"36-50","51+")))</f>
        <v>36-50</v>
      </c>
      <c r="G2542" t="s">
        <v>54</v>
      </c>
      <c r="H2542" t="s">
        <v>61</v>
      </c>
      <c r="I2542" t="s">
        <v>91</v>
      </c>
      <c r="J2542" t="s">
        <v>101</v>
      </c>
      <c r="K2542" t="s">
        <v>456</v>
      </c>
      <c r="L2542">
        <v>2</v>
      </c>
      <c r="M2542">
        <v>7756.42</v>
      </c>
      <c r="N2542">
        <v>0.38</v>
      </c>
      <c r="O2542">
        <v>13122.27</v>
      </c>
      <c r="P2542">
        <v>2871.65</v>
      </c>
      <c r="Q2542">
        <v>33.58</v>
      </c>
      <c r="R2542" t="s">
        <v>57</v>
      </c>
      <c r="S2542">
        <v>5</v>
      </c>
      <c r="T2542" t="b">
        <v>0</v>
      </c>
      <c r="U2542" t="s">
        <v>30</v>
      </c>
      <c r="V2542">
        <v>7</v>
      </c>
    </row>
    <row r="2543" spans="1:22" x14ac:dyDescent="0.25">
      <c r="A2543" t="s">
        <v>5569</v>
      </c>
      <c r="B2543" s="1">
        <v>45544</v>
      </c>
      <c r="C2543" t="s">
        <v>5570</v>
      </c>
      <c r="D2543" t="s">
        <v>567</v>
      </c>
      <c r="E2543">
        <v>49</v>
      </c>
      <c r="F2543" t="str">
        <f>IF(Table1[[#This Row],[age]]&lt;=25,"18-25",IF(Table1[[#This Row],[age]]&lt;=35,"26-35",IF(Table1[[#This Row],[age]]&lt;=50,"36-50","51+")))</f>
        <v>36-50</v>
      </c>
      <c r="G2543" t="s">
        <v>54</v>
      </c>
      <c r="H2543" t="s">
        <v>69</v>
      </c>
      <c r="I2543" t="s">
        <v>221</v>
      </c>
      <c r="J2543" t="s">
        <v>27</v>
      </c>
      <c r="K2543" t="s">
        <v>28</v>
      </c>
      <c r="L2543">
        <v>8</v>
      </c>
      <c r="M2543">
        <v>1184.54</v>
      </c>
      <c r="N2543">
        <v>0.21</v>
      </c>
      <c r="O2543">
        <v>9116.76</v>
      </c>
      <c r="P2543">
        <v>2742.19</v>
      </c>
      <c r="Q2543">
        <v>101.81</v>
      </c>
      <c r="R2543" t="s">
        <v>65</v>
      </c>
      <c r="S2543">
        <v>2</v>
      </c>
      <c r="T2543" t="b">
        <v>0</v>
      </c>
      <c r="U2543" t="s">
        <v>30</v>
      </c>
      <c r="V2543">
        <v>8</v>
      </c>
    </row>
    <row r="2544" spans="1:22" x14ac:dyDescent="0.25">
      <c r="A2544" t="s">
        <v>5571</v>
      </c>
      <c r="B2544" s="1">
        <v>44515</v>
      </c>
      <c r="C2544" t="s">
        <v>5572</v>
      </c>
      <c r="D2544" t="s">
        <v>259</v>
      </c>
      <c r="E2544">
        <v>50</v>
      </c>
      <c r="F2544" t="str">
        <f>IF(Table1[[#This Row],[age]]&lt;=25,"18-25",IF(Table1[[#This Row],[age]]&lt;=35,"26-35",IF(Table1[[#This Row],[age]]&lt;=50,"36-50","51+")))</f>
        <v>36-50</v>
      </c>
      <c r="G2544" t="s">
        <v>54</v>
      </c>
      <c r="H2544" t="s">
        <v>61</v>
      </c>
      <c r="I2544" t="s">
        <v>163</v>
      </c>
      <c r="J2544" t="s">
        <v>115</v>
      </c>
      <c r="K2544" t="s">
        <v>137</v>
      </c>
      <c r="L2544">
        <v>2</v>
      </c>
      <c r="M2544">
        <v>5798.1</v>
      </c>
      <c r="N2544">
        <v>0.24</v>
      </c>
      <c r="O2544">
        <v>7334.77</v>
      </c>
      <c r="P2544">
        <v>884.69</v>
      </c>
      <c r="Q2544">
        <v>32.840000000000003</v>
      </c>
      <c r="R2544" t="s">
        <v>49</v>
      </c>
      <c r="S2544">
        <v>3</v>
      </c>
      <c r="T2544" t="b">
        <v>0</v>
      </c>
      <c r="U2544" t="s">
        <v>30</v>
      </c>
      <c r="V2544">
        <v>3</v>
      </c>
    </row>
    <row r="2545" spans="1:22" x14ac:dyDescent="0.25">
      <c r="A2545" t="s">
        <v>5573</v>
      </c>
      <c r="B2545" s="1">
        <v>45032</v>
      </c>
      <c r="C2545" t="s">
        <v>5574</v>
      </c>
      <c r="D2545" t="s">
        <v>685</v>
      </c>
      <c r="E2545">
        <v>25</v>
      </c>
      <c r="F2545" t="str">
        <f>IF(Table1[[#This Row],[age]]&lt;=25,"18-25",IF(Table1[[#This Row],[age]]&lt;=35,"26-35",IF(Table1[[#This Row],[age]]&lt;=50,"36-50","51+")))</f>
        <v>18-25</v>
      </c>
      <c r="G2545" t="s">
        <v>54</v>
      </c>
      <c r="H2545" t="s">
        <v>25</v>
      </c>
      <c r="I2545" t="s">
        <v>35</v>
      </c>
      <c r="J2545" t="s">
        <v>27</v>
      </c>
      <c r="K2545" t="s">
        <v>480</v>
      </c>
      <c r="L2545">
        <v>3</v>
      </c>
      <c r="M2545">
        <v>188.54</v>
      </c>
      <c r="N2545">
        <v>0.35</v>
      </c>
      <c r="O2545">
        <v>430.94</v>
      </c>
      <c r="P2545">
        <v>225.45</v>
      </c>
      <c r="Q2545">
        <v>38.36</v>
      </c>
      <c r="R2545" t="s">
        <v>43</v>
      </c>
      <c r="S2545">
        <v>1</v>
      </c>
      <c r="T2545" t="b">
        <v>0</v>
      </c>
      <c r="U2545" t="s">
        <v>30</v>
      </c>
      <c r="V2545">
        <v>10</v>
      </c>
    </row>
    <row r="2546" spans="1:22" x14ac:dyDescent="0.25">
      <c r="A2546" t="s">
        <v>5575</v>
      </c>
      <c r="B2546" s="1">
        <v>44290</v>
      </c>
      <c r="C2546" t="s">
        <v>5576</v>
      </c>
      <c r="D2546" t="s">
        <v>2021</v>
      </c>
      <c r="E2546">
        <v>29</v>
      </c>
      <c r="F2546" t="str">
        <f>IF(Table1[[#This Row],[age]]&lt;=25,"18-25",IF(Table1[[#This Row],[age]]&lt;=35,"26-35",IF(Table1[[#This Row],[age]]&lt;=50,"36-50","51+")))</f>
        <v>26-35</v>
      </c>
      <c r="G2546" t="s">
        <v>54</v>
      </c>
      <c r="H2546" t="s">
        <v>69</v>
      </c>
      <c r="I2546" t="s">
        <v>221</v>
      </c>
      <c r="J2546" t="s">
        <v>106</v>
      </c>
      <c r="K2546" t="s">
        <v>107</v>
      </c>
      <c r="L2546">
        <v>3</v>
      </c>
      <c r="M2546">
        <v>458.29</v>
      </c>
      <c r="N2546">
        <v>0.01</v>
      </c>
      <c r="O2546">
        <v>1674.66</v>
      </c>
      <c r="P2546">
        <v>127.44</v>
      </c>
      <c r="Q2546">
        <v>59.96</v>
      </c>
      <c r="R2546" t="s">
        <v>92</v>
      </c>
      <c r="S2546">
        <v>1</v>
      </c>
      <c r="T2546" t="b">
        <v>0</v>
      </c>
      <c r="U2546" t="s">
        <v>30</v>
      </c>
      <c r="V2546">
        <v>2</v>
      </c>
    </row>
    <row r="2547" spans="1:22" x14ac:dyDescent="0.25">
      <c r="A2547" t="s">
        <v>5577</v>
      </c>
      <c r="B2547" s="1">
        <v>43929</v>
      </c>
      <c r="C2547" t="s">
        <v>5578</v>
      </c>
      <c r="D2547" t="s">
        <v>2058</v>
      </c>
      <c r="E2547">
        <v>34</v>
      </c>
      <c r="F2547" t="str">
        <f>IF(Table1[[#This Row],[age]]&lt;=25,"18-25",IF(Table1[[#This Row],[age]]&lt;=35,"26-35",IF(Table1[[#This Row],[age]]&lt;=50,"36-50","51+")))</f>
        <v>26-35</v>
      </c>
      <c r="G2547" t="s">
        <v>24</v>
      </c>
      <c r="H2547" t="s">
        <v>25</v>
      </c>
      <c r="I2547" t="s">
        <v>298</v>
      </c>
      <c r="J2547" t="s">
        <v>47</v>
      </c>
      <c r="K2547" t="s">
        <v>48</v>
      </c>
      <c r="L2547">
        <v>3</v>
      </c>
      <c r="M2547">
        <v>679.81</v>
      </c>
      <c r="N2547">
        <v>0.14000000000000001</v>
      </c>
      <c r="O2547">
        <v>1958.24</v>
      </c>
      <c r="P2547">
        <v>663.49</v>
      </c>
      <c r="Q2547">
        <v>49.8</v>
      </c>
      <c r="R2547" t="s">
        <v>92</v>
      </c>
      <c r="S2547">
        <v>4</v>
      </c>
      <c r="T2547" t="b">
        <v>0</v>
      </c>
      <c r="U2547" t="s">
        <v>30</v>
      </c>
      <c r="V2547">
        <v>3</v>
      </c>
    </row>
    <row r="2548" spans="1:22" x14ac:dyDescent="0.25">
      <c r="A2548" t="s">
        <v>5579</v>
      </c>
      <c r="B2548" s="1">
        <v>45345</v>
      </c>
      <c r="C2548" t="s">
        <v>5580</v>
      </c>
      <c r="D2548" t="s">
        <v>2037</v>
      </c>
      <c r="E2548">
        <v>42</v>
      </c>
      <c r="F2548" t="str">
        <f>IF(Table1[[#This Row],[age]]&lt;=25,"18-25",IF(Table1[[#This Row],[age]]&lt;=35,"26-35",IF(Table1[[#This Row],[age]]&lt;=50,"36-50","51+")))</f>
        <v>36-50</v>
      </c>
      <c r="G2548" t="s">
        <v>34</v>
      </c>
      <c r="H2548" t="s">
        <v>69</v>
      </c>
      <c r="I2548" t="s">
        <v>136</v>
      </c>
      <c r="J2548" t="s">
        <v>63</v>
      </c>
      <c r="K2548" t="s">
        <v>82</v>
      </c>
      <c r="L2548">
        <v>1</v>
      </c>
      <c r="M2548">
        <v>619.66</v>
      </c>
      <c r="N2548">
        <v>0.06</v>
      </c>
      <c r="O2548">
        <v>677.46</v>
      </c>
      <c r="P2548">
        <v>198.49</v>
      </c>
      <c r="Q2548">
        <v>90.84</v>
      </c>
      <c r="R2548" t="s">
        <v>43</v>
      </c>
      <c r="S2548">
        <v>2</v>
      </c>
      <c r="T2548" t="b">
        <v>0</v>
      </c>
      <c r="U2548" t="s">
        <v>30</v>
      </c>
      <c r="V2548">
        <v>1</v>
      </c>
    </row>
    <row r="2549" spans="1:22" x14ac:dyDescent="0.25">
      <c r="A2549" t="s">
        <v>5581</v>
      </c>
      <c r="B2549" s="1">
        <v>45448</v>
      </c>
      <c r="C2549" t="s">
        <v>5582</v>
      </c>
      <c r="D2549" t="s">
        <v>723</v>
      </c>
      <c r="E2549">
        <v>39</v>
      </c>
      <c r="F2549" t="str">
        <f>IF(Table1[[#This Row],[age]]&lt;=25,"18-25",IF(Table1[[#This Row],[age]]&lt;=35,"26-35",IF(Table1[[#This Row],[age]]&lt;=50,"36-50","51+")))</f>
        <v>36-50</v>
      </c>
      <c r="G2549" t="s">
        <v>24</v>
      </c>
      <c r="H2549" t="s">
        <v>80</v>
      </c>
      <c r="I2549" t="s">
        <v>236</v>
      </c>
      <c r="J2549" t="s">
        <v>27</v>
      </c>
      <c r="K2549" t="s">
        <v>335</v>
      </c>
      <c r="L2549">
        <v>1</v>
      </c>
      <c r="M2549">
        <v>2092.15</v>
      </c>
      <c r="N2549">
        <v>0.37</v>
      </c>
      <c r="O2549">
        <v>1997.2</v>
      </c>
      <c r="P2549">
        <v>949.86</v>
      </c>
      <c r="Q2549">
        <v>60.48</v>
      </c>
      <c r="R2549" t="s">
        <v>65</v>
      </c>
      <c r="S2549">
        <v>2</v>
      </c>
      <c r="T2549" t="b">
        <v>1</v>
      </c>
      <c r="U2549" t="s">
        <v>50</v>
      </c>
      <c r="V2549">
        <v>8</v>
      </c>
    </row>
    <row r="2550" spans="1:22" x14ac:dyDescent="0.25">
      <c r="A2550" t="s">
        <v>5583</v>
      </c>
      <c r="B2550" s="1">
        <v>43873</v>
      </c>
      <c r="C2550" t="s">
        <v>5584</v>
      </c>
      <c r="D2550" t="s">
        <v>1215</v>
      </c>
      <c r="E2550">
        <v>33</v>
      </c>
      <c r="F2550" t="str">
        <f>IF(Table1[[#This Row],[age]]&lt;=25,"18-25",IF(Table1[[#This Row],[age]]&lt;=35,"26-35",IF(Table1[[#This Row],[age]]&lt;=50,"36-50","51+")))</f>
        <v>26-35</v>
      </c>
      <c r="G2550" t="s">
        <v>34</v>
      </c>
      <c r="H2550" t="s">
        <v>61</v>
      </c>
      <c r="I2550" t="s">
        <v>141</v>
      </c>
      <c r="J2550" t="s">
        <v>27</v>
      </c>
      <c r="K2550" t="s">
        <v>128</v>
      </c>
      <c r="L2550">
        <v>4</v>
      </c>
      <c r="M2550">
        <v>2389.73</v>
      </c>
      <c r="N2550">
        <v>0.01</v>
      </c>
      <c r="O2550">
        <v>8141.15</v>
      </c>
      <c r="P2550">
        <v>3856.93</v>
      </c>
      <c r="Q2550">
        <v>52.24</v>
      </c>
      <c r="R2550" t="s">
        <v>43</v>
      </c>
      <c r="S2550">
        <v>1</v>
      </c>
      <c r="T2550" t="b">
        <v>1</v>
      </c>
      <c r="U2550" t="s">
        <v>50</v>
      </c>
      <c r="V2550">
        <v>4</v>
      </c>
    </row>
    <row r="2551" spans="1:22" x14ac:dyDescent="0.25">
      <c r="A2551" t="s">
        <v>5585</v>
      </c>
      <c r="B2551" s="1">
        <v>44842</v>
      </c>
      <c r="C2551" t="s">
        <v>5586</v>
      </c>
      <c r="D2551" t="s">
        <v>131</v>
      </c>
      <c r="E2551">
        <v>49</v>
      </c>
      <c r="F2551" t="str">
        <f>IF(Table1[[#This Row],[age]]&lt;=25,"18-25",IF(Table1[[#This Row],[age]]&lt;=35,"26-35",IF(Table1[[#This Row],[age]]&lt;=50,"36-50","51+")))</f>
        <v>36-50</v>
      </c>
      <c r="G2551" t="s">
        <v>54</v>
      </c>
      <c r="H2551" t="s">
        <v>69</v>
      </c>
      <c r="I2551" t="s">
        <v>221</v>
      </c>
      <c r="J2551" t="s">
        <v>63</v>
      </c>
      <c r="K2551" t="s">
        <v>434</v>
      </c>
      <c r="L2551">
        <v>9</v>
      </c>
      <c r="M2551">
        <v>3350.21</v>
      </c>
      <c r="N2551">
        <v>0.13</v>
      </c>
      <c r="O2551">
        <v>25300.71</v>
      </c>
      <c r="P2551">
        <v>10933.1</v>
      </c>
      <c r="Q2551">
        <v>73.040000000000006</v>
      </c>
      <c r="R2551" t="s">
        <v>92</v>
      </c>
      <c r="S2551">
        <v>2</v>
      </c>
      <c r="T2551" t="b">
        <v>0</v>
      </c>
      <c r="U2551" t="s">
        <v>30</v>
      </c>
      <c r="V2551">
        <v>5</v>
      </c>
    </row>
    <row r="2552" spans="1:22" x14ac:dyDescent="0.25">
      <c r="A2552" t="s">
        <v>5587</v>
      </c>
      <c r="B2552" s="1">
        <v>45364</v>
      </c>
      <c r="C2552" t="s">
        <v>5588</v>
      </c>
      <c r="D2552" t="s">
        <v>2333</v>
      </c>
      <c r="E2552">
        <v>40</v>
      </c>
      <c r="F2552" t="str">
        <f>IF(Table1[[#This Row],[age]]&lt;=25,"18-25",IF(Table1[[#This Row],[age]]&lt;=35,"26-35",IF(Table1[[#This Row],[age]]&lt;=50,"36-50","51+")))</f>
        <v>36-50</v>
      </c>
      <c r="G2552" t="s">
        <v>24</v>
      </c>
      <c r="H2552" t="s">
        <v>61</v>
      </c>
      <c r="I2552" t="s">
        <v>91</v>
      </c>
      <c r="J2552" t="s">
        <v>101</v>
      </c>
      <c r="K2552" t="s">
        <v>214</v>
      </c>
      <c r="L2552">
        <v>5</v>
      </c>
      <c r="M2552">
        <v>11392.54</v>
      </c>
      <c r="N2552">
        <v>0.06</v>
      </c>
      <c r="O2552">
        <v>68387.61</v>
      </c>
      <c r="P2552">
        <v>13710.8</v>
      </c>
      <c r="Q2552">
        <v>63.48</v>
      </c>
      <c r="R2552" t="s">
        <v>92</v>
      </c>
      <c r="S2552">
        <v>5</v>
      </c>
      <c r="T2552" t="b">
        <v>0</v>
      </c>
      <c r="U2552" t="s">
        <v>71</v>
      </c>
      <c r="V2552">
        <v>4</v>
      </c>
    </row>
    <row r="2553" spans="1:22" x14ac:dyDescent="0.25">
      <c r="A2553" t="s">
        <v>5589</v>
      </c>
      <c r="B2553" s="1">
        <v>45365</v>
      </c>
      <c r="C2553" t="s">
        <v>5590</v>
      </c>
      <c r="D2553" t="s">
        <v>2420</v>
      </c>
      <c r="E2553">
        <v>49</v>
      </c>
      <c r="F2553" t="str">
        <f>IF(Table1[[#This Row],[age]]&lt;=25,"18-25",IF(Table1[[#This Row],[age]]&lt;=35,"26-35",IF(Table1[[#This Row],[age]]&lt;=50,"36-50","51+")))</f>
        <v>36-50</v>
      </c>
      <c r="G2553" t="s">
        <v>54</v>
      </c>
      <c r="H2553" t="s">
        <v>25</v>
      </c>
      <c r="I2553" t="s">
        <v>26</v>
      </c>
      <c r="J2553" t="s">
        <v>106</v>
      </c>
      <c r="K2553" t="s">
        <v>331</v>
      </c>
      <c r="L2553">
        <v>10</v>
      </c>
      <c r="M2553">
        <v>360.93</v>
      </c>
      <c r="N2553">
        <v>0.14000000000000001</v>
      </c>
      <c r="O2553">
        <v>4159.76</v>
      </c>
      <c r="P2553">
        <v>343.41</v>
      </c>
      <c r="Q2553">
        <v>73.41</v>
      </c>
      <c r="R2553" t="s">
        <v>57</v>
      </c>
      <c r="S2553">
        <v>1</v>
      </c>
      <c r="T2553" t="b">
        <v>0</v>
      </c>
      <c r="U2553" t="s">
        <v>30</v>
      </c>
      <c r="V2553">
        <v>5</v>
      </c>
    </row>
    <row r="2554" spans="1:22" x14ac:dyDescent="0.25">
      <c r="A2554" t="s">
        <v>5591</v>
      </c>
      <c r="B2554" s="1">
        <v>44180</v>
      </c>
      <c r="C2554" t="s">
        <v>5592</v>
      </c>
      <c r="D2554" t="s">
        <v>304</v>
      </c>
      <c r="E2554">
        <v>31</v>
      </c>
      <c r="F2554" t="str">
        <f>IF(Table1[[#This Row],[age]]&lt;=25,"18-25",IF(Table1[[#This Row],[age]]&lt;=35,"26-35",IF(Table1[[#This Row],[age]]&lt;=50,"36-50","51+")))</f>
        <v>26-35</v>
      </c>
      <c r="G2554" t="s">
        <v>54</v>
      </c>
      <c r="H2554" t="s">
        <v>25</v>
      </c>
      <c r="I2554" t="s">
        <v>298</v>
      </c>
      <c r="J2554" t="s">
        <v>36</v>
      </c>
      <c r="K2554" t="s">
        <v>42</v>
      </c>
      <c r="L2554">
        <v>8</v>
      </c>
      <c r="M2554">
        <v>24311.3</v>
      </c>
      <c r="N2554">
        <v>0.16</v>
      </c>
      <c r="O2554">
        <v>113486.89</v>
      </c>
      <c r="P2554">
        <v>33354.080000000002</v>
      </c>
      <c r="Q2554">
        <v>85.08</v>
      </c>
      <c r="R2554" t="s">
        <v>29</v>
      </c>
      <c r="S2554">
        <v>5</v>
      </c>
      <c r="T2554" t="b">
        <v>0</v>
      </c>
      <c r="U2554" t="s">
        <v>30</v>
      </c>
      <c r="V2554">
        <v>6</v>
      </c>
    </row>
    <row r="2555" spans="1:22" x14ac:dyDescent="0.25">
      <c r="A2555" t="s">
        <v>5593</v>
      </c>
      <c r="B2555" s="1">
        <v>45074</v>
      </c>
      <c r="C2555" t="s">
        <v>5594</v>
      </c>
      <c r="D2555" t="s">
        <v>539</v>
      </c>
      <c r="E2555">
        <v>62</v>
      </c>
      <c r="F2555" t="str">
        <f>IF(Table1[[#This Row],[age]]&lt;=25,"18-25",IF(Table1[[#This Row],[age]]&lt;=35,"26-35",IF(Table1[[#This Row],[age]]&lt;=50,"36-50","51+")))</f>
        <v>51+</v>
      </c>
      <c r="G2555" t="s">
        <v>24</v>
      </c>
      <c r="H2555" t="s">
        <v>69</v>
      </c>
      <c r="I2555" t="s">
        <v>136</v>
      </c>
      <c r="J2555" t="s">
        <v>36</v>
      </c>
      <c r="K2555" t="s">
        <v>76</v>
      </c>
      <c r="L2555">
        <v>5</v>
      </c>
      <c r="M2555">
        <v>19873.59</v>
      </c>
      <c r="N2555">
        <v>0.26</v>
      </c>
      <c r="O2555">
        <v>109991.48</v>
      </c>
      <c r="P2555">
        <v>39055.480000000003</v>
      </c>
      <c r="Q2555">
        <v>94.68</v>
      </c>
      <c r="R2555" t="s">
        <v>92</v>
      </c>
      <c r="S2555">
        <v>1</v>
      </c>
      <c r="T2555" t="b">
        <v>0</v>
      </c>
      <c r="U2555" t="s">
        <v>30</v>
      </c>
      <c r="V2555">
        <v>5</v>
      </c>
    </row>
    <row r="2556" spans="1:22" x14ac:dyDescent="0.25">
      <c r="A2556" t="s">
        <v>5595</v>
      </c>
      <c r="B2556" s="1">
        <v>45128</v>
      </c>
      <c r="C2556" t="s">
        <v>5596</v>
      </c>
      <c r="D2556" t="s">
        <v>797</v>
      </c>
      <c r="E2556">
        <v>23</v>
      </c>
      <c r="F2556" t="str">
        <f>IF(Table1[[#This Row],[age]]&lt;=25,"18-25",IF(Table1[[#This Row],[age]]&lt;=35,"26-35",IF(Table1[[#This Row],[age]]&lt;=50,"36-50","51+")))</f>
        <v>18-25</v>
      </c>
      <c r="G2556" t="s">
        <v>24</v>
      </c>
      <c r="H2556" t="s">
        <v>55</v>
      </c>
      <c r="I2556" t="s">
        <v>75</v>
      </c>
      <c r="J2556" t="s">
        <v>115</v>
      </c>
      <c r="K2556" t="s">
        <v>145</v>
      </c>
      <c r="L2556">
        <v>4</v>
      </c>
      <c r="M2556">
        <v>45542.32</v>
      </c>
      <c r="N2556">
        <v>0.34</v>
      </c>
      <c r="O2556">
        <v>140619.38</v>
      </c>
      <c r="P2556">
        <v>17512.78</v>
      </c>
      <c r="Q2556">
        <v>87.15</v>
      </c>
      <c r="R2556" t="s">
        <v>57</v>
      </c>
      <c r="S2556">
        <v>4</v>
      </c>
      <c r="T2556" t="b">
        <v>0</v>
      </c>
      <c r="U2556" t="s">
        <v>30</v>
      </c>
      <c r="V2556">
        <v>6</v>
      </c>
    </row>
    <row r="2557" spans="1:22" x14ac:dyDescent="0.25">
      <c r="A2557" t="s">
        <v>5597</v>
      </c>
      <c r="B2557" s="1">
        <v>45093</v>
      </c>
      <c r="C2557" t="s">
        <v>5598</v>
      </c>
      <c r="D2557" t="s">
        <v>1483</v>
      </c>
      <c r="E2557">
        <v>45</v>
      </c>
      <c r="F2557" t="str">
        <f>IF(Table1[[#This Row],[age]]&lt;=25,"18-25",IF(Table1[[#This Row],[age]]&lt;=35,"26-35",IF(Table1[[#This Row],[age]]&lt;=50,"36-50","51+")))</f>
        <v>36-50</v>
      </c>
      <c r="G2557" t="s">
        <v>54</v>
      </c>
      <c r="H2557" t="s">
        <v>55</v>
      </c>
      <c r="I2557" t="s">
        <v>56</v>
      </c>
      <c r="J2557" t="s">
        <v>63</v>
      </c>
      <c r="K2557" t="s">
        <v>434</v>
      </c>
      <c r="L2557">
        <v>6</v>
      </c>
      <c r="M2557">
        <v>1810.84</v>
      </c>
      <c r="N2557">
        <v>0.19</v>
      </c>
      <c r="O2557">
        <v>14264.78</v>
      </c>
      <c r="P2557">
        <v>6053.77</v>
      </c>
      <c r="Q2557">
        <v>49.04</v>
      </c>
      <c r="R2557" t="s">
        <v>43</v>
      </c>
      <c r="S2557">
        <v>4</v>
      </c>
      <c r="T2557" t="b">
        <v>0</v>
      </c>
      <c r="U2557" t="s">
        <v>30</v>
      </c>
      <c r="V2557">
        <v>8</v>
      </c>
    </row>
    <row r="2558" spans="1:22" x14ac:dyDescent="0.25">
      <c r="A2558" t="s">
        <v>5599</v>
      </c>
      <c r="B2558" s="1">
        <v>45270</v>
      </c>
      <c r="C2558" t="s">
        <v>5600</v>
      </c>
      <c r="D2558" t="s">
        <v>1188</v>
      </c>
      <c r="E2558">
        <v>36</v>
      </c>
      <c r="F2558" t="str">
        <f>IF(Table1[[#This Row],[age]]&lt;=25,"18-25",IF(Table1[[#This Row],[age]]&lt;=35,"26-35",IF(Table1[[#This Row],[age]]&lt;=50,"36-50","51+")))</f>
        <v>36-50</v>
      </c>
      <c r="G2558" t="s">
        <v>24</v>
      </c>
      <c r="H2558" t="s">
        <v>55</v>
      </c>
      <c r="I2558" t="s">
        <v>114</v>
      </c>
      <c r="J2558" t="s">
        <v>47</v>
      </c>
      <c r="K2558" t="s">
        <v>120</v>
      </c>
      <c r="L2558">
        <v>5</v>
      </c>
      <c r="M2558">
        <v>1477.84</v>
      </c>
      <c r="N2558">
        <v>0.14000000000000001</v>
      </c>
      <c r="O2558">
        <v>6011.52</v>
      </c>
      <c r="P2558">
        <v>2592.23</v>
      </c>
      <c r="Q2558">
        <v>63.2</v>
      </c>
      <c r="R2558" t="s">
        <v>92</v>
      </c>
      <c r="S2558">
        <v>3</v>
      </c>
      <c r="T2558" t="b">
        <v>0</v>
      </c>
      <c r="U2558" t="s">
        <v>30</v>
      </c>
      <c r="V2558">
        <v>1</v>
      </c>
    </row>
    <row r="2559" spans="1:22" x14ac:dyDescent="0.25">
      <c r="A2559" t="s">
        <v>5601</v>
      </c>
      <c r="B2559" s="1">
        <v>44967</v>
      </c>
      <c r="C2559" t="s">
        <v>5602</v>
      </c>
      <c r="D2559" t="s">
        <v>871</v>
      </c>
      <c r="E2559">
        <v>39</v>
      </c>
      <c r="F2559" t="str">
        <f>IF(Table1[[#This Row],[age]]&lt;=25,"18-25",IF(Table1[[#This Row],[age]]&lt;=35,"26-35",IF(Table1[[#This Row],[age]]&lt;=50,"36-50","51+")))</f>
        <v>36-50</v>
      </c>
      <c r="G2559" t="s">
        <v>54</v>
      </c>
      <c r="H2559" t="s">
        <v>25</v>
      </c>
      <c r="I2559" t="s">
        <v>298</v>
      </c>
      <c r="J2559" t="s">
        <v>27</v>
      </c>
      <c r="K2559" t="s">
        <v>480</v>
      </c>
      <c r="L2559">
        <v>5</v>
      </c>
      <c r="M2559">
        <v>1976.24</v>
      </c>
      <c r="N2559">
        <v>0.28000000000000003</v>
      </c>
      <c r="O2559">
        <v>7356.77</v>
      </c>
      <c r="P2559">
        <v>2566.15</v>
      </c>
      <c r="Q2559">
        <v>88.96</v>
      </c>
      <c r="R2559" t="s">
        <v>92</v>
      </c>
      <c r="S2559">
        <v>4</v>
      </c>
      <c r="T2559" t="b">
        <v>0</v>
      </c>
      <c r="U2559" t="s">
        <v>93</v>
      </c>
      <c r="V2559">
        <v>9</v>
      </c>
    </row>
    <row r="2560" spans="1:22" x14ac:dyDescent="0.25">
      <c r="A2560" t="s">
        <v>5603</v>
      </c>
      <c r="B2560" s="1">
        <v>43922</v>
      </c>
      <c r="C2560" t="s">
        <v>5604</v>
      </c>
      <c r="D2560" t="s">
        <v>1406</v>
      </c>
      <c r="E2560">
        <v>48</v>
      </c>
      <c r="F2560" t="str">
        <f>IF(Table1[[#This Row],[age]]&lt;=25,"18-25",IF(Table1[[#This Row],[age]]&lt;=35,"26-35",IF(Table1[[#This Row],[age]]&lt;=50,"36-50","51+")))</f>
        <v>36-50</v>
      </c>
      <c r="G2560" t="s">
        <v>54</v>
      </c>
      <c r="H2560" t="s">
        <v>61</v>
      </c>
      <c r="I2560" t="s">
        <v>62</v>
      </c>
      <c r="J2560" t="s">
        <v>63</v>
      </c>
      <c r="K2560" t="s">
        <v>152</v>
      </c>
      <c r="L2560">
        <v>7</v>
      </c>
      <c r="M2560">
        <v>3924.19</v>
      </c>
      <c r="N2560">
        <v>0.02</v>
      </c>
      <c r="O2560">
        <v>29835.57</v>
      </c>
      <c r="P2560">
        <v>10552.45</v>
      </c>
      <c r="Q2560">
        <v>38.119999999999997</v>
      </c>
      <c r="R2560" t="s">
        <v>29</v>
      </c>
      <c r="S2560">
        <v>5</v>
      </c>
      <c r="T2560" t="b">
        <v>0</v>
      </c>
      <c r="U2560" t="s">
        <v>30</v>
      </c>
      <c r="V2560">
        <v>2</v>
      </c>
    </row>
    <row r="2561" spans="1:22" x14ac:dyDescent="0.25">
      <c r="A2561" t="s">
        <v>5605</v>
      </c>
      <c r="B2561" s="1">
        <v>45546</v>
      </c>
      <c r="C2561" t="s">
        <v>5606</v>
      </c>
      <c r="D2561" t="s">
        <v>1359</v>
      </c>
      <c r="E2561">
        <v>42</v>
      </c>
      <c r="F2561" t="str">
        <f>IF(Table1[[#This Row],[age]]&lt;=25,"18-25",IF(Table1[[#This Row],[age]]&lt;=35,"26-35",IF(Table1[[#This Row],[age]]&lt;=50,"36-50","51+")))</f>
        <v>36-50</v>
      </c>
      <c r="G2561" t="s">
        <v>34</v>
      </c>
      <c r="H2561" t="s">
        <v>55</v>
      </c>
      <c r="I2561" t="s">
        <v>114</v>
      </c>
      <c r="J2561" t="s">
        <v>36</v>
      </c>
      <c r="K2561" t="s">
        <v>76</v>
      </c>
      <c r="L2561">
        <v>10</v>
      </c>
      <c r="M2561">
        <v>28835.81</v>
      </c>
      <c r="N2561">
        <v>0.22</v>
      </c>
      <c r="O2561">
        <v>303195.21999999997</v>
      </c>
      <c r="P2561">
        <v>85826.18</v>
      </c>
      <c r="Q2561">
        <v>55.16</v>
      </c>
      <c r="R2561" t="s">
        <v>65</v>
      </c>
      <c r="S2561">
        <v>2</v>
      </c>
      <c r="T2561" t="b">
        <v>1</v>
      </c>
      <c r="U2561" t="s">
        <v>50</v>
      </c>
      <c r="V2561">
        <v>3</v>
      </c>
    </row>
    <row r="2562" spans="1:22" x14ac:dyDescent="0.25">
      <c r="A2562" t="s">
        <v>5607</v>
      </c>
      <c r="B2562" s="1">
        <v>45011</v>
      </c>
      <c r="C2562" t="s">
        <v>5608</v>
      </c>
      <c r="D2562" t="s">
        <v>440</v>
      </c>
      <c r="E2562">
        <v>41</v>
      </c>
      <c r="F2562" t="str">
        <f>IF(Table1[[#This Row],[age]]&lt;=25,"18-25",IF(Table1[[#This Row],[age]]&lt;=35,"26-35",IF(Table1[[#This Row],[age]]&lt;=50,"36-50","51+")))</f>
        <v>36-50</v>
      </c>
      <c r="G2562" t="s">
        <v>24</v>
      </c>
      <c r="H2562" t="s">
        <v>69</v>
      </c>
      <c r="I2562" t="s">
        <v>221</v>
      </c>
      <c r="J2562" t="s">
        <v>115</v>
      </c>
      <c r="K2562" t="s">
        <v>137</v>
      </c>
      <c r="L2562">
        <v>10</v>
      </c>
      <c r="M2562">
        <v>66216.179999999993</v>
      </c>
      <c r="N2562">
        <v>0.12</v>
      </c>
      <c r="O2562">
        <v>680923.78</v>
      </c>
      <c r="P2562">
        <v>34980.089999999997</v>
      </c>
      <c r="Q2562">
        <v>97.06</v>
      </c>
      <c r="R2562" t="s">
        <v>49</v>
      </c>
      <c r="S2562">
        <v>4</v>
      </c>
      <c r="T2562" t="b">
        <v>0</v>
      </c>
      <c r="U2562" t="s">
        <v>30</v>
      </c>
      <c r="V2562">
        <v>5</v>
      </c>
    </row>
    <row r="2563" spans="1:22" x14ac:dyDescent="0.25">
      <c r="A2563" t="s">
        <v>5609</v>
      </c>
      <c r="B2563" s="1">
        <v>44631</v>
      </c>
      <c r="C2563" t="s">
        <v>5610</v>
      </c>
      <c r="D2563" t="s">
        <v>159</v>
      </c>
      <c r="E2563">
        <v>44</v>
      </c>
      <c r="F2563" t="str">
        <f>IF(Table1[[#This Row],[age]]&lt;=25,"18-25",IF(Table1[[#This Row],[age]]&lt;=35,"26-35",IF(Table1[[#This Row],[age]]&lt;=50,"36-50","51+")))</f>
        <v>36-50</v>
      </c>
      <c r="G2563" t="s">
        <v>34</v>
      </c>
      <c r="H2563" t="s">
        <v>55</v>
      </c>
      <c r="I2563" t="s">
        <v>114</v>
      </c>
      <c r="J2563" t="s">
        <v>115</v>
      </c>
      <c r="K2563" t="s">
        <v>545</v>
      </c>
      <c r="L2563">
        <v>7</v>
      </c>
      <c r="M2563">
        <v>73496.399999999994</v>
      </c>
      <c r="N2563">
        <v>0.28999999999999998</v>
      </c>
      <c r="O2563">
        <v>393016.21</v>
      </c>
      <c r="P2563">
        <v>42248.31</v>
      </c>
      <c r="Q2563">
        <v>47.62</v>
      </c>
      <c r="R2563" t="s">
        <v>43</v>
      </c>
      <c r="S2563">
        <v>2</v>
      </c>
      <c r="T2563" t="b">
        <v>0</v>
      </c>
      <c r="U2563" t="s">
        <v>30</v>
      </c>
      <c r="V2563">
        <v>9</v>
      </c>
    </row>
    <row r="2564" spans="1:22" x14ac:dyDescent="0.25">
      <c r="A2564" t="s">
        <v>5611</v>
      </c>
      <c r="B2564" s="1">
        <v>44534</v>
      </c>
      <c r="C2564" t="s">
        <v>5612</v>
      </c>
      <c r="D2564" t="s">
        <v>1901</v>
      </c>
      <c r="E2564">
        <v>26</v>
      </c>
      <c r="F2564" t="str">
        <f>IF(Table1[[#This Row],[age]]&lt;=25,"18-25",IF(Table1[[#This Row],[age]]&lt;=35,"26-35",IF(Table1[[#This Row],[age]]&lt;=50,"36-50","51+")))</f>
        <v>26-35</v>
      </c>
      <c r="G2564" t="s">
        <v>34</v>
      </c>
      <c r="H2564" t="s">
        <v>80</v>
      </c>
      <c r="I2564" t="s">
        <v>81</v>
      </c>
      <c r="J2564" t="s">
        <v>101</v>
      </c>
      <c r="K2564" t="s">
        <v>164</v>
      </c>
      <c r="L2564">
        <v>7</v>
      </c>
      <c r="M2564">
        <v>8356.94</v>
      </c>
      <c r="N2564">
        <v>0.39</v>
      </c>
      <c r="O2564">
        <v>24580.36</v>
      </c>
      <c r="P2564">
        <v>5738.36</v>
      </c>
      <c r="Q2564">
        <v>56.15</v>
      </c>
      <c r="R2564" t="s">
        <v>92</v>
      </c>
      <c r="S2564">
        <v>5</v>
      </c>
      <c r="T2564" t="b">
        <v>0</v>
      </c>
      <c r="U2564" t="s">
        <v>30</v>
      </c>
      <c r="V2564">
        <v>2</v>
      </c>
    </row>
    <row r="2565" spans="1:22" x14ac:dyDescent="0.25">
      <c r="A2565" t="s">
        <v>5613</v>
      </c>
      <c r="B2565" s="1">
        <v>44960</v>
      </c>
      <c r="C2565" t="s">
        <v>5614</v>
      </c>
      <c r="D2565" t="s">
        <v>695</v>
      </c>
      <c r="E2565">
        <v>40</v>
      </c>
      <c r="F2565" t="str">
        <f>IF(Table1[[#This Row],[age]]&lt;=25,"18-25",IF(Table1[[#This Row],[age]]&lt;=35,"26-35",IF(Table1[[#This Row],[age]]&lt;=50,"36-50","51+")))</f>
        <v>36-50</v>
      </c>
      <c r="G2565" t="s">
        <v>54</v>
      </c>
      <c r="H2565" t="s">
        <v>80</v>
      </c>
      <c r="I2565" t="s">
        <v>242</v>
      </c>
      <c r="J2565" t="s">
        <v>47</v>
      </c>
      <c r="K2565" t="s">
        <v>48</v>
      </c>
      <c r="L2565">
        <v>1</v>
      </c>
      <c r="M2565">
        <v>355.01</v>
      </c>
      <c r="N2565">
        <v>0.23</v>
      </c>
      <c r="O2565">
        <v>284.02</v>
      </c>
      <c r="P2565">
        <v>130.5</v>
      </c>
      <c r="Q2565">
        <v>51.82</v>
      </c>
      <c r="R2565" t="s">
        <v>43</v>
      </c>
      <c r="S2565">
        <v>1</v>
      </c>
      <c r="T2565" t="b">
        <v>0</v>
      </c>
      <c r="U2565" t="s">
        <v>30</v>
      </c>
      <c r="V2565">
        <v>7</v>
      </c>
    </row>
    <row r="2566" spans="1:22" x14ac:dyDescent="0.25">
      <c r="A2566" t="s">
        <v>5615</v>
      </c>
      <c r="B2566" s="1">
        <v>44371</v>
      </c>
      <c r="C2566" t="s">
        <v>5616</v>
      </c>
      <c r="D2566" t="s">
        <v>440</v>
      </c>
      <c r="E2566">
        <v>39</v>
      </c>
      <c r="F2566" t="str">
        <f>IF(Table1[[#This Row],[age]]&lt;=25,"18-25",IF(Table1[[#This Row],[age]]&lt;=35,"26-35",IF(Table1[[#This Row],[age]]&lt;=50,"36-50","51+")))</f>
        <v>36-50</v>
      </c>
      <c r="G2566" t="s">
        <v>34</v>
      </c>
      <c r="H2566" t="s">
        <v>25</v>
      </c>
      <c r="I2566" t="s">
        <v>35</v>
      </c>
      <c r="J2566" t="s">
        <v>27</v>
      </c>
      <c r="K2566" t="s">
        <v>480</v>
      </c>
      <c r="L2566">
        <v>7</v>
      </c>
      <c r="M2566">
        <v>1377.5</v>
      </c>
      <c r="N2566">
        <v>0.18</v>
      </c>
      <c r="O2566">
        <v>9978.14</v>
      </c>
      <c r="P2566">
        <v>3493.6</v>
      </c>
      <c r="Q2566">
        <v>34.58</v>
      </c>
      <c r="R2566" t="s">
        <v>43</v>
      </c>
      <c r="S2566">
        <v>4</v>
      </c>
      <c r="T2566" t="b">
        <v>0</v>
      </c>
      <c r="U2566" t="s">
        <v>30</v>
      </c>
      <c r="V2566">
        <v>6</v>
      </c>
    </row>
    <row r="2567" spans="1:22" x14ac:dyDescent="0.25">
      <c r="A2567" t="s">
        <v>5617</v>
      </c>
      <c r="B2567" s="1">
        <v>44038</v>
      </c>
      <c r="C2567" t="s">
        <v>5618</v>
      </c>
      <c r="D2567" t="s">
        <v>1066</v>
      </c>
      <c r="E2567">
        <v>47</v>
      </c>
      <c r="F2567" t="str">
        <f>IF(Table1[[#This Row],[age]]&lt;=25,"18-25",IF(Table1[[#This Row],[age]]&lt;=35,"26-35",IF(Table1[[#This Row],[age]]&lt;=50,"36-50","51+")))</f>
        <v>36-50</v>
      </c>
      <c r="G2567" t="s">
        <v>34</v>
      </c>
      <c r="H2567" t="s">
        <v>69</v>
      </c>
      <c r="I2567" t="s">
        <v>70</v>
      </c>
      <c r="J2567" t="s">
        <v>47</v>
      </c>
      <c r="K2567" t="s">
        <v>120</v>
      </c>
      <c r="L2567">
        <v>8</v>
      </c>
      <c r="M2567">
        <v>744.9</v>
      </c>
      <c r="N2567">
        <v>0.28000000000000003</v>
      </c>
      <c r="O2567">
        <v>6083.41</v>
      </c>
      <c r="P2567">
        <v>2337.37</v>
      </c>
      <c r="Q2567">
        <v>84.44</v>
      </c>
      <c r="R2567" t="s">
        <v>29</v>
      </c>
      <c r="S2567">
        <v>2</v>
      </c>
      <c r="T2567" t="b">
        <v>0</v>
      </c>
      <c r="U2567" t="s">
        <v>30</v>
      </c>
      <c r="V2567">
        <v>100</v>
      </c>
    </row>
    <row r="2568" spans="1:22" x14ac:dyDescent="0.25">
      <c r="A2568" t="s">
        <v>5619</v>
      </c>
      <c r="B2568" s="1">
        <v>45562</v>
      </c>
      <c r="C2568" t="s">
        <v>5620</v>
      </c>
      <c r="D2568" t="s">
        <v>767</v>
      </c>
      <c r="E2568">
        <v>30</v>
      </c>
      <c r="F2568" t="str">
        <f>IF(Table1[[#This Row],[age]]&lt;=25,"18-25",IF(Table1[[#This Row],[age]]&lt;=35,"26-35",IF(Table1[[#This Row],[age]]&lt;=50,"36-50","51+")))</f>
        <v>26-35</v>
      </c>
      <c r="G2568" t="s">
        <v>24</v>
      </c>
      <c r="H2568" t="s">
        <v>55</v>
      </c>
      <c r="I2568" t="s">
        <v>56</v>
      </c>
      <c r="J2568" t="s">
        <v>115</v>
      </c>
      <c r="K2568" t="s">
        <v>145</v>
      </c>
      <c r="L2568">
        <v>8</v>
      </c>
      <c r="M2568">
        <v>62831.199999999997</v>
      </c>
      <c r="N2568">
        <v>0.12</v>
      </c>
      <c r="O2568">
        <v>537551.85</v>
      </c>
      <c r="P2568">
        <v>74470.320000000007</v>
      </c>
      <c r="Q2568">
        <v>76.77</v>
      </c>
      <c r="R2568" t="s">
        <v>57</v>
      </c>
      <c r="S2568">
        <v>3</v>
      </c>
      <c r="T2568" t="b">
        <v>0</v>
      </c>
      <c r="U2568" t="s">
        <v>30</v>
      </c>
      <c r="V2568">
        <v>3</v>
      </c>
    </row>
    <row r="2569" spans="1:22" x14ac:dyDescent="0.25">
      <c r="A2569" t="s">
        <v>5621</v>
      </c>
      <c r="B2569" s="1">
        <v>44223</v>
      </c>
      <c r="C2569" t="s">
        <v>5622</v>
      </c>
      <c r="D2569" t="s">
        <v>789</v>
      </c>
      <c r="E2569">
        <v>20</v>
      </c>
      <c r="F2569" t="str">
        <f>IF(Table1[[#This Row],[age]]&lt;=25,"18-25",IF(Table1[[#This Row],[age]]&lt;=35,"26-35",IF(Table1[[#This Row],[age]]&lt;=50,"36-50","51+")))</f>
        <v>18-25</v>
      </c>
      <c r="G2569" t="s">
        <v>54</v>
      </c>
      <c r="H2569" t="s">
        <v>55</v>
      </c>
      <c r="I2569" t="s">
        <v>56</v>
      </c>
      <c r="J2569" t="s">
        <v>115</v>
      </c>
      <c r="K2569" t="s">
        <v>116</v>
      </c>
      <c r="L2569">
        <v>9</v>
      </c>
      <c r="M2569">
        <v>25178.31</v>
      </c>
      <c r="N2569">
        <v>0.33</v>
      </c>
      <c r="O2569">
        <v>123701.67</v>
      </c>
      <c r="P2569">
        <v>15332.75</v>
      </c>
      <c r="Q2569">
        <v>39.549999999999997</v>
      </c>
      <c r="R2569" t="s">
        <v>29</v>
      </c>
      <c r="S2569">
        <v>4</v>
      </c>
      <c r="T2569" t="b">
        <v>0</v>
      </c>
      <c r="U2569" t="s">
        <v>30</v>
      </c>
      <c r="V2569">
        <v>5</v>
      </c>
    </row>
    <row r="2570" spans="1:22" x14ac:dyDescent="0.25">
      <c r="A2570" t="s">
        <v>5623</v>
      </c>
      <c r="B2570" s="1">
        <v>43859</v>
      </c>
      <c r="C2570" t="s">
        <v>5624</v>
      </c>
      <c r="D2570" t="s">
        <v>904</v>
      </c>
      <c r="E2570">
        <v>63</v>
      </c>
      <c r="F2570" t="str">
        <f>IF(Table1[[#This Row],[age]]&lt;=25,"18-25",IF(Table1[[#This Row],[age]]&lt;=35,"26-35",IF(Table1[[#This Row],[age]]&lt;=50,"36-50","51+")))</f>
        <v>51+</v>
      </c>
      <c r="G2570" t="s">
        <v>54</v>
      </c>
      <c r="H2570" t="s">
        <v>55</v>
      </c>
      <c r="I2570" t="s">
        <v>75</v>
      </c>
      <c r="J2570" t="s">
        <v>63</v>
      </c>
      <c r="K2570" t="s">
        <v>434</v>
      </c>
      <c r="L2570">
        <v>8</v>
      </c>
      <c r="M2570">
        <v>2567.5300000000002</v>
      </c>
      <c r="N2570">
        <v>0.19</v>
      </c>
      <c r="O2570">
        <v>11109.98</v>
      </c>
      <c r="P2570">
        <v>3121.39</v>
      </c>
      <c r="Q2570">
        <v>65.38</v>
      </c>
      <c r="R2570" t="s">
        <v>57</v>
      </c>
      <c r="S2570">
        <v>3</v>
      </c>
      <c r="T2570" t="b">
        <v>0</v>
      </c>
      <c r="U2570" t="s">
        <v>30</v>
      </c>
      <c r="V2570">
        <v>2</v>
      </c>
    </row>
    <row r="2571" spans="1:22" x14ac:dyDescent="0.25">
      <c r="A2571" t="s">
        <v>5625</v>
      </c>
      <c r="B2571" s="1">
        <v>44919</v>
      </c>
      <c r="C2571" t="s">
        <v>5626</v>
      </c>
      <c r="D2571" t="s">
        <v>1215</v>
      </c>
      <c r="E2571">
        <v>27</v>
      </c>
      <c r="F2571" t="str">
        <f>IF(Table1[[#This Row],[age]]&lt;=25,"18-25",IF(Table1[[#This Row],[age]]&lt;=35,"26-35",IF(Table1[[#This Row],[age]]&lt;=50,"36-50","51+")))</f>
        <v>26-35</v>
      </c>
      <c r="G2571" t="s">
        <v>24</v>
      </c>
      <c r="H2571" t="s">
        <v>80</v>
      </c>
      <c r="I2571" t="s">
        <v>86</v>
      </c>
      <c r="J2571" t="s">
        <v>101</v>
      </c>
      <c r="K2571" t="s">
        <v>102</v>
      </c>
      <c r="L2571">
        <v>4</v>
      </c>
      <c r="M2571">
        <v>10900.56</v>
      </c>
      <c r="N2571">
        <v>0.12</v>
      </c>
      <c r="O2571">
        <v>31965.58</v>
      </c>
      <c r="P2571">
        <v>6315.42</v>
      </c>
      <c r="Q2571">
        <v>80.650000000000006</v>
      </c>
      <c r="R2571" t="s">
        <v>65</v>
      </c>
      <c r="S2571">
        <v>4</v>
      </c>
      <c r="T2571" t="b">
        <v>0</v>
      </c>
      <c r="U2571" t="s">
        <v>30</v>
      </c>
      <c r="V2571">
        <v>4</v>
      </c>
    </row>
    <row r="2572" spans="1:22" x14ac:dyDescent="0.25">
      <c r="A2572" t="s">
        <v>5627</v>
      </c>
      <c r="B2572" s="1">
        <v>44844</v>
      </c>
      <c r="C2572" t="s">
        <v>5628</v>
      </c>
      <c r="D2572" t="s">
        <v>167</v>
      </c>
      <c r="E2572">
        <v>24</v>
      </c>
      <c r="F2572" t="str">
        <f>IF(Table1[[#This Row],[age]]&lt;=25,"18-25",IF(Table1[[#This Row],[age]]&lt;=35,"26-35",IF(Table1[[#This Row],[age]]&lt;=50,"36-50","51+")))</f>
        <v>18-25</v>
      </c>
      <c r="G2572" t="s">
        <v>34</v>
      </c>
      <c r="H2572" t="s">
        <v>55</v>
      </c>
      <c r="I2572" t="s">
        <v>97</v>
      </c>
      <c r="J2572" t="s">
        <v>36</v>
      </c>
      <c r="K2572" t="s">
        <v>76</v>
      </c>
      <c r="L2572">
        <v>3</v>
      </c>
      <c r="M2572">
        <v>33100.17</v>
      </c>
      <c r="N2572">
        <v>0.31</v>
      </c>
      <c r="O2572">
        <v>61633.54</v>
      </c>
      <c r="P2572">
        <v>15026.15</v>
      </c>
      <c r="Q2572">
        <v>64.31</v>
      </c>
      <c r="R2572" t="s">
        <v>65</v>
      </c>
      <c r="S2572">
        <v>2</v>
      </c>
      <c r="T2572" t="b">
        <v>1</v>
      </c>
      <c r="U2572" t="s">
        <v>50</v>
      </c>
      <c r="V2572">
        <v>8</v>
      </c>
    </row>
    <row r="2573" spans="1:22" x14ac:dyDescent="0.25">
      <c r="A2573" t="s">
        <v>5629</v>
      </c>
      <c r="B2573" s="1">
        <v>45518</v>
      </c>
      <c r="C2573" t="s">
        <v>5630</v>
      </c>
      <c r="D2573" t="s">
        <v>923</v>
      </c>
      <c r="E2573">
        <v>19</v>
      </c>
      <c r="F2573" t="str">
        <f>IF(Table1[[#This Row],[age]]&lt;=25,"18-25",IF(Table1[[#This Row],[age]]&lt;=35,"26-35",IF(Table1[[#This Row],[age]]&lt;=50,"36-50","51+")))</f>
        <v>18-25</v>
      </c>
      <c r="G2573" t="s">
        <v>24</v>
      </c>
      <c r="H2573" t="s">
        <v>69</v>
      </c>
      <c r="I2573" t="s">
        <v>70</v>
      </c>
      <c r="J2573" t="s">
        <v>47</v>
      </c>
      <c r="K2573" t="s">
        <v>204</v>
      </c>
      <c r="L2573">
        <v>9</v>
      </c>
      <c r="M2573">
        <v>1454.46</v>
      </c>
      <c r="N2573">
        <v>0.33</v>
      </c>
      <c r="O2573">
        <v>12482.39</v>
      </c>
      <c r="P2573">
        <v>4160.5600000000004</v>
      </c>
      <c r="Q2573">
        <v>105.23</v>
      </c>
      <c r="R2573" t="s">
        <v>29</v>
      </c>
      <c r="S2573">
        <v>3</v>
      </c>
      <c r="T2573" t="b">
        <v>0</v>
      </c>
      <c r="U2573" t="s">
        <v>93</v>
      </c>
      <c r="V2573">
        <v>1</v>
      </c>
    </row>
    <row r="2574" spans="1:22" x14ac:dyDescent="0.25">
      <c r="A2574" t="s">
        <v>5631</v>
      </c>
      <c r="B2574" s="1">
        <v>43990</v>
      </c>
      <c r="C2574" t="s">
        <v>5632</v>
      </c>
      <c r="D2574" t="s">
        <v>3214</v>
      </c>
      <c r="E2574">
        <v>19</v>
      </c>
      <c r="F2574" t="str">
        <f>IF(Table1[[#This Row],[age]]&lt;=25,"18-25",IF(Table1[[#This Row],[age]]&lt;=35,"26-35",IF(Table1[[#This Row],[age]]&lt;=50,"36-50","51+")))</f>
        <v>18-25</v>
      </c>
      <c r="G2574" t="s">
        <v>24</v>
      </c>
      <c r="H2574" t="s">
        <v>80</v>
      </c>
      <c r="I2574" t="s">
        <v>242</v>
      </c>
      <c r="J2574" t="s">
        <v>115</v>
      </c>
      <c r="K2574" t="s">
        <v>116</v>
      </c>
      <c r="L2574">
        <v>9</v>
      </c>
      <c r="M2574">
        <v>29863.15</v>
      </c>
      <c r="N2574">
        <v>0.39</v>
      </c>
      <c r="O2574">
        <v>224550.81</v>
      </c>
      <c r="P2574">
        <v>26498.37</v>
      </c>
      <c r="Q2574">
        <v>80.91</v>
      </c>
      <c r="R2574" t="s">
        <v>43</v>
      </c>
      <c r="S2574">
        <v>2</v>
      </c>
      <c r="T2574" t="b">
        <v>0</v>
      </c>
      <c r="U2574" t="s">
        <v>30</v>
      </c>
      <c r="V2574">
        <v>8</v>
      </c>
    </row>
    <row r="2575" spans="1:22" x14ac:dyDescent="0.25">
      <c r="A2575" t="s">
        <v>5633</v>
      </c>
      <c r="B2575" s="1">
        <v>44552</v>
      </c>
      <c r="C2575" t="s">
        <v>5634</v>
      </c>
      <c r="D2575" t="s">
        <v>159</v>
      </c>
      <c r="E2575">
        <v>27</v>
      </c>
      <c r="F2575" t="str">
        <f>IF(Table1[[#This Row],[age]]&lt;=25,"18-25",IF(Table1[[#This Row],[age]]&lt;=35,"26-35",IF(Table1[[#This Row],[age]]&lt;=50,"36-50","51+")))</f>
        <v>26-35</v>
      </c>
      <c r="G2575" t="s">
        <v>54</v>
      </c>
      <c r="H2575" t="s">
        <v>61</v>
      </c>
      <c r="I2575" t="s">
        <v>62</v>
      </c>
      <c r="J2575" t="s">
        <v>36</v>
      </c>
      <c r="K2575" t="s">
        <v>76</v>
      </c>
      <c r="L2575">
        <v>4</v>
      </c>
      <c r="M2575">
        <v>17068.97</v>
      </c>
      <c r="N2575">
        <v>0.24</v>
      </c>
      <c r="O2575">
        <v>42127.94</v>
      </c>
      <c r="P2575">
        <v>13207.2</v>
      </c>
      <c r="Q2575">
        <v>37.21</v>
      </c>
      <c r="R2575" t="s">
        <v>29</v>
      </c>
      <c r="S2575">
        <v>4</v>
      </c>
      <c r="T2575" t="b">
        <v>0</v>
      </c>
      <c r="U2575" t="s">
        <v>30</v>
      </c>
      <c r="V2575">
        <v>1</v>
      </c>
    </row>
    <row r="2576" spans="1:22" x14ac:dyDescent="0.25">
      <c r="A2576" t="s">
        <v>5635</v>
      </c>
      <c r="B2576" s="1">
        <v>44505</v>
      </c>
      <c r="C2576" t="s">
        <v>5636</v>
      </c>
      <c r="D2576" t="s">
        <v>3675</v>
      </c>
      <c r="E2576">
        <v>39</v>
      </c>
      <c r="F2576" t="str">
        <f>IF(Table1[[#This Row],[age]]&lt;=25,"18-25",IF(Table1[[#This Row],[age]]&lt;=35,"26-35",IF(Table1[[#This Row],[age]]&lt;=50,"36-50","51+")))</f>
        <v>36-50</v>
      </c>
      <c r="G2576" t="s">
        <v>24</v>
      </c>
      <c r="H2576" t="s">
        <v>80</v>
      </c>
      <c r="I2576" t="s">
        <v>236</v>
      </c>
      <c r="J2576" t="s">
        <v>47</v>
      </c>
      <c r="K2576" t="s">
        <v>272</v>
      </c>
      <c r="L2576">
        <v>5</v>
      </c>
      <c r="M2576">
        <v>550.42999999999995</v>
      </c>
      <c r="N2576">
        <v>0.3</v>
      </c>
      <c r="O2576">
        <v>1613.4</v>
      </c>
      <c r="P2576">
        <v>832.54</v>
      </c>
      <c r="Q2576">
        <v>75.819999999999993</v>
      </c>
      <c r="R2576" t="s">
        <v>65</v>
      </c>
      <c r="S2576">
        <v>2</v>
      </c>
      <c r="T2576" t="b">
        <v>0</v>
      </c>
      <c r="U2576" t="s">
        <v>30</v>
      </c>
      <c r="V2576">
        <v>9</v>
      </c>
    </row>
    <row r="2577" spans="1:22" x14ac:dyDescent="0.25">
      <c r="A2577" t="s">
        <v>5637</v>
      </c>
      <c r="B2577" s="1">
        <v>43903</v>
      </c>
      <c r="C2577" t="s">
        <v>5638</v>
      </c>
      <c r="D2577" t="s">
        <v>1782</v>
      </c>
      <c r="E2577">
        <v>25</v>
      </c>
      <c r="F2577" t="str">
        <f>IF(Table1[[#This Row],[age]]&lt;=25,"18-25",IF(Table1[[#This Row],[age]]&lt;=35,"26-35",IF(Table1[[#This Row],[age]]&lt;=50,"36-50","51+")))</f>
        <v>18-25</v>
      </c>
      <c r="G2577" t="s">
        <v>24</v>
      </c>
      <c r="H2577" t="s">
        <v>69</v>
      </c>
      <c r="I2577" t="s">
        <v>181</v>
      </c>
      <c r="J2577" t="s">
        <v>115</v>
      </c>
      <c r="K2577" t="s">
        <v>137</v>
      </c>
      <c r="L2577">
        <v>3</v>
      </c>
      <c r="M2577">
        <v>21835.15</v>
      </c>
      <c r="N2577">
        <v>0.3</v>
      </c>
      <c r="O2577">
        <v>48564.04</v>
      </c>
      <c r="P2577">
        <v>6796.88</v>
      </c>
      <c r="Q2577">
        <v>108.99</v>
      </c>
      <c r="R2577" t="s">
        <v>92</v>
      </c>
      <c r="S2577">
        <v>1</v>
      </c>
      <c r="T2577" t="b">
        <v>1</v>
      </c>
      <c r="U2577" t="s">
        <v>50</v>
      </c>
      <c r="V2577">
        <v>3</v>
      </c>
    </row>
    <row r="2578" spans="1:22" x14ac:dyDescent="0.25">
      <c r="A2578" t="s">
        <v>5639</v>
      </c>
      <c r="B2578" s="1">
        <v>45452</v>
      </c>
      <c r="C2578" t="s">
        <v>5640</v>
      </c>
      <c r="D2578" t="s">
        <v>970</v>
      </c>
      <c r="E2578">
        <v>44</v>
      </c>
      <c r="F2578" t="str">
        <f>IF(Table1[[#This Row],[age]]&lt;=25,"18-25",IF(Table1[[#This Row],[age]]&lt;=35,"26-35",IF(Table1[[#This Row],[age]]&lt;=50,"36-50","51+")))</f>
        <v>36-50</v>
      </c>
      <c r="G2578" t="s">
        <v>54</v>
      </c>
      <c r="H2578" t="s">
        <v>25</v>
      </c>
      <c r="I2578" t="s">
        <v>298</v>
      </c>
      <c r="J2578" t="s">
        <v>63</v>
      </c>
      <c r="K2578" t="s">
        <v>111</v>
      </c>
      <c r="L2578">
        <v>6</v>
      </c>
      <c r="M2578">
        <v>3390.52</v>
      </c>
      <c r="N2578">
        <v>0.34</v>
      </c>
      <c r="O2578">
        <v>23183.14</v>
      </c>
      <c r="P2578">
        <v>7689.47</v>
      </c>
      <c r="Q2578">
        <v>53.24</v>
      </c>
      <c r="R2578" t="s">
        <v>43</v>
      </c>
      <c r="S2578">
        <v>1</v>
      </c>
      <c r="T2578" t="b">
        <v>0</v>
      </c>
      <c r="U2578" t="s">
        <v>30</v>
      </c>
      <c r="V2578">
        <v>6</v>
      </c>
    </row>
    <row r="2579" spans="1:22" x14ac:dyDescent="0.25">
      <c r="A2579" t="s">
        <v>5641</v>
      </c>
      <c r="B2579" s="1">
        <v>45524</v>
      </c>
      <c r="C2579" t="s">
        <v>5642</v>
      </c>
      <c r="D2579" t="s">
        <v>1647</v>
      </c>
      <c r="E2579">
        <v>47</v>
      </c>
      <c r="F2579" t="str">
        <f>IF(Table1[[#This Row],[age]]&lt;=25,"18-25",IF(Table1[[#This Row],[age]]&lt;=35,"26-35",IF(Table1[[#This Row],[age]]&lt;=50,"36-50","51+")))</f>
        <v>36-50</v>
      </c>
      <c r="G2579" t="s">
        <v>24</v>
      </c>
      <c r="H2579" t="s">
        <v>61</v>
      </c>
      <c r="I2579" t="s">
        <v>62</v>
      </c>
      <c r="J2579" t="s">
        <v>63</v>
      </c>
      <c r="K2579" t="s">
        <v>82</v>
      </c>
      <c r="L2579">
        <v>10</v>
      </c>
      <c r="M2579">
        <v>3414.65</v>
      </c>
      <c r="N2579">
        <v>0.11</v>
      </c>
      <c r="O2579">
        <v>46633.37</v>
      </c>
      <c r="P2579">
        <v>16823.060000000001</v>
      </c>
      <c r="Q2579">
        <v>54.44</v>
      </c>
      <c r="R2579" t="s">
        <v>29</v>
      </c>
      <c r="S2579">
        <v>1</v>
      </c>
      <c r="T2579" t="b">
        <v>0</v>
      </c>
      <c r="U2579" t="s">
        <v>30</v>
      </c>
      <c r="V2579">
        <v>4</v>
      </c>
    </row>
    <row r="2580" spans="1:22" x14ac:dyDescent="0.25">
      <c r="A2580" t="s">
        <v>5643</v>
      </c>
      <c r="B2580" s="1">
        <v>44228</v>
      </c>
      <c r="C2580" t="s">
        <v>5644</v>
      </c>
      <c r="D2580" t="s">
        <v>734</v>
      </c>
      <c r="E2580">
        <v>36</v>
      </c>
      <c r="F2580" t="str">
        <f>IF(Table1[[#This Row],[age]]&lt;=25,"18-25",IF(Table1[[#This Row],[age]]&lt;=35,"26-35",IF(Table1[[#This Row],[age]]&lt;=50,"36-50","51+")))</f>
        <v>36-50</v>
      </c>
      <c r="G2580" t="s">
        <v>24</v>
      </c>
      <c r="H2580" t="s">
        <v>80</v>
      </c>
      <c r="I2580" t="s">
        <v>236</v>
      </c>
      <c r="J2580" t="s">
        <v>27</v>
      </c>
      <c r="K2580" t="s">
        <v>168</v>
      </c>
      <c r="L2580">
        <v>7</v>
      </c>
      <c r="M2580">
        <v>260.04000000000002</v>
      </c>
      <c r="N2580">
        <v>0.16</v>
      </c>
      <c r="O2580">
        <v>1257.5999999999999</v>
      </c>
      <c r="P2580">
        <v>549.29</v>
      </c>
      <c r="Q2580">
        <v>93.31</v>
      </c>
      <c r="R2580" t="s">
        <v>92</v>
      </c>
      <c r="S2580">
        <v>2</v>
      </c>
      <c r="T2580" t="b">
        <v>0</v>
      </c>
      <c r="U2580" t="s">
        <v>30</v>
      </c>
      <c r="V2580">
        <v>1</v>
      </c>
    </row>
    <row r="2581" spans="1:22" x14ac:dyDescent="0.25">
      <c r="A2581" t="s">
        <v>5645</v>
      </c>
      <c r="B2581" s="1">
        <v>44811</v>
      </c>
      <c r="C2581" t="s">
        <v>5646</v>
      </c>
      <c r="D2581" t="s">
        <v>246</v>
      </c>
      <c r="E2581">
        <v>31</v>
      </c>
      <c r="F2581" t="str">
        <f>IF(Table1[[#This Row],[age]]&lt;=25,"18-25",IF(Table1[[#This Row],[age]]&lt;=35,"26-35",IF(Table1[[#This Row],[age]]&lt;=50,"36-50","51+")))</f>
        <v>26-35</v>
      </c>
      <c r="G2581" t="s">
        <v>54</v>
      </c>
      <c r="H2581" t="s">
        <v>80</v>
      </c>
      <c r="I2581" t="s">
        <v>242</v>
      </c>
      <c r="J2581" t="s">
        <v>27</v>
      </c>
      <c r="K2581" t="s">
        <v>128</v>
      </c>
      <c r="L2581">
        <v>3</v>
      </c>
      <c r="M2581">
        <v>1422.97</v>
      </c>
      <c r="N2581">
        <v>0.38</v>
      </c>
      <c r="O2581">
        <v>2383.6799999999998</v>
      </c>
      <c r="P2581">
        <v>815.73</v>
      </c>
      <c r="Q2581">
        <v>65.75</v>
      </c>
      <c r="R2581" t="s">
        <v>65</v>
      </c>
      <c r="S2581">
        <v>2</v>
      </c>
      <c r="T2581" t="b">
        <v>0</v>
      </c>
      <c r="U2581" t="s">
        <v>30</v>
      </c>
      <c r="V2581">
        <v>2</v>
      </c>
    </row>
    <row r="2582" spans="1:22" x14ac:dyDescent="0.25">
      <c r="A2582" t="s">
        <v>5647</v>
      </c>
      <c r="B2582" s="1">
        <v>43913</v>
      </c>
      <c r="C2582" t="s">
        <v>5648</v>
      </c>
      <c r="D2582" t="s">
        <v>256</v>
      </c>
      <c r="E2582">
        <v>21</v>
      </c>
      <c r="F2582" t="str">
        <f>IF(Table1[[#This Row],[age]]&lt;=25,"18-25",IF(Table1[[#This Row],[age]]&lt;=35,"26-35",IF(Table1[[#This Row],[age]]&lt;=50,"36-50","51+")))</f>
        <v>18-25</v>
      </c>
      <c r="G2582" t="s">
        <v>54</v>
      </c>
      <c r="H2582" t="s">
        <v>55</v>
      </c>
      <c r="I2582" t="s">
        <v>114</v>
      </c>
      <c r="J2582" t="s">
        <v>101</v>
      </c>
      <c r="K2582" t="s">
        <v>124</v>
      </c>
      <c r="L2582">
        <v>7</v>
      </c>
      <c r="M2582">
        <v>7173.46</v>
      </c>
      <c r="N2582">
        <v>0.37</v>
      </c>
      <c r="O2582">
        <v>38067.279999999999</v>
      </c>
      <c r="P2582">
        <v>7608.14</v>
      </c>
      <c r="Q2582">
        <v>52.84</v>
      </c>
      <c r="R2582" t="s">
        <v>49</v>
      </c>
      <c r="S2582">
        <v>1</v>
      </c>
      <c r="T2582" t="b">
        <v>0</v>
      </c>
      <c r="U2582" t="s">
        <v>93</v>
      </c>
      <c r="V2582">
        <v>4</v>
      </c>
    </row>
    <row r="2583" spans="1:22" x14ac:dyDescent="0.25">
      <c r="A2583" t="s">
        <v>5649</v>
      </c>
      <c r="B2583" s="1">
        <v>44781</v>
      </c>
      <c r="C2583" t="s">
        <v>5650</v>
      </c>
      <c r="D2583" t="s">
        <v>196</v>
      </c>
      <c r="E2583">
        <v>42</v>
      </c>
      <c r="F2583" t="str">
        <f>IF(Table1[[#This Row],[age]]&lt;=25,"18-25",IF(Table1[[#This Row],[age]]&lt;=35,"26-35",IF(Table1[[#This Row],[age]]&lt;=50,"36-50","51+")))</f>
        <v>36-50</v>
      </c>
      <c r="G2583" t="s">
        <v>24</v>
      </c>
      <c r="H2583" t="s">
        <v>25</v>
      </c>
      <c r="I2583" t="s">
        <v>26</v>
      </c>
      <c r="J2583" t="s">
        <v>27</v>
      </c>
      <c r="K2583" t="s">
        <v>128</v>
      </c>
      <c r="L2583">
        <v>6</v>
      </c>
      <c r="M2583">
        <v>2467.58</v>
      </c>
      <c r="N2583">
        <v>0.37</v>
      </c>
      <c r="O2583">
        <v>12318.96</v>
      </c>
      <c r="P2583">
        <v>6222.84</v>
      </c>
      <c r="Q2583">
        <v>67.89</v>
      </c>
      <c r="R2583" t="s">
        <v>29</v>
      </c>
      <c r="S2583">
        <v>2</v>
      </c>
      <c r="T2583" t="b">
        <v>0</v>
      </c>
      <c r="U2583" t="s">
        <v>30</v>
      </c>
      <c r="V2583">
        <v>10</v>
      </c>
    </row>
    <row r="2584" spans="1:22" x14ac:dyDescent="0.25">
      <c r="A2584" t="s">
        <v>5651</v>
      </c>
      <c r="B2584" s="1">
        <v>44901</v>
      </c>
      <c r="C2584" t="s">
        <v>5652</v>
      </c>
      <c r="D2584" t="s">
        <v>2232</v>
      </c>
      <c r="E2584">
        <v>42</v>
      </c>
      <c r="F2584" t="str">
        <f>IF(Table1[[#This Row],[age]]&lt;=25,"18-25",IF(Table1[[#This Row],[age]]&lt;=35,"26-35",IF(Table1[[#This Row],[age]]&lt;=50,"36-50","51+")))</f>
        <v>36-50</v>
      </c>
      <c r="G2584" t="s">
        <v>54</v>
      </c>
      <c r="H2584" t="s">
        <v>80</v>
      </c>
      <c r="I2584" t="s">
        <v>86</v>
      </c>
      <c r="J2584" t="s">
        <v>27</v>
      </c>
      <c r="K2584" t="s">
        <v>480</v>
      </c>
      <c r="L2584">
        <v>10</v>
      </c>
      <c r="M2584">
        <v>412.53</v>
      </c>
      <c r="N2584">
        <v>0.16</v>
      </c>
      <c r="O2584">
        <v>2915.31</v>
      </c>
      <c r="P2584">
        <v>1264.21</v>
      </c>
      <c r="Q2584">
        <v>48.52</v>
      </c>
      <c r="R2584" t="s">
        <v>65</v>
      </c>
      <c r="S2584">
        <v>3</v>
      </c>
      <c r="T2584" t="b">
        <v>0</v>
      </c>
      <c r="U2584" t="s">
        <v>30</v>
      </c>
      <c r="V2584">
        <v>10</v>
      </c>
    </row>
    <row r="2585" spans="1:22" x14ac:dyDescent="0.25">
      <c r="A2585" t="s">
        <v>5653</v>
      </c>
      <c r="B2585" s="1">
        <v>44494</v>
      </c>
      <c r="C2585" t="s">
        <v>5654</v>
      </c>
      <c r="D2585" t="s">
        <v>937</v>
      </c>
      <c r="E2585">
        <v>38</v>
      </c>
      <c r="F2585" t="str">
        <f>IF(Table1[[#This Row],[age]]&lt;=25,"18-25",IF(Table1[[#This Row],[age]]&lt;=35,"26-35",IF(Table1[[#This Row],[age]]&lt;=50,"36-50","51+")))</f>
        <v>36-50</v>
      </c>
      <c r="G2585" t="s">
        <v>24</v>
      </c>
      <c r="H2585" t="s">
        <v>69</v>
      </c>
      <c r="I2585" t="s">
        <v>221</v>
      </c>
      <c r="J2585" t="s">
        <v>27</v>
      </c>
      <c r="K2585" t="s">
        <v>128</v>
      </c>
      <c r="L2585">
        <v>9</v>
      </c>
      <c r="M2585">
        <v>2217.37</v>
      </c>
      <c r="N2585">
        <v>0.4</v>
      </c>
      <c r="O2585">
        <v>12330.95</v>
      </c>
      <c r="P2585">
        <v>6416.88</v>
      </c>
      <c r="Q2585">
        <v>96.41</v>
      </c>
      <c r="R2585" t="s">
        <v>49</v>
      </c>
      <c r="S2585">
        <v>4</v>
      </c>
      <c r="T2585" t="b">
        <v>0</v>
      </c>
      <c r="U2585" t="s">
        <v>30</v>
      </c>
      <c r="V2585">
        <v>6</v>
      </c>
    </row>
    <row r="2586" spans="1:22" x14ac:dyDescent="0.25">
      <c r="A2586" t="s">
        <v>5655</v>
      </c>
      <c r="B2586" s="1">
        <v>44831</v>
      </c>
      <c r="C2586" t="s">
        <v>5656</v>
      </c>
      <c r="D2586" t="s">
        <v>1516</v>
      </c>
      <c r="E2586">
        <v>28</v>
      </c>
      <c r="F2586" t="str">
        <f>IF(Table1[[#This Row],[age]]&lt;=25,"18-25",IF(Table1[[#This Row],[age]]&lt;=35,"26-35",IF(Table1[[#This Row],[age]]&lt;=50,"36-50","51+")))</f>
        <v>26-35</v>
      </c>
      <c r="G2586" t="s">
        <v>34</v>
      </c>
      <c r="H2586" t="s">
        <v>25</v>
      </c>
      <c r="I2586" t="s">
        <v>26</v>
      </c>
      <c r="J2586" t="s">
        <v>115</v>
      </c>
      <c r="K2586" t="s">
        <v>197</v>
      </c>
      <c r="L2586">
        <v>9</v>
      </c>
      <c r="M2586">
        <v>29921.759999999998</v>
      </c>
      <c r="N2586">
        <v>0.33</v>
      </c>
      <c r="O2586">
        <v>187176.31</v>
      </c>
      <c r="P2586">
        <v>25938.95</v>
      </c>
      <c r="Q2586">
        <v>66.52</v>
      </c>
      <c r="R2586" t="s">
        <v>29</v>
      </c>
      <c r="S2586">
        <v>5</v>
      </c>
      <c r="T2586" t="b">
        <v>0</v>
      </c>
      <c r="U2586" t="s">
        <v>93</v>
      </c>
      <c r="V2586">
        <v>8</v>
      </c>
    </row>
    <row r="2587" spans="1:22" x14ac:dyDescent="0.25">
      <c r="A2587" t="s">
        <v>5657</v>
      </c>
      <c r="B2587" s="1">
        <v>45402</v>
      </c>
      <c r="C2587" t="s">
        <v>5658</v>
      </c>
      <c r="D2587" t="s">
        <v>2058</v>
      </c>
      <c r="E2587">
        <v>20</v>
      </c>
      <c r="F2587" t="str">
        <f>IF(Table1[[#This Row],[age]]&lt;=25,"18-25",IF(Table1[[#This Row],[age]]&lt;=35,"26-35",IF(Table1[[#This Row],[age]]&lt;=50,"36-50","51+")))</f>
        <v>18-25</v>
      </c>
      <c r="G2587" t="s">
        <v>24</v>
      </c>
      <c r="H2587" t="s">
        <v>80</v>
      </c>
      <c r="I2587" t="s">
        <v>86</v>
      </c>
      <c r="J2587" t="s">
        <v>36</v>
      </c>
      <c r="K2587" t="s">
        <v>243</v>
      </c>
      <c r="L2587">
        <v>4</v>
      </c>
      <c r="M2587">
        <v>16418.71</v>
      </c>
      <c r="N2587">
        <v>0.03</v>
      </c>
      <c r="O2587">
        <v>100198.09</v>
      </c>
      <c r="P2587">
        <v>29085.63</v>
      </c>
      <c r="Q2587">
        <v>81.66</v>
      </c>
      <c r="R2587" t="s">
        <v>92</v>
      </c>
      <c r="S2587">
        <v>2</v>
      </c>
      <c r="T2587" t="b">
        <v>0</v>
      </c>
      <c r="U2587" t="s">
        <v>30</v>
      </c>
      <c r="V2587">
        <v>5</v>
      </c>
    </row>
    <row r="2588" spans="1:22" x14ac:dyDescent="0.25">
      <c r="A2588" t="s">
        <v>5659</v>
      </c>
      <c r="B2588" s="1">
        <v>45467</v>
      </c>
      <c r="C2588" t="s">
        <v>5660</v>
      </c>
      <c r="D2588" t="s">
        <v>826</v>
      </c>
      <c r="E2588">
        <v>33</v>
      </c>
      <c r="F2588" t="str">
        <f>IF(Table1[[#This Row],[age]]&lt;=25,"18-25",IF(Table1[[#This Row],[age]]&lt;=35,"26-35",IF(Table1[[#This Row],[age]]&lt;=50,"36-50","51+")))</f>
        <v>26-35</v>
      </c>
      <c r="G2588" t="s">
        <v>34</v>
      </c>
      <c r="H2588" t="s">
        <v>55</v>
      </c>
      <c r="I2588" t="s">
        <v>56</v>
      </c>
      <c r="J2588" t="s">
        <v>27</v>
      </c>
      <c r="K2588" t="s">
        <v>168</v>
      </c>
      <c r="L2588">
        <v>4</v>
      </c>
      <c r="M2588">
        <v>1104.29</v>
      </c>
      <c r="N2588">
        <v>0.03</v>
      </c>
      <c r="O2588">
        <v>7265.19</v>
      </c>
      <c r="P2588">
        <v>2641.46</v>
      </c>
      <c r="Q2588">
        <v>62.74</v>
      </c>
      <c r="R2588" t="s">
        <v>29</v>
      </c>
      <c r="S2588">
        <v>5</v>
      </c>
      <c r="T2588" t="b">
        <v>0</v>
      </c>
      <c r="U2588" t="s">
        <v>93</v>
      </c>
      <c r="V2588">
        <v>2</v>
      </c>
    </row>
    <row r="2589" spans="1:22" x14ac:dyDescent="0.25">
      <c r="A2589" t="s">
        <v>5661</v>
      </c>
      <c r="B2589" s="1">
        <v>45179</v>
      </c>
      <c r="C2589" t="s">
        <v>5662</v>
      </c>
      <c r="D2589" t="s">
        <v>1914</v>
      </c>
      <c r="E2589">
        <v>25</v>
      </c>
      <c r="F2589" t="str">
        <f>IF(Table1[[#This Row],[age]]&lt;=25,"18-25",IF(Table1[[#This Row],[age]]&lt;=35,"26-35",IF(Table1[[#This Row],[age]]&lt;=50,"36-50","51+")))</f>
        <v>18-25</v>
      </c>
      <c r="G2589" t="s">
        <v>24</v>
      </c>
      <c r="H2589" t="s">
        <v>80</v>
      </c>
      <c r="I2589" t="s">
        <v>81</v>
      </c>
      <c r="J2589" t="s">
        <v>36</v>
      </c>
      <c r="K2589" t="s">
        <v>243</v>
      </c>
      <c r="L2589">
        <v>6</v>
      </c>
      <c r="M2589">
        <v>15400.65</v>
      </c>
      <c r="N2589">
        <v>0.09</v>
      </c>
      <c r="O2589">
        <v>99452.17</v>
      </c>
      <c r="P2589">
        <v>26834.22</v>
      </c>
      <c r="Q2589">
        <v>79.25</v>
      </c>
      <c r="R2589" t="s">
        <v>29</v>
      </c>
      <c r="S2589">
        <v>1</v>
      </c>
      <c r="T2589" t="b">
        <v>0</v>
      </c>
      <c r="U2589" t="s">
        <v>71</v>
      </c>
      <c r="V2589">
        <v>7</v>
      </c>
    </row>
    <row r="2590" spans="1:22" x14ac:dyDescent="0.25">
      <c r="A2590" t="s">
        <v>5663</v>
      </c>
      <c r="B2590" s="1">
        <v>44651</v>
      </c>
      <c r="C2590" t="s">
        <v>5664</v>
      </c>
      <c r="D2590" t="s">
        <v>2262</v>
      </c>
      <c r="E2590">
        <v>35</v>
      </c>
      <c r="F2590" t="str">
        <f>IF(Table1[[#This Row],[age]]&lt;=25,"18-25",IF(Table1[[#This Row],[age]]&lt;=35,"26-35",IF(Table1[[#This Row],[age]]&lt;=50,"36-50","51+")))</f>
        <v>26-35</v>
      </c>
      <c r="G2590" t="s">
        <v>34</v>
      </c>
      <c r="H2590" t="s">
        <v>80</v>
      </c>
      <c r="I2590" t="s">
        <v>242</v>
      </c>
      <c r="J2590" t="s">
        <v>36</v>
      </c>
      <c r="K2590" t="s">
        <v>243</v>
      </c>
      <c r="L2590">
        <v>9</v>
      </c>
      <c r="M2590">
        <v>10240.02</v>
      </c>
      <c r="N2590">
        <v>0.33</v>
      </c>
      <c r="O2590">
        <v>76243.39</v>
      </c>
      <c r="P2590">
        <v>10430.540000000001</v>
      </c>
      <c r="Q2590">
        <v>83.76</v>
      </c>
      <c r="R2590" t="s">
        <v>92</v>
      </c>
      <c r="S2590">
        <v>3</v>
      </c>
      <c r="T2590" t="b">
        <v>0</v>
      </c>
      <c r="U2590" t="s">
        <v>30</v>
      </c>
      <c r="V2590">
        <v>4</v>
      </c>
    </row>
    <row r="2591" spans="1:22" x14ac:dyDescent="0.25">
      <c r="A2591" t="s">
        <v>5665</v>
      </c>
      <c r="B2591" s="1">
        <v>43973</v>
      </c>
      <c r="C2591" t="s">
        <v>5666</v>
      </c>
      <c r="D2591" t="s">
        <v>502</v>
      </c>
      <c r="E2591">
        <v>21</v>
      </c>
      <c r="F2591" t="str">
        <f>IF(Table1[[#This Row],[age]]&lt;=25,"18-25",IF(Table1[[#This Row],[age]]&lt;=35,"26-35",IF(Table1[[#This Row],[age]]&lt;=50,"36-50","51+")))</f>
        <v>18-25</v>
      </c>
      <c r="G2591" t="s">
        <v>54</v>
      </c>
      <c r="H2591" t="s">
        <v>55</v>
      </c>
      <c r="I2591" t="s">
        <v>114</v>
      </c>
      <c r="J2591" t="s">
        <v>115</v>
      </c>
      <c r="K2591" t="s">
        <v>545</v>
      </c>
      <c r="L2591">
        <v>4</v>
      </c>
      <c r="M2591">
        <v>62163.22</v>
      </c>
      <c r="N2591">
        <v>0.02</v>
      </c>
      <c r="O2591">
        <v>316644.27</v>
      </c>
      <c r="P2591">
        <v>39457.660000000003</v>
      </c>
      <c r="Q2591">
        <v>74.47</v>
      </c>
      <c r="R2591" t="s">
        <v>57</v>
      </c>
      <c r="S2591">
        <v>2</v>
      </c>
      <c r="T2591" t="b">
        <v>1</v>
      </c>
      <c r="U2591" t="s">
        <v>50</v>
      </c>
      <c r="V2591">
        <v>9</v>
      </c>
    </row>
    <row r="2592" spans="1:22" x14ac:dyDescent="0.25">
      <c r="A2592" t="s">
        <v>5667</v>
      </c>
      <c r="B2592" s="1">
        <v>45091</v>
      </c>
      <c r="C2592" t="s">
        <v>5668</v>
      </c>
      <c r="D2592" t="s">
        <v>287</v>
      </c>
      <c r="E2592">
        <v>53</v>
      </c>
      <c r="F2592" t="str">
        <f>IF(Table1[[#This Row],[age]]&lt;=25,"18-25",IF(Table1[[#This Row],[age]]&lt;=35,"26-35",IF(Table1[[#This Row],[age]]&lt;=50,"36-50","51+")))</f>
        <v>51+</v>
      </c>
      <c r="G2592" t="s">
        <v>34</v>
      </c>
      <c r="H2592" t="s">
        <v>55</v>
      </c>
      <c r="I2592" t="s">
        <v>75</v>
      </c>
      <c r="J2592" t="s">
        <v>27</v>
      </c>
      <c r="K2592" t="s">
        <v>128</v>
      </c>
      <c r="L2592">
        <v>4</v>
      </c>
      <c r="M2592">
        <v>1782.42</v>
      </c>
      <c r="N2592">
        <v>0.24</v>
      </c>
      <c r="O2592">
        <v>8996.6</v>
      </c>
      <c r="P2592">
        <v>3871.86</v>
      </c>
      <c r="Q2592">
        <v>64.180000000000007</v>
      </c>
      <c r="R2592" t="s">
        <v>57</v>
      </c>
      <c r="S2592">
        <v>1</v>
      </c>
      <c r="T2592" t="b">
        <v>1</v>
      </c>
      <c r="U2592" t="s">
        <v>50</v>
      </c>
      <c r="V2592">
        <v>7</v>
      </c>
    </row>
    <row r="2593" spans="1:22" x14ac:dyDescent="0.25">
      <c r="A2593" t="s">
        <v>5669</v>
      </c>
      <c r="B2593" s="1">
        <v>43971</v>
      </c>
      <c r="C2593" t="s">
        <v>5670</v>
      </c>
      <c r="D2593" t="s">
        <v>904</v>
      </c>
      <c r="E2593">
        <v>45</v>
      </c>
      <c r="F2593" t="str">
        <f>IF(Table1[[#This Row],[age]]&lt;=25,"18-25",IF(Table1[[#This Row],[age]]&lt;=35,"26-35",IF(Table1[[#This Row],[age]]&lt;=50,"36-50","51+")))</f>
        <v>36-50</v>
      </c>
      <c r="G2593" t="s">
        <v>24</v>
      </c>
      <c r="H2593" t="s">
        <v>55</v>
      </c>
      <c r="I2593" t="s">
        <v>56</v>
      </c>
      <c r="J2593" t="s">
        <v>63</v>
      </c>
      <c r="K2593" t="s">
        <v>152</v>
      </c>
      <c r="L2593">
        <v>3</v>
      </c>
      <c r="M2593">
        <v>2323.36</v>
      </c>
      <c r="N2593">
        <v>0.25</v>
      </c>
      <c r="O2593">
        <v>7516.69</v>
      </c>
      <c r="P2593">
        <v>2847.01</v>
      </c>
      <c r="Q2593">
        <v>61.23</v>
      </c>
      <c r="R2593" t="s">
        <v>49</v>
      </c>
      <c r="S2593">
        <v>5</v>
      </c>
      <c r="T2593" t="b">
        <v>1</v>
      </c>
      <c r="U2593" t="s">
        <v>50</v>
      </c>
      <c r="V2593">
        <v>4</v>
      </c>
    </row>
    <row r="2594" spans="1:22" x14ac:dyDescent="0.25">
      <c r="A2594" t="s">
        <v>5671</v>
      </c>
      <c r="B2594" s="1">
        <v>44839</v>
      </c>
      <c r="C2594" t="s">
        <v>5672</v>
      </c>
      <c r="D2594" t="s">
        <v>751</v>
      </c>
      <c r="E2594">
        <v>42</v>
      </c>
      <c r="F2594" t="str">
        <f>IF(Table1[[#This Row],[age]]&lt;=25,"18-25",IF(Table1[[#This Row],[age]]&lt;=35,"26-35",IF(Table1[[#This Row],[age]]&lt;=50,"36-50","51+")))</f>
        <v>36-50</v>
      </c>
      <c r="G2594" t="s">
        <v>34</v>
      </c>
      <c r="H2594" t="s">
        <v>55</v>
      </c>
      <c r="I2594" t="s">
        <v>56</v>
      </c>
      <c r="J2594" t="s">
        <v>101</v>
      </c>
      <c r="K2594" t="s">
        <v>124</v>
      </c>
      <c r="L2594">
        <v>5</v>
      </c>
      <c r="M2594">
        <v>5297.3</v>
      </c>
      <c r="N2594">
        <v>0.23</v>
      </c>
      <c r="O2594">
        <v>22206.97</v>
      </c>
      <c r="P2594">
        <v>5436.01</v>
      </c>
      <c r="Q2594">
        <v>64.510000000000005</v>
      </c>
      <c r="R2594" t="s">
        <v>65</v>
      </c>
      <c r="S2594">
        <v>3</v>
      </c>
      <c r="T2594" t="b">
        <v>0</v>
      </c>
      <c r="U2594" t="s">
        <v>30</v>
      </c>
      <c r="V2594">
        <v>2</v>
      </c>
    </row>
    <row r="2595" spans="1:22" x14ac:dyDescent="0.25">
      <c r="A2595" t="s">
        <v>5673</v>
      </c>
      <c r="B2595" s="1">
        <v>45164</v>
      </c>
      <c r="C2595" t="s">
        <v>5674</v>
      </c>
      <c r="D2595" t="s">
        <v>1417</v>
      </c>
      <c r="E2595">
        <v>38</v>
      </c>
      <c r="F2595" t="str">
        <f>IF(Table1[[#This Row],[age]]&lt;=25,"18-25",IF(Table1[[#This Row],[age]]&lt;=35,"26-35",IF(Table1[[#This Row],[age]]&lt;=50,"36-50","51+")))</f>
        <v>36-50</v>
      </c>
      <c r="G2595" t="s">
        <v>34</v>
      </c>
      <c r="H2595" t="s">
        <v>69</v>
      </c>
      <c r="I2595" t="s">
        <v>181</v>
      </c>
      <c r="J2595" t="s">
        <v>36</v>
      </c>
      <c r="K2595" t="s">
        <v>37</v>
      </c>
      <c r="L2595">
        <v>4</v>
      </c>
      <c r="M2595">
        <v>11999.53</v>
      </c>
      <c r="N2595">
        <v>0.22</v>
      </c>
      <c r="O2595">
        <v>53880.45</v>
      </c>
      <c r="P2595">
        <v>15284.4</v>
      </c>
      <c r="Q2595">
        <v>99.04</v>
      </c>
      <c r="R2595" t="s">
        <v>49</v>
      </c>
      <c r="S2595">
        <v>2</v>
      </c>
      <c r="T2595" t="b">
        <v>1</v>
      </c>
      <c r="U2595" t="s">
        <v>50</v>
      </c>
      <c r="V2595">
        <v>1</v>
      </c>
    </row>
    <row r="2596" spans="1:22" x14ac:dyDescent="0.25">
      <c r="A2596" t="s">
        <v>5675</v>
      </c>
      <c r="B2596" s="1">
        <v>45083</v>
      </c>
      <c r="C2596" t="s">
        <v>5676</v>
      </c>
      <c r="D2596" t="s">
        <v>338</v>
      </c>
      <c r="E2596">
        <v>22</v>
      </c>
      <c r="F2596" t="str">
        <f>IF(Table1[[#This Row],[age]]&lt;=25,"18-25",IF(Table1[[#This Row],[age]]&lt;=35,"26-35",IF(Table1[[#This Row],[age]]&lt;=50,"36-50","51+")))</f>
        <v>18-25</v>
      </c>
      <c r="G2596" t="s">
        <v>24</v>
      </c>
      <c r="H2596" t="s">
        <v>80</v>
      </c>
      <c r="I2596" t="s">
        <v>242</v>
      </c>
      <c r="J2596" t="s">
        <v>101</v>
      </c>
      <c r="K2596" t="s">
        <v>164</v>
      </c>
      <c r="L2596">
        <v>2</v>
      </c>
      <c r="M2596">
        <v>13875.51</v>
      </c>
      <c r="N2596">
        <v>0.32</v>
      </c>
      <c r="O2596">
        <v>30649.3</v>
      </c>
      <c r="P2596">
        <v>5955.69</v>
      </c>
      <c r="Q2596">
        <v>81.72</v>
      </c>
      <c r="R2596" t="s">
        <v>65</v>
      </c>
      <c r="S2596">
        <v>3</v>
      </c>
      <c r="T2596" t="b">
        <v>0</v>
      </c>
      <c r="U2596" t="s">
        <v>30</v>
      </c>
      <c r="V2596">
        <v>4</v>
      </c>
    </row>
    <row r="2597" spans="1:22" x14ac:dyDescent="0.25">
      <c r="A2597" t="s">
        <v>5677</v>
      </c>
      <c r="B2597" s="1">
        <v>44754</v>
      </c>
      <c r="C2597" t="s">
        <v>5678</v>
      </c>
      <c r="D2597" t="s">
        <v>895</v>
      </c>
      <c r="E2597">
        <v>53</v>
      </c>
      <c r="F2597" t="str">
        <f>IF(Table1[[#This Row],[age]]&lt;=25,"18-25",IF(Table1[[#This Row],[age]]&lt;=35,"26-35",IF(Table1[[#This Row],[age]]&lt;=50,"36-50","51+")))</f>
        <v>51+</v>
      </c>
      <c r="G2597" t="s">
        <v>54</v>
      </c>
      <c r="H2597" t="s">
        <v>69</v>
      </c>
      <c r="I2597" t="s">
        <v>221</v>
      </c>
      <c r="J2597" t="s">
        <v>47</v>
      </c>
      <c r="K2597" t="s">
        <v>120</v>
      </c>
      <c r="L2597">
        <v>4</v>
      </c>
      <c r="M2597">
        <v>1230.08</v>
      </c>
      <c r="N2597">
        <v>0.31</v>
      </c>
      <c r="O2597">
        <v>4786.22</v>
      </c>
      <c r="P2597">
        <v>2225.06</v>
      </c>
      <c r="Q2597">
        <v>92.84</v>
      </c>
      <c r="R2597" t="s">
        <v>92</v>
      </c>
      <c r="S2597">
        <v>1</v>
      </c>
      <c r="T2597" t="b">
        <v>0</v>
      </c>
      <c r="U2597" t="s">
        <v>30</v>
      </c>
      <c r="V2597">
        <v>3</v>
      </c>
    </row>
    <row r="2598" spans="1:22" x14ac:dyDescent="0.25">
      <c r="A2598" t="s">
        <v>5679</v>
      </c>
      <c r="B2598" s="1">
        <v>45416</v>
      </c>
      <c r="C2598" t="s">
        <v>5680</v>
      </c>
      <c r="D2598" t="s">
        <v>1662</v>
      </c>
      <c r="E2598">
        <v>30</v>
      </c>
      <c r="F2598" t="str">
        <f>IF(Table1[[#This Row],[age]]&lt;=25,"18-25",IF(Table1[[#This Row],[age]]&lt;=35,"26-35",IF(Table1[[#This Row],[age]]&lt;=50,"36-50","51+")))</f>
        <v>26-35</v>
      </c>
      <c r="G2598" t="s">
        <v>34</v>
      </c>
      <c r="H2598" t="s">
        <v>25</v>
      </c>
      <c r="I2598" t="s">
        <v>35</v>
      </c>
      <c r="J2598" t="s">
        <v>27</v>
      </c>
      <c r="K2598" t="s">
        <v>28</v>
      </c>
      <c r="L2598">
        <v>4</v>
      </c>
      <c r="M2598">
        <v>1294.0999999999999</v>
      </c>
      <c r="N2598">
        <v>0.26</v>
      </c>
      <c r="O2598">
        <v>5791.59</v>
      </c>
      <c r="P2598">
        <v>2481.7399999999998</v>
      </c>
      <c r="Q2598">
        <v>34.770000000000003</v>
      </c>
      <c r="R2598" t="s">
        <v>49</v>
      </c>
      <c r="S2598">
        <v>1</v>
      </c>
      <c r="T2598" t="b">
        <v>0</v>
      </c>
      <c r="U2598" t="s">
        <v>30</v>
      </c>
      <c r="V2598">
        <v>6</v>
      </c>
    </row>
    <row r="2599" spans="1:22" x14ac:dyDescent="0.25">
      <c r="A2599" t="s">
        <v>5681</v>
      </c>
      <c r="B2599" s="1">
        <v>44953</v>
      </c>
      <c r="C2599" t="s">
        <v>5682</v>
      </c>
      <c r="D2599" t="s">
        <v>210</v>
      </c>
      <c r="E2599">
        <v>30</v>
      </c>
      <c r="F2599" t="str">
        <f>IF(Table1[[#This Row],[age]]&lt;=25,"18-25",IF(Table1[[#This Row],[age]]&lt;=35,"26-35",IF(Table1[[#This Row],[age]]&lt;=50,"36-50","51+")))</f>
        <v>26-35</v>
      </c>
      <c r="G2599" t="s">
        <v>24</v>
      </c>
      <c r="H2599" t="s">
        <v>69</v>
      </c>
      <c r="I2599" t="s">
        <v>136</v>
      </c>
      <c r="J2599" t="s">
        <v>101</v>
      </c>
      <c r="K2599" t="s">
        <v>456</v>
      </c>
      <c r="L2599">
        <v>3</v>
      </c>
      <c r="M2599">
        <v>5115.87</v>
      </c>
      <c r="N2599">
        <v>0.03</v>
      </c>
      <c r="O2599">
        <v>15447.04</v>
      </c>
      <c r="P2599">
        <v>2902.6</v>
      </c>
      <c r="Q2599">
        <v>93.03</v>
      </c>
      <c r="R2599" t="s">
        <v>92</v>
      </c>
      <c r="S2599">
        <v>1</v>
      </c>
      <c r="T2599" t="b">
        <v>0</v>
      </c>
      <c r="U2599" t="s">
        <v>30</v>
      </c>
      <c r="V2599">
        <v>6</v>
      </c>
    </row>
    <row r="2600" spans="1:22" x14ac:dyDescent="0.25">
      <c r="A2600" t="s">
        <v>5683</v>
      </c>
      <c r="B2600" s="1">
        <v>44917</v>
      </c>
      <c r="C2600" t="s">
        <v>5684</v>
      </c>
      <c r="D2600" t="s">
        <v>1420</v>
      </c>
      <c r="E2600">
        <v>44</v>
      </c>
      <c r="F2600" t="str">
        <f>IF(Table1[[#This Row],[age]]&lt;=25,"18-25",IF(Table1[[#This Row],[age]]&lt;=35,"26-35",IF(Table1[[#This Row],[age]]&lt;=50,"36-50","51+")))</f>
        <v>36-50</v>
      </c>
      <c r="G2600" t="s">
        <v>34</v>
      </c>
      <c r="H2600" t="s">
        <v>80</v>
      </c>
      <c r="I2600" t="s">
        <v>242</v>
      </c>
      <c r="J2600" t="s">
        <v>101</v>
      </c>
      <c r="K2600" t="s">
        <v>318</v>
      </c>
      <c r="L2600">
        <v>6</v>
      </c>
      <c r="M2600">
        <v>5749.74</v>
      </c>
      <c r="N2600">
        <v>0.24</v>
      </c>
      <c r="O2600">
        <v>22681.23</v>
      </c>
      <c r="P2600">
        <v>4291.6499999999996</v>
      </c>
      <c r="Q2600">
        <v>91.35</v>
      </c>
      <c r="R2600" t="s">
        <v>57</v>
      </c>
      <c r="S2600">
        <v>1</v>
      </c>
      <c r="T2600" t="b">
        <v>1</v>
      </c>
      <c r="U2600" t="s">
        <v>50</v>
      </c>
      <c r="V2600">
        <v>10</v>
      </c>
    </row>
    <row r="2601" spans="1:22" x14ac:dyDescent="0.25">
      <c r="A2601" t="s">
        <v>5685</v>
      </c>
      <c r="B2601" s="1">
        <v>45015</v>
      </c>
      <c r="C2601" t="s">
        <v>5686</v>
      </c>
      <c r="D2601" t="s">
        <v>151</v>
      </c>
      <c r="E2601">
        <v>38</v>
      </c>
      <c r="F2601" t="str">
        <f>IF(Table1[[#This Row],[age]]&lt;=25,"18-25",IF(Table1[[#This Row],[age]]&lt;=35,"26-35",IF(Table1[[#This Row],[age]]&lt;=50,"36-50","51+")))</f>
        <v>36-50</v>
      </c>
      <c r="G2601" t="s">
        <v>54</v>
      </c>
      <c r="H2601" t="s">
        <v>55</v>
      </c>
      <c r="I2601" t="s">
        <v>75</v>
      </c>
      <c r="J2601" t="s">
        <v>63</v>
      </c>
      <c r="K2601" t="s">
        <v>64</v>
      </c>
      <c r="L2601">
        <v>2</v>
      </c>
      <c r="M2601">
        <v>2874</v>
      </c>
      <c r="N2601">
        <v>0.01</v>
      </c>
      <c r="O2601">
        <v>7504.43</v>
      </c>
      <c r="P2601">
        <v>2617.1799999999998</v>
      </c>
      <c r="Q2601">
        <v>34.9</v>
      </c>
      <c r="R2601" t="s">
        <v>65</v>
      </c>
      <c r="S2601">
        <v>1</v>
      </c>
      <c r="T2601" t="b">
        <v>0</v>
      </c>
      <c r="U2601" t="s">
        <v>30</v>
      </c>
      <c r="V2601">
        <v>8</v>
      </c>
    </row>
    <row r="2602" spans="1:22" x14ac:dyDescent="0.25">
      <c r="A2602" t="s">
        <v>5687</v>
      </c>
      <c r="B2602" s="1">
        <v>44035</v>
      </c>
      <c r="C2602" t="s">
        <v>5688</v>
      </c>
      <c r="D2602" t="s">
        <v>384</v>
      </c>
      <c r="E2602">
        <v>44</v>
      </c>
      <c r="F2602" t="str">
        <f>IF(Table1[[#This Row],[age]]&lt;=25,"18-25",IF(Table1[[#This Row],[age]]&lt;=35,"26-35",IF(Table1[[#This Row],[age]]&lt;=50,"36-50","51+")))</f>
        <v>36-50</v>
      </c>
      <c r="G2602" t="s">
        <v>34</v>
      </c>
      <c r="H2602" t="s">
        <v>55</v>
      </c>
      <c r="I2602" t="s">
        <v>75</v>
      </c>
      <c r="J2602" t="s">
        <v>27</v>
      </c>
      <c r="K2602" t="s">
        <v>335</v>
      </c>
      <c r="L2602">
        <v>2</v>
      </c>
      <c r="M2602">
        <v>988.43</v>
      </c>
      <c r="N2602">
        <v>0.35</v>
      </c>
      <c r="O2602">
        <v>1781.6</v>
      </c>
      <c r="P2602">
        <v>923.82</v>
      </c>
      <c r="Q2602">
        <v>48.48</v>
      </c>
      <c r="R2602" t="s">
        <v>57</v>
      </c>
      <c r="S2602">
        <v>1</v>
      </c>
      <c r="T2602" t="b">
        <v>0</v>
      </c>
      <c r="U2602" t="s">
        <v>71</v>
      </c>
      <c r="V2602">
        <v>5</v>
      </c>
    </row>
    <row r="2603" spans="1:22" x14ac:dyDescent="0.25">
      <c r="A2603" t="s">
        <v>5689</v>
      </c>
      <c r="B2603" s="1">
        <v>44384</v>
      </c>
      <c r="C2603" t="s">
        <v>5690</v>
      </c>
      <c r="D2603" t="s">
        <v>542</v>
      </c>
      <c r="E2603">
        <v>22</v>
      </c>
      <c r="F2603" t="str">
        <f>IF(Table1[[#This Row],[age]]&lt;=25,"18-25",IF(Table1[[#This Row],[age]]&lt;=35,"26-35",IF(Table1[[#This Row],[age]]&lt;=50,"36-50","51+")))</f>
        <v>18-25</v>
      </c>
      <c r="G2603" t="s">
        <v>54</v>
      </c>
      <c r="H2603" t="s">
        <v>55</v>
      </c>
      <c r="I2603" t="s">
        <v>75</v>
      </c>
      <c r="J2603" t="s">
        <v>63</v>
      </c>
      <c r="K2603" t="s">
        <v>152</v>
      </c>
      <c r="L2603">
        <v>8</v>
      </c>
      <c r="M2603">
        <v>789.72</v>
      </c>
      <c r="N2603">
        <v>0.39</v>
      </c>
      <c r="O2603">
        <v>5442.35</v>
      </c>
      <c r="P2603">
        <v>1627.79</v>
      </c>
      <c r="Q2603">
        <v>54.89</v>
      </c>
      <c r="R2603" t="s">
        <v>43</v>
      </c>
      <c r="S2603">
        <v>3</v>
      </c>
      <c r="T2603" t="b">
        <v>0</v>
      </c>
      <c r="U2603" t="s">
        <v>30</v>
      </c>
      <c r="V2603">
        <v>8</v>
      </c>
    </row>
    <row r="2604" spans="1:22" x14ac:dyDescent="0.25">
      <c r="A2604" t="s">
        <v>5691</v>
      </c>
      <c r="B2604" s="1">
        <v>44450</v>
      </c>
      <c r="C2604" t="s">
        <v>5692</v>
      </c>
      <c r="D2604" t="s">
        <v>599</v>
      </c>
      <c r="E2604">
        <v>37</v>
      </c>
      <c r="F2604" t="str">
        <f>IF(Table1[[#This Row],[age]]&lt;=25,"18-25",IF(Table1[[#This Row],[age]]&lt;=35,"26-35",IF(Table1[[#This Row],[age]]&lt;=50,"36-50","51+")))</f>
        <v>36-50</v>
      </c>
      <c r="G2604" t="s">
        <v>54</v>
      </c>
      <c r="H2604" t="s">
        <v>69</v>
      </c>
      <c r="I2604" t="s">
        <v>70</v>
      </c>
      <c r="J2604" t="s">
        <v>47</v>
      </c>
      <c r="K2604" t="s">
        <v>600</v>
      </c>
      <c r="L2604">
        <v>7</v>
      </c>
      <c r="M2604">
        <v>1359.26</v>
      </c>
      <c r="N2604">
        <v>0.12</v>
      </c>
      <c r="O2604">
        <v>9165.32</v>
      </c>
      <c r="P2604">
        <v>3844.26</v>
      </c>
      <c r="Q2604">
        <v>63.94</v>
      </c>
      <c r="R2604" t="s">
        <v>49</v>
      </c>
      <c r="S2604">
        <v>4</v>
      </c>
      <c r="T2604" t="b">
        <v>0</v>
      </c>
      <c r="U2604" t="s">
        <v>193</v>
      </c>
      <c r="V2604">
        <v>6</v>
      </c>
    </row>
    <row r="2605" spans="1:22" x14ac:dyDescent="0.25">
      <c r="A2605" t="s">
        <v>5693</v>
      </c>
      <c r="B2605" s="1">
        <v>44502</v>
      </c>
      <c r="C2605" t="s">
        <v>5694</v>
      </c>
      <c r="D2605" t="s">
        <v>343</v>
      </c>
      <c r="E2605">
        <v>44</v>
      </c>
      <c r="F2605" t="str">
        <f>IF(Table1[[#This Row],[age]]&lt;=25,"18-25",IF(Table1[[#This Row],[age]]&lt;=35,"26-35",IF(Table1[[#This Row],[age]]&lt;=50,"36-50","51+")))</f>
        <v>36-50</v>
      </c>
      <c r="G2605" t="s">
        <v>34</v>
      </c>
      <c r="H2605" t="s">
        <v>69</v>
      </c>
      <c r="I2605" t="s">
        <v>70</v>
      </c>
      <c r="J2605" t="s">
        <v>115</v>
      </c>
      <c r="K2605" t="s">
        <v>137</v>
      </c>
      <c r="L2605">
        <v>5</v>
      </c>
      <c r="M2605">
        <v>44585.93</v>
      </c>
      <c r="N2605">
        <v>0.02</v>
      </c>
      <c r="O2605">
        <v>177603.4</v>
      </c>
      <c r="P2605">
        <v>13351.29</v>
      </c>
      <c r="Q2605">
        <v>59.68</v>
      </c>
      <c r="R2605" t="s">
        <v>57</v>
      </c>
      <c r="S2605">
        <v>3</v>
      </c>
      <c r="T2605" t="b">
        <v>0</v>
      </c>
      <c r="U2605" t="s">
        <v>30</v>
      </c>
      <c r="V2605">
        <v>9</v>
      </c>
    </row>
    <row r="2606" spans="1:22" x14ac:dyDescent="0.25">
      <c r="A2606" t="s">
        <v>5695</v>
      </c>
      <c r="B2606" s="1">
        <v>44119</v>
      </c>
      <c r="C2606" t="s">
        <v>5696</v>
      </c>
      <c r="D2606" t="s">
        <v>131</v>
      </c>
      <c r="E2606">
        <v>22</v>
      </c>
      <c r="F2606" t="str">
        <f>IF(Table1[[#This Row],[age]]&lt;=25,"18-25",IF(Table1[[#This Row],[age]]&lt;=35,"26-35",IF(Table1[[#This Row],[age]]&lt;=50,"36-50","51+")))</f>
        <v>18-25</v>
      </c>
      <c r="G2606" t="s">
        <v>24</v>
      </c>
      <c r="H2606" t="s">
        <v>55</v>
      </c>
      <c r="I2606" t="s">
        <v>56</v>
      </c>
      <c r="J2606" t="s">
        <v>106</v>
      </c>
      <c r="K2606" t="s">
        <v>718</v>
      </c>
      <c r="L2606">
        <v>10</v>
      </c>
      <c r="M2606">
        <v>420.55</v>
      </c>
      <c r="N2606">
        <v>0.39</v>
      </c>
      <c r="O2606">
        <v>2218.9899999999998</v>
      </c>
      <c r="P2606">
        <v>132.72</v>
      </c>
      <c r="Q2606">
        <v>44.96</v>
      </c>
      <c r="R2606" t="s">
        <v>65</v>
      </c>
      <c r="S2606">
        <v>4</v>
      </c>
      <c r="T2606" t="b">
        <v>0</v>
      </c>
      <c r="U2606" t="s">
        <v>30</v>
      </c>
      <c r="V2606">
        <v>5</v>
      </c>
    </row>
    <row r="2607" spans="1:22" x14ac:dyDescent="0.25">
      <c r="A2607" t="s">
        <v>5697</v>
      </c>
      <c r="B2607" s="1">
        <v>45524</v>
      </c>
      <c r="C2607" t="s">
        <v>5698</v>
      </c>
      <c r="D2607" t="s">
        <v>253</v>
      </c>
      <c r="E2607">
        <v>56</v>
      </c>
      <c r="F2607" t="str">
        <f>IF(Table1[[#This Row],[age]]&lt;=25,"18-25",IF(Table1[[#This Row],[age]]&lt;=35,"26-35",IF(Table1[[#This Row],[age]]&lt;=50,"36-50","51+")))</f>
        <v>51+</v>
      </c>
      <c r="G2607" t="s">
        <v>24</v>
      </c>
      <c r="H2607" t="s">
        <v>80</v>
      </c>
      <c r="I2607" t="s">
        <v>81</v>
      </c>
      <c r="J2607" t="s">
        <v>115</v>
      </c>
      <c r="K2607" t="s">
        <v>545</v>
      </c>
      <c r="L2607">
        <v>9</v>
      </c>
      <c r="M2607">
        <v>31920.16</v>
      </c>
      <c r="N2607">
        <v>0.01</v>
      </c>
      <c r="O2607">
        <v>440371.93</v>
      </c>
      <c r="P2607">
        <v>65871.22</v>
      </c>
      <c r="Q2607">
        <v>59.99</v>
      </c>
      <c r="R2607" t="s">
        <v>92</v>
      </c>
      <c r="S2607">
        <v>3</v>
      </c>
      <c r="T2607" t="b">
        <v>0</v>
      </c>
      <c r="U2607" t="s">
        <v>30</v>
      </c>
      <c r="V2607">
        <v>9</v>
      </c>
    </row>
    <row r="2608" spans="1:22" x14ac:dyDescent="0.25">
      <c r="A2608" t="s">
        <v>5699</v>
      </c>
      <c r="B2608" s="1">
        <v>45173</v>
      </c>
      <c r="C2608" t="s">
        <v>5700</v>
      </c>
      <c r="D2608" t="s">
        <v>1215</v>
      </c>
      <c r="E2608">
        <v>31</v>
      </c>
      <c r="F2608" t="str">
        <f>IF(Table1[[#This Row],[age]]&lt;=25,"18-25",IF(Table1[[#This Row],[age]]&lt;=35,"26-35",IF(Table1[[#This Row],[age]]&lt;=50,"36-50","51+")))</f>
        <v>26-35</v>
      </c>
      <c r="G2608" t="s">
        <v>34</v>
      </c>
      <c r="H2608" t="s">
        <v>25</v>
      </c>
      <c r="I2608" t="s">
        <v>35</v>
      </c>
      <c r="J2608" t="s">
        <v>27</v>
      </c>
      <c r="K2608" t="s">
        <v>480</v>
      </c>
      <c r="L2608">
        <v>6</v>
      </c>
      <c r="M2608">
        <v>1382.04</v>
      </c>
      <c r="N2608">
        <v>0.27</v>
      </c>
      <c r="O2608">
        <v>7652.12</v>
      </c>
      <c r="P2608">
        <v>2282.9699999999998</v>
      </c>
      <c r="Q2608">
        <v>63.64</v>
      </c>
      <c r="R2608" t="s">
        <v>49</v>
      </c>
      <c r="S2608">
        <v>3</v>
      </c>
      <c r="T2608" t="b">
        <v>0</v>
      </c>
      <c r="U2608" t="s">
        <v>30</v>
      </c>
      <c r="V2608">
        <v>10</v>
      </c>
    </row>
    <row r="2609" spans="1:22" x14ac:dyDescent="0.25">
      <c r="A2609" t="s">
        <v>5701</v>
      </c>
      <c r="B2609" s="1">
        <v>44223</v>
      </c>
      <c r="C2609" t="s">
        <v>5702</v>
      </c>
      <c r="D2609" t="s">
        <v>1163</v>
      </c>
      <c r="E2609">
        <v>42</v>
      </c>
      <c r="F2609" t="str">
        <f>IF(Table1[[#This Row],[age]]&lt;=25,"18-25",IF(Table1[[#This Row],[age]]&lt;=35,"26-35",IF(Table1[[#This Row],[age]]&lt;=50,"36-50","51+")))</f>
        <v>36-50</v>
      </c>
      <c r="G2609" t="s">
        <v>54</v>
      </c>
      <c r="H2609" t="s">
        <v>61</v>
      </c>
      <c r="I2609" t="s">
        <v>163</v>
      </c>
      <c r="J2609" t="s">
        <v>63</v>
      </c>
      <c r="K2609" t="s">
        <v>64</v>
      </c>
      <c r="L2609">
        <v>2</v>
      </c>
      <c r="M2609">
        <v>2935.36</v>
      </c>
      <c r="N2609">
        <v>0.33</v>
      </c>
      <c r="O2609">
        <v>3141.45</v>
      </c>
      <c r="P2609">
        <v>1157.67</v>
      </c>
      <c r="Q2609">
        <v>60.42</v>
      </c>
      <c r="R2609" t="s">
        <v>43</v>
      </c>
      <c r="S2609">
        <v>1</v>
      </c>
      <c r="T2609" t="b">
        <v>0</v>
      </c>
      <c r="U2609" t="s">
        <v>30</v>
      </c>
      <c r="V2609">
        <v>6</v>
      </c>
    </row>
    <row r="2610" spans="1:22" x14ac:dyDescent="0.25">
      <c r="A2610" t="s">
        <v>5703</v>
      </c>
      <c r="B2610" s="1">
        <v>44827</v>
      </c>
      <c r="C2610" t="s">
        <v>5704</v>
      </c>
      <c r="D2610" t="s">
        <v>367</v>
      </c>
      <c r="E2610">
        <v>20</v>
      </c>
      <c r="F2610" t="str">
        <f>IF(Table1[[#This Row],[age]]&lt;=25,"18-25",IF(Table1[[#This Row],[age]]&lt;=35,"26-35",IF(Table1[[#This Row],[age]]&lt;=50,"36-50","51+")))</f>
        <v>18-25</v>
      </c>
      <c r="G2610" t="s">
        <v>34</v>
      </c>
      <c r="H2610" t="s">
        <v>80</v>
      </c>
      <c r="I2610" t="s">
        <v>86</v>
      </c>
      <c r="J2610" t="s">
        <v>101</v>
      </c>
      <c r="K2610" t="s">
        <v>164</v>
      </c>
      <c r="L2610">
        <v>3</v>
      </c>
      <c r="M2610">
        <v>8809.7199999999993</v>
      </c>
      <c r="N2610">
        <v>0.38</v>
      </c>
      <c r="O2610">
        <v>18286.54</v>
      </c>
      <c r="P2610">
        <v>4538.3999999999996</v>
      </c>
      <c r="Q2610">
        <v>76.08</v>
      </c>
      <c r="R2610" t="s">
        <v>29</v>
      </c>
      <c r="S2610">
        <v>5</v>
      </c>
      <c r="T2610" t="b">
        <v>1</v>
      </c>
      <c r="U2610" t="s">
        <v>50</v>
      </c>
      <c r="V2610">
        <v>9</v>
      </c>
    </row>
    <row r="2611" spans="1:22" x14ac:dyDescent="0.25">
      <c r="A2611" t="s">
        <v>5705</v>
      </c>
      <c r="B2611" s="1">
        <v>45145</v>
      </c>
      <c r="C2611" t="s">
        <v>5706</v>
      </c>
      <c r="D2611" t="s">
        <v>96</v>
      </c>
      <c r="E2611">
        <v>33</v>
      </c>
      <c r="F2611" t="str">
        <f>IF(Table1[[#This Row],[age]]&lt;=25,"18-25",IF(Table1[[#This Row],[age]]&lt;=35,"26-35",IF(Table1[[#This Row],[age]]&lt;=50,"36-50","51+")))</f>
        <v>26-35</v>
      </c>
      <c r="G2611" t="s">
        <v>24</v>
      </c>
      <c r="H2611" t="s">
        <v>61</v>
      </c>
      <c r="I2611" t="s">
        <v>62</v>
      </c>
      <c r="J2611" t="s">
        <v>101</v>
      </c>
      <c r="K2611" t="s">
        <v>456</v>
      </c>
      <c r="L2611">
        <v>5</v>
      </c>
      <c r="M2611">
        <v>10440.969999999999</v>
      </c>
      <c r="N2611">
        <v>0.03</v>
      </c>
      <c r="O2611">
        <v>76880.87</v>
      </c>
      <c r="P2611">
        <v>13536.66</v>
      </c>
      <c r="Q2611">
        <v>49.52</v>
      </c>
      <c r="R2611" t="s">
        <v>29</v>
      </c>
      <c r="S2611">
        <v>3</v>
      </c>
      <c r="T2611" t="b">
        <v>0</v>
      </c>
      <c r="U2611" t="s">
        <v>30</v>
      </c>
      <c r="V2611">
        <v>10</v>
      </c>
    </row>
    <row r="2612" spans="1:22" x14ac:dyDescent="0.25">
      <c r="A2612" t="s">
        <v>5707</v>
      </c>
      <c r="B2612" s="1">
        <v>45227</v>
      </c>
      <c r="C2612" t="s">
        <v>5708</v>
      </c>
      <c r="D2612" t="s">
        <v>174</v>
      </c>
      <c r="E2612">
        <v>26</v>
      </c>
      <c r="F2612" t="str">
        <f>IF(Table1[[#This Row],[age]]&lt;=25,"18-25",IF(Table1[[#This Row],[age]]&lt;=35,"26-35",IF(Table1[[#This Row],[age]]&lt;=50,"36-50","51+")))</f>
        <v>26-35</v>
      </c>
      <c r="G2612" t="s">
        <v>24</v>
      </c>
      <c r="H2612" t="s">
        <v>69</v>
      </c>
      <c r="I2612" t="s">
        <v>221</v>
      </c>
      <c r="J2612" t="s">
        <v>63</v>
      </c>
      <c r="K2612" t="s">
        <v>434</v>
      </c>
      <c r="L2612">
        <v>9</v>
      </c>
      <c r="M2612">
        <v>1877.39</v>
      </c>
      <c r="N2612">
        <v>0.13</v>
      </c>
      <c r="O2612">
        <v>17278.52</v>
      </c>
      <c r="P2612">
        <v>3585.58</v>
      </c>
      <c r="Q2612">
        <v>87.95</v>
      </c>
      <c r="R2612" t="s">
        <v>65</v>
      </c>
      <c r="S2612">
        <v>3</v>
      </c>
      <c r="T2612" t="b">
        <v>0</v>
      </c>
      <c r="U2612" t="s">
        <v>30</v>
      </c>
      <c r="V2612">
        <v>5</v>
      </c>
    </row>
    <row r="2613" spans="1:22" x14ac:dyDescent="0.25">
      <c r="A2613" t="s">
        <v>5709</v>
      </c>
      <c r="B2613" s="1">
        <v>44492</v>
      </c>
      <c r="C2613" t="s">
        <v>5710</v>
      </c>
      <c r="D2613" t="s">
        <v>1338</v>
      </c>
      <c r="E2613">
        <v>31</v>
      </c>
      <c r="F2613" t="str">
        <f>IF(Table1[[#This Row],[age]]&lt;=25,"18-25",IF(Table1[[#This Row],[age]]&lt;=35,"26-35",IF(Table1[[#This Row],[age]]&lt;=50,"36-50","51+")))</f>
        <v>26-35</v>
      </c>
      <c r="G2613" t="s">
        <v>54</v>
      </c>
      <c r="H2613" t="s">
        <v>25</v>
      </c>
      <c r="I2613" t="s">
        <v>35</v>
      </c>
      <c r="J2613" t="s">
        <v>101</v>
      </c>
      <c r="K2613" t="s">
        <v>124</v>
      </c>
      <c r="L2613">
        <v>8</v>
      </c>
      <c r="M2613">
        <v>12621.58</v>
      </c>
      <c r="N2613">
        <v>0.23</v>
      </c>
      <c r="O2613">
        <v>64120.65</v>
      </c>
      <c r="P2613">
        <v>14256.86</v>
      </c>
      <c r="Q2613">
        <v>73.599999999999994</v>
      </c>
      <c r="R2613" t="s">
        <v>29</v>
      </c>
      <c r="S2613">
        <v>4</v>
      </c>
      <c r="T2613" t="b">
        <v>0</v>
      </c>
      <c r="U2613" t="s">
        <v>30</v>
      </c>
      <c r="V2613">
        <v>2</v>
      </c>
    </row>
    <row r="2614" spans="1:22" x14ac:dyDescent="0.25">
      <c r="A2614" t="s">
        <v>5711</v>
      </c>
      <c r="B2614" s="1">
        <v>45650</v>
      </c>
      <c r="C2614" t="s">
        <v>5712</v>
      </c>
      <c r="D2614" t="s">
        <v>127</v>
      </c>
      <c r="E2614">
        <v>60</v>
      </c>
      <c r="F2614" t="str">
        <f>IF(Table1[[#This Row],[age]]&lt;=25,"18-25",IF(Table1[[#This Row],[age]]&lt;=35,"26-35",IF(Table1[[#This Row],[age]]&lt;=50,"36-50","51+")))</f>
        <v>51+</v>
      </c>
      <c r="G2614" t="s">
        <v>54</v>
      </c>
      <c r="H2614" t="s">
        <v>55</v>
      </c>
      <c r="I2614" t="s">
        <v>114</v>
      </c>
      <c r="J2614" t="s">
        <v>47</v>
      </c>
      <c r="K2614" t="s">
        <v>600</v>
      </c>
      <c r="L2614">
        <v>1</v>
      </c>
      <c r="M2614">
        <v>1309.19</v>
      </c>
      <c r="N2614">
        <v>0.23</v>
      </c>
      <c r="O2614">
        <v>976.81</v>
      </c>
      <c r="P2614">
        <v>529.27</v>
      </c>
      <c r="Q2614">
        <v>64.44</v>
      </c>
      <c r="R2614" t="s">
        <v>29</v>
      </c>
      <c r="S2614">
        <v>2</v>
      </c>
      <c r="T2614" t="b">
        <v>0</v>
      </c>
      <c r="U2614" t="s">
        <v>30</v>
      </c>
      <c r="V2614">
        <v>7</v>
      </c>
    </row>
    <row r="2615" spans="1:22" x14ac:dyDescent="0.25">
      <c r="A2615" t="s">
        <v>5713</v>
      </c>
      <c r="B2615" s="1">
        <v>44539</v>
      </c>
      <c r="C2615" t="s">
        <v>5714</v>
      </c>
      <c r="D2615" t="s">
        <v>2142</v>
      </c>
      <c r="E2615">
        <v>51</v>
      </c>
      <c r="F2615" t="str">
        <f>IF(Table1[[#This Row],[age]]&lt;=25,"18-25",IF(Table1[[#This Row],[age]]&lt;=35,"26-35",IF(Table1[[#This Row],[age]]&lt;=50,"36-50","51+")))</f>
        <v>51+</v>
      </c>
      <c r="G2615" t="s">
        <v>34</v>
      </c>
      <c r="H2615" t="s">
        <v>80</v>
      </c>
      <c r="I2615" t="s">
        <v>236</v>
      </c>
      <c r="J2615" t="s">
        <v>47</v>
      </c>
      <c r="K2615" t="s">
        <v>600</v>
      </c>
      <c r="L2615">
        <v>8</v>
      </c>
      <c r="M2615">
        <v>1131.49</v>
      </c>
      <c r="N2615">
        <v>0.18</v>
      </c>
      <c r="O2615">
        <v>4640.1000000000004</v>
      </c>
      <c r="P2615">
        <v>1566.98</v>
      </c>
      <c r="Q2615">
        <v>88.17</v>
      </c>
      <c r="R2615" t="s">
        <v>29</v>
      </c>
      <c r="S2615">
        <v>5</v>
      </c>
      <c r="T2615" t="b">
        <v>0</v>
      </c>
      <c r="U2615" t="s">
        <v>30</v>
      </c>
      <c r="V2615">
        <v>4</v>
      </c>
    </row>
    <row r="2616" spans="1:22" x14ac:dyDescent="0.25">
      <c r="A2616" t="s">
        <v>5715</v>
      </c>
      <c r="B2616" s="1">
        <v>44725</v>
      </c>
      <c r="C2616" t="s">
        <v>5716</v>
      </c>
      <c r="D2616" t="s">
        <v>748</v>
      </c>
      <c r="E2616">
        <v>49</v>
      </c>
      <c r="F2616" t="str">
        <f>IF(Table1[[#This Row],[age]]&lt;=25,"18-25",IF(Table1[[#This Row],[age]]&lt;=35,"26-35",IF(Table1[[#This Row],[age]]&lt;=50,"36-50","51+")))</f>
        <v>36-50</v>
      </c>
      <c r="G2616" t="s">
        <v>34</v>
      </c>
      <c r="H2616" t="s">
        <v>69</v>
      </c>
      <c r="I2616" t="s">
        <v>181</v>
      </c>
      <c r="J2616" t="s">
        <v>115</v>
      </c>
      <c r="K2616" t="s">
        <v>545</v>
      </c>
      <c r="L2616">
        <v>2</v>
      </c>
      <c r="M2616">
        <v>67980.100000000006</v>
      </c>
      <c r="N2616">
        <v>0.22</v>
      </c>
      <c r="O2616">
        <v>166434.21</v>
      </c>
      <c r="P2616">
        <v>17621.96</v>
      </c>
      <c r="Q2616">
        <v>84.59</v>
      </c>
      <c r="R2616" t="s">
        <v>92</v>
      </c>
      <c r="S2616">
        <v>3</v>
      </c>
      <c r="T2616" t="b">
        <v>0</v>
      </c>
      <c r="U2616" t="s">
        <v>30</v>
      </c>
      <c r="V2616">
        <v>9</v>
      </c>
    </row>
    <row r="2617" spans="1:22" x14ac:dyDescent="0.25">
      <c r="A2617" t="s">
        <v>5717</v>
      </c>
      <c r="B2617" s="1">
        <v>43925</v>
      </c>
      <c r="C2617" t="s">
        <v>5718</v>
      </c>
      <c r="D2617" t="s">
        <v>213</v>
      </c>
      <c r="E2617">
        <v>34</v>
      </c>
      <c r="F2617" t="str">
        <f>IF(Table1[[#This Row],[age]]&lt;=25,"18-25",IF(Table1[[#This Row],[age]]&lt;=35,"26-35",IF(Table1[[#This Row],[age]]&lt;=50,"36-50","51+")))</f>
        <v>26-35</v>
      </c>
      <c r="G2617" t="s">
        <v>24</v>
      </c>
      <c r="H2617" t="s">
        <v>61</v>
      </c>
      <c r="I2617" t="s">
        <v>141</v>
      </c>
      <c r="J2617" t="s">
        <v>63</v>
      </c>
      <c r="K2617" t="s">
        <v>87</v>
      </c>
      <c r="L2617">
        <v>4</v>
      </c>
      <c r="M2617">
        <v>3945.85</v>
      </c>
      <c r="N2617">
        <v>0.34</v>
      </c>
      <c r="O2617">
        <v>11190.58</v>
      </c>
      <c r="P2617">
        <v>5301.46</v>
      </c>
      <c r="Q2617">
        <v>63.9</v>
      </c>
      <c r="R2617" t="s">
        <v>49</v>
      </c>
      <c r="S2617">
        <v>4</v>
      </c>
      <c r="T2617" t="b">
        <v>0</v>
      </c>
      <c r="U2617" t="s">
        <v>71</v>
      </c>
      <c r="V2617">
        <v>7</v>
      </c>
    </row>
    <row r="2618" spans="1:22" x14ac:dyDescent="0.25">
      <c r="A2618" t="s">
        <v>5719</v>
      </c>
      <c r="B2618" s="1">
        <v>45025</v>
      </c>
      <c r="C2618" t="s">
        <v>5720</v>
      </c>
      <c r="D2618" t="s">
        <v>1401</v>
      </c>
      <c r="E2618">
        <v>48</v>
      </c>
      <c r="F2618" t="str">
        <f>IF(Table1[[#This Row],[age]]&lt;=25,"18-25",IF(Table1[[#This Row],[age]]&lt;=35,"26-35",IF(Table1[[#This Row],[age]]&lt;=50,"36-50","51+")))</f>
        <v>36-50</v>
      </c>
      <c r="G2618" t="s">
        <v>54</v>
      </c>
      <c r="H2618" t="s">
        <v>69</v>
      </c>
      <c r="I2618" t="s">
        <v>221</v>
      </c>
      <c r="J2618" t="s">
        <v>63</v>
      </c>
      <c r="K2618" t="s">
        <v>64</v>
      </c>
      <c r="L2618">
        <v>4</v>
      </c>
      <c r="M2618">
        <v>2774.33</v>
      </c>
      <c r="N2618">
        <v>0.19</v>
      </c>
      <c r="O2618">
        <v>11734.39</v>
      </c>
      <c r="P2618">
        <v>5152.2</v>
      </c>
      <c r="Q2618">
        <v>71.400000000000006</v>
      </c>
      <c r="R2618" t="s">
        <v>49</v>
      </c>
      <c r="S2618">
        <v>2</v>
      </c>
      <c r="T2618" t="b">
        <v>0</v>
      </c>
      <c r="U2618" t="s">
        <v>93</v>
      </c>
      <c r="V2618">
        <v>6</v>
      </c>
    </row>
    <row r="2619" spans="1:22" x14ac:dyDescent="0.25">
      <c r="A2619" t="s">
        <v>5721</v>
      </c>
      <c r="B2619" s="1">
        <v>45380</v>
      </c>
      <c r="C2619" t="s">
        <v>5722</v>
      </c>
      <c r="D2619" t="s">
        <v>737</v>
      </c>
      <c r="E2619">
        <v>41</v>
      </c>
      <c r="F2619" t="str">
        <f>IF(Table1[[#This Row],[age]]&lt;=25,"18-25",IF(Table1[[#This Row],[age]]&lt;=35,"26-35",IF(Table1[[#This Row],[age]]&lt;=50,"36-50","51+")))</f>
        <v>36-50</v>
      </c>
      <c r="G2619" t="s">
        <v>24</v>
      </c>
      <c r="H2619" t="s">
        <v>69</v>
      </c>
      <c r="I2619" t="s">
        <v>70</v>
      </c>
      <c r="J2619" t="s">
        <v>27</v>
      </c>
      <c r="K2619" t="s">
        <v>128</v>
      </c>
      <c r="L2619">
        <v>9</v>
      </c>
      <c r="M2619">
        <v>1290.81</v>
      </c>
      <c r="N2619">
        <v>0.38</v>
      </c>
      <c r="O2619">
        <v>10137.870000000001</v>
      </c>
      <c r="P2619">
        <v>4065.85</v>
      </c>
      <c r="Q2619">
        <v>94.19</v>
      </c>
      <c r="R2619" t="s">
        <v>43</v>
      </c>
      <c r="S2619">
        <v>2</v>
      </c>
      <c r="T2619" t="b">
        <v>1</v>
      </c>
      <c r="U2619" t="s">
        <v>50</v>
      </c>
      <c r="V2619">
        <v>8</v>
      </c>
    </row>
    <row r="2620" spans="1:22" x14ac:dyDescent="0.25">
      <c r="A2620" t="s">
        <v>5723</v>
      </c>
      <c r="B2620" s="1">
        <v>44731</v>
      </c>
      <c r="C2620" t="s">
        <v>5724</v>
      </c>
      <c r="D2620" t="s">
        <v>1430</v>
      </c>
      <c r="E2620">
        <v>22</v>
      </c>
      <c r="F2620" t="str">
        <f>IF(Table1[[#This Row],[age]]&lt;=25,"18-25",IF(Table1[[#This Row],[age]]&lt;=35,"26-35",IF(Table1[[#This Row],[age]]&lt;=50,"36-50","51+")))</f>
        <v>18-25</v>
      </c>
      <c r="G2620" t="s">
        <v>54</v>
      </c>
      <c r="H2620" t="s">
        <v>55</v>
      </c>
      <c r="I2620" t="s">
        <v>75</v>
      </c>
      <c r="J2620" t="s">
        <v>115</v>
      </c>
      <c r="K2620" t="s">
        <v>116</v>
      </c>
      <c r="L2620">
        <v>1</v>
      </c>
      <c r="M2620">
        <v>40586.06</v>
      </c>
      <c r="N2620">
        <v>0.03</v>
      </c>
      <c r="O2620">
        <v>56057.11</v>
      </c>
      <c r="P2620">
        <v>7068.43</v>
      </c>
      <c r="Q2620">
        <v>52.63</v>
      </c>
      <c r="R2620" t="s">
        <v>29</v>
      </c>
      <c r="S2620">
        <v>4</v>
      </c>
      <c r="T2620" t="b">
        <v>0</v>
      </c>
      <c r="U2620" t="s">
        <v>30</v>
      </c>
      <c r="V2620">
        <v>10</v>
      </c>
    </row>
    <row r="2621" spans="1:22" x14ac:dyDescent="0.25">
      <c r="A2621" t="s">
        <v>5725</v>
      </c>
      <c r="B2621" s="1">
        <v>44581</v>
      </c>
      <c r="C2621" t="s">
        <v>5726</v>
      </c>
      <c r="D2621" t="s">
        <v>1704</v>
      </c>
      <c r="E2621">
        <v>31</v>
      </c>
      <c r="F2621" t="str">
        <f>IF(Table1[[#This Row],[age]]&lt;=25,"18-25",IF(Table1[[#This Row],[age]]&lt;=35,"26-35",IF(Table1[[#This Row],[age]]&lt;=50,"36-50","51+")))</f>
        <v>26-35</v>
      </c>
      <c r="G2621" t="s">
        <v>54</v>
      </c>
      <c r="H2621" t="s">
        <v>61</v>
      </c>
      <c r="I2621" t="s">
        <v>163</v>
      </c>
      <c r="J2621" t="s">
        <v>101</v>
      </c>
      <c r="K2621" t="s">
        <v>102</v>
      </c>
      <c r="L2621">
        <v>8</v>
      </c>
      <c r="M2621">
        <v>4915.8500000000004</v>
      </c>
      <c r="N2621">
        <v>0.4</v>
      </c>
      <c r="O2621">
        <v>20462.27</v>
      </c>
      <c r="P2621">
        <v>3522.42</v>
      </c>
      <c r="Q2621">
        <v>71.09</v>
      </c>
      <c r="R2621" t="s">
        <v>29</v>
      </c>
      <c r="S2621">
        <v>2</v>
      </c>
      <c r="T2621" t="b">
        <v>0</v>
      </c>
      <c r="U2621" t="s">
        <v>30</v>
      </c>
      <c r="V2621">
        <v>10</v>
      </c>
    </row>
    <row r="2622" spans="1:22" x14ac:dyDescent="0.25">
      <c r="A2622" t="s">
        <v>5727</v>
      </c>
      <c r="B2622" s="1">
        <v>44910</v>
      </c>
      <c r="C2622" t="s">
        <v>5728</v>
      </c>
      <c r="D2622" t="s">
        <v>1921</v>
      </c>
      <c r="E2622">
        <v>58</v>
      </c>
      <c r="F2622" t="str">
        <f>IF(Table1[[#This Row],[age]]&lt;=25,"18-25",IF(Table1[[#This Row],[age]]&lt;=35,"26-35",IF(Table1[[#This Row],[age]]&lt;=50,"36-50","51+")))</f>
        <v>51+</v>
      </c>
      <c r="G2622" t="s">
        <v>54</v>
      </c>
      <c r="H2622" t="s">
        <v>61</v>
      </c>
      <c r="I2622" t="s">
        <v>141</v>
      </c>
      <c r="J2622" t="s">
        <v>27</v>
      </c>
      <c r="K2622" t="s">
        <v>28</v>
      </c>
      <c r="L2622">
        <v>2</v>
      </c>
      <c r="M2622">
        <v>197.14</v>
      </c>
      <c r="N2622">
        <v>0.08</v>
      </c>
      <c r="O2622">
        <v>304.99</v>
      </c>
      <c r="P2622">
        <v>162.97</v>
      </c>
      <c r="Q2622">
        <v>48.37</v>
      </c>
      <c r="R2622" t="s">
        <v>43</v>
      </c>
      <c r="S2622">
        <v>4</v>
      </c>
      <c r="T2622" t="b">
        <v>1</v>
      </c>
      <c r="U2622" t="s">
        <v>50</v>
      </c>
      <c r="V2622">
        <v>8</v>
      </c>
    </row>
    <row r="2623" spans="1:22" x14ac:dyDescent="0.25">
      <c r="A2623" t="s">
        <v>5729</v>
      </c>
      <c r="B2623" s="1">
        <v>44708</v>
      </c>
      <c r="C2623" t="s">
        <v>5730</v>
      </c>
      <c r="D2623" t="s">
        <v>162</v>
      </c>
      <c r="E2623">
        <v>22</v>
      </c>
      <c r="F2623" t="str">
        <f>IF(Table1[[#This Row],[age]]&lt;=25,"18-25",IF(Table1[[#This Row],[age]]&lt;=35,"26-35",IF(Table1[[#This Row],[age]]&lt;=50,"36-50","51+")))</f>
        <v>18-25</v>
      </c>
      <c r="G2623" t="s">
        <v>24</v>
      </c>
      <c r="H2623" t="s">
        <v>25</v>
      </c>
      <c r="I2623" t="s">
        <v>41</v>
      </c>
      <c r="J2623" t="s">
        <v>106</v>
      </c>
      <c r="K2623" t="s">
        <v>314</v>
      </c>
      <c r="L2623">
        <v>2</v>
      </c>
      <c r="M2623">
        <v>190.58</v>
      </c>
      <c r="N2623">
        <v>0.32</v>
      </c>
      <c r="O2623">
        <v>399.58</v>
      </c>
      <c r="P2623">
        <v>33.130000000000003</v>
      </c>
      <c r="Q2623">
        <v>70.16</v>
      </c>
      <c r="R2623" t="s">
        <v>49</v>
      </c>
      <c r="S2623">
        <v>4</v>
      </c>
      <c r="T2623" t="b">
        <v>0</v>
      </c>
      <c r="U2623" t="s">
        <v>30</v>
      </c>
      <c r="V2623">
        <v>8</v>
      </c>
    </row>
    <row r="2624" spans="1:22" x14ac:dyDescent="0.25">
      <c r="A2624" t="s">
        <v>5731</v>
      </c>
      <c r="B2624" s="1">
        <v>44404</v>
      </c>
      <c r="C2624" t="s">
        <v>5732</v>
      </c>
      <c r="D2624" t="s">
        <v>2159</v>
      </c>
      <c r="E2624">
        <v>53</v>
      </c>
      <c r="F2624" t="str">
        <f>IF(Table1[[#This Row],[age]]&lt;=25,"18-25",IF(Table1[[#This Row],[age]]&lt;=35,"26-35",IF(Table1[[#This Row],[age]]&lt;=50,"36-50","51+")))</f>
        <v>51+</v>
      </c>
      <c r="G2624" t="s">
        <v>24</v>
      </c>
      <c r="H2624" t="s">
        <v>61</v>
      </c>
      <c r="I2624" t="s">
        <v>141</v>
      </c>
      <c r="J2624" t="s">
        <v>115</v>
      </c>
      <c r="K2624" t="s">
        <v>398</v>
      </c>
      <c r="L2624">
        <v>10</v>
      </c>
      <c r="M2624">
        <v>16086.67</v>
      </c>
      <c r="N2624">
        <v>0.09</v>
      </c>
      <c r="O2624">
        <v>194593.37</v>
      </c>
      <c r="P2624">
        <v>28383.360000000001</v>
      </c>
      <c r="Q2624">
        <v>48.31</v>
      </c>
      <c r="R2624" t="s">
        <v>57</v>
      </c>
      <c r="S2624">
        <v>2</v>
      </c>
      <c r="T2624" t="b">
        <v>0</v>
      </c>
      <c r="U2624" t="s">
        <v>30</v>
      </c>
      <c r="V2624">
        <v>3</v>
      </c>
    </row>
    <row r="2625" spans="1:22" x14ac:dyDescent="0.25">
      <c r="A2625" t="s">
        <v>5733</v>
      </c>
      <c r="B2625" s="1">
        <v>45087</v>
      </c>
      <c r="C2625" t="s">
        <v>5734</v>
      </c>
      <c r="D2625" t="s">
        <v>2432</v>
      </c>
      <c r="E2625">
        <v>37</v>
      </c>
      <c r="F2625" t="str">
        <f>IF(Table1[[#This Row],[age]]&lt;=25,"18-25",IF(Table1[[#This Row],[age]]&lt;=35,"26-35",IF(Table1[[#This Row],[age]]&lt;=50,"36-50","51+")))</f>
        <v>36-50</v>
      </c>
      <c r="G2625" t="s">
        <v>54</v>
      </c>
      <c r="H2625" t="s">
        <v>80</v>
      </c>
      <c r="I2625" t="s">
        <v>242</v>
      </c>
      <c r="J2625" t="s">
        <v>63</v>
      </c>
      <c r="K2625" t="s">
        <v>111</v>
      </c>
      <c r="L2625">
        <v>5</v>
      </c>
      <c r="M2625">
        <v>2719.24</v>
      </c>
      <c r="N2625">
        <v>0.37</v>
      </c>
      <c r="O2625">
        <v>14617.3</v>
      </c>
      <c r="P2625">
        <v>4858.0600000000004</v>
      </c>
      <c r="Q2625">
        <v>78.069999999999993</v>
      </c>
      <c r="R2625" t="s">
        <v>65</v>
      </c>
      <c r="S2625">
        <v>5</v>
      </c>
      <c r="T2625" t="b">
        <v>0</v>
      </c>
      <c r="U2625" t="s">
        <v>30</v>
      </c>
      <c r="V2625">
        <v>6</v>
      </c>
    </row>
    <row r="2626" spans="1:22" x14ac:dyDescent="0.25">
      <c r="A2626" t="s">
        <v>5735</v>
      </c>
      <c r="B2626" s="1">
        <v>45129</v>
      </c>
      <c r="C2626" t="s">
        <v>5736</v>
      </c>
      <c r="D2626" t="s">
        <v>203</v>
      </c>
      <c r="E2626">
        <v>47</v>
      </c>
      <c r="F2626" t="str">
        <f>IF(Table1[[#This Row],[age]]&lt;=25,"18-25",IF(Table1[[#This Row],[age]]&lt;=35,"26-35",IF(Table1[[#This Row],[age]]&lt;=50,"36-50","51+")))</f>
        <v>36-50</v>
      </c>
      <c r="G2626" t="s">
        <v>34</v>
      </c>
      <c r="H2626" t="s">
        <v>80</v>
      </c>
      <c r="I2626" t="s">
        <v>242</v>
      </c>
      <c r="J2626" t="s">
        <v>36</v>
      </c>
      <c r="K2626" t="s">
        <v>230</v>
      </c>
      <c r="L2626">
        <v>4</v>
      </c>
      <c r="M2626">
        <v>17215.86</v>
      </c>
      <c r="N2626">
        <v>0.38</v>
      </c>
      <c r="O2626">
        <v>69333.08</v>
      </c>
      <c r="P2626">
        <v>21312.1</v>
      </c>
      <c r="Q2626">
        <v>63.55</v>
      </c>
      <c r="R2626" t="s">
        <v>43</v>
      </c>
      <c r="S2626">
        <v>1</v>
      </c>
      <c r="T2626" t="b">
        <v>0</v>
      </c>
      <c r="U2626" t="s">
        <v>30</v>
      </c>
      <c r="V2626">
        <v>2</v>
      </c>
    </row>
    <row r="2627" spans="1:22" x14ac:dyDescent="0.25">
      <c r="A2627" t="s">
        <v>5737</v>
      </c>
      <c r="B2627" s="1">
        <v>45368</v>
      </c>
      <c r="C2627" t="s">
        <v>3326</v>
      </c>
      <c r="D2627" t="s">
        <v>1654</v>
      </c>
      <c r="E2627">
        <v>43</v>
      </c>
      <c r="F2627" t="str">
        <f>IF(Table1[[#This Row],[age]]&lt;=25,"18-25",IF(Table1[[#This Row],[age]]&lt;=35,"26-35",IF(Table1[[#This Row],[age]]&lt;=50,"36-50","51+")))</f>
        <v>36-50</v>
      </c>
      <c r="G2627" t="s">
        <v>54</v>
      </c>
      <c r="H2627" t="s">
        <v>25</v>
      </c>
      <c r="I2627" t="s">
        <v>298</v>
      </c>
      <c r="J2627" t="s">
        <v>115</v>
      </c>
      <c r="K2627" t="s">
        <v>145</v>
      </c>
      <c r="L2627">
        <v>10</v>
      </c>
      <c r="M2627">
        <v>37177.589999999997</v>
      </c>
      <c r="N2627">
        <v>0.24</v>
      </c>
      <c r="O2627">
        <v>380113.28</v>
      </c>
      <c r="P2627">
        <v>54735.8</v>
      </c>
      <c r="Q2627">
        <v>107.23</v>
      </c>
      <c r="R2627" t="s">
        <v>49</v>
      </c>
      <c r="S2627">
        <v>1</v>
      </c>
      <c r="T2627" t="b">
        <v>0</v>
      </c>
      <c r="U2627" t="s">
        <v>30</v>
      </c>
      <c r="V2627">
        <v>3</v>
      </c>
    </row>
    <row r="2628" spans="1:22" x14ac:dyDescent="0.25">
      <c r="A2628" t="s">
        <v>5738</v>
      </c>
      <c r="B2628" s="1">
        <v>44077</v>
      </c>
      <c r="C2628" t="s">
        <v>5739</v>
      </c>
      <c r="D2628" t="s">
        <v>250</v>
      </c>
      <c r="E2628">
        <v>25</v>
      </c>
      <c r="F2628" t="str">
        <f>IF(Table1[[#This Row],[age]]&lt;=25,"18-25",IF(Table1[[#This Row],[age]]&lt;=35,"26-35",IF(Table1[[#This Row],[age]]&lt;=50,"36-50","51+")))</f>
        <v>18-25</v>
      </c>
      <c r="G2628" t="s">
        <v>34</v>
      </c>
      <c r="H2628" t="s">
        <v>61</v>
      </c>
      <c r="I2628" t="s">
        <v>62</v>
      </c>
      <c r="J2628" t="s">
        <v>27</v>
      </c>
      <c r="K2628" t="s">
        <v>192</v>
      </c>
      <c r="L2628">
        <v>9</v>
      </c>
      <c r="M2628">
        <v>644.98</v>
      </c>
      <c r="N2628">
        <v>0.25</v>
      </c>
      <c r="O2628">
        <v>4487.87</v>
      </c>
      <c r="P2628">
        <v>1995.62</v>
      </c>
      <c r="Q2628">
        <v>37.32</v>
      </c>
      <c r="R2628" t="s">
        <v>57</v>
      </c>
      <c r="S2628">
        <v>5</v>
      </c>
      <c r="T2628" t="b">
        <v>0</v>
      </c>
      <c r="U2628" t="s">
        <v>30</v>
      </c>
      <c r="V2628">
        <v>5</v>
      </c>
    </row>
    <row r="2629" spans="1:22" x14ac:dyDescent="0.25">
      <c r="A2629" t="s">
        <v>5740</v>
      </c>
      <c r="B2629" s="1">
        <v>43853</v>
      </c>
      <c r="C2629" t="s">
        <v>5741</v>
      </c>
      <c r="D2629" t="s">
        <v>1039</v>
      </c>
      <c r="E2629">
        <v>37</v>
      </c>
      <c r="F2629" t="str">
        <f>IF(Table1[[#This Row],[age]]&lt;=25,"18-25",IF(Table1[[#This Row],[age]]&lt;=35,"26-35",IF(Table1[[#This Row],[age]]&lt;=50,"36-50","51+")))</f>
        <v>36-50</v>
      </c>
      <c r="G2629" t="s">
        <v>54</v>
      </c>
      <c r="H2629" t="s">
        <v>61</v>
      </c>
      <c r="I2629" t="s">
        <v>91</v>
      </c>
      <c r="J2629" t="s">
        <v>101</v>
      </c>
      <c r="K2629" t="s">
        <v>102</v>
      </c>
      <c r="L2629">
        <v>1</v>
      </c>
      <c r="M2629">
        <v>2554.77</v>
      </c>
      <c r="N2629">
        <v>7.0000000000000007E-2</v>
      </c>
      <c r="O2629">
        <v>1705.43</v>
      </c>
      <c r="P2629">
        <v>376.62</v>
      </c>
      <c r="Q2629">
        <v>65.44</v>
      </c>
      <c r="R2629" t="s">
        <v>57</v>
      </c>
      <c r="S2629">
        <v>2</v>
      </c>
      <c r="T2629" t="b">
        <v>0</v>
      </c>
      <c r="U2629" t="s">
        <v>30</v>
      </c>
      <c r="V2629">
        <v>2</v>
      </c>
    </row>
    <row r="2630" spans="1:22" x14ac:dyDescent="0.25">
      <c r="A2630" t="s">
        <v>5742</v>
      </c>
      <c r="B2630" s="1">
        <v>45104</v>
      </c>
      <c r="C2630" t="s">
        <v>5743</v>
      </c>
      <c r="D2630" t="s">
        <v>646</v>
      </c>
      <c r="E2630">
        <v>46</v>
      </c>
      <c r="F2630" t="str">
        <f>IF(Table1[[#This Row],[age]]&lt;=25,"18-25",IF(Table1[[#This Row],[age]]&lt;=35,"26-35",IF(Table1[[#This Row],[age]]&lt;=50,"36-50","51+")))</f>
        <v>36-50</v>
      </c>
      <c r="G2630" t="s">
        <v>54</v>
      </c>
      <c r="H2630" t="s">
        <v>55</v>
      </c>
      <c r="I2630" t="s">
        <v>56</v>
      </c>
      <c r="J2630" t="s">
        <v>47</v>
      </c>
      <c r="K2630" t="s">
        <v>204</v>
      </c>
      <c r="L2630">
        <v>10</v>
      </c>
      <c r="M2630">
        <v>1124.31</v>
      </c>
      <c r="N2630">
        <v>0.12</v>
      </c>
      <c r="O2630">
        <v>18133.14</v>
      </c>
      <c r="P2630">
        <v>7672.21</v>
      </c>
      <c r="Q2630">
        <v>80.41</v>
      </c>
      <c r="R2630" t="s">
        <v>43</v>
      </c>
      <c r="S2630">
        <v>2</v>
      </c>
      <c r="T2630" t="b">
        <v>0</v>
      </c>
      <c r="U2630" t="s">
        <v>30</v>
      </c>
      <c r="V2630">
        <v>2</v>
      </c>
    </row>
    <row r="2631" spans="1:22" x14ac:dyDescent="0.25">
      <c r="A2631" t="s">
        <v>5744</v>
      </c>
      <c r="B2631" s="1">
        <v>44483</v>
      </c>
      <c r="C2631" t="s">
        <v>5745</v>
      </c>
      <c r="D2631" t="s">
        <v>485</v>
      </c>
      <c r="E2631">
        <v>48</v>
      </c>
      <c r="F2631" t="str">
        <f>IF(Table1[[#This Row],[age]]&lt;=25,"18-25",IF(Table1[[#This Row],[age]]&lt;=35,"26-35",IF(Table1[[#This Row],[age]]&lt;=50,"36-50","51+")))</f>
        <v>36-50</v>
      </c>
      <c r="G2631" t="s">
        <v>24</v>
      </c>
      <c r="H2631" t="s">
        <v>61</v>
      </c>
      <c r="I2631" t="s">
        <v>91</v>
      </c>
      <c r="J2631" t="s">
        <v>27</v>
      </c>
      <c r="K2631" t="s">
        <v>335</v>
      </c>
      <c r="L2631">
        <v>5</v>
      </c>
      <c r="M2631">
        <v>314.26</v>
      </c>
      <c r="N2631">
        <v>0.28000000000000003</v>
      </c>
      <c r="O2631">
        <v>1186.73</v>
      </c>
      <c r="P2631">
        <v>376.78</v>
      </c>
      <c r="Q2631">
        <v>62.97</v>
      </c>
      <c r="R2631" t="s">
        <v>29</v>
      </c>
      <c r="S2631">
        <v>5</v>
      </c>
      <c r="T2631" t="b">
        <v>0</v>
      </c>
      <c r="U2631" t="s">
        <v>30</v>
      </c>
      <c r="V2631">
        <v>6</v>
      </c>
    </row>
    <row r="2632" spans="1:22" x14ac:dyDescent="0.25">
      <c r="A2632" t="s">
        <v>5746</v>
      </c>
      <c r="B2632" s="1">
        <v>45518</v>
      </c>
      <c r="C2632" t="s">
        <v>5747</v>
      </c>
      <c r="D2632" t="s">
        <v>679</v>
      </c>
      <c r="E2632">
        <v>52</v>
      </c>
      <c r="F2632" t="str">
        <f>IF(Table1[[#This Row],[age]]&lt;=25,"18-25",IF(Table1[[#This Row],[age]]&lt;=35,"26-35",IF(Table1[[#This Row],[age]]&lt;=50,"36-50","51+")))</f>
        <v>51+</v>
      </c>
      <c r="G2632" t="s">
        <v>54</v>
      </c>
      <c r="H2632" t="s">
        <v>80</v>
      </c>
      <c r="I2632" t="s">
        <v>81</v>
      </c>
      <c r="J2632" t="s">
        <v>36</v>
      </c>
      <c r="K2632" t="s">
        <v>37</v>
      </c>
      <c r="L2632">
        <v>10</v>
      </c>
      <c r="M2632">
        <v>5838.04</v>
      </c>
      <c r="N2632">
        <v>7.0000000000000007E-2</v>
      </c>
      <c r="O2632">
        <v>82953.5</v>
      </c>
      <c r="P2632">
        <v>23848.22</v>
      </c>
      <c r="Q2632">
        <v>71.75</v>
      </c>
      <c r="R2632" t="s">
        <v>29</v>
      </c>
      <c r="S2632">
        <v>4</v>
      </c>
      <c r="T2632" t="b">
        <v>1</v>
      </c>
      <c r="U2632" t="s">
        <v>50</v>
      </c>
      <c r="V2632">
        <v>3</v>
      </c>
    </row>
    <row r="2633" spans="1:22" x14ac:dyDescent="0.25">
      <c r="A2633" t="s">
        <v>5748</v>
      </c>
      <c r="B2633" s="1">
        <v>44739</v>
      </c>
      <c r="C2633" t="s">
        <v>5749</v>
      </c>
      <c r="D2633" t="s">
        <v>643</v>
      </c>
      <c r="E2633">
        <v>36</v>
      </c>
      <c r="F2633" t="str">
        <f>IF(Table1[[#This Row],[age]]&lt;=25,"18-25",IF(Table1[[#This Row],[age]]&lt;=35,"26-35",IF(Table1[[#This Row],[age]]&lt;=50,"36-50","51+")))</f>
        <v>36-50</v>
      </c>
      <c r="G2633" t="s">
        <v>24</v>
      </c>
      <c r="H2633" t="s">
        <v>55</v>
      </c>
      <c r="I2633" t="s">
        <v>97</v>
      </c>
      <c r="J2633" t="s">
        <v>36</v>
      </c>
      <c r="K2633" t="s">
        <v>76</v>
      </c>
      <c r="L2633">
        <v>10</v>
      </c>
      <c r="M2633">
        <v>30431.62</v>
      </c>
      <c r="N2633">
        <v>0.19</v>
      </c>
      <c r="O2633">
        <v>346543.18</v>
      </c>
      <c r="P2633">
        <v>123711.59</v>
      </c>
      <c r="Q2633">
        <v>58.75</v>
      </c>
      <c r="R2633" t="s">
        <v>29</v>
      </c>
      <c r="S2633">
        <v>4</v>
      </c>
      <c r="T2633" t="b">
        <v>0</v>
      </c>
      <c r="U2633" t="s">
        <v>30</v>
      </c>
      <c r="V2633">
        <v>10</v>
      </c>
    </row>
    <row r="2634" spans="1:22" x14ac:dyDescent="0.25">
      <c r="A2634" t="s">
        <v>5750</v>
      </c>
      <c r="B2634" s="1">
        <v>44792</v>
      </c>
      <c r="C2634" t="s">
        <v>5751</v>
      </c>
      <c r="D2634" t="s">
        <v>443</v>
      </c>
      <c r="E2634">
        <v>40</v>
      </c>
      <c r="F2634" t="str">
        <f>IF(Table1[[#This Row],[age]]&lt;=25,"18-25",IF(Table1[[#This Row],[age]]&lt;=35,"26-35",IF(Table1[[#This Row],[age]]&lt;=50,"36-50","51+")))</f>
        <v>36-50</v>
      </c>
      <c r="G2634" t="s">
        <v>34</v>
      </c>
      <c r="H2634" t="s">
        <v>61</v>
      </c>
      <c r="I2634" t="s">
        <v>163</v>
      </c>
      <c r="J2634" t="s">
        <v>47</v>
      </c>
      <c r="K2634" t="s">
        <v>600</v>
      </c>
      <c r="L2634">
        <v>3</v>
      </c>
      <c r="M2634">
        <v>692.33</v>
      </c>
      <c r="N2634">
        <v>0.14000000000000001</v>
      </c>
      <c r="O2634">
        <v>2204.16</v>
      </c>
      <c r="P2634">
        <v>747.75</v>
      </c>
      <c r="Q2634">
        <v>48.08</v>
      </c>
      <c r="R2634" t="s">
        <v>29</v>
      </c>
      <c r="S2634">
        <v>4</v>
      </c>
      <c r="T2634" t="b">
        <v>0</v>
      </c>
      <c r="U2634" t="s">
        <v>30</v>
      </c>
      <c r="V2634">
        <v>4</v>
      </c>
    </row>
    <row r="2635" spans="1:22" x14ac:dyDescent="0.25">
      <c r="A2635" t="s">
        <v>5752</v>
      </c>
      <c r="B2635" s="1">
        <v>45596</v>
      </c>
      <c r="C2635" t="s">
        <v>5753</v>
      </c>
      <c r="D2635" t="s">
        <v>634</v>
      </c>
      <c r="E2635">
        <v>31</v>
      </c>
      <c r="F2635" t="str">
        <f>IF(Table1[[#This Row],[age]]&lt;=25,"18-25",IF(Table1[[#This Row],[age]]&lt;=35,"26-35",IF(Table1[[#This Row],[age]]&lt;=50,"36-50","51+")))</f>
        <v>26-35</v>
      </c>
      <c r="G2635" t="s">
        <v>34</v>
      </c>
      <c r="H2635" t="s">
        <v>69</v>
      </c>
      <c r="I2635" t="s">
        <v>136</v>
      </c>
      <c r="J2635" t="s">
        <v>101</v>
      </c>
      <c r="K2635" t="s">
        <v>318</v>
      </c>
      <c r="L2635">
        <v>9</v>
      </c>
      <c r="M2635">
        <v>9910.8700000000008</v>
      </c>
      <c r="N2635">
        <v>0.36</v>
      </c>
      <c r="O2635">
        <v>65829.48</v>
      </c>
      <c r="P2635">
        <v>17622.75</v>
      </c>
      <c r="Q2635">
        <v>89.02</v>
      </c>
      <c r="R2635" t="s">
        <v>29</v>
      </c>
      <c r="S2635">
        <v>4</v>
      </c>
      <c r="T2635" t="b">
        <v>0</v>
      </c>
      <c r="U2635" t="s">
        <v>30</v>
      </c>
      <c r="V2635">
        <v>9</v>
      </c>
    </row>
    <row r="2636" spans="1:22" x14ac:dyDescent="0.25">
      <c r="A2636" t="s">
        <v>5754</v>
      </c>
      <c r="B2636" s="1">
        <v>45533</v>
      </c>
      <c r="C2636" t="s">
        <v>5755</v>
      </c>
      <c r="D2636" t="s">
        <v>3477</v>
      </c>
      <c r="E2636">
        <v>35</v>
      </c>
      <c r="F2636" t="str">
        <f>IF(Table1[[#This Row],[age]]&lt;=25,"18-25",IF(Table1[[#This Row],[age]]&lt;=35,"26-35",IF(Table1[[#This Row],[age]]&lt;=50,"36-50","51+")))</f>
        <v>26-35</v>
      </c>
      <c r="G2636" t="s">
        <v>34</v>
      </c>
      <c r="H2636" t="s">
        <v>55</v>
      </c>
      <c r="I2636" t="s">
        <v>75</v>
      </c>
      <c r="J2636" t="s">
        <v>106</v>
      </c>
      <c r="K2636" t="s">
        <v>188</v>
      </c>
      <c r="L2636">
        <v>3</v>
      </c>
      <c r="M2636">
        <v>109.12</v>
      </c>
      <c r="N2636">
        <v>0.03</v>
      </c>
      <c r="O2636">
        <v>524.34</v>
      </c>
      <c r="P2636">
        <v>36.82</v>
      </c>
      <c r="Q2636">
        <v>55.62</v>
      </c>
      <c r="R2636" t="s">
        <v>49</v>
      </c>
      <c r="S2636">
        <v>4</v>
      </c>
      <c r="T2636" t="b">
        <v>0</v>
      </c>
      <c r="U2636" t="s">
        <v>30</v>
      </c>
      <c r="V2636">
        <v>9</v>
      </c>
    </row>
    <row r="2637" spans="1:22" x14ac:dyDescent="0.25">
      <c r="A2637" t="s">
        <v>5756</v>
      </c>
      <c r="B2637" s="1">
        <v>44646</v>
      </c>
      <c r="C2637" t="s">
        <v>5757</v>
      </c>
      <c r="D2637" t="s">
        <v>151</v>
      </c>
      <c r="E2637">
        <v>34</v>
      </c>
      <c r="F2637" t="str">
        <f>IF(Table1[[#This Row],[age]]&lt;=25,"18-25",IF(Table1[[#This Row],[age]]&lt;=35,"26-35",IF(Table1[[#This Row],[age]]&lt;=50,"36-50","51+")))</f>
        <v>26-35</v>
      </c>
      <c r="G2637" t="s">
        <v>54</v>
      </c>
      <c r="H2637" t="s">
        <v>55</v>
      </c>
      <c r="I2637" t="s">
        <v>114</v>
      </c>
      <c r="J2637" t="s">
        <v>36</v>
      </c>
      <c r="K2637" t="s">
        <v>243</v>
      </c>
      <c r="L2637">
        <v>4</v>
      </c>
      <c r="M2637">
        <v>31307.38</v>
      </c>
      <c r="N2637">
        <v>0.26</v>
      </c>
      <c r="O2637">
        <v>105074.92</v>
      </c>
      <c r="P2637">
        <v>26306.21</v>
      </c>
      <c r="Q2637">
        <v>72.12</v>
      </c>
      <c r="R2637" t="s">
        <v>49</v>
      </c>
      <c r="S2637">
        <v>4</v>
      </c>
      <c r="T2637" t="b">
        <v>0</v>
      </c>
      <c r="U2637" t="s">
        <v>30</v>
      </c>
      <c r="V2637">
        <v>4</v>
      </c>
    </row>
    <row r="2638" spans="1:22" x14ac:dyDescent="0.25">
      <c r="A2638" t="s">
        <v>5758</v>
      </c>
      <c r="B2638" s="1">
        <v>45595</v>
      </c>
      <c r="C2638" t="s">
        <v>5759</v>
      </c>
      <c r="D2638" t="s">
        <v>2008</v>
      </c>
      <c r="E2638">
        <v>68</v>
      </c>
      <c r="F2638" t="str">
        <f>IF(Table1[[#This Row],[age]]&lt;=25,"18-25",IF(Table1[[#This Row],[age]]&lt;=35,"26-35",IF(Table1[[#This Row],[age]]&lt;=50,"36-50","51+")))</f>
        <v>51+</v>
      </c>
      <c r="G2638" t="s">
        <v>54</v>
      </c>
      <c r="H2638" t="s">
        <v>80</v>
      </c>
      <c r="I2638" t="s">
        <v>86</v>
      </c>
      <c r="J2638" t="s">
        <v>63</v>
      </c>
      <c r="K2638" t="s">
        <v>111</v>
      </c>
      <c r="L2638">
        <v>6</v>
      </c>
      <c r="M2638">
        <v>974.77</v>
      </c>
      <c r="N2638">
        <v>0.36</v>
      </c>
      <c r="O2638">
        <v>4398.5600000000004</v>
      </c>
      <c r="P2638">
        <v>1906.51</v>
      </c>
      <c r="Q2638">
        <v>61.51</v>
      </c>
      <c r="R2638" t="s">
        <v>65</v>
      </c>
      <c r="S2638">
        <v>2</v>
      </c>
      <c r="T2638" t="b">
        <v>0</v>
      </c>
      <c r="U2638" t="s">
        <v>30</v>
      </c>
      <c r="V2638">
        <v>10</v>
      </c>
    </row>
    <row r="2639" spans="1:22" x14ac:dyDescent="0.25">
      <c r="A2639" t="s">
        <v>5760</v>
      </c>
      <c r="B2639" s="1">
        <v>45614</v>
      </c>
      <c r="C2639" t="s">
        <v>5761</v>
      </c>
      <c r="D2639" t="s">
        <v>692</v>
      </c>
      <c r="E2639">
        <v>57</v>
      </c>
      <c r="F2639" t="str">
        <f>IF(Table1[[#This Row],[age]]&lt;=25,"18-25",IF(Table1[[#This Row],[age]]&lt;=35,"26-35",IF(Table1[[#This Row],[age]]&lt;=50,"36-50","51+")))</f>
        <v>51+</v>
      </c>
      <c r="G2639" t="s">
        <v>54</v>
      </c>
      <c r="H2639" t="s">
        <v>61</v>
      </c>
      <c r="I2639" t="s">
        <v>163</v>
      </c>
      <c r="J2639" t="s">
        <v>101</v>
      </c>
      <c r="K2639" t="s">
        <v>214</v>
      </c>
      <c r="L2639">
        <v>6</v>
      </c>
      <c r="M2639">
        <v>8448.34</v>
      </c>
      <c r="N2639">
        <v>0.28999999999999998</v>
      </c>
      <c r="O2639">
        <v>37263.519999999997</v>
      </c>
      <c r="P2639">
        <v>8591.2000000000007</v>
      </c>
      <c r="Q2639">
        <v>72.430000000000007</v>
      </c>
      <c r="R2639" t="s">
        <v>49</v>
      </c>
      <c r="S2639">
        <v>5</v>
      </c>
      <c r="T2639" t="b">
        <v>0</v>
      </c>
      <c r="U2639" t="s">
        <v>30</v>
      </c>
      <c r="V2639">
        <v>10</v>
      </c>
    </row>
    <row r="2640" spans="1:22" x14ac:dyDescent="0.25">
      <c r="A2640" t="s">
        <v>5762</v>
      </c>
      <c r="B2640" s="1">
        <v>45418</v>
      </c>
      <c r="C2640" t="s">
        <v>5763</v>
      </c>
      <c r="D2640" t="s">
        <v>740</v>
      </c>
      <c r="E2640">
        <v>35</v>
      </c>
      <c r="F2640" t="str">
        <f>IF(Table1[[#This Row],[age]]&lt;=25,"18-25",IF(Table1[[#This Row],[age]]&lt;=35,"26-35",IF(Table1[[#This Row],[age]]&lt;=50,"36-50","51+")))</f>
        <v>26-35</v>
      </c>
      <c r="G2640" t="s">
        <v>54</v>
      </c>
      <c r="H2640" t="s">
        <v>80</v>
      </c>
      <c r="I2640" t="s">
        <v>236</v>
      </c>
      <c r="J2640" t="s">
        <v>63</v>
      </c>
      <c r="K2640" t="s">
        <v>434</v>
      </c>
      <c r="L2640">
        <v>2</v>
      </c>
      <c r="M2640">
        <v>1717.4</v>
      </c>
      <c r="N2640">
        <v>0.17</v>
      </c>
      <c r="O2640">
        <v>4468.9799999999996</v>
      </c>
      <c r="P2640">
        <v>1161.98</v>
      </c>
      <c r="Q2640">
        <v>84.39</v>
      </c>
      <c r="R2640" t="s">
        <v>57</v>
      </c>
      <c r="S2640">
        <v>5</v>
      </c>
      <c r="T2640" t="b">
        <v>1</v>
      </c>
      <c r="U2640" t="s">
        <v>50</v>
      </c>
      <c r="V2640">
        <v>5</v>
      </c>
    </row>
    <row r="2641" spans="1:22" x14ac:dyDescent="0.25">
      <c r="A2641" t="s">
        <v>5764</v>
      </c>
      <c r="B2641" s="1">
        <v>45321</v>
      </c>
      <c r="C2641" t="s">
        <v>5765</v>
      </c>
      <c r="D2641" t="s">
        <v>433</v>
      </c>
      <c r="E2641">
        <v>23</v>
      </c>
      <c r="F2641" t="str">
        <f>IF(Table1[[#This Row],[age]]&lt;=25,"18-25",IF(Table1[[#This Row],[age]]&lt;=35,"26-35",IF(Table1[[#This Row],[age]]&lt;=50,"36-50","51+")))</f>
        <v>18-25</v>
      </c>
      <c r="G2641" t="s">
        <v>34</v>
      </c>
      <c r="H2641" t="s">
        <v>80</v>
      </c>
      <c r="I2641" t="s">
        <v>236</v>
      </c>
      <c r="J2641" t="s">
        <v>115</v>
      </c>
      <c r="K2641" t="s">
        <v>116</v>
      </c>
      <c r="L2641">
        <v>2</v>
      </c>
      <c r="M2641">
        <v>59225.94</v>
      </c>
      <c r="N2641">
        <v>0.08</v>
      </c>
      <c r="O2641">
        <v>111005.02</v>
      </c>
      <c r="P2641">
        <v>9990.2199999999993</v>
      </c>
      <c r="Q2641">
        <v>76.36</v>
      </c>
      <c r="R2641" t="s">
        <v>57</v>
      </c>
      <c r="S2641">
        <v>3</v>
      </c>
      <c r="T2641" t="b">
        <v>0</v>
      </c>
      <c r="U2641" t="s">
        <v>30</v>
      </c>
      <c r="V2641">
        <v>10</v>
      </c>
    </row>
    <row r="2642" spans="1:22" x14ac:dyDescent="0.25">
      <c r="A2642" t="s">
        <v>5766</v>
      </c>
      <c r="B2642" s="1">
        <v>44560</v>
      </c>
      <c r="C2642" t="s">
        <v>5767</v>
      </c>
      <c r="D2642" t="s">
        <v>2736</v>
      </c>
      <c r="E2642">
        <v>41</v>
      </c>
      <c r="F2642" t="str">
        <f>IF(Table1[[#This Row],[age]]&lt;=25,"18-25",IF(Table1[[#This Row],[age]]&lt;=35,"26-35",IF(Table1[[#This Row],[age]]&lt;=50,"36-50","51+")))</f>
        <v>36-50</v>
      </c>
      <c r="G2642" t="s">
        <v>54</v>
      </c>
      <c r="H2642" t="s">
        <v>80</v>
      </c>
      <c r="I2642" t="s">
        <v>242</v>
      </c>
      <c r="J2642" t="s">
        <v>63</v>
      </c>
      <c r="K2642" t="s">
        <v>64</v>
      </c>
      <c r="L2642">
        <v>7</v>
      </c>
      <c r="M2642">
        <v>691.98</v>
      </c>
      <c r="N2642">
        <v>0.26</v>
      </c>
      <c r="O2642">
        <v>2427.4699999999998</v>
      </c>
      <c r="P2642">
        <v>740.52</v>
      </c>
      <c r="Q2642">
        <v>59.13</v>
      </c>
      <c r="R2642" t="s">
        <v>49</v>
      </c>
      <c r="S2642">
        <v>1</v>
      </c>
      <c r="T2642" t="b">
        <v>0</v>
      </c>
      <c r="U2642" t="s">
        <v>30</v>
      </c>
      <c r="V2642">
        <v>1</v>
      </c>
    </row>
    <row r="2643" spans="1:22" x14ac:dyDescent="0.25">
      <c r="A2643" t="s">
        <v>5768</v>
      </c>
      <c r="B2643" s="1">
        <v>44534</v>
      </c>
      <c r="C2643" t="s">
        <v>5769</v>
      </c>
      <c r="D2643" t="s">
        <v>123</v>
      </c>
      <c r="E2643">
        <v>35</v>
      </c>
      <c r="F2643" t="str">
        <f>IF(Table1[[#This Row],[age]]&lt;=25,"18-25",IF(Table1[[#This Row],[age]]&lt;=35,"26-35",IF(Table1[[#This Row],[age]]&lt;=50,"36-50","51+")))</f>
        <v>26-35</v>
      </c>
      <c r="G2643" t="s">
        <v>54</v>
      </c>
      <c r="H2643" t="s">
        <v>25</v>
      </c>
      <c r="I2643" t="s">
        <v>35</v>
      </c>
      <c r="J2643" t="s">
        <v>47</v>
      </c>
      <c r="K2643" t="s">
        <v>272</v>
      </c>
      <c r="L2643">
        <v>4</v>
      </c>
      <c r="M2643">
        <v>505.02</v>
      </c>
      <c r="N2643">
        <v>0.2</v>
      </c>
      <c r="O2643">
        <v>1347.72</v>
      </c>
      <c r="P2643">
        <v>718.98</v>
      </c>
      <c r="Q2643">
        <v>63.47</v>
      </c>
      <c r="R2643" t="s">
        <v>65</v>
      </c>
      <c r="S2643">
        <v>2</v>
      </c>
      <c r="T2643" t="b">
        <v>0</v>
      </c>
      <c r="U2643" t="s">
        <v>30</v>
      </c>
      <c r="V2643">
        <v>7</v>
      </c>
    </row>
    <row r="2644" spans="1:22" x14ac:dyDescent="0.25">
      <c r="A2644" t="s">
        <v>5770</v>
      </c>
      <c r="B2644" s="1">
        <v>44109</v>
      </c>
      <c r="C2644" t="s">
        <v>5771</v>
      </c>
      <c r="D2644" t="s">
        <v>401</v>
      </c>
      <c r="E2644">
        <v>25</v>
      </c>
      <c r="F2644" t="str">
        <f>IF(Table1[[#This Row],[age]]&lt;=25,"18-25",IF(Table1[[#This Row],[age]]&lt;=35,"26-35",IF(Table1[[#This Row],[age]]&lt;=50,"36-50","51+")))</f>
        <v>18-25</v>
      </c>
      <c r="G2644" t="s">
        <v>24</v>
      </c>
      <c r="H2644" t="s">
        <v>69</v>
      </c>
      <c r="I2644" t="s">
        <v>181</v>
      </c>
      <c r="J2644" t="s">
        <v>115</v>
      </c>
      <c r="K2644" t="s">
        <v>137</v>
      </c>
      <c r="L2644">
        <v>1</v>
      </c>
      <c r="M2644">
        <v>66715.81</v>
      </c>
      <c r="N2644">
        <v>0.34</v>
      </c>
      <c r="O2644">
        <v>54095.7</v>
      </c>
      <c r="P2644">
        <v>5606.38</v>
      </c>
      <c r="Q2644">
        <v>96.92</v>
      </c>
      <c r="R2644" t="s">
        <v>92</v>
      </c>
      <c r="S2644">
        <v>5</v>
      </c>
      <c r="T2644" t="b">
        <v>0</v>
      </c>
      <c r="U2644" t="s">
        <v>71</v>
      </c>
      <c r="V2644">
        <v>10</v>
      </c>
    </row>
    <row r="2645" spans="1:22" x14ac:dyDescent="0.25">
      <c r="A2645" t="s">
        <v>5772</v>
      </c>
      <c r="B2645" s="1">
        <v>44798</v>
      </c>
      <c r="C2645" t="s">
        <v>5773</v>
      </c>
      <c r="D2645" t="s">
        <v>349</v>
      </c>
      <c r="E2645">
        <v>32</v>
      </c>
      <c r="F2645" t="str">
        <f>IF(Table1[[#This Row],[age]]&lt;=25,"18-25",IF(Table1[[#This Row],[age]]&lt;=35,"26-35",IF(Table1[[#This Row],[age]]&lt;=50,"36-50","51+")))</f>
        <v>26-35</v>
      </c>
      <c r="G2645" t="s">
        <v>24</v>
      </c>
      <c r="H2645" t="s">
        <v>69</v>
      </c>
      <c r="I2645" t="s">
        <v>136</v>
      </c>
      <c r="J2645" t="s">
        <v>106</v>
      </c>
      <c r="K2645" t="s">
        <v>718</v>
      </c>
      <c r="L2645">
        <v>5</v>
      </c>
      <c r="M2645">
        <v>285.26</v>
      </c>
      <c r="N2645">
        <v>0.18</v>
      </c>
      <c r="O2645">
        <v>1618.63</v>
      </c>
      <c r="P2645">
        <v>120.43</v>
      </c>
      <c r="Q2645">
        <v>93.11</v>
      </c>
      <c r="R2645" t="s">
        <v>65</v>
      </c>
      <c r="S2645">
        <v>5</v>
      </c>
      <c r="T2645" t="b">
        <v>0</v>
      </c>
      <c r="U2645" t="s">
        <v>30</v>
      </c>
      <c r="V2645">
        <v>5</v>
      </c>
    </row>
    <row r="2646" spans="1:22" x14ac:dyDescent="0.25">
      <c r="A2646" t="s">
        <v>5774</v>
      </c>
      <c r="B2646" s="1">
        <v>45543</v>
      </c>
      <c r="C2646" t="s">
        <v>5775</v>
      </c>
      <c r="D2646" t="s">
        <v>567</v>
      </c>
      <c r="E2646">
        <v>20</v>
      </c>
      <c r="F2646" t="str">
        <f>IF(Table1[[#This Row],[age]]&lt;=25,"18-25",IF(Table1[[#This Row],[age]]&lt;=35,"26-35",IF(Table1[[#This Row],[age]]&lt;=50,"36-50","51+")))</f>
        <v>18-25</v>
      </c>
      <c r="G2646" t="s">
        <v>24</v>
      </c>
      <c r="H2646" t="s">
        <v>25</v>
      </c>
      <c r="I2646" t="s">
        <v>298</v>
      </c>
      <c r="J2646" t="s">
        <v>106</v>
      </c>
      <c r="K2646" t="s">
        <v>314</v>
      </c>
      <c r="L2646">
        <v>3</v>
      </c>
      <c r="M2646">
        <v>339.07</v>
      </c>
      <c r="N2646">
        <v>0.26</v>
      </c>
      <c r="O2646">
        <v>997.35</v>
      </c>
      <c r="P2646">
        <v>101.3</v>
      </c>
      <c r="Q2646">
        <v>52.75</v>
      </c>
      <c r="R2646" t="s">
        <v>92</v>
      </c>
      <c r="S2646">
        <v>2</v>
      </c>
      <c r="T2646" t="b">
        <v>0</v>
      </c>
      <c r="U2646" t="s">
        <v>30</v>
      </c>
      <c r="V2646">
        <v>2</v>
      </c>
    </row>
    <row r="2647" spans="1:22" x14ac:dyDescent="0.25">
      <c r="A2647" t="s">
        <v>5776</v>
      </c>
      <c r="B2647" s="1">
        <v>43921</v>
      </c>
      <c r="C2647" t="s">
        <v>5777</v>
      </c>
      <c r="D2647" t="s">
        <v>1736</v>
      </c>
      <c r="E2647">
        <v>24</v>
      </c>
      <c r="F2647" t="str">
        <f>IF(Table1[[#This Row],[age]]&lt;=25,"18-25",IF(Table1[[#This Row],[age]]&lt;=35,"26-35",IF(Table1[[#This Row],[age]]&lt;=50,"36-50","51+")))</f>
        <v>18-25</v>
      </c>
      <c r="G2647" t="s">
        <v>54</v>
      </c>
      <c r="H2647" t="s">
        <v>55</v>
      </c>
      <c r="I2647" t="s">
        <v>56</v>
      </c>
      <c r="J2647" t="s">
        <v>106</v>
      </c>
      <c r="K2647" t="s">
        <v>331</v>
      </c>
      <c r="L2647">
        <v>9</v>
      </c>
      <c r="M2647">
        <v>122.54</v>
      </c>
      <c r="N2647">
        <v>0.04</v>
      </c>
      <c r="O2647">
        <v>928.75</v>
      </c>
      <c r="P2647">
        <v>82.76</v>
      </c>
      <c r="Q2647">
        <v>60.82</v>
      </c>
      <c r="R2647" t="s">
        <v>65</v>
      </c>
      <c r="S2647">
        <v>3</v>
      </c>
      <c r="T2647" t="b">
        <v>0</v>
      </c>
      <c r="U2647" t="s">
        <v>30</v>
      </c>
      <c r="V2647">
        <v>1</v>
      </c>
    </row>
    <row r="2648" spans="1:22" x14ac:dyDescent="0.25">
      <c r="A2648" t="s">
        <v>5778</v>
      </c>
      <c r="B2648" s="1">
        <v>45405</v>
      </c>
      <c r="C2648" t="s">
        <v>5779</v>
      </c>
      <c r="D2648" t="s">
        <v>1566</v>
      </c>
      <c r="E2648">
        <v>42</v>
      </c>
      <c r="F2648" t="str">
        <f>IF(Table1[[#This Row],[age]]&lt;=25,"18-25",IF(Table1[[#This Row],[age]]&lt;=35,"26-35",IF(Table1[[#This Row],[age]]&lt;=50,"36-50","51+")))</f>
        <v>36-50</v>
      </c>
      <c r="G2648" t="s">
        <v>24</v>
      </c>
      <c r="H2648" t="s">
        <v>55</v>
      </c>
      <c r="I2648" t="s">
        <v>97</v>
      </c>
      <c r="J2648" t="s">
        <v>63</v>
      </c>
      <c r="K2648" t="s">
        <v>152</v>
      </c>
      <c r="L2648">
        <v>8</v>
      </c>
      <c r="M2648">
        <v>1645.72</v>
      </c>
      <c r="N2648">
        <v>0.24</v>
      </c>
      <c r="O2648">
        <v>16304.49</v>
      </c>
      <c r="P2648">
        <v>5514.74</v>
      </c>
      <c r="Q2648">
        <v>71.7</v>
      </c>
      <c r="R2648" t="s">
        <v>29</v>
      </c>
      <c r="S2648">
        <v>2</v>
      </c>
      <c r="T2648" t="b">
        <v>0</v>
      </c>
      <c r="U2648" t="s">
        <v>93</v>
      </c>
      <c r="V2648">
        <v>5</v>
      </c>
    </row>
    <row r="2649" spans="1:22" x14ac:dyDescent="0.25">
      <c r="A2649" t="s">
        <v>5780</v>
      </c>
      <c r="B2649" s="1">
        <v>44237</v>
      </c>
      <c r="C2649" t="s">
        <v>5781</v>
      </c>
      <c r="D2649" t="s">
        <v>471</v>
      </c>
      <c r="E2649">
        <v>45</v>
      </c>
      <c r="F2649" t="str">
        <f>IF(Table1[[#This Row],[age]]&lt;=25,"18-25",IF(Table1[[#This Row],[age]]&lt;=35,"26-35",IF(Table1[[#This Row],[age]]&lt;=50,"36-50","51+")))</f>
        <v>36-50</v>
      </c>
      <c r="G2649" t="s">
        <v>54</v>
      </c>
      <c r="H2649" t="s">
        <v>80</v>
      </c>
      <c r="I2649" t="s">
        <v>236</v>
      </c>
      <c r="J2649" t="s">
        <v>36</v>
      </c>
      <c r="K2649" t="s">
        <v>230</v>
      </c>
      <c r="L2649">
        <v>10</v>
      </c>
      <c r="M2649">
        <v>12241.28</v>
      </c>
      <c r="N2649">
        <v>0.02</v>
      </c>
      <c r="O2649">
        <v>97580.65</v>
      </c>
      <c r="P2649">
        <v>23149.32</v>
      </c>
      <c r="Q2649">
        <v>45.07</v>
      </c>
      <c r="R2649" t="s">
        <v>57</v>
      </c>
      <c r="S2649">
        <v>5</v>
      </c>
      <c r="T2649" t="b">
        <v>1</v>
      </c>
      <c r="U2649" t="s">
        <v>50</v>
      </c>
      <c r="V2649">
        <v>8</v>
      </c>
    </row>
    <row r="2650" spans="1:22" x14ac:dyDescent="0.25">
      <c r="A2650" t="s">
        <v>5782</v>
      </c>
      <c r="B2650" s="1">
        <v>44243</v>
      </c>
      <c r="C2650" t="s">
        <v>5783</v>
      </c>
      <c r="D2650" t="s">
        <v>588</v>
      </c>
      <c r="E2650">
        <v>41</v>
      </c>
      <c r="F2650" t="str">
        <f>IF(Table1[[#This Row],[age]]&lt;=25,"18-25",IF(Table1[[#This Row],[age]]&lt;=35,"26-35",IF(Table1[[#This Row],[age]]&lt;=50,"36-50","51+")))</f>
        <v>36-50</v>
      </c>
      <c r="G2650" t="s">
        <v>54</v>
      </c>
      <c r="H2650" t="s">
        <v>25</v>
      </c>
      <c r="I2650" t="s">
        <v>35</v>
      </c>
      <c r="J2650" t="s">
        <v>101</v>
      </c>
      <c r="K2650" t="s">
        <v>456</v>
      </c>
      <c r="L2650">
        <v>6</v>
      </c>
      <c r="M2650">
        <v>4631.4399999999996</v>
      </c>
      <c r="N2650">
        <v>0.05</v>
      </c>
      <c r="O2650">
        <v>23451.19</v>
      </c>
      <c r="P2650">
        <v>4924.6899999999996</v>
      </c>
      <c r="Q2650">
        <v>43.93</v>
      </c>
      <c r="R2650" t="s">
        <v>57</v>
      </c>
      <c r="S2650">
        <v>3</v>
      </c>
      <c r="T2650" t="b">
        <v>1</v>
      </c>
      <c r="U2650" t="s">
        <v>50</v>
      </c>
      <c r="V2650">
        <v>4</v>
      </c>
    </row>
    <row r="2651" spans="1:22" x14ac:dyDescent="0.25">
      <c r="A2651" t="s">
        <v>5784</v>
      </c>
      <c r="B2651" s="1">
        <v>44870</v>
      </c>
      <c r="C2651" t="s">
        <v>5785</v>
      </c>
      <c r="D2651" t="s">
        <v>220</v>
      </c>
      <c r="E2651">
        <v>58</v>
      </c>
      <c r="F2651" t="str">
        <f>IF(Table1[[#This Row],[age]]&lt;=25,"18-25",IF(Table1[[#This Row],[age]]&lt;=35,"26-35",IF(Table1[[#This Row],[age]]&lt;=50,"36-50","51+")))</f>
        <v>51+</v>
      </c>
      <c r="G2651" t="s">
        <v>24</v>
      </c>
      <c r="H2651" t="s">
        <v>69</v>
      </c>
      <c r="I2651" t="s">
        <v>221</v>
      </c>
      <c r="J2651" t="s">
        <v>63</v>
      </c>
      <c r="K2651" t="s">
        <v>87</v>
      </c>
      <c r="L2651">
        <v>9</v>
      </c>
      <c r="M2651">
        <v>1523.81</v>
      </c>
      <c r="N2651">
        <v>0.17</v>
      </c>
      <c r="O2651">
        <v>10204.549999999999</v>
      </c>
      <c r="P2651">
        <v>3848.37</v>
      </c>
      <c r="Q2651">
        <v>99.28</v>
      </c>
      <c r="R2651" t="s">
        <v>92</v>
      </c>
      <c r="S2651">
        <v>2</v>
      </c>
      <c r="T2651" t="b">
        <v>0</v>
      </c>
      <c r="U2651" t="s">
        <v>93</v>
      </c>
      <c r="V2651">
        <v>8</v>
      </c>
    </row>
    <row r="2652" spans="1:22" x14ac:dyDescent="0.25">
      <c r="A2652" t="s">
        <v>5786</v>
      </c>
      <c r="B2652" s="1">
        <v>44975</v>
      </c>
      <c r="C2652" t="s">
        <v>5787</v>
      </c>
      <c r="D2652" t="s">
        <v>177</v>
      </c>
      <c r="E2652">
        <v>31</v>
      </c>
      <c r="F2652" t="str">
        <f>IF(Table1[[#This Row],[age]]&lt;=25,"18-25",IF(Table1[[#This Row],[age]]&lt;=35,"26-35",IF(Table1[[#This Row],[age]]&lt;=50,"36-50","51+")))</f>
        <v>26-35</v>
      </c>
      <c r="G2652" t="s">
        <v>54</v>
      </c>
      <c r="H2652" t="s">
        <v>69</v>
      </c>
      <c r="I2652" t="s">
        <v>70</v>
      </c>
      <c r="J2652" t="s">
        <v>47</v>
      </c>
      <c r="K2652" t="s">
        <v>48</v>
      </c>
      <c r="L2652">
        <v>10</v>
      </c>
      <c r="M2652">
        <v>431.41</v>
      </c>
      <c r="N2652">
        <v>0.34</v>
      </c>
      <c r="O2652">
        <v>2656.58</v>
      </c>
      <c r="P2652">
        <v>1442.99</v>
      </c>
      <c r="Q2652">
        <v>89.87</v>
      </c>
      <c r="R2652" t="s">
        <v>57</v>
      </c>
      <c r="S2652">
        <v>4</v>
      </c>
      <c r="T2652" t="b">
        <v>0</v>
      </c>
      <c r="U2652" t="s">
        <v>30</v>
      </c>
      <c r="V2652">
        <v>10</v>
      </c>
    </row>
    <row r="2653" spans="1:22" x14ac:dyDescent="0.25">
      <c r="A2653" t="s">
        <v>5788</v>
      </c>
      <c r="B2653" s="1">
        <v>44299</v>
      </c>
      <c r="C2653" t="s">
        <v>5789</v>
      </c>
      <c r="D2653" t="s">
        <v>646</v>
      </c>
      <c r="E2653">
        <v>41</v>
      </c>
      <c r="F2653" t="str">
        <f>IF(Table1[[#This Row],[age]]&lt;=25,"18-25",IF(Table1[[#This Row],[age]]&lt;=35,"26-35",IF(Table1[[#This Row],[age]]&lt;=50,"36-50","51+")))</f>
        <v>36-50</v>
      </c>
      <c r="G2653" t="s">
        <v>24</v>
      </c>
      <c r="H2653" t="s">
        <v>25</v>
      </c>
      <c r="I2653" t="s">
        <v>35</v>
      </c>
      <c r="J2653" t="s">
        <v>36</v>
      </c>
      <c r="K2653" t="s">
        <v>42</v>
      </c>
      <c r="L2653">
        <v>7</v>
      </c>
      <c r="M2653">
        <v>9355.68</v>
      </c>
      <c r="N2653">
        <v>0.1</v>
      </c>
      <c r="O2653">
        <v>71596.039999999994</v>
      </c>
      <c r="P2653">
        <v>22032.09</v>
      </c>
      <c r="Q2653">
        <v>59.02</v>
      </c>
      <c r="R2653" t="s">
        <v>29</v>
      </c>
      <c r="S2653">
        <v>2</v>
      </c>
      <c r="T2653" t="b">
        <v>0</v>
      </c>
      <c r="U2653" t="s">
        <v>30</v>
      </c>
      <c r="V2653">
        <v>2</v>
      </c>
    </row>
    <row r="2654" spans="1:22" x14ac:dyDescent="0.25">
      <c r="A2654" t="s">
        <v>5790</v>
      </c>
      <c r="B2654" s="1">
        <v>44739</v>
      </c>
      <c r="C2654" t="s">
        <v>5791</v>
      </c>
      <c r="D2654" t="s">
        <v>210</v>
      </c>
      <c r="E2654">
        <v>48</v>
      </c>
      <c r="F2654" t="str">
        <f>IF(Table1[[#This Row],[age]]&lt;=25,"18-25",IF(Table1[[#This Row],[age]]&lt;=35,"26-35",IF(Table1[[#This Row],[age]]&lt;=50,"36-50","51+")))</f>
        <v>36-50</v>
      </c>
      <c r="G2654" t="s">
        <v>24</v>
      </c>
      <c r="H2654" t="s">
        <v>25</v>
      </c>
      <c r="I2654" t="s">
        <v>298</v>
      </c>
      <c r="J2654" t="s">
        <v>106</v>
      </c>
      <c r="K2654" t="s">
        <v>188</v>
      </c>
      <c r="L2654">
        <v>3</v>
      </c>
      <c r="M2654">
        <v>357.08</v>
      </c>
      <c r="N2654">
        <v>0.33</v>
      </c>
      <c r="O2654">
        <v>1019.24</v>
      </c>
      <c r="P2654">
        <v>100.4</v>
      </c>
      <c r="Q2654">
        <v>57.72</v>
      </c>
      <c r="R2654" t="s">
        <v>29</v>
      </c>
      <c r="S2654">
        <v>4</v>
      </c>
      <c r="T2654" t="b">
        <v>0</v>
      </c>
      <c r="U2654" t="s">
        <v>30</v>
      </c>
      <c r="V2654">
        <v>8</v>
      </c>
    </row>
    <row r="2655" spans="1:22" x14ac:dyDescent="0.25">
      <c r="A2655" t="s">
        <v>5792</v>
      </c>
      <c r="B2655" s="1">
        <v>44418</v>
      </c>
      <c r="C2655" t="s">
        <v>5793</v>
      </c>
      <c r="D2655" t="s">
        <v>433</v>
      </c>
      <c r="E2655">
        <v>47</v>
      </c>
      <c r="F2655" t="str">
        <f>IF(Table1[[#This Row],[age]]&lt;=25,"18-25",IF(Table1[[#This Row],[age]]&lt;=35,"26-35",IF(Table1[[#This Row],[age]]&lt;=50,"36-50","51+")))</f>
        <v>36-50</v>
      </c>
      <c r="G2655" t="s">
        <v>24</v>
      </c>
      <c r="H2655" t="s">
        <v>80</v>
      </c>
      <c r="I2655" t="s">
        <v>236</v>
      </c>
      <c r="J2655" t="s">
        <v>27</v>
      </c>
      <c r="K2655" t="s">
        <v>28</v>
      </c>
      <c r="L2655">
        <v>2</v>
      </c>
      <c r="M2655">
        <v>1000.16</v>
      </c>
      <c r="N2655">
        <v>0.16</v>
      </c>
      <c r="O2655">
        <v>2110.52</v>
      </c>
      <c r="P2655">
        <v>712.46</v>
      </c>
      <c r="Q2655">
        <v>67.430000000000007</v>
      </c>
      <c r="R2655" t="s">
        <v>49</v>
      </c>
      <c r="S2655">
        <v>1</v>
      </c>
      <c r="T2655" t="b">
        <v>0</v>
      </c>
      <c r="U2655" t="s">
        <v>30</v>
      </c>
      <c r="V2655">
        <v>5</v>
      </c>
    </row>
    <row r="2656" spans="1:22" x14ac:dyDescent="0.25">
      <c r="A2656" t="s">
        <v>5794</v>
      </c>
      <c r="B2656" s="1">
        <v>44388</v>
      </c>
      <c r="C2656" t="s">
        <v>5795</v>
      </c>
      <c r="D2656" t="s">
        <v>606</v>
      </c>
      <c r="E2656">
        <v>26</v>
      </c>
      <c r="F2656" t="str">
        <f>IF(Table1[[#This Row],[age]]&lt;=25,"18-25",IF(Table1[[#This Row],[age]]&lt;=35,"26-35",IF(Table1[[#This Row],[age]]&lt;=50,"36-50","51+")))</f>
        <v>26-35</v>
      </c>
      <c r="G2656" t="s">
        <v>24</v>
      </c>
      <c r="H2656" t="s">
        <v>25</v>
      </c>
      <c r="I2656" t="s">
        <v>35</v>
      </c>
      <c r="J2656" t="s">
        <v>27</v>
      </c>
      <c r="K2656" t="s">
        <v>192</v>
      </c>
      <c r="L2656">
        <v>9</v>
      </c>
      <c r="M2656">
        <v>2103.23</v>
      </c>
      <c r="N2656">
        <v>0.21</v>
      </c>
      <c r="O2656">
        <v>17656.62</v>
      </c>
      <c r="P2656">
        <v>8778.09</v>
      </c>
      <c r="Q2656">
        <v>74.94</v>
      </c>
      <c r="R2656" t="s">
        <v>43</v>
      </c>
      <c r="S2656">
        <v>1</v>
      </c>
      <c r="T2656" t="b">
        <v>0</v>
      </c>
      <c r="U2656" t="s">
        <v>30</v>
      </c>
      <c r="V2656">
        <v>6</v>
      </c>
    </row>
    <row r="2657" spans="1:22" x14ac:dyDescent="0.25">
      <c r="A2657" t="s">
        <v>5796</v>
      </c>
      <c r="B2657" s="1">
        <v>45599</v>
      </c>
      <c r="C2657" t="s">
        <v>5797</v>
      </c>
      <c r="D2657" t="s">
        <v>1406</v>
      </c>
      <c r="E2657">
        <v>31</v>
      </c>
      <c r="F2657" t="str">
        <f>IF(Table1[[#This Row],[age]]&lt;=25,"18-25",IF(Table1[[#This Row],[age]]&lt;=35,"26-35",IF(Table1[[#This Row],[age]]&lt;=50,"36-50","51+")))</f>
        <v>26-35</v>
      </c>
      <c r="G2657" t="s">
        <v>34</v>
      </c>
      <c r="H2657" t="s">
        <v>69</v>
      </c>
      <c r="I2657" t="s">
        <v>136</v>
      </c>
      <c r="J2657" t="s">
        <v>36</v>
      </c>
      <c r="K2657" t="s">
        <v>230</v>
      </c>
      <c r="L2657">
        <v>8</v>
      </c>
      <c r="M2657">
        <v>29867.23</v>
      </c>
      <c r="N2657">
        <v>0.2</v>
      </c>
      <c r="O2657">
        <v>199689.27</v>
      </c>
      <c r="P2657">
        <v>42863.03</v>
      </c>
      <c r="Q2657">
        <v>81.97</v>
      </c>
      <c r="R2657" t="s">
        <v>57</v>
      </c>
      <c r="S2657">
        <v>2</v>
      </c>
      <c r="T2657" t="b">
        <v>1</v>
      </c>
      <c r="U2657" t="s">
        <v>50</v>
      </c>
      <c r="V2657">
        <v>6</v>
      </c>
    </row>
    <row r="2658" spans="1:22" x14ac:dyDescent="0.25">
      <c r="A2658" t="s">
        <v>5798</v>
      </c>
      <c r="B2658" s="1">
        <v>44844</v>
      </c>
      <c r="C2658" t="s">
        <v>5799</v>
      </c>
      <c r="D2658" t="s">
        <v>754</v>
      </c>
      <c r="E2658">
        <v>60</v>
      </c>
      <c r="F2658" t="str">
        <f>IF(Table1[[#This Row],[age]]&lt;=25,"18-25",IF(Table1[[#This Row],[age]]&lt;=35,"26-35",IF(Table1[[#This Row],[age]]&lt;=50,"36-50","51+")))</f>
        <v>51+</v>
      </c>
      <c r="G2658" t="s">
        <v>34</v>
      </c>
      <c r="H2658" t="s">
        <v>69</v>
      </c>
      <c r="I2658" t="s">
        <v>136</v>
      </c>
      <c r="J2658" t="s">
        <v>115</v>
      </c>
      <c r="K2658" t="s">
        <v>545</v>
      </c>
      <c r="L2658">
        <v>8</v>
      </c>
      <c r="M2658">
        <v>29640.05</v>
      </c>
      <c r="N2658">
        <v>0.34</v>
      </c>
      <c r="O2658">
        <v>154607.71</v>
      </c>
      <c r="P2658">
        <v>15304.08</v>
      </c>
      <c r="Q2658">
        <v>53.3</v>
      </c>
      <c r="R2658" t="s">
        <v>43</v>
      </c>
      <c r="S2658">
        <v>5</v>
      </c>
      <c r="T2658" t="b">
        <v>0</v>
      </c>
      <c r="U2658" t="s">
        <v>93</v>
      </c>
      <c r="V2658">
        <v>9</v>
      </c>
    </row>
    <row r="2659" spans="1:22" x14ac:dyDescent="0.25">
      <c r="A2659" t="s">
        <v>5800</v>
      </c>
      <c r="B2659" s="1">
        <v>44905</v>
      </c>
      <c r="C2659" t="s">
        <v>5801</v>
      </c>
      <c r="D2659" t="s">
        <v>1354</v>
      </c>
      <c r="E2659">
        <v>42</v>
      </c>
      <c r="F2659" t="str">
        <f>IF(Table1[[#This Row],[age]]&lt;=25,"18-25",IF(Table1[[#This Row],[age]]&lt;=35,"26-35",IF(Table1[[#This Row],[age]]&lt;=50,"36-50","51+")))</f>
        <v>36-50</v>
      </c>
      <c r="G2659" t="s">
        <v>34</v>
      </c>
      <c r="H2659" t="s">
        <v>25</v>
      </c>
      <c r="I2659" t="s">
        <v>26</v>
      </c>
      <c r="J2659" t="s">
        <v>106</v>
      </c>
      <c r="K2659" t="s">
        <v>107</v>
      </c>
      <c r="L2659">
        <v>2</v>
      </c>
      <c r="M2659">
        <v>228.14</v>
      </c>
      <c r="N2659">
        <v>0.19</v>
      </c>
      <c r="O2659">
        <v>317.31</v>
      </c>
      <c r="P2659">
        <v>21.59</v>
      </c>
      <c r="Q2659">
        <v>38.619999999999997</v>
      </c>
      <c r="R2659" t="s">
        <v>65</v>
      </c>
      <c r="S2659">
        <v>5</v>
      </c>
      <c r="T2659" t="b">
        <v>0</v>
      </c>
      <c r="U2659" t="s">
        <v>30</v>
      </c>
      <c r="V2659">
        <v>1</v>
      </c>
    </row>
    <row r="2660" spans="1:22" x14ac:dyDescent="0.25">
      <c r="A2660" t="s">
        <v>5802</v>
      </c>
      <c r="B2660" s="1">
        <v>44540</v>
      </c>
      <c r="C2660" t="s">
        <v>5803</v>
      </c>
      <c r="D2660" t="s">
        <v>874</v>
      </c>
      <c r="E2660">
        <v>32</v>
      </c>
      <c r="F2660" t="str">
        <f>IF(Table1[[#This Row],[age]]&lt;=25,"18-25",IF(Table1[[#This Row],[age]]&lt;=35,"26-35",IF(Table1[[#This Row],[age]]&lt;=50,"36-50","51+")))</f>
        <v>26-35</v>
      </c>
      <c r="G2660" t="s">
        <v>34</v>
      </c>
      <c r="H2660" t="s">
        <v>61</v>
      </c>
      <c r="I2660" t="s">
        <v>141</v>
      </c>
      <c r="J2660" t="s">
        <v>101</v>
      </c>
      <c r="K2660" t="s">
        <v>164</v>
      </c>
      <c r="L2660">
        <v>8</v>
      </c>
      <c r="M2660">
        <v>8526.34</v>
      </c>
      <c r="N2660">
        <v>0.2</v>
      </c>
      <c r="O2660">
        <v>43308.39</v>
      </c>
      <c r="P2660">
        <v>15373.18</v>
      </c>
      <c r="Q2660">
        <v>43.24</v>
      </c>
      <c r="R2660" t="s">
        <v>65</v>
      </c>
      <c r="S2660">
        <v>1</v>
      </c>
      <c r="T2660" t="b">
        <v>0</v>
      </c>
      <c r="U2660" t="s">
        <v>71</v>
      </c>
      <c r="V2660">
        <v>4</v>
      </c>
    </row>
    <row r="2661" spans="1:22" x14ac:dyDescent="0.25">
      <c r="A2661" t="s">
        <v>5804</v>
      </c>
      <c r="B2661" s="1">
        <v>44635</v>
      </c>
      <c r="C2661" t="s">
        <v>5805</v>
      </c>
      <c r="D2661" t="s">
        <v>3740</v>
      </c>
      <c r="E2661">
        <v>40</v>
      </c>
      <c r="F2661" t="str">
        <f>IF(Table1[[#This Row],[age]]&lt;=25,"18-25",IF(Table1[[#This Row],[age]]&lt;=35,"26-35",IF(Table1[[#This Row],[age]]&lt;=50,"36-50","51+")))</f>
        <v>36-50</v>
      </c>
      <c r="G2661" t="s">
        <v>34</v>
      </c>
      <c r="H2661" t="s">
        <v>25</v>
      </c>
      <c r="I2661" t="s">
        <v>26</v>
      </c>
      <c r="J2661" t="s">
        <v>115</v>
      </c>
      <c r="K2661" t="s">
        <v>545</v>
      </c>
      <c r="L2661">
        <v>7</v>
      </c>
      <c r="M2661">
        <v>62327.01</v>
      </c>
      <c r="N2661">
        <v>0.11</v>
      </c>
      <c r="O2661">
        <v>437292.1</v>
      </c>
      <c r="P2661">
        <v>49721.96</v>
      </c>
      <c r="Q2661">
        <v>38.92</v>
      </c>
      <c r="R2661" t="s">
        <v>57</v>
      </c>
      <c r="S2661">
        <v>2</v>
      </c>
      <c r="T2661" t="b">
        <v>0</v>
      </c>
      <c r="U2661" t="s">
        <v>30</v>
      </c>
      <c r="V2661">
        <v>5</v>
      </c>
    </row>
    <row r="2662" spans="1:22" x14ac:dyDescent="0.25">
      <c r="A2662" t="s">
        <v>5806</v>
      </c>
      <c r="B2662" s="1">
        <v>44691</v>
      </c>
      <c r="C2662" t="s">
        <v>5807</v>
      </c>
      <c r="D2662" t="s">
        <v>591</v>
      </c>
      <c r="E2662">
        <v>35</v>
      </c>
      <c r="F2662" t="str">
        <f>IF(Table1[[#This Row],[age]]&lt;=25,"18-25",IF(Table1[[#This Row],[age]]&lt;=35,"26-35",IF(Table1[[#This Row],[age]]&lt;=50,"36-50","51+")))</f>
        <v>26-35</v>
      </c>
      <c r="G2662" t="s">
        <v>24</v>
      </c>
      <c r="H2662" t="s">
        <v>80</v>
      </c>
      <c r="I2662" t="s">
        <v>86</v>
      </c>
      <c r="J2662" t="s">
        <v>101</v>
      </c>
      <c r="K2662" t="s">
        <v>164</v>
      </c>
      <c r="L2662">
        <v>3</v>
      </c>
      <c r="M2662">
        <v>9576.43</v>
      </c>
      <c r="N2662">
        <v>0.23</v>
      </c>
      <c r="O2662">
        <v>35621.919999999998</v>
      </c>
      <c r="P2662">
        <v>9543.5</v>
      </c>
      <c r="Q2662">
        <v>20.04</v>
      </c>
      <c r="R2662" t="s">
        <v>65</v>
      </c>
      <c r="S2662">
        <v>2</v>
      </c>
      <c r="T2662" t="b">
        <v>0</v>
      </c>
      <c r="U2662" t="s">
        <v>30</v>
      </c>
      <c r="V2662">
        <v>2</v>
      </c>
    </row>
    <row r="2663" spans="1:22" x14ac:dyDescent="0.25">
      <c r="A2663" t="s">
        <v>5808</v>
      </c>
      <c r="B2663" s="1">
        <v>44769</v>
      </c>
      <c r="C2663" t="s">
        <v>5809</v>
      </c>
      <c r="D2663" t="s">
        <v>708</v>
      </c>
      <c r="E2663">
        <v>49</v>
      </c>
      <c r="F2663" t="str">
        <f>IF(Table1[[#This Row],[age]]&lt;=25,"18-25",IF(Table1[[#This Row],[age]]&lt;=35,"26-35",IF(Table1[[#This Row],[age]]&lt;=50,"36-50","51+")))</f>
        <v>36-50</v>
      </c>
      <c r="G2663" t="s">
        <v>34</v>
      </c>
      <c r="H2663" t="s">
        <v>25</v>
      </c>
      <c r="I2663" t="s">
        <v>35</v>
      </c>
      <c r="J2663" t="s">
        <v>115</v>
      </c>
      <c r="K2663" t="s">
        <v>116</v>
      </c>
      <c r="L2663">
        <v>5</v>
      </c>
      <c r="M2663">
        <v>69337.89</v>
      </c>
      <c r="N2663">
        <v>0.18</v>
      </c>
      <c r="O2663">
        <v>362912.13</v>
      </c>
      <c r="P2663">
        <v>39925.800000000003</v>
      </c>
      <c r="Q2663">
        <v>31.5</v>
      </c>
      <c r="R2663" t="s">
        <v>29</v>
      </c>
      <c r="S2663">
        <v>4</v>
      </c>
      <c r="T2663" t="b">
        <v>0</v>
      </c>
      <c r="U2663" t="s">
        <v>30</v>
      </c>
      <c r="V2663">
        <v>4</v>
      </c>
    </row>
    <row r="2664" spans="1:22" x14ac:dyDescent="0.25">
      <c r="A2664" t="s">
        <v>5810</v>
      </c>
      <c r="B2664" s="1">
        <v>45290</v>
      </c>
      <c r="C2664" t="s">
        <v>5811</v>
      </c>
      <c r="D2664" t="s">
        <v>2432</v>
      </c>
      <c r="E2664">
        <v>36</v>
      </c>
      <c r="F2664" t="str">
        <f>IF(Table1[[#This Row],[age]]&lt;=25,"18-25",IF(Table1[[#This Row],[age]]&lt;=35,"26-35",IF(Table1[[#This Row],[age]]&lt;=50,"36-50","51+")))</f>
        <v>36-50</v>
      </c>
      <c r="G2664" t="s">
        <v>34</v>
      </c>
      <c r="H2664" t="s">
        <v>55</v>
      </c>
      <c r="I2664" t="s">
        <v>56</v>
      </c>
      <c r="J2664" t="s">
        <v>106</v>
      </c>
      <c r="K2664" t="s">
        <v>314</v>
      </c>
      <c r="L2664">
        <v>8</v>
      </c>
      <c r="M2664">
        <v>60.17</v>
      </c>
      <c r="N2664">
        <v>0.13</v>
      </c>
      <c r="O2664">
        <v>389.42</v>
      </c>
      <c r="P2664">
        <v>26.13</v>
      </c>
      <c r="Q2664">
        <v>33.6</v>
      </c>
      <c r="R2664" t="s">
        <v>29</v>
      </c>
      <c r="S2664">
        <v>2</v>
      </c>
      <c r="T2664" t="b">
        <v>0</v>
      </c>
      <c r="U2664" t="s">
        <v>30</v>
      </c>
      <c r="V2664">
        <v>6</v>
      </c>
    </row>
    <row r="2665" spans="1:22" x14ac:dyDescent="0.25">
      <c r="A2665" t="s">
        <v>5812</v>
      </c>
      <c r="B2665" s="1">
        <v>44541</v>
      </c>
      <c r="C2665" t="s">
        <v>5813</v>
      </c>
      <c r="D2665" t="s">
        <v>588</v>
      </c>
      <c r="E2665">
        <v>25</v>
      </c>
      <c r="F2665" t="str">
        <f>IF(Table1[[#This Row],[age]]&lt;=25,"18-25",IF(Table1[[#This Row],[age]]&lt;=35,"26-35",IF(Table1[[#This Row],[age]]&lt;=50,"36-50","51+")))</f>
        <v>18-25</v>
      </c>
      <c r="G2665" t="s">
        <v>54</v>
      </c>
      <c r="H2665" t="s">
        <v>55</v>
      </c>
      <c r="I2665" t="s">
        <v>75</v>
      </c>
      <c r="J2665" t="s">
        <v>63</v>
      </c>
      <c r="K2665" t="s">
        <v>152</v>
      </c>
      <c r="L2665">
        <v>5</v>
      </c>
      <c r="M2665">
        <v>3611.23</v>
      </c>
      <c r="N2665">
        <v>0.37</v>
      </c>
      <c r="O2665">
        <v>8343.34</v>
      </c>
      <c r="P2665">
        <v>2810.97</v>
      </c>
      <c r="Q2665">
        <v>31.7</v>
      </c>
      <c r="R2665" t="s">
        <v>29</v>
      </c>
      <c r="S2665">
        <v>3</v>
      </c>
      <c r="T2665" t="b">
        <v>1</v>
      </c>
      <c r="U2665" t="s">
        <v>50</v>
      </c>
      <c r="V2665">
        <v>5</v>
      </c>
    </row>
    <row r="2666" spans="1:22" x14ac:dyDescent="0.25">
      <c r="A2666" t="s">
        <v>5814</v>
      </c>
      <c r="B2666" s="1">
        <v>45477</v>
      </c>
      <c r="C2666" t="s">
        <v>5815</v>
      </c>
      <c r="D2666" t="s">
        <v>430</v>
      </c>
      <c r="E2666">
        <v>26</v>
      </c>
      <c r="F2666" t="str">
        <f>IF(Table1[[#This Row],[age]]&lt;=25,"18-25",IF(Table1[[#This Row],[age]]&lt;=35,"26-35",IF(Table1[[#This Row],[age]]&lt;=50,"36-50","51+")))</f>
        <v>26-35</v>
      </c>
      <c r="G2666" t="s">
        <v>34</v>
      </c>
      <c r="H2666" t="s">
        <v>69</v>
      </c>
      <c r="I2666" t="s">
        <v>136</v>
      </c>
      <c r="J2666" t="s">
        <v>115</v>
      </c>
      <c r="K2666" t="s">
        <v>197</v>
      </c>
      <c r="L2666">
        <v>1</v>
      </c>
      <c r="M2666">
        <v>47324.800000000003</v>
      </c>
      <c r="N2666">
        <v>0.16</v>
      </c>
      <c r="O2666">
        <v>68357.31</v>
      </c>
      <c r="P2666">
        <v>9570.1200000000008</v>
      </c>
      <c r="Q2666">
        <v>90.13</v>
      </c>
      <c r="R2666" t="s">
        <v>57</v>
      </c>
      <c r="S2666">
        <v>5</v>
      </c>
      <c r="T2666" t="b">
        <v>1</v>
      </c>
      <c r="U2666" t="s">
        <v>50</v>
      </c>
      <c r="V2666">
        <v>9</v>
      </c>
    </row>
    <row r="2667" spans="1:22" x14ac:dyDescent="0.25">
      <c r="A2667" t="s">
        <v>5816</v>
      </c>
      <c r="B2667" s="1">
        <v>44625</v>
      </c>
      <c r="C2667" t="s">
        <v>5817</v>
      </c>
      <c r="D2667" t="s">
        <v>977</v>
      </c>
      <c r="E2667">
        <v>57</v>
      </c>
      <c r="F2667" t="str">
        <f>IF(Table1[[#This Row],[age]]&lt;=25,"18-25",IF(Table1[[#This Row],[age]]&lt;=35,"26-35",IF(Table1[[#This Row],[age]]&lt;=50,"36-50","51+")))</f>
        <v>51+</v>
      </c>
      <c r="G2667" t="s">
        <v>34</v>
      </c>
      <c r="H2667" t="s">
        <v>80</v>
      </c>
      <c r="I2667" t="s">
        <v>242</v>
      </c>
      <c r="J2667" t="s">
        <v>115</v>
      </c>
      <c r="K2667" t="s">
        <v>197</v>
      </c>
      <c r="L2667">
        <v>1</v>
      </c>
      <c r="M2667">
        <v>19912.96</v>
      </c>
      <c r="N2667">
        <v>0.27</v>
      </c>
      <c r="O2667">
        <v>19091.830000000002</v>
      </c>
      <c r="P2667">
        <v>2309.9</v>
      </c>
      <c r="Q2667">
        <v>49.5</v>
      </c>
      <c r="R2667" t="s">
        <v>49</v>
      </c>
      <c r="S2667">
        <v>3</v>
      </c>
      <c r="T2667" t="b">
        <v>0</v>
      </c>
      <c r="U2667" t="s">
        <v>30</v>
      </c>
      <c r="V2667">
        <v>5</v>
      </c>
    </row>
    <row r="2668" spans="1:22" x14ac:dyDescent="0.25">
      <c r="A2668" t="s">
        <v>5818</v>
      </c>
      <c r="B2668" s="1">
        <v>44790</v>
      </c>
      <c r="C2668" t="s">
        <v>5819</v>
      </c>
      <c r="D2668" t="s">
        <v>1241</v>
      </c>
      <c r="E2668">
        <v>33</v>
      </c>
      <c r="F2668" t="str">
        <f>IF(Table1[[#This Row],[age]]&lt;=25,"18-25",IF(Table1[[#This Row],[age]]&lt;=35,"26-35",IF(Table1[[#This Row],[age]]&lt;=50,"36-50","51+")))</f>
        <v>26-35</v>
      </c>
      <c r="G2668" t="s">
        <v>34</v>
      </c>
      <c r="H2668" t="s">
        <v>55</v>
      </c>
      <c r="I2668" t="s">
        <v>97</v>
      </c>
      <c r="J2668" t="s">
        <v>63</v>
      </c>
      <c r="K2668" t="s">
        <v>434</v>
      </c>
      <c r="L2668">
        <v>9</v>
      </c>
      <c r="M2668">
        <v>3159.45</v>
      </c>
      <c r="N2668">
        <v>0.11</v>
      </c>
      <c r="O2668">
        <v>29757.86</v>
      </c>
      <c r="P2668">
        <v>9057.31</v>
      </c>
      <c r="Q2668">
        <v>53.6</v>
      </c>
      <c r="R2668" t="s">
        <v>49</v>
      </c>
      <c r="S2668">
        <v>3</v>
      </c>
      <c r="T2668" t="b">
        <v>0</v>
      </c>
      <c r="U2668" t="s">
        <v>30</v>
      </c>
      <c r="V2668">
        <v>3</v>
      </c>
    </row>
    <row r="2669" spans="1:22" x14ac:dyDescent="0.25">
      <c r="A2669" t="s">
        <v>5820</v>
      </c>
      <c r="B2669" s="1">
        <v>45635</v>
      </c>
      <c r="C2669" t="s">
        <v>5821</v>
      </c>
      <c r="D2669" t="s">
        <v>998</v>
      </c>
      <c r="E2669">
        <v>49</v>
      </c>
      <c r="F2669" t="str">
        <f>IF(Table1[[#This Row],[age]]&lt;=25,"18-25",IF(Table1[[#This Row],[age]]&lt;=35,"26-35",IF(Table1[[#This Row],[age]]&lt;=50,"36-50","51+")))</f>
        <v>36-50</v>
      </c>
      <c r="G2669" t="s">
        <v>34</v>
      </c>
      <c r="H2669" t="s">
        <v>55</v>
      </c>
      <c r="I2669" t="s">
        <v>114</v>
      </c>
      <c r="J2669" t="s">
        <v>27</v>
      </c>
      <c r="K2669" t="s">
        <v>192</v>
      </c>
      <c r="L2669">
        <v>7</v>
      </c>
      <c r="M2669">
        <v>2138.83</v>
      </c>
      <c r="N2669">
        <v>0.26</v>
      </c>
      <c r="O2669">
        <v>10637.74</v>
      </c>
      <c r="P2669">
        <v>4567.68</v>
      </c>
      <c r="Q2669">
        <v>39.39</v>
      </c>
      <c r="R2669" t="s">
        <v>29</v>
      </c>
      <c r="S2669">
        <v>2</v>
      </c>
      <c r="T2669" t="b">
        <v>0</v>
      </c>
      <c r="U2669" t="s">
        <v>71</v>
      </c>
      <c r="V2669">
        <v>7</v>
      </c>
    </row>
    <row r="2670" spans="1:22" x14ac:dyDescent="0.25">
      <c r="A2670" t="s">
        <v>5822</v>
      </c>
      <c r="B2670" s="1">
        <v>45208</v>
      </c>
      <c r="C2670" t="s">
        <v>5823</v>
      </c>
      <c r="D2670" t="s">
        <v>577</v>
      </c>
      <c r="E2670">
        <v>45</v>
      </c>
      <c r="F2670" t="str">
        <f>IF(Table1[[#This Row],[age]]&lt;=25,"18-25",IF(Table1[[#This Row],[age]]&lt;=35,"26-35",IF(Table1[[#This Row],[age]]&lt;=50,"36-50","51+")))</f>
        <v>36-50</v>
      </c>
      <c r="G2670" t="s">
        <v>24</v>
      </c>
      <c r="H2670" t="s">
        <v>25</v>
      </c>
      <c r="I2670" t="s">
        <v>35</v>
      </c>
      <c r="J2670" t="s">
        <v>101</v>
      </c>
      <c r="K2670" t="s">
        <v>102</v>
      </c>
      <c r="L2670">
        <v>2</v>
      </c>
      <c r="M2670">
        <v>14208.99</v>
      </c>
      <c r="N2670">
        <v>0.13</v>
      </c>
      <c r="O2670">
        <v>26208.02</v>
      </c>
      <c r="P2670">
        <v>7074.23</v>
      </c>
      <c r="Q2670">
        <v>73.52</v>
      </c>
      <c r="R2670" t="s">
        <v>43</v>
      </c>
      <c r="S2670">
        <v>3</v>
      </c>
      <c r="T2670" t="b">
        <v>0</v>
      </c>
      <c r="U2670" t="s">
        <v>30</v>
      </c>
      <c r="V2670">
        <v>7</v>
      </c>
    </row>
    <row r="2671" spans="1:22" x14ac:dyDescent="0.25">
      <c r="A2671" t="s">
        <v>5824</v>
      </c>
      <c r="B2671" s="1">
        <v>44759</v>
      </c>
      <c r="C2671" t="s">
        <v>5825</v>
      </c>
      <c r="D2671" t="s">
        <v>577</v>
      </c>
      <c r="E2671">
        <v>44</v>
      </c>
      <c r="F2671" t="str">
        <f>IF(Table1[[#This Row],[age]]&lt;=25,"18-25",IF(Table1[[#This Row],[age]]&lt;=35,"26-35",IF(Table1[[#This Row],[age]]&lt;=50,"36-50","51+")))</f>
        <v>36-50</v>
      </c>
      <c r="G2671" t="s">
        <v>24</v>
      </c>
      <c r="H2671" t="s">
        <v>25</v>
      </c>
      <c r="I2671" t="s">
        <v>41</v>
      </c>
      <c r="J2671" t="s">
        <v>36</v>
      </c>
      <c r="K2671" t="s">
        <v>42</v>
      </c>
      <c r="L2671">
        <v>5</v>
      </c>
      <c r="M2671">
        <v>7769.34</v>
      </c>
      <c r="N2671">
        <v>0.25</v>
      </c>
      <c r="O2671">
        <v>39143.379999999997</v>
      </c>
      <c r="P2671">
        <v>11912.85</v>
      </c>
      <c r="Q2671">
        <v>60.21</v>
      </c>
      <c r="R2671" t="s">
        <v>65</v>
      </c>
      <c r="S2671">
        <v>2</v>
      </c>
      <c r="T2671" t="b">
        <v>0</v>
      </c>
      <c r="U2671" t="s">
        <v>30</v>
      </c>
      <c r="V2671">
        <v>8</v>
      </c>
    </row>
    <row r="2672" spans="1:22" x14ac:dyDescent="0.25">
      <c r="A2672" t="s">
        <v>5826</v>
      </c>
      <c r="B2672" s="1">
        <v>44668</v>
      </c>
      <c r="C2672" t="s">
        <v>1205</v>
      </c>
      <c r="D2672" t="s">
        <v>826</v>
      </c>
      <c r="E2672">
        <v>35</v>
      </c>
      <c r="F2672" t="str">
        <f>IF(Table1[[#This Row],[age]]&lt;=25,"18-25",IF(Table1[[#This Row],[age]]&lt;=35,"26-35",IF(Table1[[#This Row],[age]]&lt;=50,"36-50","51+")))</f>
        <v>26-35</v>
      </c>
      <c r="G2672" t="s">
        <v>34</v>
      </c>
      <c r="H2672" t="s">
        <v>25</v>
      </c>
      <c r="I2672" t="s">
        <v>41</v>
      </c>
      <c r="J2672" t="s">
        <v>27</v>
      </c>
      <c r="K2672" t="s">
        <v>480</v>
      </c>
      <c r="L2672">
        <v>2</v>
      </c>
      <c r="M2672">
        <v>1778.44</v>
      </c>
      <c r="N2672">
        <v>0.11</v>
      </c>
      <c r="O2672">
        <v>3512.3</v>
      </c>
      <c r="P2672">
        <v>1648.35</v>
      </c>
      <c r="Q2672">
        <v>93.12</v>
      </c>
      <c r="R2672" t="s">
        <v>29</v>
      </c>
      <c r="S2672">
        <v>1</v>
      </c>
      <c r="T2672" t="b">
        <v>1</v>
      </c>
      <c r="U2672" t="s">
        <v>50</v>
      </c>
      <c r="V2672">
        <v>7</v>
      </c>
    </row>
    <row r="2673" spans="1:22" x14ac:dyDescent="0.25">
      <c r="A2673" t="s">
        <v>5827</v>
      </c>
      <c r="B2673" s="1">
        <v>45378</v>
      </c>
      <c r="C2673" t="s">
        <v>5828</v>
      </c>
      <c r="D2673" t="s">
        <v>468</v>
      </c>
      <c r="E2673">
        <v>42</v>
      </c>
      <c r="F2673" t="str">
        <f>IF(Table1[[#This Row],[age]]&lt;=25,"18-25",IF(Table1[[#This Row],[age]]&lt;=35,"26-35",IF(Table1[[#This Row],[age]]&lt;=50,"36-50","51+")))</f>
        <v>36-50</v>
      </c>
      <c r="G2673" t="s">
        <v>54</v>
      </c>
      <c r="H2673" t="s">
        <v>25</v>
      </c>
      <c r="I2673" t="s">
        <v>35</v>
      </c>
      <c r="J2673" t="s">
        <v>47</v>
      </c>
      <c r="K2673" t="s">
        <v>48</v>
      </c>
      <c r="L2673">
        <v>4</v>
      </c>
      <c r="M2673">
        <v>335.65</v>
      </c>
      <c r="N2673">
        <v>0.2</v>
      </c>
      <c r="O2673">
        <v>1393.82</v>
      </c>
      <c r="P2673">
        <v>425.54</v>
      </c>
      <c r="Q2673">
        <v>35.659999999999997</v>
      </c>
      <c r="R2673" t="s">
        <v>57</v>
      </c>
      <c r="S2673">
        <v>3</v>
      </c>
      <c r="T2673" t="b">
        <v>0</v>
      </c>
      <c r="U2673" t="s">
        <v>30</v>
      </c>
      <c r="V2673">
        <v>6</v>
      </c>
    </row>
    <row r="2674" spans="1:22" x14ac:dyDescent="0.25">
      <c r="A2674" t="s">
        <v>5829</v>
      </c>
      <c r="B2674" s="1">
        <v>43881</v>
      </c>
      <c r="C2674" t="s">
        <v>5830</v>
      </c>
      <c r="D2674" t="s">
        <v>392</v>
      </c>
      <c r="E2674">
        <v>24</v>
      </c>
      <c r="F2674" t="str">
        <f>IF(Table1[[#This Row],[age]]&lt;=25,"18-25",IF(Table1[[#This Row],[age]]&lt;=35,"26-35",IF(Table1[[#This Row],[age]]&lt;=50,"36-50","51+")))</f>
        <v>18-25</v>
      </c>
      <c r="G2674" t="s">
        <v>54</v>
      </c>
      <c r="H2674" t="s">
        <v>61</v>
      </c>
      <c r="I2674" t="s">
        <v>91</v>
      </c>
      <c r="J2674" t="s">
        <v>106</v>
      </c>
      <c r="K2674" t="s">
        <v>718</v>
      </c>
      <c r="L2674">
        <v>10</v>
      </c>
      <c r="M2674">
        <v>378.08</v>
      </c>
      <c r="N2674">
        <v>0.08</v>
      </c>
      <c r="O2674">
        <v>2872.67</v>
      </c>
      <c r="P2674">
        <v>204.71</v>
      </c>
      <c r="Q2674">
        <v>40.81</v>
      </c>
      <c r="R2674" t="s">
        <v>29</v>
      </c>
      <c r="S2674">
        <v>1</v>
      </c>
      <c r="T2674" t="b">
        <v>0</v>
      </c>
      <c r="U2674" t="s">
        <v>71</v>
      </c>
      <c r="V2674">
        <v>2</v>
      </c>
    </row>
    <row r="2675" spans="1:22" x14ac:dyDescent="0.25">
      <c r="A2675" t="s">
        <v>5831</v>
      </c>
      <c r="B2675" s="1">
        <v>44597</v>
      </c>
      <c r="C2675" t="s">
        <v>5832</v>
      </c>
      <c r="D2675" t="s">
        <v>167</v>
      </c>
      <c r="E2675">
        <v>51</v>
      </c>
      <c r="F2675" t="str">
        <f>IF(Table1[[#This Row],[age]]&lt;=25,"18-25",IF(Table1[[#This Row],[age]]&lt;=35,"26-35",IF(Table1[[#This Row],[age]]&lt;=50,"36-50","51+")))</f>
        <v>51+</v>
      </c>
      <c r="G2675" t="s">
        <v>34</v>
      </c>
      <c r="H2675" t="s">
        <v>80</v>
      </c>
      <c r="I2675" t="s">
        <v>242</v>
      </c>
      <c r="J2675" t="s">
        <v>47</v>
      </c>
      <c r="K2675" t="s">
        <v>120</v>
      </c>
      <c r="L2675">
        <v>2</v>
      </c>
      <c r="M2675">
        <v>429.2</v>
      </c>
      <c r="N2675">
        <v>0.19</v>
      </c>
      <c r="O2675">
        <v>650.28</v>
      </c>
      <c r="P2675">
        <v>159.72</v>
      </c>
      <c r="Q2675">
        <v>70.44</v>
      </c>
      <c r="R2675" t="s">
        <v>65</v>
      </c>
      <c r="S2675">
        <v>1</v>
      </c>
      <c r="T2675" t="b">
        <v>0</v>
      </c>
      <c r="U2675" t="s">
        <v>30</v>
      </c>
      <c r="V2675">
        <v>1</v>
      </c>
    </row>
    <row r="2676" spans="1:22" x14ac:dyDescent="0.25">
      <c r="A2676" t="s">
        <v>5833</v>
      </c>
      <c r="B2676" s="1">
        <v>45084</v>
      </c>
      <c r="C2676" t="s">
        <v>5834</v>
      </c>
      <c r="D2676" t="s">
        <v>2405</v>
      </c>
      <c r="E2676">
        <v>43</v>
      </c>
      <c r="F2676" t="str">
        <f>IF(Table1[[#This Row],[age]]&lt;=25,"18-25",IF(Table1[[#This Row],[age]]&lt;=35,"26-35",IF(Table1[[#This Row],[age]]&lt;=50,"36-50","51+")))</f>
        <v>36-50</v>
      </c>
      <c r="G2676" t="s">
        <v>24</v>
      </c>
      <c r="H2676" t="s">
        <v>55</v>
      </c>
      <c r="I2676" t="s">
        <v>114</v>
      </c>
      <c r="J2676" t="s">
        <v>106</v>
      </c>
      <c r="K2676" t="s">
        <v>188</v>
      </c>
      <c r="L2676">
        <v>8</v>
      </c>
      <c r="M2676">
        <v>165.82</v>
      </c>
      <c r="N2676">
        <v>0.26</v>
      </c>
      <c r="O2676">
        <v>1805.69</v>
      </c>
      <c r="P2676">
        <v>135.43</v>
      </c>
      <c r="Q2676">
        <v>36.72</v>
      </c>
      <c r="R2676" t="s">
        <v>29</v>
      </c>
      <c r="S2676">
        <v>5</v>
      </c>
      <c r="T2676" t="b">
        <v>0</v>
      </c>
      <c r="U2676" t="s">
        <v>30</v>
      </c>
      <c r="V2676">
        <v>2</v>
      </c>
    </row>
    <row r="2677" spans="1:22" x14ac:dyDescent="0.25">
      <c r="A2677" t="s">
        <v>5835</v>
      </c>
      <c r="B2677" s="1">
        <v>43883</v>
      </c>
      <c r="C2677" t="s">
        <v>5836</v>
      </c>
      <c r="D2677" t="s">
        <v>2037</v>
      </c>
      <c r="E2677">
        <v>45</v>
      </c>
      <c r="F2677" t="str">
        <f>IF(Table1[[#This Row],[age]]&lt;=25,"18-25",IF(Table1[[#This Row],[age]]&lt;=35,"26-35",IF(Table1[[#This Row],[age]]&lt;=50,"36-50","51+")))</f>
        <v>36-50</v>
      </c>
      <c r="G2677" t="s">
        <v>54</v>
      </c>
      <c r="H2677" t="s">
        <v>61</v>
      </c>
      <c r="I2677" t="s">
        <v>141</v>
      </c>
      <c r="J2677" t="s">
        <v>63</v>
      </c>
      <c r="K2677" t="s">
        <v>87</v>
      </c>
      <c r="L2677">
        <v>5</v>
      </c>
      <c r="M2677">
        <v>1949.23</v>
      </c>
      <c r="N2677">
        <v>0.3</v>
      </c>
      <c r="O2677">
        <v>6061.73</v>
      </c>
      <c r="P2677">
        <v>1667.61</v>
      </c>
      <c r="Q2677">
        <v>64.709999999999994</v>
      </c>
      <c r="R2677" t="s">
        <v>29</v>
      </c>
      <c r="S2677">
        <v>5</v>
      </c>
      <c r="T2677" t="b">
        <v>0</v>
      </c>
      <c r="U2677" t="s">
        <v>30</v>
      </c>
      <c r="V2677">
        <v>9</v>
      </c>
    </row>
    <row r="2678" spans="1:22" x14ac:dyDescent="0.25">
      <c r="A2678" t="s">
        <v>5837</v>
      </c>
      <c r="B2678" s="1">
        <v>43831</v>
      </c>
      <c r="C2678" t="s">
        <v>5838</v>
      </c>
      <c r="D2678" t="s">
        <v>1782</v>
      </c>
      <c r="E2678">
        <v>67</v>
      </c>
      <c r="F2678" t="str">
        <f>IF(Table1[[#This Row],[age]]&lt;=25,"18-25",IF(Table1[[#This Row],[age]]&lt;=35,"26-35",IF(Table1[[#This Row],[age]]&lt;=50,"36-50","51+")))</f>
        <v>51+</v>
      </c>
      <c r="G2678" t="s">
        <v>54</v>
      </c>
      <c r="H2678" t="s">
        <v>55</v>
      </c>
      <c r="I2678" t="s">
        <v>114</v>
      </c>
      <c r="J2678" t="s">
        <v>101</v>
      </c>
      <c r="K2678" t="s">
        <v>124</v>
      </c>
      <c r="L2678">
        <v>4</v>
      </c>
      <c r="M2678">
        <v>2355.25</v>
      </c>
      <c r="N2678">
        <v>0.33</v>
      </c>
      <c r="O2678">
        <v>5079.04</v>
      </c>
      <c r="P2678">
        <v>1080.08</v>
      </c>
      <c r="Q2678">
        <v>44.79</v>
      </c>
      <c r="R2678" t="s">
        <v>57</v>
      </c>
      <c r="S2678">
        <v>3</v>
      </c>
      <c r="T2678" t="b">
        <v>0</v>
      </c>
      <c r="U2678" t="s">
        <v>30</v>
      </c>
      <c r="V2678">
        <v>8</v>
      </c>
    </row>
    <row r="2679" spans="1:22" x14ac:dyDescent="0.25">
      <c r="A2679" t="s">
        <v>5839</v>
      </c>
      <c r="B2679" s="1">
        <v>44924</v>
      </c>
      <c r="C2679" t="s">
        <v>5840</v>
      </c>
      <c r="D2679" t="s">
        <v>1641</v>
      </c>
      <c r="E2679">
        <v>30</v>
      </c>
      <c r="F2679" t="str">
        <f>IF(Table1[[#This Row],[age]]&lt;=25,"18-25",IF(Table1[[#This Row],[age]]&lt;=35,"26-35",IF(Table1[[#This Row],[age]]&lt;=50,"36-50","51+")))</f>
        <v>26-35</v>
      </c>
      <c r="G2679" t="s">
        <v>24</v>
      </c>
      <c r="H2679" t="s">
        <v>69</v>
      </c>
      <c r="I2679" t="s">
        <v>181</v>
      </c>
      <c r="J2679" t="s">
        <v>101</v>
      </c>
      <c r="K2679" t="s">
        <v>124</v>
      </c>
      <c r="L2679">
        <v>2</v>
      </c>
      <c r="M2679">
        <v>11228.63</v>
      </c>
      <c r="N2679">
        <v>0.34</v>
      </c>
      <c r="O2679">
        <v>11870.38</v>
      </c>
      <c r="P2679">
        <v>2694.57</v>
      </c>
      <c r="Q2679">
        <v>54.4</v>
      </c>
      <c r="R2679" t="s">
        <v>57</v>
      </c>
      <c r="S2679">
        <v>5</v>
      </c>
      <c r="T2679" t="b">
        <v>0</v>
      </c>
      <c r="U2679" t="s">
        <v>30</v>
      </c>
      <c r="V2679">
        <v>2</v>
      </c>
    </row>
    <row r="2680" spans="1:22" x14ac:dyDescent="0.25">
      <c r="A2680" t="s">
        <v>5841</v>
      </c>
      <c r="B2680" s="1">
        <v>43942</v>
      </c>
      <c r="C2680" t="s">
        <v>5842</v>
      </c>
      <c r="D2680" t="s">
        <v>1825</v>
      </c>
      <c r="E2680">
        <v>29</v>
      </c>
      <c r="F2680" t="str">
        <f>IF(Table1[[#This Row],[age]]&lt;=25,"18-25",IF(Table1[[#This Row],[age]]&lt;=35,"26-35",IF(Table1[[#This Row],[age]]&lt;=50,"36-50","51+")))</f>
        <v>26-35</v>
      </c>
      <c r="G2680" t="s">
        <v>34</v>
      </c>
      <c r="H2680" t="s">
        <v>61</v>
      </c>
      <c r="I2680" t="s">
        <v>91</v>
      </c>
      <c r="J2680" t="s">
        <v>27</v>
      </c>
      <c r="K2680" t="s">
        <v>480</v>
      </c>
      <c r="L2680">
        <v>6</v>
      </c>
      <c r="M2680">
        <v>802.39</v>
      </c>
      <c r="N2680">
        <v>0.36</v>
      </c>
      <c r="O2680">
        <v>3040.88</v>
      </c>
      <c r="P2680">
        <v>993.67</v>
      </c>
      <c r="Q2680">
        <v>47.04</v>
      </c>
      <c r="R2680" t="s">
        <v>29</v>
      </c>
      <c r="S2680">
        <v>3</v>
      </c>
      <c r="T2680" t="b">
        <v>0</v>
      </c>
      <c r="U2680" t="s">
        <v>30</v>
      </c>
      <c r="V2680">
        <v>6</v>
      </c>
    </row>
    <row r="2681" spans="1:22" x14ac:dyDescent="0.25">
      <c r="A2681" t="s">
        <v>5843</v>
      </c>
      <c r="B2681" s="1">
        <v>44665</v>
      </c>
      <c r="C2681" t="s">
        <v>5844</v>
      </c>
      <c r="D2681" t="s">
        <v>220</v>
      </c>
      <c r="E2681">
        <v>38</v>
      </c>
      <c r="F2681" t="str">
        <f>IF(Table1[[#This Row],[age]]&lt;=25,"18-25",IF(Table1[[#This Row],[age]]&lt;=35,"26-35",IF(Table1[[#This Row],[age]]&lt;=50,"36-50","51+")))</f>
        <v>36-50</v>
      </c>
      <c r="G2681" t="s">
        <v>54</v>
      </c>
      <c r="H2681" t="s">
        <v>25</v>
      </c>
      <c r="I2681" t="s">
        <v>41</v>
      </c>
      <c r="J2681" t="s">
        <v>106</v>
      </c>
      <c r="K2681" t="s">
        <v>188</v>
      </c>
      <c r="L2681">
        <v>7</v>
      </c>
      <c r="M2681">
        <v>366.53</v>
      </c>
      <c r="N2681">
        <v>0.01</v>
      </c>
      <c r="O2681">
        <v>3649.29</v>
      </c>
      <c r="P2681">
        <v>335.94</v>
      </c>
      <c r="Q2681">
        <v>46.6</v>
      </c>
      <c r="R2681" t="s">
        <v>49</v>
      </c>
      <c r="S2681">
        <v>2</v>
      </c>
      <c r="T2681" t="b">
        <v>0</v>
      </c>
      <c r="U2681" t="s">
        <v>30</v>
      </c>
      <c r="V2681">
        <v>2</v>
      </c>
    </row>
    <row r="2682" spans="1:22" x14ac:dyDescent="0.25">
      <c r="A2682" t="s">
        <v>5845</v>
      </c>
      <c r="B2682" s="1">
        <v>45479</v>
      </c>
      <c r="C2682" t="s">
        <v>5846</v>
      </c>
      <c r="D2682" t="s">
        <v>1066</v>
      </c>
      <c r="E2682">
        <v>25</v>
      </c>
      <c r="F2682" t="str">
        <f>IF(Table1[[#This Row],[age]]&lt;=25,"18-25",IF(Table1[[#This Row],[age]]&lt;=35,"26-35",IF(Table1[[#This Row],[age]]&lt;=50,"36-50","51+")))</f>
        <v>18-25</v>
      </c>
      <c r="G2682" t="s">
        <v>24</v>
      </c>
      <c r="H2682" t="s">
        <v>80</v>
      </c>
      <c r="I2682" t="s">
        <v>81</v>
      </c>
      <c r="J2682" t="s">
        <v>115</v>
      </c>
      <c r="K2682" t="s">
        <v>137</v>
      </c>
      <c r="L2682">
        <v>10</v>
      </c>
      <c r="M2682">
        <v>63505.68</v>
      </c>
      <c r="N2682">
        <v>0.16</v>
      </c>
      <c r="O2682">
        <v>1033433.55</v>
      </c>
      <c r="P2682">
        <v>141319.32</v>
      </c>
      <c r="Q2682">
        <v>64.819999999999993</v>
      </c>
      <c r="R2682" t="s">
        <v>29</v>
      </c>
      <c r="S2682">
        <v>3</v>
      </c>
      <c r="T2682" t="b">
        <v>0</v>
      </c>
      <c r="U2682" t="s">
        <v>30</v>
      </c>
      <c r="V2682">
        <v>5</v>
      </c>
    </row>
    <row r="2683" spans="1:22" x14ac:dyDescent="0.25">
      <c r="A2683" t="s">
        <v>5847</v>
      </c>
      <c r="B2683" s="1">
        <v>45191</v>
      </c>
      <c r="C2683" t="s">
        <v>5848</v>
      </c>
      <c r="D2683" t="s">
        <v>743</v>
      </c>
      <c r="E2683">
        <v>23</v>
      </c>
      <c r="F2683" t="str">
        <f>IF(Table1[[#This Row],[age]]&lt;=25,"18-25",IF(Table1[[#This Row],[age]]&lt;=35,"26-35",IF(Table1[[#This Row],[age]]&lt;=50,"36-50","51+")))</f>
        <v>18-25</v>
      </c>
      <c r="G2683" t="s">
        <v>24</v>
      </c>
      <c r="H2683" t="s">
        <v>25</v>
      </c>
      <c r="I2683" t="s">
        <v>298</v>
      </c>
      <c r="J2683" t="s">
        <v>63</v>
      </c>
      <c r="K2683" t="s">
        <v>434</v>
      </c>
      <c r="L2683">
        <v>2</v>
      </c>
      <c r="M2683">
        <v>2227.31</v>
      </c>
      <c r="N2683">
        <v>0.04</v>
      </c>
      <c r="O2683">
        <v>5919.86</v>
      </c>
      <c r="P2683">
        <v>2748</v>
      </c>
      <c r="Q2683">
        <v>71.3</v>
      </c>
      <c r="R2683" t="s">
        <v>65</v>
      </c>
      <c r="S2683">
        <v>1</v>
      </c>
      <c r="T2683" t="b">
        <v>0</v>
      </c>
      <c r="U2683" t="s">
        <v>30</v>
      </c>
      <c r="V2683">
        <v>10</v>
      </c>
    </row>
    <row r="2684" spans="1:22" x14ac:dyDescent="0.25">
      <c r="A2684" t="s">
        <v>5849</v>
      </c>
      <c r="B2684" s="1">
        <v>43935</v>
      </c>
      <c r="C2684" t="s">
        <v>5850</v>
      </c>
      <c r="D2684" t="s">
        <v>3701</v>
      </c>
      <c r="E2684">
        <v>18</v>
      </c>
      <c r="F2684" t="str">
        <f>IF(Table1[[#This Row],[age]]&lt;=25,"18-25",IF(Table1[[#This Row],[age]]&lt;=35,"26-35",IF(Table1[[#This Row],[age]]&lt;=50,"36-50","51+")))</f>
        <v>18-25</v>
      </c>
      <c r="G2684" t="s">
        <v>24</v>
      </c>
      <c r="H2684" t="s">
        <v>25</v>
      </c>
      <c r="I2684" t="s">
        <v>41</v>
      </c>
      <c r="J2684" t="s">
        <v>36</v>
      </c>
      <c r="K2684" t="s">
        <v>132</v>
      </c>
      <c r="L2684">
        <v>9</v>
      </c>
      <c r="M2684">
        <v>32644.01</v>
      </c>
      <c r="N2684">
        <v>0.28000000000000003</v>
      </c>
      <c r="O2684">
        <v>229301.96</v>
      </c>
      <c r="P2684">
        <v>68294.460000000006</v>
      </c>
      <c r="Q2684">
        <v>41.37</v>
      </c>
      <c r="R2684" t="s">
        <v>65</v>
      </c>
      <c r="S2684">
        <v>4</v>
      </c>
      <c r="T2684" t="b">
        <v>0</v>
      </c>
      <c r="U2684" t="s">
        <v>93</v>
      </c>
      <c r="V2684">
        <v>7</v>
      </c>
    </row>
    <row r="2685" spans="1:22" x14ac:dyDescent="0.25">
      <c r="A2685" t="s">
        <v>5851</v>
      </c>
      <c r="B2685" s="1">
        <v>44478</v>
      </c>
      <c r="C2685" t="s">
        <v>5852</v>
      </c>
      <c r="D2685" t="s">
        <v>493</v>
      </c>
      <c r="E2685">
        <v>47</v>
      </c>
      <c r="F2685" t="str">
        <f>IF(Table1[[#This Row],[age]]&lt;=25,"18-25",IF(Table1[[#This Row],[age]]&lt;=35,"26-35",IF(Table1[[#This Row],[age]]&lt;=50,"36-50","51+")))</f>
        <v>36-50</v>
      </c>
      <c r="G2685" t="s">
        <v>24</v>
      </c>
      <c r="H2685" t="s">
        <v>61</v>
      </c>
      <c r="I2685" t="s">
        <v>141</v>
      </c>
      <c r="J2685" t="s">
        <v>63</v>
      </c>
      <c r="K2685" t="s">
        <v>82</v>
      </c>
      <c r="L2685">
        <v>2</v>
      </c>
      <c r="M2685">
        <v>3097.01</v>
      </c>
      <c r="N2685">
        <v>0.13</v>
      </c>
      <c r="O2685">
        <v>5016.33</v>
      </c>
      <c r="P2685">
        <v>2443.96</v>
      </c>
      <c r="Q2685">
        <v>50.68</v>
      </c>
      <c r="R2685" t="s">
        <v>92</v>
      </c>
      <c r="S2685">
        <v>3</v>
      </c>
      <c r="T2685" t="b">
        <v>0</v>
      </c>
      <c r="U2685" t="s">
        <v>30</v>
      </c>
      <c r="V2685">
        <v>6</v>
      </c>
    </row>
    <row r="2686" spans="1:22" x14ac:dyDescent="0.25">
      <c r="A2686" t="s">
        <v>5853</v>
      </c>
      <c r="B2686" s="1">
        <v>44855</v>
      </c>
      <c r="C2686" t="s">
        <v>5854</v>
      </c>
      <c r="D2686" t="s">
        <v>493</v>
      </c>
      <c r="E2686">
        <v>25</v>
      </c>
      <c r="F2686" t="str">
        <f>IF(Table1[[#This Row],[age]]&lt;=25,"18-25",IF(Table1[[#This Row],[age]]&lt;=35,"26-35",IF(Table1[[#This Row],[age]]&lt;=50,"36-50","51+")))</f>
        <v>18-25</v>
      </c>
      <c r="G2686" t="s">
        <v>54</v>
      </c>
      <c r="H2686" t="s">
        <v>80</v>
      </c>
      <c r="I2686" t="s">
        <v>236</v>
      </c>
      <c r="J2686" t="s">
        <v>27</v>
      </c>
      <c r="K2686" t="s">
        <v>192</v>
      </c>
      <c r="L2686">
        <v>6</v>
      </c>
      <c r="M2686">
        <v>253.65</v>
      </c>
      <c r="N2686">
        <v>0.18</v>
      </c>
      <c r="O2686">
        <v>1411.81</v>
      </c>
      <c r="P2686">
        <v>436.8</v>
      </c>
      <c r="Q2686">
        <v>47.29</v>
      </c>
      <c r="R2686" t="s">
        <v>49</v>
      </c>
      <c r="S2686">
        <v>5</v>
      </c>
      <c r="T2686" t="b">
        <v>0</v>
      </c>
      <c r="U2686" t="s">
        <v>30</v>
      </c>
      <c r="V2686">
        <v>3</v>
      </c>
    </row>
    <row r="2687" spans="1:22" x14ac:dyDescent="0.25">
      <c r="A2687" t="s">
        <v>5855</v>
      </c>
      <c r="B2687" s="1">
        <v>44733</v>
      </c>
      <c r="C2687" t="s">
        <v>5856</v>
      </c>
      <c r="D2687" t="s">
        <v>805</v>
      </c>
      <c r="E2687">
        <v>23</v>
      </c>
      <c r="F2687" t="str">
        <f>IF(Table1[[#This Row],[age]]&lt;=25,"18-25",IF(Table1[[#This Row],[age]]&lt;=35,"26-35",IF(Table1[[#This Row],[age]]&lt;=50,"36-50","51+")))</f>
        <v>18-25</v>
      </c>
      <c r="G2687" t="s">
        <v>24</v>
      </c>
      <c r="H2687" t="s">
        <v>25</v>
      </c>
      <c r="I2687" t="s">
        <v>26</v>
      </c>
      <c r="J2687" t="s">
        <v>63</v>
      </c>
      <c r="K2687" t="s">
        <v>82</v>
      </c>
      <c r="L2687">
        <v>3</v>
      </c>
      <c r="M2687">
        <v>1462.24</v>
      </c>
      <c r="N2687">
        <v>0.05</v>
      </c>
      <c r="O2687">
        <v>6441.47</v>
      </c>
      <c r="P2687">
        <v>2494.41</v>
      </c>
      <c r="Q2687">
        <v>69.709999999999994</v>
      </c>
      <c r="R2687" t="s">
        <v>57</v>
      </c>
      <c r="S2687">
        <v>3</v>
      </c>
      <c r="T2687" t="b">
        <v>0</v>
      </c>
      <c r="U2687" t="s">
        <v>93</v>
      </c>
      <c r="V2687">
        <v>7</v>
      </c>
    </row>
    <row r="2688" spans="1:22" x14ac:dyDescent="0.25">
      <c r="A2688" t="s">
        <v>5857</v>
      </c>
      <c r="B2688" s="1">
        <v>45355</v>
      </c>
      <c r="C2688" t="s">
        <v>5858</v>
      </c>
      <c r="D2688" t="s">
        <v>833</v>
      </c>
      <c r="E2688">
        <v>31</v>
      </c>
      <c r="F2688" t="str">
        <f>IF(Table1[[#This Row],[age]]&lt;=25,"18-25",IF(Table1[[#This Row],[age]]&lt;=35,"26-35",IF(Table1[[#This Row],[age]]&lt;=50,"36-50","51+")))</f>
        <v>26-35</v>
      </c>
      <c r="G2688" t="s">
        <v>54</v>
      </c>
      <c r="H2688" t="s">
        <v>25</v>
      </c>
      <c r="I2688" t="s">
        <v>35</v>
      </c>
      <c r="J2688" t="s">
        <v>63</v>
      </c>
      <c r="K2688" t="s">
        <v>82</v>
      </c>
      <c r="L2688">
        <v>4</v>
      </c>
      <c r="M2688">
        <v>1975.33</v>
      </c>
      <c r="N2688">
        <v>0.05</v>
      </c>
      <c r="O2688">
        <v>9791.75</v>
      </c>
      <c r="P2688">
        <v>3033.4</v>
      </c>
      <c r="Q2688">
        <v>27.67</v>
      </c>
      <c r="R2688" t="s">
        <v>92</v>
      </c>
      <c r="S2688">
        <v>1</v>
      </c>
      <c r="T2688" t="b">
        <v>0</v>
      </c>
      <c r="U2688" t="s">
        <v>30</v>
      </c>
      <c r="V2688">
        <v>6</v>
      </c>
    </row>
    <row r="2689" spans="1:22" x14ac:dyDescent="0.25">
      <c r="A2689" t="s">
        <v>5859</v>
      </c>
      <c r="B2689" s="1">
        <v>44472</v>
      </c>
      <c r="C2689" t="s">
        <v>5860</v>
      </c>
      <c r="D2689" t="s">
        <v>375</v>
      </c>
      <c r="E2689">
        <v>45</v>
      </c>
      <c r="F2689" t="str">
        <f>IF(Table1[[#This Row],[age]]&lt;=25,"18-25",IF(Table1[[#This Row],[age]]&lt;=35,"26-35",IF(Table1[[#This Row],[age]]&lt;=50,"36-50","51+")))</f>
        <v>36-50</v>
      </c>
      <c r="G2689" t="s">
        <v>24</v>
      </c>
      <c r="H2689" t="s">
        <v>25</v>
      </c>
      <c r="I2689" t="s">
        <v>41</v>
      </c>
      <c r="J2689" t="s">
        <v>115</v>
      </c>
      <c r="K2689" t="s">
        <v>137</v>
      </c>
      <c r="L2689">
        <v>8</v>
      </c>
      <c r="M2689">
        <v>35444.35</v>
      </c>
      <c r="N2689">
        <v>0.36</v>
      </c>
      <c r="O2689">
        <v>184024.19</v>
      </c>
      <c r="P2689">
        <v>25280.12</v>
      </c>
      <c r="Q2689">
        <v>40.75</v>
      </c>
      <c r="R2689" t="s">
        <v>49</v>
      </c>
      <c r="S2689">
        <v>4</v>
      </c>
      <c r="T2689" t="b">
        <v>0</v>
      </c>
      <c r="U2689" t="s">
        <v>30</v>
      </c>
      <c r="V2689">
        <v>8</v>
      </c>
    </row>
    <row r="2690" spans="1:22" x14ac:dyDescent="0.25">
      <c r="A2690" t="s">
        <v>5861</v>
      </c>
      <c r="B2690" s="1">
        <v>44494</v>
      </c>
      <c r="C2690" t="s">
        <v>5862</v>
      </c>
      <c r="D2690" t="s">
        <v>977</v>
      </c>
      <c r="E2690">
        <v>47</v>
      </c>
      <c r="F2690" t="str">
        <f>IF(Table1[[#This Row],[age]]&lt;=25,"18-25",IF(Table1[[#This Row],[age]]&lt;=35,"26-35",IF(Table1[[#This Row],[age]]&lt;=50,"36-50","51+")))</f>
        <v>36-50</v>
      </c>
      <c r="G2690" t="s">
        <v>34</v>
      </c>
      <c r="H2690" t="s">
        <v>25</v>
      </c>
      <c r="I2690" t="s">
        <v>298</v>
      </c>
      <c r="J2690" t="s">
        <v>27</v>
      </c>
      <c r="K2690" t="s">
        <v>480</v>
      </c>
      <c r="L2690">
        <v>4</v>
      </c>
      <c r="M2690">
        <v>2037.17</v>
      </c>
      <c r="N2690">
        <v>0.05</v>
      </c>
      <c r="O2690">
        <v>6659.78</v>
      </c>
      <c r="P2690">
        <v>3811.89</v>
      </c>
      <c r="Q2690">
        <v>53.93</v>
      </c>
      <c r="R2690" t="s">
        <v>65</v>
      </c>
      <c r="S2690">
        <v>3</v>
      </c>
      <c r="T2690" t="b">
        <v>0</v>
      </c>
      <c r="U2690" t="s">
        <v>93</v>
      </c>
      <c r="V2690">
        <v>4</v>
      </c>
    </row>
    <row r="2691" spans="1:22" x14ac:dyDescent="0.25">
      <c r="A2691" t="s">
        <v>5863</v>
      </c>
      <c r="B2691" s="1">
        <v>44312</v>
      </c>
      <c r="C2691" t="s">
        <v>5864</v>
      </c>
      <c r="D2691" t="s">
        <v>833</v>
      </c>
      <c r="E2691">
        <v>45</v>
      </c>
      <c r="F2691" t="str">
        <f>IF(Table1[[#This Row],[age]]&lt;=25,"18-25",IF(Table1[[#This Row],[age]]&lt;=35,"26-35",IF(Table1[[#This Row],[age]]&lt;=50,"36-50","51+")))</f>
        <v>36-50</v>
      </c>
      <c r="G2691" t="s">
        <v>34</v>
      </c>
      <c r="H2691" t="s">
        <v>69</v>
      </c>
      <c r="I2691" t="s">
        <v>181</v>
      </c>
      <c r="J2691" t="s">
        <v>115</v>
      </c>
      <c r="K2691" t="s">
        <v>545</v>
      </c>
      <c r="L2691">
        <v>4</v>
      </c>
      <c r="M2691">
        <v>9948.67</v>
      </c>
      <c r="N2691">
        <v>0.03</v>
      </c>
      <c r="O2691">
        <v>50592.2</v>
      </c>
      <c r="P2691">
        <v>5774.74</v>
      </c>
      <c r="Q2691">
        <v>85.65</v>
      </c>
      <c r="R2691" t="s">
        <v>65</v>
      </c>
      <c r="S2691">
        <v>1</v>
      </c>
      <c r="T2691" t="b">
        <v>1</v>
      </c>
      <c r="U2691" t="s">
        <v>50</v>
      </c>
      <c r="V2691">
        <v>10</v>
      </c>
    </row>
    <row r="2692" spans="1:22" x14ac:dyDescent="0.25">
      <c r="A2692" t="s">
        <v>5865</v>
      </c>
      <c r="B2692" s="1">
        <v>44803</v>
      </c>
      <c r="C2692" t="s">
        <v>5866</v>
      </c>
      <c r="D2692" t="s">
        <v>510</v>
      </c>
      <c r="E2692">
        <v>49</v>
      </c>
      <c r="F2692" t="str">
        <f>IF(Table1[[#This Row],[age]]&lt;=25,"18-25",IF(Table1[[#This Row],[age]]&lt;=35,"26-35",IF(Table1[[#This Row],[age]]&lt;=50,"36-50","51+")))</f>
        <v>36-50</v>
      </c>
      <c r="G2692" t="s">
        <v>54</v>
      </c>
      <c r="H2692" t="s">
        <v>80</v>
      </c>
      <c r="I2692" t="s">
        <v>81</v>
      </c>
      <c r="J2692" t="s">
        <v>63</v>
      </c>
      <c r="K2692" t="s">
        <v>111</v>
      </c>
      <c r="L2692">
        <v>10</v>
      </c>
      <c r="M2692">
        <v>3789.09</v>
      </c>
      <c r="N2692">
        <v>0.2</v>
      </c>
      <c r="O2692">
        <v>42644.14</v>
      </c>
      <c r="P2692">
        <v>11567.08</v>
      </c>
      <c r="Q2692">
        <v>53.05</v>
      </c>
      <c r="R2692" t="s">
        <v>65</v>
      </c>
      <c r="S2692">
        <v>5</v>
      </c>
      <c r="T2692" t="b">
        <v>0</v>
      </c>
      <c r="U2692" t="s">
        <v>193</v>
      </c>
      <c r="V2692">
        <v>1</v>
      </c>
    </row>
    <row r="2693" spans="1:22" x14ac:dyDescent="0.25">
      <c r="A2693" t="s">
        <v>5867</v>
      </c>
      <c r="B2693" s="1">
        <v>44695</v>
      </c>
      <c r="C2693" t="s">
        <v>5868</v>
      </c>
      <c r="D2693" t="s">
        <v>1545</v>
      </c>
      <c r="E2693">
        <v>29</v>
      </c>
      <c r="F2693" t="str">
        <f>IF(Table1[[#This Row],[age]]&lt;=25,"18-25",IF(Table1[[#This Row],[age]]&lt;=35,"26-35",IF(Table1[[#This Row],[age]]&lt;=50,"36-50","51+")))</f>
        <v>26-35</v>
      </c>
      <c r="G2693" t="s">
        <v>34</v>
      </c>
      <c r="H2693" t="s">
        <v>25</v>
      </c>
      <c r="I2693" t="s">
        <v>35</v>
      </c>
      <c r="J2693" t="s">
        <v>106</v>
      </c>
      <c r="K2693" t="s">
        <v>314</v>
      </c>
      <c r="L2693">
        <v>5</v>
      </c>
      <c r="M2693">
        <v>218.21</v>
      </c>
      <c r="N2693">
        <v>0.33</v>
      </c>
      <c r="O2693">
        <v>1300.18</v>
      </c>
      <c r="P2693">
        <v>113.46</v>
      </c>
      <c r="Q2693">
        <v>55.11</v>
      </c>
      <c r="R2693" t="s">
        <v>57</v>
      </c>
      <c r="S2693">
        <v>5</v>
      </c>
      <c r="T2693" t="b">
        <v>0</v>
      </c>
      <c r="U2693" t="s">
        <v>93</v>
      </c>
      <c r="V2693">
        <v>9</v>
      </c>
    </row>
    <row r="2694" spans="1:22" x14ac:dyDescent="0.25">
      <c r="A2694" t="s">
        <v>5869</v>
      </c>
      <c r="B2694" s="1">
        <v>44672</v>
      </c>
      <c r="C2694" t="s">
        <v>5870</v>
      </c>
      <c r="D2694" t="s">
        <v>548</v>
      </c>
      <c r="E2694">
        <v>31</v>
      </c>
      <c r="F2694" t="str">
        <f>IF(Table1[[#This Row],[age]]&lt;=25,"18-25",IF(Table1[[#This Row],[age]]&lt;=35,"26-35",IF(Table1[[#This Row],[age]]&lt;=50,"36-50","51+")))</f>
        <v>26-35</v>
      </c>
      <c r="G2694" t="s">
        <v>34</v>
      </c>
      <c r="H2694" t="s">
        <v>69</v>
      </c>
      <c r="I2694" t="s">
        <v>136</v>
      </c>
      <c r="J2694" t="s">
        <v>115</v>
      </c>
      <c r="K2694" t="s">
        <v>197</v>
      </c>
      <c r="L2694">
        <v>5</v>
      </c>
      <c r="M2694">
        <v>7801.31</v>
      </c>
      <c r="N2694">
        <v>0.4</v>
      </c>
      <c r="O2694">
        <v>32476.66</v>
      </c>
      <c r="P2694">
        <v>4169.84</v>
      </c>
      <c r="Q2694">
        <v>72.94</v>
      </c>
      <c r="R2694" t="s">
        <v>57</v>
      </c>
      <c r="S2694">
        <v>5</v>
      </c>
      <c r="T2694" t="b">
        <v>0</v>
      </c>
      <c r="U2694" t="s">
        <v>30</v>
      </c>
      <c r="V2694">
        <v>7</v>
      </c>
    </row>
    <row r="2695" spans="1:22" x14ac:dyDescent="0.25">
      <c r="A2695" t="s">
        <v>5871</v>
      </c>
      <c r="B2695" s="1">
        <v>45253</v>
      </c>
      <c r="C2695" t="s">
        <v>5872</v>
      </c>
      <c r="D2695" t="s">
        <v>932</v>
      </c>
      <c r="E2695">
        <v>47</v>
      </c>
      <c r="F2695" t="str">
        <f>IF(Table1[[#This Row],[age]]&lt;=25,"18-25",IF(Table1[[#This Row],[age]]&lt;=35,"26-35",IF(Table1[[#This Row],[age]]&lt;=50,"36-50","51+")))</f>
        <v>36-50</v>
      </c>
      <c r="G2695" t="s">
        <v>34</v>
      </c>
      <c r="H2695" t="s">
        <v>25</v>
      </c>
      <c r="I2695" t="s">
        <v>26</v>
      </c>
      <c r="J2695" t="s">
        <v>106</v>
      </c>
      <c r="K2695" t="s">
        <v>314</v>
      </c>
      <c r="L2695">
        <v>6</v>
      </c>
      <c r="M2695">
        <v>481.93</v>
      </c>
      <c r="N2695">
        <v>0.39</v>
      </c>
      <c r="O2695">
        <v>1558.52</v>
      </c>
      <c r="P2695">
        <v>135.01</v>
      </c>
      <c r="Q2695">
        <v>54.04</v>
      </c>
      <c r="R2695" t="s">
        <v>43</v>
      </c>
      <c r="S2695">
        <v>2</v>
      </c>
      <c r="T2695" t="b">
        <v>0</v>
      </c>
      <c r="U2695" t="s">
        <v>30</v>
      </c>
      <c r="V2695">
        <v>2</v>
      </c>
    </row>
    <row r="2696" spans="1:22" x14ac:dyDescent="0.25">
      <c r="A2696" t="s">
        <v>5873</v>
      </c>
      <c r="B2696" s="1">
        <v>45455</v>
      </c>
      <c r="C2696" t="s">
        <v>5874</v>
      </c>
      <c r="D2696" t="s">
        <v>743</v>
      </c>
      <c r="E2696">
        <v>48</v>
      </c>
      <c r="F2696" t="str">
        <f>IF(Table1[[#This Row],[age]]&lt;=25,"18-25",IF(Table1[[#This Row],[age]]&lt;=35,"26-35",IF(Table1[[#This Row],[age]]&lt;=50,"36-50","51+")))</f>
        <v>36-50</v>
      </c>
      <c r="G2696" t="s">
        <v>54</v>
      </c>
      <c r="H2696" t="s">
        <v>25</v>
      </c>
      <c r="I2696" t="s">
        <v>41</v>
      </c>
      <c r="J2696" t="s">
        <v>101</v>
      </c>
      <c r="K2696" t="s">
        <v>164</v>
      </c>
      <c r="L2696">
        <v>6</v>
      </c>
      <c r="M2696">
        <v>701.76</v>
      </c>
      <c r="N2696">
        <v>0.12</v>
      </c>
      <c r="O2696">
        <v>6443.54</v>
      </c>
      <c r="P2696">
        <v>1409.13</v>
      </c>
      <c r="Q2696">
        <v>70.25</v>
      </c>
      <c r="R2696" t="s">
        <v>92</v>
      </c>
      <c r="S2696">
        <v>4</v>
      </c>
      <c r="T2696" t="b">
        <v>0</v>
      </c>
      <c r="U2696" t="s">
        <v>30</v>
      </c>
      <c r="V2696">
        <v>7</v>
      </c>
    </row>
    <row r="2697" spans="1:22" x14ac:dyDescent="0.25">
      <c r="A2697" t="s">
        <v>5875</v>
      </c>
      <c r="B2697" s="1">
        <v>45535</v>
      </c>
      <c r="C2697" t="s">
        <v>5876</v>
      </c>
      <c r="D2697" t="s">
        <v>96</v>
      </c>
      <c r="E2697">
        <v>49</v>
      </c>
      <c r="F2697" t="str">
        <f>IF(Table1[[#This Row],[age]]&lt;=25,"18-25",IF(Table1[[#This Row],[age]]&lt;=35,"26-35",IF(Table1[[#This Row],[age]]&lt;=50,"36-50","51+")))</f>
        <v>36-50</v>
      </c>
      <c r="G2697" t="s">
        <v>54</v>
      </c>
      <c r="H2697" t="s">
        <v>25</v>
      </c>
      <c r="I2697" t="s">
        <v>26</v>
      </c>
      <c r="J2697" t="s">
        <v>27</v>
      </c>
      <c r="K2697" t="s">
        <v>168</v>
      </c>
      <c r="L2697">
        <v>7</v>
      </c>
      <c r="M2697">
        <v>981.95</v>
      </c>
      <c r="N2697">
        <v>0.06</v>
      </c>
      <c r="O2697">
        <v>9774.56</v>
      </c>
      <c r="P2697">
        <v>4480.42</v>
      </c>
      <c r="Q2697">
        <v>63.36</v>
      </c>
      <c r="R2697" t="s">
        <v>65</v>
      </c>
      <c r="S2697">
        <v>5</v>
      </c>
      <c r="T2697" t="b">
        <v>0</v>
      </c>
      <c r="U2697" t="s">
        <v>30</v>
      </c>
      <c r="V2697">
        <v>9</v>
      </c>
    </row>
    <row r="2698" spans="1:22" x14ac:dyDescent="0.25">
      <c r="A2698" t="s">
        <v>5877</v>
      </c>
      <c r="B2698" s="1">
        <v>44659</v>
      </c>
      <c r="C2698" t="s">
        <v>5878</v>
      </c>
      <c r="D2698" t="s">
        <v>871</v>
      </c>
      <c r="E2698">
        <v>18</v>
      </c>
      <c r="F2698" t="str">
        <f>IF(Table1[[#This Row],[age]]&lt;=25,"18-25",IF(Table1[[#This Row],[age]]&lt;=35,"26-35",IF(Table1[[#This Row],[age]]&lt;=50,"36-50","51+")))</f>
        <v>18-25</v>
      </c>
      <c r="G2698" t="s">
        <v>54</v>
      </c>
      <c r="H2698" t="s">
        <v>61</v>
      </c>
      <c r="I2698" t="s">
        <v>62</v>
      </c>
      <c r="J2698" t="s">
        <v>106</v>
      </c>
      <c r="K2698" t="s">
        <v>718</v>
      </c>
      <c r="L2698">
        <v>6</v>
      </c>
      <c r="M2698">
        <v>160.93</v>
      </c>
      <c r="N2698">
        <v>0.38</v>
      </c>
      <c r="O2698">
        <v>746</v>
      </c>
      <c r="P2698">
        <v>49.52</v>
      </c>
      <c r="Q2698">
        <v>43.23</v>
      </c>
      <c r="R2698" t="s">
        <v>65</v>
      </c>
      <c r="S2698">
        <v>4</v>
      </c>
      <c r="T2698" t="b">
        <v>0</v>
      </c>
      <c r="U2698" t="s">
        <v>30</v>
      </c>
      <c r="V2698">
        <v>5</v>
      </c>
    </row>
    <row r="2699" spans="1:22" x14ac:dyDescent="0.25">
      <c r="A2699" t="s">
        <v>5879</v>
      </c>
      <c r="B2699" s="1">
        <v>44850</v>
      </c>
      <c r="C2699" t="s">
        <v>5880</v>
      </c>
      <c r="D2699" t="s">
        <v>3740</v>
      </c>
      <c r="E2699">
        <v>31</v>
      </c>
      <c r="F2699" t="str">
        <f>IF(Table1[[#This Row],[age]]&lt;=25,"18-25",IF(Table1[[#This Row],[age]]&lt;=35,"26-35",IF(Table1[[#This Row],[age]]&lt;=50,"36-50","51+")))</f>
        <v>26-35</v>
      </c>
      <c r="G2699" t="s">
        <v>34</v>
      </c>
      <c r="H2699" t="s">
        <v>55</v>
      </c>
      <c r="I2699" t="s">
        <v>114</v>
      </c>
      <c r="J2699" t="s">
        <v>101</v>
      </c>
      <c r="K2699" t="s">
        <v>456</v>
      </c>
      <c r="L2699">
        <v>2</v>
      </c>
      <c r="M2699">
        <v>963.86</v>
      </c>
      <c r="N2699">
        <v>0.4</v>
      </c>
      <c r="O2699">
        <v>1234.93</v>
      </c>
      <c r="P2699">
        <v>250.23</v>
      </c>
      <c r="Q2699">
        <v>44.87</v>
      </c>
      <c r="R2699" t="s">
        <v>57</v>
      </c>
      <c r="S2699">
        <v>4</v>
      </c>
      <c r="T2699" t="b">
        <v>0</v>
      </c>
      <c r="U2699" t="s">
        <v>93</v>
      </c>
      <c r="V2699">
        <v>7</v>
      </c>
    </row>
    <row r="2700" spans="1:22" x14ac:dyDescent="0.25">
      <c r="A2700" t="s">
        <v>5881</v>
      </c>
      <c r="B2700" s="1">
        <v>44165</v>
      </c>
      <c r="C2700" t="s">
        <v>5882</v>
      </c>
      <c r="D2700" t="s">
        <v>412</v>
      </c>
      <c r="E2700">
        <v>37</v>
      </c>
      <c r="F2700" t="str">
        <f>IF(Table1[[#This Row],[age]]&lt;=25,"18-25",IF(Table1[[#This Row],[age]]&lt;=35,"26-35",IF(Table1[[#This Row],[age]]&lt;=50,"36-50","51+")))</f>
        <v>36-50</v>
      </c>
      <c r="G2700" t="s">
        <v>54</v>
      </c>
      <c r="H2700" t="s">
        <v>25</v>
      </c>
      <c r="I2700" t="s">
        <v>26</v>
      </c>
      <c r="J2700" t="s">
        <v>36</v>
      </c>
      <c r="K2700" t="s">
        <v>243</v>
      </c>
      <c r="L2700">
        <v>8</v>
      </c>
      <c r="M2700">
        <v>18836.47</v>
      </c>
      <c r="N2700">
        <v>0.39</v>
      </c>
      <c r="O2700">
        <v>61854.03</v>
      </c>
      <c r="P2700">
        <v>18480.41</v>
      </c>
      <c r="Q2700">
        <v>25.75</v>
      </c>
      <c r="R2700" t="s">
        <v>92</v>
      </c>
      <c r="S2700">
        <v>4</v>
      </c>
      <c r="T2700" t="b">
        <v>0</v>
      </c>
      <c r="U2700" t="s">
        <v>30</v>
      </c>
      <c r="V2700">
        <v>7</v>
      </c>
    </row>
    <row r="2701" spans="1:22" x14ac:dyDescent="0.25">
      <c r="A2701" t="s">
        <v>5883</v>
      </c>
      <c r="B2701" s="1">
        <v>44492</v>
      </c>
      <c r="C2701" t="s">
        <v>5884</v>
      </c>
      <c r="D2701" t="s">
        <v>1968</v>
      </c>
      <c r="E2701">
        <v>42</v>
      </c>
      <c r="F2701" t="str">
        <f>IF(Table1[[#This Row],[age]]&lt;=25,"18-25",IF(Table1[[#This Row],[age]]&lt;=35,"26-35",IF(Table1[[#This Row],[age]]&lt;=50,"36-50","51+")))</f>
        <v>36-50</v>
      </c>
      <c r="G2701" t="s">
        <v>34</v>
      </c>
      <c r="H2701" t="s">
        <v>61</v>
      </c>
      <c r="I2701" t="s">
        <v>141</v>
      </c>
      <c r="J2701" t="s">
        <v>36</v>
      </c>
      <c r="K2701" t="s">
        <v>243</v>
      </c>
      <c r="L2701">
        <v>2</v>
      </c>
      <c r="M2701">
        <v>31609.279999999999</v>
      </c>
      <c r="N2701">
        <v>0.3</v>
      </c>
      <c r="O2701">
        <v>37776.019999999997</v>
      </c>
      <c r="P2701">
        <v>8697.26</v>
      </c>
      <c r="Q2701">
        <v>37.83</v>
      </c>
      <c r="R2701" t="s">
        <v>49</v>
      </c>
      <c r="S2701">
        <v>3</v>
      </c>
      <c r="T2701" t="b">
        <v>0</v>
      </c>
      <c r="U2701" t="s">
        <v>30</v>
      </c>
      <c r="V2701">
        <v>5</v>
      </c>
    </row>
    <row r="2702" spans="1:22" x14ac:dyDescent="0.25">
      <c r="A2702" t="s">
        <v>5885</v>
      </c>
      <c r="B2702" s="1">
        <v>44287</v>
      </c>
      <c r="C2702" t="s">
        <v>5886</v>
      </c>
      <c r="D2702" t="s">
        <v>2067</v>
      </c>
      <c r="E2702">
        <v>39</v>
      </c>
      <c r="F2702" t="str">
        <f>IF(Table1[[#This Row],[age]]&lt;=25,"18-25",IF(Table1[[#This Row],[age]]&lt;=35,"26-35",IF(Table1[[#This Row],[age]]&lt;=50,"36-50","51+")))</f>
        <v>36-50</v>
      </c>
      <c r="G2702" t="s">
        <v>34</v>
      </c>
      <c r="H2702" t="s">
        <v>55</v>
      </c>
      <c r="I2702" t="s">
        <v>56</v>
      </c>
      <c r="J2702" t="s">
        <v>47</v>
      </c>
      <c r="K2702" t="s">
        <v>156</v>
      </c>
      <c r="L2702">
        <v>3</v>
      </c>
      <c r="M2702">
        <v>748.48</v>
      </c>
      <c r="N2702">
        <v>0.39</v>
      </c>
      <c r="O2702">
        <v>1567.84</v>
      </c>
      <c r="P2702">
        <v>545.32000000000005</v>
      </c>
      <c r="Q2702">
        <v>53.58</v>
      </c>
      <c r="R2702" t="s">
        <v>49</v>
      </c>
      <c r="S2702">
        <v>4</v>
      </c>
      <c r="T2702" t="b">
        <v>0</v>
      </c>
      <c r="U2702" t="s">
        <v>30</v>
      </c>
      <c r="V2702">
        <v>4</v>
      </c>
    </row>
    <row r="2703" spans="1:22" x14ac:dyDescent="0.25">
      <c r="A2703" t="s">
        <v>5887</v>
      </c>
      <c r="B2703" s="1">
        <v>44074</v>
      </c>
      <c r="C2703" t="s">
        <v>5888</v>
      </c>
      <c r="D2703" t="s">
        <v>3740</v>
      </c>
      <c r="E2703">
        <v>55</v>
      </c>
      <c r="F2703" t="str">
        <f>IF(Table1[[#This Row],[age]]&lt;=25,"18-25",IF(Table1[[#This Row],[age]]&lt;=35,"26-35",IF(Table1[[#This Row],[age]]&lt;=50,"36-50","51+")))</f>
        <v>51+</v>
      </c>
      <c r="G2703" t="s">
        <v>24</v>
      </c>
      <c r="H2703" t="s">
        <v>80</v>
      </c>
      <c r="I2703" t="s">
        <v>236</v>
      </c>
      <c r="J2703" t="s">
        <v>101</v>
      </c>
      <c r="K2703" t="s">
        <v>318</v>
      </c>
      <c r="L2703">
        <v>4</v>
      </c>
      <c r="M2703">
        <v>9806.3700000000008</v>
      </c>
      <c r="N2703">
        <v>7.0000000000000007E-2</v>
      </c>
      <c r="O2703">
        <v>42952.69</v>
      </c>
      <c r="P2703">
        <v>11804.27</v>
      </c>
      <c r="Q2703">
        <v>84.11</v>
      </c>
      <c r="R2703" t="s">
        <v>57</v>
      </c>
      <c r="S2703">
        <v>2</v>
      </c>
      <c r="T2703" t="b">
        <v>0</v>
      </c>
      <c r="U2703" t="s">
        <v>30</v>
      </c>
      <c r="V2703">
        <v>3</v>
      </c>
    </row>
    <row r="2704" spans="1:22" x14ac:dyDescent="0.25">
      <c r="A2704" t="s">
        <v>5889</v>
      </c>
      <c r="B2704" s="1">
        <v>44432</v>
      </c>
      <c r="C2704" t="s">
        <v>5890</v>
      </c>
      <c r="D2704" t="s">
        <v>1373</v>
      </c>
      <c r="E2704">
        <v>43</v>
      </c>
      <c r="F2704" t="str">
        <f>IF(Table1[[#This Row],[age]]&lt;=25,"18-25",IF(Table1[[#This Row],[age]]&lt;=35,"26-35",IF(Table1[[#This Row],[age]]&lt;=50,"36-50","51+")))</f>
        <v>36-50</v>
      </c>
      <c r="G2704" t="s">
        <v>24</v>
      </c>
      <c r="H2704" t="s">
        <v>80</v>
      </c>
      <c r="I2704" t="s">
        <v>86</v>
      </c>
      <c r="J2704" t="s">
        <v>36</v>
      </c>
      <c r="K2704" t="s">
        <v>37</v>
      </c>
      <c r="L2704">
        <v>10</v>
      </c>
      <c r="M2704">
        <v>19934.48</v>
      </c>
      <c r="N2704">
        <v>0.04</v>
      </c>
      <c r="O2704">
        <v>222948.05</v>
      </c>
      <c r="P2704">
        <v>85875.92</v>
      </c>
      <c r="Q2704">
        <v>55.37</v>
      </c>
      <c r="R2704" t="s">
        <v>29</v>
      </c>
      <c r="S2704">
        <v>2</v>
      </c>
      <c r="T2704" t="b">
        <v>0</v>
      </c>
      <c r="U2704" t="s">
        <v>30</v>
      </c>
      <c r="V2704">
        <v>3</v>
      </c>
    </row>
    <row r="2705" spans="1:22" x14ac:dyDescent="0.25">
      <c r="A2705" t="s">
        <v>5891</v>
      </c>
      <c r="B2705" s="1">
        <v>44273</v>
      </c>
      <c r="C2705" t="s">
        <v>5892</v>
      </c>
      <c r="D2705" t="s">
        <v>3427</v>
      </c>
      <c r="E2705">
        <v>44</v>
      </c>
      <c r="F2705" t="str">
        <f>IF(Table1[[#This Row],[age]]&lt;=25,"18-25",IF(Table1[[#This Row],[age]]&lt;=35,"26-35",IF(Table1[[#This Row],[age]]&lt;=50,"36-50","51+")))</f>
        <v>36-50</v>
      </c>
      <c r="G2705" t="s">
        <v>34</v>
      </c>
      <c r="H2705" t="s">
        <v>69</v>
      </c>
      <c r="I2705" t="s">
        <v>221</v>
      </c>
      <c r="J2705" t="s">
        <v>115</v>
      </c>
      <c r="K2705" t="s">
        <v>116</v>
      </c>
      <c r="L2705">
        <v>6</v>
      </c>
      <c r="M2705">
        <v>40340.61</v>
      </c>
      <c r="N2705">
        <v>0.36</v>
      </c>
      <c r="O2705">
        <v>166691.57999999999</v>
      </c>
      <c r="P2705">
        <v>15451.73</v>
      </c>
      <c r="Q2705">
        <v>92.09</v>
      </c>
      <c r="R2705" t="s">
        <v>29</v>
      </c>
      <c r="S2705">
        <v>2</v>
      </c>
      <c r="T2705" t="b">
        <v>0</v>
      </c>
      <c r="U2705" t="s">
        <v>30</v>
      </c>
      <c r="V2705">
        <v>10</v>
      </c>
    </row>
    <row r="2706" spans="1:22" x14ac:dyDescent="0.25">
      <c r="A2706" t="s">
        <v>5893</v>
      </c>
      <c r="B2706" s="1">
        <v>44443</v>
      </c>
      <c r="C2706" t="s">
        <v>5894</v>
      </c>
      <c r="D2706" t="s">
        <v>618</v>
      </c>
      <c r="E2706">
        <v>46</v>
      </c>
      <c r="F2706" t="str">
        <f>IF(Table1[[#This Row],[age]]&lt;=25,"18-25",IF(Table1[[#This Row],[age]]&lt;=35,"26-35",IF(Table1[[#This Row],[age]]&lt;=50,"36-50","51+")))</f>
        <v>36-50</v>
      </c>
      <c r="G2706" t="s">
        <v>24</v>
      </c>
      <c r="H2706" t="s">
        <v>61</v>
      </c>
      <c r="I2706" t="s">
        <v>62</v>
      </c>
      <c r="J2706" t="s">
        <v>106</v>
      </c>
      <c r="K2706" t="s">
        <v>314</v>
      </c>
      <c r="L2706">
        <v>9</v>
      </c>
      <c r="M2706">
        <v>259.89999999999998</v>
      </c>
      <c r="N2706">
        <v>0.13</v>
      </c>
      <c r="O2706">
        <v>2235.73</v>
      </c>
      <c r="P2706">
        <v>151.85</v>
      </c>
      <c r="Q2706">
        <v>60.98</v>
      </c>
      <c r="R2706" t="s">
        <v>49</v>
      </c>
      <c r="S2706">
        <v>1</v>
      </c>
      <c r="T2706" t="b">
        <v>0</v>
      </c>
      <c r="U2706" t="s">
        <v>30</v>
      </c>
      <c r="V2706">
        <v>7</v>
      </c>
    </row>
    <row r="2707" spans="1:22" x14ac:dyDescent="0.25">
      <c r="A2707" t="s">
        <v>5895</v>
      </c>
      <c r="B2707" s="1">
        <v>45304</v>
      </c>
      <c r="C2707" t="s">
        <v>5896</v>
      </c>
      <c r="D2707" t="s">
        <v>1478</v>
      </c>
      <c r="E2707">
        <v>30</v>
      </c>
      <c r="F2707" t="str">
        <f>IF(Table1[[#This Row],[age]]&lt;=25,"18-25",IF(Table1[[#This Row],[age]]&lt;=35,"26-35",IF(Table1[[#This Row],[age]]&lt;=50,"36-50","51+")))</f>
        <v>26-35</v>
      </c>
      <c r="G2707" t="s">
        <v>34</v>
      </c>
      <c r="H2707" t="s">
        <v>61</v>
      </c>
      <c r="I2707" t="s">
        <v>141</v>
      </c>
      <c r="J2707" t="s">
        <v>106</v>
      </c>
      <c r="K2707" t="s">
        <v>107</v>
      </c>
      <c r="L2707">
        <v>4</v>
      </c>
      <c r="M2707">
        <v>252.07</v>
      </c>
      <c r="N2707">
        <v>0.15</v>
      </c>
      <c r="O2707">
        <v>798.95</v>
      </c>
      <c r="P2707">
        <v>72.2</v>
      </c>
      <c r="Q2707">
        <v>40.96</v>
      </c>
      <c r="R2707" t="s">
        <v>29</v>
      </c>
      <c r="S2707">
        <v>2</v>
      </c>
      <c r="T2707" t="b">
        <v>0</v>
      </c>
      <c r="U2707" t="s">
        <v>30</v>
      </c>
      <c r="V2707">
        <v>1</v>
      </c>
    </row>
    <row r="2708" spans="1:22" x14ac:dyDescent="0.25">
      <c r="A2708" t="s">
        <v>5897</v>
      </c>
      <c r="B2708" s="1">
        <v>45174</v>
      </c>
      <c r="C2708" t="s">
        <v>5898</v>
      </c>
      <c r="D2708" t="s">
        <v>375</v>
      </c>
      <c r="E2708">
        <v>35</v>
      </c>
      <c r="F2708" t="str">
        <f>IF(Table1[[#This Row],[age]]&lt;=25,"18-25",IF(Table1[[#This Row],[age]]&lt;=35,"26-35",IF(Table1[[#This Row],[age]]&lt;=50,"36-50","51+")))</f>
        <v>26-35</v>
      </c>
      <c r="G2708" t="s">
        <v>34</v>
      </c>
      <c r="H2708" t="s">
        <v>25</v>
      </c>
      <c r="I2708" t="s">
        <v>26</v>
      </c>
      <c r="J2708" t="s">
        <v>47</v>
      </c>
      <c r="K2708" t="s">
        <v>272</v>
      </c>
      <c r="L2708">
        <v>3</v>
      </c>
      <c r="M2708">
        <v>482.83</v>
      </c>
      <c r="N2708">
        <v>0.14000000000000001</v>
      </c>
      <c r="O2708">
        <v>1565.69</v>
      </c>
      <c r="P2708">
        <v>752.92</v>
      </c>
      <c r="Q2708">
        <v>50.18</v>
      </c>
      <c r="R2708" t="s">
        <v>49</v>
      </c>
      <c r="S2708">
        <v>4</v>
      </c>
      <c r="T2708" t="b">
        <v>0</v>
      </c>
      <c r="U2708" t="s">
        <v>193</v>
      </c>
      <c r="V2708">
        <v>4</v>
      </c>
    </row>
    <row r="2709" spans="1:22" x14ac:dyDescent="0.25">
      <c r="A2709" t="s">
        <v>5899</v>
      </c>
      <c r="B2709" s="1">
        <v>43898</v>
      </c>
      <c r="C2709" t="s">
        <v>5900</v>
      </c>
      <c r="D2709" t="s">
        <v>682</v>
      </c>
      <c r="E2709">
        <v>35</v>
      </c>
      <c r="F2709" t="str">
        <f>IF(Table1[[#This Row],[age]]&lt;=25,"18-25",IF(Table1[[#This Row],[age]]&lt;=35,"26-35",IF(Table1[[#This Row],[age]]&lt;=50,"36-50","51+")))</f>
        <v>26-35</v>
      </c>
      <c r="G2709" t="s">
        <v>54</v>
      </c>
      <c r="H2709" t="s">
        <v>80</v>
      </c>
      <c r="I2709" t="s">
        <v>86</v>
      </c>
      <c r="J2709" t="s">
        <v>106</v>
      </c>
      <c r="K2709" t="s">
        <v>718</v>
      </c>
      <c r="L2709">
        <v>1</v>
      </c>
      <c r="M2709">
        <v>430.25</v>
      </c>
      <c r="N2709">
        <v>0.17</v>
      </c>
      <c r="O2709">
        <v>361.14</v>
      </c>
      <c r="P2709">
        <v>25.31</v>
      </c>
      <c r="Q2709">
        <v>56.91</v>
      </c>
      <c r="R2709" t="s">
        <v>57</v>
      </c>
      <c r="S2709">
        <v>2</v>
      </c>
      <c r="T2709" t="b">
        <v>1</v>
      </c>
      <c r="U2709" t="s">
        <v>50</v>
      </c>
      <c r="V2709">
        <v>5</v>
      </c>
    </row>
    <row r="2710" spans="1:22" x14ac:dyDescent="0.25">
      <c r="A2710" t="s">
        <v>5901</v>
      </c>
      <c r="B2710" s="1">
        <v>45105</v>
      </c>
      <c r="C2710" t="s">
        <v>5902</v>
      </c>
      <c r="D2710" t="s">
        <v>904</v>
      </c>
      <c r="E2710">
        <v>49</v>
      </c>
      <c r="F2710" t="str">
        <f>IF(Table1[[#This Row],[age]]&lt;=25,"18-25",IF(Table1[[#This Row],[age]]&lt;=35,"26-35",IF(Table1[[#This Row],[age]]&lt;=50,"36-50","51+")))</f>
        <v>36-50</v>
      </c>
      <c r="G2710" t="s">
        <v>54</v>
      </c>
      <c r="H2710" t="s">
        <v>69</v>
      </c>
      <c r="I2710" t="s">
        <v>136</v>
      </c>
      <c r="J2710" t="s">
        <v>115</v>
      </c>
      <c r="K2710" t="s">
        <v>398</v>
      </c>
      <c r="L2710">
        <v>10</v>
      </c>
      <c r="M2710">
        <v>13230.15</v>
      </c>
      <c r="N2710">
        <v>0.38</v>
      </c>
      <c r="O2710">
        <v>122855.89</v>
      </c>
      <c r="P2710">
        <v>16653.59</v>
      </c>
      <c r="Q2710">
        <v>74.38</v>
      </c>
      <c r="R2710" t="s">
        <v>43</v>
      </c>
      <c r="S2710">
        <v>5</v>
      </c>
      <c r="T2710" t="b">
        <v>0</v>
      </c>
      <c r="U2710" t="s">
        <v>30</v>
      </c>
      <c r="V2710">
        <v>10</v>
      </c>
    </row>
    <row r="2711" spans="1:22" x14ac:dyDescent="0.25">
      <c r="A2711" t="s">
        <v>5903</v>
      </c>
      <c r="B2711" s="1">
        <v>44103</v>
      </c>
      <c r="C2711" t="s">
        <v>5904</v>
      </c>
      <c r="D2711" t="s">
        <v>235</v>
      </c>
      <c r="E2711">
        <v>31</v>
      </c>
      <c r="F2711" t="str">
        <f>IF(Table1[[#This Row],[age]]&lt;=25,"18-25",IF(Table1[[#This Row],[age]]&lt;=35,"26-35",IF(Table1[[#This Row],[age]]&lt;=50,"36-50","51+")))</f>
        <v>26-35</v>
      </c>
      <c r="G2711" t="s">
        <v>24</v>
      </c>
      <c r="H2711" t="s">
        <v>80</v>
      </c>
      <c r="I2711" t="s">
        <v>242</v>
      </c>
      <c r="J2711" t="s">
        <v>27</v>
      </c>
      <c r="K2711" t="s">
        <v>28</v>
      </c>
      <c r="L2711">
        <v>6</v>
      </c>
      <c r="M2711">
        <v>1767.5</v>
      </c>
      <c r="N2711">
        <v>0.05</v>
      </c>
      <c r="O2711">
        <v>10129.66</v>
      </c>
      <c r="P2711">
        <v>6354.06</v>
      </c>
      <c r="Q2711">
        <v>91.71</v>
      </c>
      <c r="R2711" t="s">
        <v>49</v>
      </c>
      <c r="S2711">
        <v>3</v>
      </c>
      <c r="T2711" t="b">
        <v>0</v>
      </c>
      <c r="U2711" t="s">
        <v>30</v>
      </c>
      <c r="V2711">
        <v>10</v>
      </c>
    </row>
    <row r="2712" spans="1:22" x14ac:dyDescent="0.25">
      <c r="A2712" t="s">
        <v>5905</v>
      </c>
      <c r="B2712" s="1">
        <v>44244</v>
      </c>
      <c r="C2712" t="s">
        <v>2354</v>
      </c>
      <c r="D2712" t="s">
        <v>1233</v>
      </c>
      <c r="E2712">
        <v>44</v>
      </c>
      <c r="F2712" t="str">
        <f>IF(Table1[[#This Row],[age]]&lt;=25,"18-25",IF(Table1[[#This Row],[age]]&lt;=35,"26-35",IF(Table1[[#This Row],[age]]&lt;=50,"36-50","51+")))</f>
        <v>36-50</v>
      </c>
      <c r="G2712" t="s">
        <v>24</v>
      </c>
      <c r="H2712" t="s">
        <v>80</v>
      </c>
      <c r="I2712" t="s">
        <v>242</v>
      </c>
      <c r="J2712" t="s">
        <v>106</v>
      </c>
      <c r="K2712" t="s">
        <v>188</v>
      </c>
      <c r="L2712">
        <v>7</v>
      </c>
      <c r="M2712">
        <v>245.03</v>
      </c>
      <c r="N2712">
        <v>0.09</v>
      </c>
      <c r="O2712">
        <v>1547.66</v>
      </c>
      <c r="P2712">
        <v>97.99</v>
      </c>
      <c r="Q2712">
        <v>69.709999999999994</v>
      </c>
      <c r="R2712" t="s">
        <v>65</v>
      </c>
      <c r="S2712">
        <v>3</v>
      </c>
      <c r="T2712" t="b">
        <v>0</v>
      </c>
      <c r="U2712" t="s">
        <v>30</v>
      </c>
      <c r="V2712">
        <v>7</v>
      </c>
    </row>
    <row r="2713" spans="1:22" x14ac:dyDescent="0.25">
      <c r="A2713" t="s">
        <v>5906</v>
      </c>
      <c r="B2713" s="1">
        <v>43959</v>
      </c>
      <c r="C2713" t="s">
        <v>5907</v>
      </c>
      <c r="D2713" t="s">
        <v>85</v>
      </c>
      <c r="E2713">
        <v>43</v>
      </c>
      <c r="F2713" t="str">
        <f>IF(Table1[[#This Row],[age]]&lt;=25,"18-25",IF(Table1[[#This Row],[age]]&lt;=35,"26-35",IF(Table1[[#This Row],[age]]&lt;=50,"36-50","51+")))</f>
        <v>36-50</v>
      </c>
      <c r="G2713" t="s">
        <v>24</v>
      </c>
      <c r="H2713" t="s">
        <v>61</v>
      </c>
      <c r="I2713" t="s">
        <v>141</v>
      </c>
      <c r="J2713" t="s">
        <v>27</v>
      </c>
      <c r="K2713" t="s">
        <v>335</v>
      </c>
      <c r="L2713">
        <v>1</v>
      </c>
      <c r="M2713">
        <v>258.67</v>
      </c>
      <c r="N2713">
        <v>0.13</v>
      </c>
      <c r="O2713">
        <v>241.29</v>
      </c>
      <c r="P2713">
        <v>82.38</v>
      </c>
      <c r="Q2713">
        <v>62.33</v>
      </c>
      <c r="R2713" t="s">
        <v>92</v>
      </c>
      <c r="S2713">
        <v>5</v>
      </c>
      <c r="T2713" t="b">
        <v>0</v>
      </c>
      <c r="U2713" t="s">
        <v>30</v>
      </c>
      <c r="V2713">
        <v>5</v>
      </c>
    </row>
    <row r="2714" spans="1:22" x14ac:dyDescent="0.25">
      <c r="A2714" t="s">
        <v>5908</v>
      </c>
      <c r="B2714" s="1">
        <v>45118</v>
      </c>
      <c r="C2714" t="s">
        <v>5909</v>
      </c>
      <c r="D2714" t="s">
        <v>3195</v>
      </c>
      <c r="E2714">
        <v>27</v>
      </c>
      <c r="F2714" t="str">
        <f>IF(Table1[[#This Row],[age]]&lt;=25,"18-25",IF(Table1[[#This Row],[age]]&lt;=35,"26-35",IF(Table1[[#This Row],[age]]&lt;=50,"36-50","51+")))</f>
        <v>26-35</v>
      </c>
      <c r="G2714" t="s">
        <v>24</v>
      </c>
      <c r="H2714" t="s">
        <v>25</v>
      </c>
      <c r="I2714" t="s">
        <v>298</v>
      </c>
      <c r="J2714" t="s">
        <v>101</v>
      </c>
      <c r="K2714" t="s">
        <v>102</v>
      </c>
      <c r="L2714">
        <v>1</v>
      </c>
      <c r="M2714">
        <v>8472.58</v>
      </c>
      <c r="N2714">
        <v>0.37</v>
      </c>
      <c r="O2714">
        <v>7626.2</v>
      </c>
      <c r="P2714">
        <v>1056.58</v>
      </c>
      <c r="Q2714">
        <v>42.85</v>
      </c>
      <c r="R2714" t="s">
        <v>65</v>
      </c>
      <c r="S2714">
        <v>5</v>
      </c>
      <c r="T2714" t="b">
        <v>0</v>
      </c>
      <c r="U2714" t="s">
        <v>30</v>
      </c>
      <c r="V2714">
        <v>10</v>
      </c>
    </row>
    <row r="2715" spans="1:22" x14ac:dyDescent="0.25">
      <c r="A2715" t="s">
        <v>5910</v>
      </c>
      <c r="B2715" s="1">
        <v>44170</v>
      </c>
      <c r="C2715" t="s">
        <v>5911</v>
      </c>
      <c r="D2715" t="s">
        <v>1406</v>
      </c>
      <c r="E2715">
        <v>52</v>
      </c>
      <c r="F2715" t="str">
        <f>IF(Table1[[#This Row],[age]]&lt;=25,"18-25",IF(Table1[[#This Row],[age]]&lt;=35,"26-35",IF(Table1[[#This Row],[age]]&lt;=50,"36-50","51+")))</f>
        <v>51+</v>
      </c>
      <c r="G2715" t="s">
        <v>34</v>
      </c>
      <c r="H2715" t="s">
        <v>25</v>
      </c>
      <c r="I2715" t="s">
        <v>298</v>
      </c>
      <c r="J2715" t="s">
        <v>115</v>
      </c>
      <c r="K2715" t="s">
        <v>545</v>
      </c>
      <c r="L2715">
        <v>1</v>
      </c>
      <c r="M2715">
        <v>55374.2</v>
      </c>
      <c r="N2715">
        <v>0.03</v>
      </c>
      <c r="O2715">
        <v>37343.19</v>
      </c>
      <c r="P2715">
        <v>4332.6899999999996</v>
      </c>
      <c r="Q2715">
        <v>42.92</v>
      </c>
      <c r="R2715" t="s">
        <v>92</v>
      </c>
      <c r="S2715">
        <v>4</v>
      </c>
      <c r="T2715" t="b">
        <v>1</v>
      </c>
      <c r="U2715" t="s">
        <v>50</v>
      </c>
      <c r="V2715">
        <v>9</v>
      </c>
    </row>
    <row r="2716" spans="1:22" x14ac:dyDescent="0.25">
      <c r="A2716" t="s">
        <v>5912</v>
      </c>
      <c r="B2716" s="1">
        <v>45497</v>
      </c>
      <c r="C2716" t="s">
        <v>5913</v>
      </c>
      <c r="D2716" t="s">
        <v>452</v>
      </c>
      <c r="E2716">
        <v>31</v>
      </c>
      <c r="F2716" t="str">
        <f>IF(Table1[[#This Row],[age]]&lt;=25,"18-25",IF(Table1[[#This Row],[age]]&lt;=35,"26-35",IF(Table1[[#This Row],[age]]&lt;=50,"36-50","51+")))</f>
        <v>26-35</v>
      </c>
      <c r="G2716" t="s">
        <v>34</v>
      </c>
      <c r="H2716" t="s">
        <v>61</v>
      </c>
      <c r="I2716" t="s">
        <v>91</v>
      </c>
      <c r="J2716" t="s">
        <v>47</v>
      </c>
      <c r="K2716" t="s">
        <v>204</v>
      </c>
      <c r="L2716">
        <v>9</v>
      </c>
      <c r="M2716">
        <v>592.57000000000005</v>
      </c>
      <c r="N2716">
        <v>0.31</v>
      </c>
      <c r="O2716">
        <v>5565.17</v>
      </c>
      <c r="P2716">
        <v>2593.15</v>
      </c>
      <c r="Q2716">
        <v>60.15</v>
      </c>
      <c r="R2716" t="s">
        <v>92</v>
      </c>
      <c r="S2716">
        <v>4</v>
      </c>
      <c r="T2716" t="b">
        <v>1</v>
      </c>
      <c r="U2716" t="s">
        <v>50</v>
      </c>
      <c r="V2716">
        <v>10</v>
      </c>
    </row>
    <row r="2717" spans="1:22" x14ac:dyDescent="0.25">
      <c r="A2717" t="s">
        <v>5914</v>
      </c>
      <c r="B2717" s="1">
        <v>45477</v>
      </c>
      <c r="C2717" t="s">
        <v>5915</v>
      </c>
      <c r="D2717" t="s">
        <v>1215</v>
      </c>
      <c r="E2717">
        <v>42</v>
      </c>
      <c r="F2717" t="str">
        <f>IF(Table1[[#This Row],[age]]&lt;=25,"18-25",IF(Table1[[#This Row],[age]]&lt;=35,"26-35",IF(Table1[[#This Row],[age]]&lt;=50,"36-50","51+")))</f>
        <v>36-50</v>
      </c>
      <c r="G2717" t="s">
        <v>34</v>
      </c>
      <c r="H2717" t="s">
        <v>55</v>
      </c>
      <c r="I2717" t="s">
        <v>56</v>
      </c>
      <c r="J2717" t="s">
        <v>63</v>
      </c>
      <c r="K2717" t="s">
        <v>111</v>
      </c>
      <c r="L2717">
        <v>4</v>
      </c>
      <c r="M2717">
        <v>766.4</v>
      </c>
      <c r="N2717">
        <v>0.12</v>
      </c>
      <c r="O2717">
        <v>4071.69</v>
      </c>
      <c r="P2717">
        <v>1156.28</v>
      </c>
      <c r="Q2717">
        <v>41.96</v>
      </c>
      <c r="R2717" t="s">
        <v>92</v>
      </c>
      <c r="S2717">
        <v>3</v>
      </c>
      <c r="T2717" t="b">
        <v>0</v>
      </c>
      <c r="U2717" t="s">
        <v>30</v>
      </c>
      <c r="V2717">
        <v>10</v>
      </c>
    </row>
    <row r="2718" spans="1:22" x14ac:dyDescent="0.25">
      <c r="A2718" t="s">
        <v>5916</v>
      </c>
      <c r="B2718" s="1">
        <v>45157</v>
      </c>
      <c r="C2718" t="s">
        <v>3356</v>
      </c>
      <c r="D2718" t="s">
        <v>967</v>
      </c>
      <c r="E2718">
        <v>52</v>
      </c>
      <c r="F2718" t="str">
        <f>IF(Table1[[#This Row],[age]]&lt;=25,"18-25",IF(Table1[[#This Row],[age]]&lt;=35,"26-35",IF(Table1[[#This Row],[age]]&lt;=50,"36-50","51+")))</f>
        <v>51+</v>
      </c>
      <c r="G2718" t="s">
        <v>34</v>
      </c>
      <c r="H2718" t="s">
        <v>25</v>
      </c>
      <c r="I2718" t="s">
        <v>26</v>
      </c>
      <c r="J2718" t="s">
        <v>47</v>
      </c>
      <c r="K2718" t="s">
        <v>272</v>
      </c>
      <c r="L2718">
        <v>8</v>
      </c>
      <c r="M2718">
        <v>1135.99</v>
      </c>
      <c r="N2718">
        <v>0.33</v>
      </c>
      <c r="O2718">
        <v>8820.52</v>
      </c>
      <c r="P2718">
        <v>3707.82</v>
      </c>
      <c r="Q2718">
        <v>66.97</v>
      </c>
      <c r="R2718" t="s">
        <v>49</v>
      </c>
      <c r="S2718">
        <v>4</v>
      </c>
      <c r="T2718" t="b">
        <v>1</v>
      </c>
      <c r="U2718" t="s">
        <v>50</v>
      </c>
      <c r="V2718">
        <v>6</v>
      </c>
    </row>
    <row r="2719" spans="1:22" x14ac:dyDescent="0.25">
      <c r="A2719" t="s">
        <v>5917</v>
      </c>
      <c r="B2719" s="1">
        <v>44491</v>
      </c>
      <c r="C2719" t="s">
        <v>5918</v>
      </c>
      <c r="D2719" t="s">
        <v>262</v>
      </c>
      <c r="E2719">
        <v>27</v>
      </c>
      <c r="F2719" t="str">
        <f>IF(Table1[[#This Row],[age]]&lt;=25,"18-25",IF(Table1[[#This Row],[age]]&lt;=35,"26-35",IF(Table1[[#This Row],[age]]&lt;=50,"36-50","51+")))</f>
        <v>26-35</v>
      </c>
      <c r="G2719" t="s">
        <v>34</v>
      </c>
      <c r="H2719" t="s">
        <v>55</v>
      </c>
      <c r="I2719" t="s">
        <v>56</v>
      </c>
      <c r="J2719" t="s">
        <v>115</v>
      </c>
      <c r="K2719" t="s">
        <v>145</v>
      </c>
      <c r="L2719">
        <v>7</v>
      </c>
      <c r="M2719">
        <v>38149.199999999997</v>
      </c>
      <c r="N2719">
        <v>0.2</v>
      </c>
      <c r="O2719">
        <v>183278.19</v>
      </c>
      <c r="P2719">
        <v>21290.22</v>
      </c>
      <c r="Q2719">
        <v>53.93</v>
      </c>
      <c r="R2719" t="s">
        <v>49</v>
      </c>
      <c r="S2719">
        <v>4</v>
      </c>
      <c r="T2719" t="b">
        <v>1</v>
      </c>
      <c r="U2719" t="s">
        <v>50</v>
      </c>
      <c r="V2719">
        <v>8</v>
      </c>
    </row>
    <row r="2720" spans="1:22" x14ac:dyDescent="0.25">
      <c r="A2720" t="s">
        <v>5919</v>
      </c>
      <c r="B2720" s="1">
        <v>45230</v>
      </c>
      <c r="C2720" t="s">
        <v>5920</v>
      </c>
      <c r="D2720" t="s">
        <v>1341</v>
      </c>
      <c r="E2720">
        <v>28</v>
      </c>
      <c r="F2720" t="str">
        <f>IF(Table1[[#This Row],[age]]&lt;=25,"18-25",IF(Table1[[#This Row],[age]]&lt;=35,"26-35",IF(Table1[[#This Row],[age]]&lt;=50,"36-50","51+")))</f>
        <v>26-35</v>
      </c>
      <c r="G2720" t="s">
        <v>24</v>
      </c>
      <c r="H2720" t="s">
        <v>55</v>
      </c>
      <c r="I2720" t="s">
        <v>56</v>
      </c>
      <c r="J2720" t="s">
        <v>101</v>
      </c>
      <c r="K2720" t="s">
        <v>318</v>
      </c>
      <c r="L2720">
        <v>3</v>
      </c>
      <c r="M2720">
        <v>3481.8</v>
      </c>
      <c r="N2720">
        <v>0.38</v>
      </c>
      <c r="O2720">
        <v>7463.99</v>
      </c>
      <c r="P2720">
        <v>1681.91</v>
      </c>
      <c r="Q2720">
        <v>55.2</v>
      </c>
      <c r="R2720" t="s">
        <v>65</v>
      </c>
      <c r="S2720">
        <v>5</v>
      </c>
      <c r="T2720" t="b">
        <v>0</v>
      </c>
      <c r="U2720" t="s">
        <v>30</v>
      </c>
      <c r="V2720">
        <v>8</v>
      </c>
    </row>
    <row r="2721" spans="1:22" x14ac:dyDescent="0.25">
      <c r="A2721" t="s">
        <v>5921</v>
      </c>
      <c r="B2721" s="1">
        <v>44397</v>
      </c>
      <c r="C2721" t="s">
        <v>5922</v>
      </c>
      <c r="D2721" t="s">
        <v>1785</v>
      </c>
      <c r="E2721">
        <v>50</v>
      </c>
      <c r="F2721" t="str">
        <f>IF(Table1[[#This Row],[age]]&lt;=25,"18-25",IF(Table1[[#This Row],[age]]&lt;=35,"26-35",IF(Table1[[#This Row],[age]]&lt;=50,"36-50","51+")))</f>
        <v>36-50</v>
      </c>
      <c r="G2721" t="s">
        <v>54</v>
      </c>
      <c r="H2721" t="s">
        <v>61</v>
      </c>
      <c r="I2721" t="s">
        <v>163</v>
      </c>
      <c r="J2721" t="s">
        <v>101</v>
      </c>
      <c r="K2721" t="s">
        <v>124</v>
      </c>
      <c r="L2721">
        <v>10</v>
      </c>
      <c r="M2721">
        <v>8620.94</v>
      </c>
      <c r="N2721">
        <v>0.04</v>
      </c>
      <c r="O2721">
        <v>126401.53</v>
      </c>
      <c r="P2721">
        <v>29243.759999999998</v>
      </c>
      <c r="Q2721">
        <v>63.69</v>
      </c>
      <c r="R2721" t="s">
        <v>43</v>
      </c>
      <c r="S2721">
        <v>1</v>
      </c>
      <c r="T2721" t="b">
        <v>0</v>
      </c>
      <c r="U2721" t="s">
        <v>71</v>
      </c>
      <c r="V2721">
        <v>3</v>
      </c>
    </row>
    <row r="2722" spans="1:22" x14ac:dyDescent="0.25">
      <c r="A2722" t="s">
        <v>5923</v>
      </c>
      <c r="B2722" s="1">
        <v>43962</v>
      </c>
      <c r="C2722" t="s">
        <v>5924</v>
      </c>
      <c r="D2722" t="s">
        <v>1262</v>
      </c>
      <c r="E2722">
        <v>34</v>
      </c>
      <c r="F2722" t="str">
        <f>IF(Table1[[#This Row],[age]]&lt;=25,"18-25",IF(Table1[[#This Row],[age]]&lt;=35,"26-35",IF(Table1[[#This Row],[age]]&lt;=50,"36-50","51+")))</f>
        <v>26-35</v>
      </c>
      <c r="G2722" t="s">
        <v>24</v>
      </c>
      <c r="H2722" t="s">
        <v>61</v>
      </c>
      <c r="I2722" t="s">
        <v>163</v>
      </c>
      <c r="J2722" t="s">
        <v>106</v>
      </c>
      <c r="K2722" t="s">
        <v>247</v>
      </c>
      <c r="L2722">
        <v>4</v>
      </c>
      <c r="M2722">
        <v>87.62</v>
      </c>
      <c r="N2722">
        <v>0.26</v>
      </c>
      <c r="O2722">
        <v>338.94</v>
      </c>
      <c r="P2722">
        <v>30.3</v>
      </c>
      <c r="Q2722">
        <v>56.98</v>
      </c>
      <c r="R2722" t="s">
        <v>92</v>
      </c>
      <c r="S2722">
        <v>3</v>
      </c>
      <c r="T2722" t="b">
        <v>1</v>
      </c>
      <c r="U2722" t="s">
        <v>50</v>
      </c>
      <c r="V2722">
        <v>4</v>
      </c>
    </row>
    <row r="2723" spans="1:22" x14ac:dyDescent="0.25">
      <c r="A2723" t="s">
        <v>5925</v>
      </c>
      <c r="B2723" s="1">
        <v>44615</v>
      </c>
      <c r="C2723" t="s">
        <v>1302</v>
      </c>
      <c r="D2723" t="s">
        <v>346</v>
      </c>
      <c r="E2723">
        <v>36</v>
      </c>
      <c r="F2723" t="str">
        <f>IF(Table1[[#This Row],[age]]&lt;=25,"18-25",IF(Table1[[#This Row],[age]]&lt;=35,"26-35",IF(Table1[[#This Row],[age]]&lt;=50,"36-50","51+")))</f>
        <v>36-50</v>
      </c>
      <c r="G2723" t="s">
        <v>34</v>
      </c>
      <c r="H2723" t="s">
        <v>80</v>
      </c>
      <c r="I2723" t="s">
        <v>242</v>
      </c>
      <c r="J2723" t="s">
        <v>63</v>
      </c>
      <c r="K2723" t="s">
        <v>111</v>
      </c>
      <c r="L2723">
        <v>4</v>
      </c>
      <c r="M2723">
        <v>3567.47</v>
      </c>
      <c r="N2723">
        <v>0.14000000000000001</v>
      </c>
      <c r="O2723">
        <v>11439.79</v>
      </c>
      <c r="P2723">
        <v>2952.33</v>
      </c>
      <c r="Q2723">
        <v>90.15</v>
      </c>
      <c r="R2723" t="s">
        <v>49</v>
      </c>
      <c r="S2723">
        <v>4</v>
      </c>
      <c r="T2723" t="b">
        <v>0</v>
      </c>
      <c r="U2723" t="s">
        <v>71</v>
      </c>
      <c r="V2723">
        <v>4</v>
      </c>
    </row>
    <row r="2724" spans="1:22" x14ac:dyDescent="0.25">
      <c r="A2724" t="s">
        <v>5926</v>
      </c>
      <c r="B2724" s="1">
        <v>44372</v>
      </c>
      <c r="C2724" t="s">
        <v>5927</v>
      </c>
      <c r="D2724" t="s">
        <v>74</v>
      </c>
      <c r="E2724">
        <v>32</v>
      </c>
      <c r="F2724" t="str">
        <f>IF(Table1[[#This Row],[age]]&lt;=25,"18-25",IF(Table1[[#This Row],[age]]&lt;=35,"26-35",IF(Table1[[#This Row],[age]]&lt;=50,"36-50","51+")))</f>
        <v>26-35</v>
      </c>
      <c r="G2724" t="s">
        <v>54</v>
      </c>
      <c r="H2724" t="s">
        <v>69</v>
      </c>
      <c r="I2724" t="s">
        <v>221</v>
      </c>
      <c r="J2724" t="s">
        <v>106</v>
      </c>
      <c r="K2724" t="s">
        <v>247</v>
      </c>
      <c r="L2724">
        <v>8</v>
      </c>
      <c r="M2724">
        <v>243.87</v>
      </c>
      <c r="N2724">
        <v>0.24</v>
      </c>
      <c r="O2724">
        <v>2091.15</v>
      </c>
      <c r="P2724">
        <v>159.38</v>
      </c>
      <c r="Q2724">
        <v>107.16</v>
      </c>
      <c r="R2724" t="s">
        <v>43</v>
      </c>
      <c r="S2724">
        <v>4</v>
      </c>
      <c r="T2724" t="b">
        <v>0</v>
      </c>
      <c r="U2724" t="s">
        <v>30</v>
      </c>
      <c r="V2724">
        <v>8</v>
      </c>
    </row>
    <row r="2725" spans="1:22" x14ac:dyDescent="0.25">
      <c r="A2725" t="s">
        <v>5928</v>
      </c>
      <c r="B2725" s="1">
        <v>43892</v>
      </c>
      <c r="C2725" t="s">
        <v>4490</v>
      </c>
      <c r="D2725" t="s">
        <v>2003</v>
      </c>
      <c r="E2725">
        <v>28</v>
      </c>
      <c r="F2725" t="str">
        <f>IF(Table1[[#This Row],[age]]&lt;=25,"18-25",IF(Table1[[#This Row],[age]]&lt;=35,"26-35",IF(Table1[[#This Row],[age]]&lt;=50,"36-50","51+")))</f>
        <v>26-35</v>
      </c>
      <c r="G2725" t="s">
        <v>34</v>
      </c>
      <c r="H2725" t="s">
        <v>61</v>
      </c>
      <c r="I2725" t="s">
        <v>91</v>
      </c>
      <c r="J2725" t="s">
        <v>27</v>
      </c>
      <c r="K2725" t="s">
        <v>480</v>
      </c>
      <c r="L2725">
        <v>8</v>
      </c>
      <c r="M2725">
        <v>2402.3000000000002</v>
      </c>
      <c r="N2725">
        <v>0.14000000000000001</v>
      </c>
      <c r="O2725">
        <v>17325.759999999998</v>
      </c>
      <c r="P2725">
        <v>7864.22</v>
      </c>
      <c r="Q2725">
        <v>28.34</v>
      </c>
      <c r="R2725" t="s">
        <v>57</v>
      </c>
      <c r="S2725">
        <v>2</v>
      </c>
      <c r="T2725" t="b">
        <v>0</v>
      </c>
      <c r="U2725" t="s">
        <v>30</v>
      </c>
      <c r="V2725">
        <v>5</v>
      </c>
    </row>
    <row r="2726" spans="1:22" x14ac:dyDescent="0.25">
      <c r="A2726" t="s">
        <v>5929</v>
      </c>
      <c r="B2726" s="1">
        <v>45350</v>
      </c>
      <c r="C2726" t="s">
        <v>5930</v>
      </c>
      <c r="D2726" t="s">
        <v>184</v>
      </c>
      <c r="E2726">
        <v>57</v>
      </c>
      <c r="F2726" t="str">
        <f>IF(Table1[[#This Row],[age]]&lt;=25,"18-25",IF(Table1[[#This Row],[age]]&lt;=35,"26-35",IF(Table1[[#This Row],[age]]&lt;=50,"36-50","51+")))</f>
        <v>51+</v>
      </c>
      <c r="G2726" t="s">
        <v>34</v>
      </c>
      <c r="H2726" t="s">
        <v>61</v>
      </c>
      <c r="I2726" t="s">
        <v>141</v>
      </c>
      <c r="J2726" t="s">
        <v>36</v>
      </c>
      <c r="K2726" t="s">
        <v>76</v>
      </c>
      <c r="L2726">
        <v>10</v>
      </c>
      <c r="M2726">
        <v>7864.24</v>
      </c>
      <c r="N2726">
        <v>7.0000000000000007E-2</v>
      </c>
      <c r="O2726">
        <v>79635.39</v>
      </c>
      <c r="P2726">
        <v>26334.69</v>
      </c>
      <c r="Q2726">
        <v>41.39</v>
      </c>
      <c r="R2726" t="s">
        <v>65</v>
      </c>
      <c r="S2726">
        <v>3</v>
      </c>
      <c r="T2726" t="b">
        <v>0</v>
      </c>
      <c r="U2726" t="s">
        <v>30</v>
      </c>
      <c r="V2726">
        <v>8</v>
      </c>
    </row>
    <row r="2727" spans="1:22" x14ac:dyDescent="0.25">
      <c r="A2727" t="s">
        <v>5931</v>
      </c>
      <c r="B2727" s="1">
        <v>44204</v>
      </c>
      <c r="C2727" t="s">
        <v>5932</v>
      </c>
      <c r="D2727" t="s">
        <v>278</v>
      </c>
      <c r="E2727">
        <v>29</v>
      </c>
      <c r="F2727" t="str">
        <f>IF(Table1[[#This Row],[age]]&lt;=25,"18-25",IF(Table1[[#This Row],[age]]&lt;=35,"26-35",IF(Table1[[#This Row],[age]]&lt;=50,"36-50","51+")))</f>
        <v>26-35</v>
      </c>
      <c r="G2727" t="s">
        <v>54</v>
      </c>
      <c r="H2727" t="s">
        <v>25</v>
      </c>
      <c r="I2727" t="s">
        <v>41</v>
      </c>
      <c r="J2727" t="s">
        <v>106</v>
      </c>
      <c r="K2727" t="s">
        <v>314</v>
      </c>
      <c r="L2727">
        <v>3</v>
      </c>
      <c r="M2727">
        <v>124.54</v>
      </c>
      <c r="N2727">
        <v>0.06</v>
      </c>
      <c r="O2727">
        <v>312.48</v>
      </c>
      <c r="P2727">
        <v>27.23</v>
      </c>
      <c r="Q2727">
        <v>67.180000000000007</v>
      </c>
      <c r="R2727" t="s">
        <v>57</v>
      </c>
      <c r="S2727">
        <v>1</v>
      </c>
      <c r="T2727" t="b">
        <v>0</v>
      </c>
      <c r="U2727" t="s">
        <v>93</v>
      </c>
      <c r="V2727">
        <v>10</v>
      </c>
    </row>
    <row r="2728" spans="1:22" x14ac:dyDescent="0.25">
      <c r="A2728" t="s">
        <v>5933</v>
      </c>
      <c r="B2728" s="1">
        <v>43858</v>
      </c>
      <c r="C2728" t="s">
        <v>5934</v>
      </c>
      <c r="D2728" t="s">
        <v>663</v>
      </c>
      <c r="E2728">
        <v>35</v>
      </c>
      <c r="F2728" t="str">
        <f>IF(Table1[[#This Row],[age]]&lt;=25,"18-25",IF(Table1[[#This Row],[age]]&lt;=35,"26-35",IF(Table1[[#This Row],[age]]&lt;=50,"36-50","51+")))</f>
        <v>26-35</v>
      </c>
      <c r="G2728" t="s">
        <v>24</v>
      </c>
      <c r="H2728" t="s">
        <v>80</v>
      </c>
      <c r="I2728" t="s">
        <v>81</v>
      </c>
      <c r="J2728" t="s">
        <v>27</v>
      </c>
      <c r="K2728" t="s">
        <v>128</v>
      </c>
      <c r="L2728">
        <v>3</v>
      </c>
      <c r="M2728">
        <v>464.07</v>
      </c>
      <c r="N2728">
        <v>0.37</v>
      </c>
      <c r="O2728">
        <v>595.39</v>
      </c>
      <c r="P2728">
        <v>342.46</v>
      </c>
      <c r="Q2728">
        <v>60.75</v>
      </c>
      <c r="R2728" t="s">
        <v>65</v>
      </c>
      <c r="S2728">
        <v>5</v>
      </c>
      <c r="T2728" t="b">
        <v>0</v>
      </c>
      <c r="U2728" t="s">
        <v>30</v>
      </c>
      <c r="V2728">
        <v>5</v>
      </c>
    </row>
    <row r="2729" spans="1:22" x14ac:dyDescent="0.25">
      <c r="A2729" t="s">
        <v>5935</v>
      </c>
      <c r="B2729" s="1">
        <v>44917</v>
      </c>
      <c r="C2729" t="s">
        <v>5936</v>
      </c>
      <c r="D2729" t="s">
        <v>1406</v>
      </c>
      <c r="E2729">
        <v>53</v>
      </c>
      <c r="F2729" t="str">
        <f>IF(Table1[[#This Row],[age]]&lt;=25,"18-25",IF(Table1[[#This Row],[age]]&lt;=35,"26-35",IF(Table1[[#This Row],[age]]&lt;=50,"36-50","51+")))</f>
        <v>51+</v>
      </c>
      <c r="G2729" t="s">
        <v>34</v>
      </c>
      <c r="H2729" t="s">
        <v>69</v>
      </c>
      <c r="I2729" t="s">
        <v>221</v>
      </c>
      <c r="J2729" t="s">
        <v>115</v>
      </c>
      <c r="K2729" t="s">
        <v>137</v>
      </c>
      <c r="L2729">
        <v>8</v>
      </c>
      <c r="M2729">
        <v>77398.42</v>
      </c>
      <c r="N2729">
        <v>0.26</v>
      </c>
      <c r="O2729">
        <v>353697.54</v>
      </c>
      <c r="P2729">
        <v>33920.050000000003</v>
      </c>
      <c r="Q2729">
        <v>94.39</v>
      </c>
      <c r="R2729" t="s">
        <v>92</v>
      </c>
      <c r="S2729">
        <v>3</v>
      </c>
      <c r="T2729" t="b">
        <v>0</v>
      </c>
      <c r="U2729" t="s">
        <v>71</v>
      </c>
      <c r="V2729">
        <v>10</v>
      </c>
    </row>
    <row r="2730" spans="1:22" x14ac:dyDescent="0.25">
      <c r="A2730" t="s">
        <v>5937</v>
      </c>
      <c r="B2730" s="1">
        <v>43873</v>
      </c>
      <c r="C2730" t="s">
        <v>5938</v>
      </c>
      <c r="D2730" t="s">
        <v>2420</v>
      </c>
      <c r="E2730">
        <v>32</v>
      </c>
      <c r="F2730" t="str">
        <f>IF(Table1[[#This Row],[age]]&lt;=25,"18-25",IF(Table1[[#This Row],[age]]&lt;=35,"26-35",IF(Table1[[#This Row],[age]]&lt;=50,"36-50","51+")))</f>
        <v>26-35</v>
      </c>
      <c r="G2730" t="s">
        <v>54</v>
      </c>
      <c r="H2730" t="s">
        <v>61</v>
      </c>
      <c r="I2730" t="s">
        <v>141</v>
      </c>
      <c r="J2730" t="s">
        <v>101</v>
      </c>
      <c r="K2730" t="s">
        <v>124</v>
      </c>
      <c r="L2730">
        <v>2</v>
      </c>
      <c r="M2730">
        <v>9059.9699999999993</v>
      </c>
      <c r="N2730">
        <v>0.28000000000000003</v>
      </c>
      <c r="O2730">
        <v>10634.92</v>
      </c>
      <c r="P2730">
        <v>2775.6</v>
      </c>
      <c r="Q2730">
        <v>59.56</v>
      </c>
      <c r="R2730" t="s">
        <v>43</v>
      </c>
      <c r="S2730">
        <v>3</v>
      </c>
      <c r="T2730" t="b">
        <v>0</v>
      </c>
      <c r="U2730" t="s">
        <v>30</v>
      </c>
      <c r="V2730">
        <v>7</v>
      </c>
    </row>
    <row r="2731" spans="1:22" x14ac:dyDescent="0.25">
      <c r="A2731" t="s">
        <v>5939</v>
      </c>
      <c r="B2731" s="1">
        <v>44512</v>
      </c>
      <c r="C2731" t="s">
        <v>5940</v>
      </c>
      <c r="D2731" t="s">
        <v>1030</v>
      </c>
      <c r="E2731">
        <v>19</v>
      </c>
      <c r="F2731" t="str">
        <f>IF(Table1[[#This Row],[age]]&lt;=25,"18-25",IF(Table1[[#This Row],[age]]&lt;=35,"26-35",IF(Table1[[#This Row],[age]]&lt;=50,"36-50","51+")))</f>
        <v>18-25</v>
      </c>
      <c r="G2731" t="s">
        <v>54</v>
      </c>
      <c r="H2731" t="s">
        <v>55</v>
      </c>
      <c r="I2731" t="s">
        <v>97</v>
      </c>
      <c r="J2731" t="s">
        <v>63</v>
      </c>
      <c r="K2731" t="s">
        <v>64</v>
      </c>
      <c r="L2731">
        <v>7</v>
      </c>
      <c r="M2731">
        <v>2886.34</v>
      </c>
      <c r="N2731">
        <v>0.25</v>
      </c>
      <c r="O2731">
        <v>9941.0499999999993</v>
      </c>
      <c r="P2731">
        <v>3851.17</v>
      </c>
      <c r="Q2731">
        <v>58.88</v>
      </c>
      <c r="R2731" t="s">
        <v>29</v>
      </c>
      <c r="S2731">
        <v>4</v>
      </c>
      <c r="T2731" t="b">
        <v>0</v>
      </c>
      <c r="U2731" t="s">
        <v>30</v>
      </c>
      <c r="V2731">
        <v>3</v>
      </c>
    </row>
    <row r="2732" spans="1:22" x14ac:dyDescent="0.25">
      <c r="A2732" t="s">
        <v>5941</v>
      </c>
      <c r="B2732" s="1">
        <v>44855</v>
      </c>
      <c r="C2732" t="s">
        <v>5942</v>
      </c>
      <c r="D2732" t="s">
        <v>748</v>
      </c>
      <c r="E2732">
        <v>28</v>
      </c>
      <c r="F2732" t="str">
        <f>IF(Table1[[#This Row],[age]]&lt;=25,"18-25",IF(Table1[[#This Row],[age]]&lt;=35,"26-35",IF(Table1[[#This Row],[age]]&lt;=50,"36-50","51+")))</f>
        <v>26-35</v>
      </c>
      <c r="G2732" t="s">
        <v>34</v>
      </c>
      <c r="H2732" t="s">
        <v>61</v>
      </c>
      <c r="I2732" t="s">
        <v>163</v>
      </c>
      <c r="J2732" t="s">
        <v>101</v>
      </c>
      <c r="K2732" t="s">
        <v>164</v>
      </c>
      <c r="L2732">
        <v>3</v>
      </c>
      <c r="M2732">
        <v>10631.58</v>
      </c>
      <c r="N2732">
        <v>0.1</v>
      </c>
      <c r="O2732">
        <v>23303.040000000001</v>
      </c>
      <c r="P2732">
        <v>4472.16</v>
      </c>
      <c r="Q2732">
        <v>31.86</v>
      </c>
      <c r="R2732" t="s">
        <v>29</v>
      </c>
      <c r="S2732">
        <v>4</v>
      </c>
      <c r="T2732" t="b">
        <v>0</v>
      </c>
      <c r="U2732" t="s">
        <v>30</v>
      </c>
      <c r="V2732">
        <v>5</v>
      </c>
    </row>
    <row r="2733" spans="1:22" x14ac:dyDescent="0.25">
      <c r="A2733" t="s">
        <v>5943</v>
      </c>
      <c r="B2733" s="1">
        <v>45643</v>
      </c>
      <c r="C2733" t="s">
        <v>5944</v>
      </c>
      <c r="D2733" t="s">
        <v>3692</v>
      </c>
      <c r="E2733">
        <v>18</v>
      </c>
      <c r="F2733" t="str">
        <f>IF(Table1[[#This Row],[age]]&lt;=25,"18-25",IF(Table1[[#This Row],[age]]&lt;=35,"26-35",IF(Table1[[#This Row],[age]]&lt;=50,"36-50","51+")))</f>
        <v>18-25</v>
      </c>
      <c r="G2733" t="s">
        <v>54</v>
      </c>
      <c r="H2733" t="s">
        <v>61</v>
      </c>
      <c r="I2733" t="s">
        <v>163</v>
      </c>
      <c r="J2733" t="s">
        <v>36</v>
      </c>
      <c r="K2733" t="s">
        <v>37</v>
      </c>
      <c r="L2733">
        <v>6</v>
      </c>
      <c r="M2733">
        <v>29938.75</v>
      </c>
      <c r="N2733">
        <v>0.17</v>
      </c>
      <c r="O2733">
        <v>139138.9</v>
      </c>
      <c r="P2733">
        <v>44922.96</v>
      </c>
      <c r="Q2733">
        <v>34.46</v>
      </c>
      <c r="R2733" t="s">
        <v>49</v>
      </c>
      <c r="S2733">
        <v>1</v>
      </c>
      <c r="T2733" t="b">
        <v>0</v>
      </c>
      <c r="U2733" t="s">
        <v>30</v>
      </c>
      <c r="V2733">
        <v>9</v>
      </c>
    </row>
    <row r="2734" spans="1:22" x14ac:dyDescent="0.25">
      <c r="A2734" t="s">
        <v>5945</v>
      </c>
      <c r="B2734" s="1">
        <v>44033</v>
      </c>
      <c r="C2734" t="s">
        <v>5946</v>
      </c>
      <c r="D2734" t="s">
        <v>1654</v>
      </c>
      <c r="E2734">
        <v>41</v>
      </c>
      <c r="F2734" t="str">
        <f>IF(Table1[[#This Row],[age]]&lt;=25,"18-25",IF(Table1[[#This Row],[age]]&lt;=35,"26-35",IF(Table1[[#This Row],[age]]&lt;=50,"36-50","51+")))</f>
        <v>36-50</v>
      </c>
      <c r="G2734" t="s">
        <v>54</v>
      </c>
      <c r="H2734" t="s">
        <v>61</v>
      </c>
      <c r="I2734" t="s">
        <v>91</v>
      </c>
      <c r="J2734" t="s">
        <v>101</v>
      </c>
      <c r="K2734" t="s">
        <v>214</v>
      </c>
      <c r="L2734">
        <v>5</v>
      </c>
      <c r="M2734">
        <v>14409.79</v>
      </c>
      <c r="N2734">
        <v>0.06</v>
      </c>
      <c r="O2734">
        <v>88266</v>
      </c>
      <c r="P2734">
        <v>14684.99</v>
      </c>
      <c r="Q2734">
        <v>44.5</v>
      </c>
      <c r="R2734" t="s">
        <v>43</v>
      </c>
      <c r="S2734">
        <v>5</v>
      </c>
      <c r="T2734" t="b">
        <v>0</v>
      </c>
      <c r="U2734" t="s">
        <v>30</v>
      </c>
      <c r="V2734">
        <v>8</v>
      </c>
    </row>
    <row r="2735" spans="1:22" x14ac:dyDescent="0.25">
      <c r="A2735" t="s">
        <v>5947</v>
      </c>
      <c r="B2735" s="1">
        <v>44799</v>
      </c>
      <c r="C2735" t="s">
        <v>5948</v>
      </c>
      <c r="D2735" t="s">
        <v>1017</v>
      </c>
      <c r="E2735">
        <v>33</v>
      </c>
      <c r="F2735" t="str">
        <f>IF(Table1[[#This Row],[age]]&lt;=25,"18-25",IF(Table1[[#This Row],[age]]&lt;=35,"26-35",IF(Table1[[#This Row],[age]]&lt;=50,"36-50","51+")))</f>
        <v>26-35</v>
      </c>
      <c r="G2735" t="s">
        <v>34</v>
      </c>
      <c r="H2735" t="s">
        <v>80</v>
      </c>
      <c r="I2735" t="s">
        <v>242</v>
      </c>
      <c r="J2735" t="s">
        <v>101</v>
      </c>
      <c r="K2735" t="s">
        <v>102</v>
      </c>
      <c r="L2735">
        <v>3</v>
      </c>
      <c r="M2735">
        <v>4765.92</v>
      </c>
      <c r="N2735">
        <v>0.05</v>
      </c>
      <c r="O2735">
        <v>17857.419999999998</v>
      </c>
      <c r="P2735">
        <v>4889.4399999999996</v>
      </c>
      <c r="Q2735">
        <v>59.58</v>
      </c>
      <c r="R2735" t="s">
        <v>92</v>
      </c>
      <c r="S2735">
        <v>2</v>
      </c>
      <c r="T2735" t="b">
        <v>0</v>
      </c>
      <c r="U2735" t="s">
        <v>30</v>
      </c>
      <c r="V2735">
        <v>9</v>
      </c>
    </row>
    <row r="2736" spans="1:22" x14ac:dyDescent="0.25">
      <c r="A2736" t="s">
        <v>5949</v>
      </c>
      <c r="B2736" s="1">
        <v>45513</v>
      </c>
      <c r="C2736" t="s">
        <v>5950</v>
      </c>
      <c r="D2736" t="s">
        <v>187</v>
      </c>
      <c r="E2736">
        <v>36</v>
      </c>
      <c r="F2736" t="str">
        <f>IF(Table1[[#This Row],[age]]&lt;=25,"18-25",IF(Table1[[#This Row],[age]]&lt;=35,"26-35",IF(Table1[[#This Row],[age]]&lt;=50,"36-50","51+")))</f>
        <v>36-50</v>
      </c>
      <c r="G2736" t="s">
        <v>34</v>
      </c>
      <c r="H2736" t="s">
        <v>55</v>
      </c>
      <c r="I2736" t="s">
        <v>75</v>
      </c>
      <c r="J2736" t="s">
        <v>106</v>
      </c>
      <c r="K2736" t="s">
        <v>107</v>
      </c>
      <c r="L2736">
        <v>5</v>
      </c>
      <c r="M2736">
        <v>230.1</v>
      </c>
      <c r="N2736">
        <v>0.23</v>
      </c>
      <c r="O2736">
        <v>1261.3800000000001</v>
      </c>
      <c r="P2736">
        <v>74.150000000000006</v>
      </c>
      <c r="Q2736">
        <v>44.66</v>
      </c>
      <c r="R2736" t="s">
        <v>29</v>
      </c>
      <c r="S2736">
        <v>5</v>
      </c>
      <c r="T2736" t="b">
        <v>0</v>
      </c>
      <c r="U2736" t="s">
        <v>30</v>
      </c>
      <c r="V2736">
        <v>1</v>
      </c>
    </row>
    <row r="2737" spans="1:22" x14ac:dyDescent="0.25">
      <c r="A2737" t="s">
        <v>5951</v>
      </c>
      <c r="B2737" s="1">
        <v>45416</v>
      </c>
      <c r="C2737" t="s">
        <v>5952</v>
      </c>
      <c r="D2737" t="s">
        <v>361</v>
      </c>
      <c r="E2737">
        <v>52</v>
      </c>
      <c r="F2737" t="str">
        <f>IF(Table1[[#This Row],[age]]&lt;=25,"18-25",IF(Table1[[#This Row],[age]]&lt;=35,"26-35",IF(Table1[[#This Row],[age]]&lt;=50,"36-50","51+")))</f>
        <v>51+</v>
      </c>
      <c r="G2737" t="s">
        <v>54</v>
      </c>
      <c r="H2737" t="s">
        <v>80</v>
      </c>
      <c r="I2737" t="s">
        <v>86</v>
      </c>
      <c r="J2737" t="s">
        <v>63</v>
      </c>
      <c r="K2737" t="s">
        <v>152</v>
      </c>
      <c r="L2737">
        <v>3</v>
      </c>
      <c r="M2737">
        <v>2490.42</v>
      </c>
      <c r="N2737">
        <v>0.12</v>
      </c>
      <c r="O2737">
        <v>9565</v>
      </c>
      <c r="P2737">
        <v>4135.1499999999996</v>
      </c>
      <c r="Q2737">
        <v>56.66</v>
      </c>
      <c r="R2737" t="s">
        <v>29</v>
      </c>
      <c r="S2737">
        <v>5</v>
      </c>
      <c r="T2737" t="b">
        <v>0</v>
      </c>
      <c r="U2737" t="s">
        <v>71</v>
      </c>
      <c r="V2737">
        <v>8</v>
      </c>
    </row>
    <row r="2738" spans="1:22" x14ac:dyDescent="0.25">
      <c r="A2738" t="s">
        <v>5953</v>
      </c>
      <c r="B2738" s="1">
        <v>43936</v>
      </c>
      <c r="C2738" t="s">
        <v>5954</v>
      </c>
      <c r="D2738" t="s">
        <v>1183</v>
      </c>
      <c r="E2738">
        <v>31</v>
      </c>
      <c r="F2738" t="str">
        <f>IF(Table1[[#This Row],[age]]&lt;=25,"18-25",IF(Table1[[#This Row],[age]]&lt;=35,"26-35",IF(Table1[[#This Row],[age]]&lt;=50,"36-50","51+")))</f>
        <v>26-35</v>
      </c>
      <c r="G2738" t="s">
        <v>24</v>
      </c>
      <c r="H2738" t="s">
        <v>55</v>
      </c>
      <c r="I2738" t="s">
        <v>97</v>
      </c>
      <c r="J2738" t="s">
        <v>36</v>
      </c>
      <c r="K2738" t="s">
        <v>230</v>
      </c>
      <c r="L2738">
        <v>3</v>
      </c>
      <c r="M2738">
        <v>14067.89</v>
      </c>
      <c r="N2738">
        <v>0.13</v>
      </c>
      <c r="O2738">
        <v>40312.78</v>
      </c>
      <c r="P2738">
        <v>8649.34</v>
      </c>
      <c r="Q2738">
        <v>64.02</v>
      </c>
      <c r="R2738" t="s">
        <v>43</v>
      </c>
      <c r="S2738">
        <v>1</v>
      </c>
      <c r="T2738" t="b">
        <v>0</v>
      </c>
      <c r="U2738" t="s">
        <v>30</v>
      </c>
      <c r="V2738">
        <v>10</v>
      </c>
    </row>
    <row r="2739" spans="1:22" x14ac:dyDescent="0.25">
      <c r="A2739" t="s">
        <v>5955</v>
      </c>
      <c r="B2739" s="1">
        <v>45020</v>
      </c>
      <c r="C2739" t="s">
        <v>5956</v>
      </c>
      <c r="D2739" t="s">
        <v>23</v>
      </c>
      <c r="E2739">
        <v>21</v>
      </c>
      <c r="F2739" t="str">
        <f>IF(Table1[[#This Row],[age]]&lt;=25,"18-25",IF(Table1[[#This Row],[age]]&lt;=35,"26-35",IF(Table1[[#This Row],[age]]&lt;=50,"36-50","51+")))</f>
        <v>18-25</v>
      </c>
      <c r="G2739" t="s">
        <v>24</v>
      </c>
      <c r="H2739" t="s">
        <v>80</v>
      </c>
      <c r="I2739" t="s">
        <v>236</v>
      </c>
      <c r="J2739" t="s">
        <v>27</v>
      </c>
      <c r="K2739" t="s">
        <v>192</v>
      </c>
      <c r="L2739">
        <v>9</v>
      </c>
      <c r="M2739">
        <v>1568.38</v>
      </c>
      <c r="N2739">
        <v>0.02</v>
      </c>
      <c r="O2739">
        <v>21256.5</v>
      </c>
      <c r="P2739">
        <v>9913.18</v>
      </c>
      <c r="Q2739">
        <v>96.17</v>
      </c>
      <c r="R2739" t="s">
        <v>29</v>
      </c>
      <c r="S2739">
        <v>5</v>
      </c>
      <c r="T2739" t="b">
        <v>0</v>
      </c>
      <c r="U2739" t="s">
        <v>30</v>
      </c>
      <c r="V2739">
        <v>7</v>
      </c>
    </row>
    <row r="2740" spans="1:22" x14ac:dyDescent="0.25">
      <c r="A2740" t="s">
        <v>5957</v>
      </c>
      <c r="B2740" s="1">
        <v>44216</v>
      </c>
      <c r="C2740" t="s">
        <v>5958</v>
      </c>
      <c r="D2740" t="s">
        <v>859</v>
      </c>
      <c r="E2740">
        <v>35</v>
      </c>
      <c r="F2740" t="str">
        <f>IF(Table1[[#This Row],[age]]&lt;=25,"18-25",IF(Table1[[#This Row],[age]]&lt;=35,"26-35",IF(Table1[[#This Row],[age]]&lt;=50,"36-50","51+")))</f>
        <v>26-35</v>
      </c>
      <c r="G2740" t="s">
        <v>54</v>
      </c>
      <c r="H2740" t="s">
        <v>61</v>
      </c>
      <c r="I2740" t="s">
        <v>163</v>
      </c>
      <c r="J2740" t="s">
        <v>36</v>
      </c>
      <c r="K2740" t="s">
        <v>230</v>
      </c>
      <c r="L2740">
        <v>6</v>
      </c>
      <c r="M2740">
        <v>10881.01</v>
      </c>
      <c r="N2740">
        <v>0.28000000000000003</v>
      </c>
      <c r="O2740">
        <v>36305.93</v>
      </c>
      <c r="P2740">
        <v>13223.63</v>
      </c>
      <c r="Q2740">
        <v>78.19</v>
      </c>
      <c r="R2740" t="s">
        <v>29</v>
      </c>
      <c r="S2740">
        <v>3</v>
      </c>
      <c r="T2740" t="b">
        <v>0</v>
      </c>
      <c r="U2740" t="s">
        <v>71</v>
      </c>
      <c r="V2740">
        <v>5</v>
      </c>
    </row>
    <row r="2741" spans="1:22" x14ac:dyDescent="0.25">
      <c r="A2741" t="s">
        <v>5959</v>
      </c>
      <c r="B2741" s="1">
        <v>44686</v>
      </c>
      <c r="C2741" t="s">
        <v>5960</v>
      </c>
      <c r="D2741" t="s">
        <v>367</v>
      </c>
      <c r="E2741">
        <v>42</v>
      </c>
      <c r="F2741" t="str">
        <f>IF(Table1[[#This Row],[age]]&lt;=25,"18-25",IF(Table1[[#This Row],[age]]&lt;=35,"26-35",IF(Table1[[#This Row],[age]]&lt;=50,"36-50","51+")))</f>
        <v>36-50</v>
      </c>
      <c r="G2741" t="s">
        <v>54</v>
      </c>
      <c r="H2741" t="s">
        <v>55</v>
      </c>
      <c r="I2741" t="s">
        <v>114</v>
      </c>
      <c r="J2741" t="s">
        <v>47</v>
      </c>
      <c r="K2741" t="s">
        <v>204</v>
      </c>
      <c r="L2741">
        <v>7</v>
      </c>
      <c r="M2741">
        <v>1019.7</v>
      </c>
      <c r="N2741">
        <v>0.33</v>
      </c>
      <c r="O2741">
        <v>6327.55</v>
      </c>
      <c r="P2741">
        <v>3242.6</v>
      </c>
      <c r="Q2741">
        <v>49.01</v>
      </c>
      <c r="R2741" t="s">
        <v>57</v>
      </c>
      <c r="S2741">
        <v>5</v>
      </c>
      <c r="T2741" t="b">
        <v>0</v>
      </c>
      <c r="U2741" t="s">
        <v>30</v>
      </c>
      <c r="V2741">
        <v>6</v>
      </c>
    </row>
    <row r="2742" spans="1:22" x14ac:dyDescent="0.25">
      <c r="A2742" t="s">
        <v>5961</v>
      </c>
      <c r="B2742" s="1">
        <v>44169</v>
      </c>
      <c r="C2742" t="s">
        <v>5962</v>
      </c>
      <c r="D2742" t="s">
        <v>591</v>
      </c>
      <c r="E2742">
        <v>32</v>
      </c>
      <c r="F2742" t="str">
        <f>IF(Table1[[#This Row],[age]]&lt;=25,"18-25",IF(Table1[[#This Row],[age]]&lt;=35,"26-35",IF(Table1[[#This Row],[age]]&lt;=50,"36-50","51+")))</f>
        <v>26-35</v>
      </c>
      <c r="G2742" t="s">
        <v>24</v>
      </c>
      <c r="H2742" t="s">
        <v>25</v>
      </c>
      <c r="I2742" t="s">
        <v>26</v>
      </c>
      <c r="J2742" t="s">
        <v>115</v>
      </c>
      <c r="K2742" t="s">
        <v>197</v>
      </c>
      <c r="L2742">
        <v>7</v>
      </c>
      <c r="M2742">
        <v>63547.4</v>
      </c>
      <c r="N2742">
        <v>0.18</v>
      </c>
      <c r="O2742">
        <v>260057.28</v>
      </c>
      <c r="P2742">
        <v>44746.11</v>
      </c>
      <c r="Q2742">
        <v>73.72</v>
      </c>
      <c r="R2742" t="s">
        <v>29</v>
      </c>
      <c r="S2742">
        <v>1</v>
      </c>
      <c r="T2742" t="b">
        <v>0</v>
      </c>
      <c r="U2742" t="s">
        <v>93</v>
      </c>
      <c r="V2742">
        <v>7</v>
      </c>
    </row>
    <row r="2743" spans="1:22" x14ac:dyDescent="0.25">
      <c r="A2743" t="s">
        <v>5963</v>
      </c>
      <c r="B2743" s="1">
        <v>45022</v>
      </c>
      <c r="C2743" t="s">
        <v>5964</v>
      </c>
      <c r="D2743" t="s">
        <v>217</v>
      </c>
      <c r="E2743">
        <v>58</v>
      </c>
      <c r="F2743" t="str">
        <f>IF(Table1[[#This Row],[age]]&lt;=25,"18-25",IF(Table1[[#This Row],[age]]&lt;=35,"26-35",IF(Table1[[#This Row],[age]]&lt;=50,"36-50","51+")))</f>
        <v>51+</v>
      </c>
      <c r="G2743" t="s">
        <v>24</v>
      </c>
      <c r="H2743" t="s">
        <v>55</v>
      </c>
      <c r="I2743" t="s">
        <v>75</v>
      </c>
      <c r="J2743" t="s">
        <v>36</v>
      </c>
      <c r="K2743" t="s">
        <v>37</v>
      </c>
      <c r="L2743">
        <v>7</v>
      </c>
      <c r="M2743">
        <v>21084.54</v>
      </c>
      <c r="N2743">
        <v>0.39</v>
      </c>
      <c r="O2743">
        <v>140156.32</v>
      </c>
      <c r="P2743">
        <v>29805.11</v>
      </c>
      <c r="Q2743">
        <v>42.37</v>
      </c>
      <c r="R2743" t="s">
        <v>43</v>
      </c>
      <c r="S2743">
        <v>5</v>
      </c>
      <c r="T2743" t="b">
        <v>1</v>
      </c>
      <c r="U2743" t="s">
        <v>50</v>
      </c>
      <c r="V2743">
        <v>8</v>
      </c>
    </row>
    <row r="2744" spans="1:22" x14ac:dyDescent="0.25">
      <c r="A2744" t="s">
        <v>5965</v>
      </c>
      <c r="B2744" s="1">
        <v>45131</v>
      </c>
      <c r="C2744" t="s">
        <v>5966</v>
      </c>
      <c r="D2744" t="s">
        <v>1303</v>
      </c>
      <c r="E2744">
        <v>24</v>
      </c>
      <c r="F2744" t="str">
        <f>IF(Table1[[#This Row],[age]]&lt;=25,"18-25",IF(Table1[[#This Row],[age]]&lt;=35,"26-35",IF(Table1[[#This Row],[age]]&lt;=50,"36-50","51+")))</f>
        <v>18-25</v>
      </c>
      <c r="G2744" t="s">
        <v>54</v>
      </c>
      <c r="H2744" t="s">
        <v>55</v>
      </c>
      <c r="I2744" t="s">
        <v>56</v>
      </c>
      <c r="J2744" t="s">
        <v>106</v>
      </c>
      <c r="K2744" t="s">
        <v>188</v>
      </c>
      <c r="L2744">
        <v>7</v>
      </c>
      <c r="M2744">
        <v>223.54</v>
      </c>
      <c r="N2744">
        <v>0.05</v>
      </c>
      <c r="O2744">
        <v>2428.4299999999998</v>
      </c>
      <c r="P2744">
        <v>183.01</v>
      </c>
      <c r="Q2744">
        <v>54.19</v>
      </c>
      <c r="R2744" t="s">
        <v>29</v>
      </c>
      <c r="S2744">
        <v>1</v>
      </c>
      <c r="T2744" t="b">
        <v>0</v>
      </c>
      <c r="U2744" t="s">
        <v>30</v>
      </c>
      <c r="V2744">
        <v>10</v>
      </c>
    </row>
    <row r="2745" spans="1:22" x14ac:dyDescent="0.25">
      <c r="A2745" t="s">
        <v>5967</v>
      </c>
      <c r="B2745" s="1">
        <v>45142</v>
      </c>
      <c r="C2745" t="s">
        <v>5968</v>
      </c>
      <c r="D2745" t="s">
        <v>1362</v>
      </c>
      <c r="E2745">
        <v>31</v>
      </c>
      <c r="F2745" t="str">
        <f>IF(Table1[[#This Row],[age]]&lt;=25,"18-25",IF(Table1[[#This Row],[age]]&lt;=35,"26-35",IF(Table1[[#This Row],[age]]&lt;=50,"36-50","51+")))</f>
        <v>26-35</v>
      </c>
      <c r="G2745" t="s">
        <v>54</v>
      </c>
      <c r="H2745" t="s">
        <v>25</v>
      </c>
      <c r="I2745" t="s">
        <v>26</v>
      </c>
      <c r="J2745" t="s">
        <v>47</v>
      </c>
      <c r="K2745" t="s">
        <v>156</v>
      </c>
      <c r="L2745">
        <v>6</v>
      </c>
      <c r="M2745">
        <v>210.75</v>
      </c>
      <c r="N2745">
        <v>0.19</v>
      </c>
      <c r="O2745">
        <v>1487.4</v>
      </c>
      <c r="P2745">
        <v>408.37</v>
      </c>
      <c r="Q2745">
        <v>45.71</v>
      </c>
      <c r="R2745" t="s">
        <v>49</v>
      </c>
      <c r="S2745">
        <v>4</v>
      </c>
      <c r="T2745" t="b">
        <v>0</v>
      </c>
      <c r="U2745" t="s">
        <v>30</v>
      </c>
      <c r="V2745">
        <v>2</v>
      </c>
    </row>
    <row r="2746" spans="1:22" x14ac:dyDescent="0.25">
      <c r="A2746" t="s">
        <v>5969</v>
      </c>
      <c r="B2746" s="1">
        <v>44839</v>
      </c>
      <c r="C2746" t="s">
        <v>5970</v>
      </c>
      <c r="D2746" t="s">
        <v>767</v>
      </c>
      <c r="E2746">
        <v>24</v>
      </c>
      <c r="F2746" t="str">
        <f>IF(Table1[[#This Row],[age]]&lt;=25,"18-25",IF(Table1[[#This Row],[age]]&lt;=35,"26-35",IF(Table1[[#This Row],[age]]&lt;=50,"36-50","51+")))</f>
        <v>18-25</v>
      </c>
      <c r="G2746" t="s">
        <v>34</v>
      </c>
      <c r="H2746" t="s">
        <v>55</v>
      </c>
      <c r="I2746" t="s">
        <v>75</v>
      </c>
      <c r="J2746" t="s">
        <v>101</v>
      </c>
      <c r="K2746" t="s">
        <v>456</v>
      </c>
      <c r="L2746">
        <v>2</v>
      </c>
      <c r="M2746">
        <v>14531.26</v>
      </c>
      <c r="N2746">
        <v>0.22</v>
      </c>
      <c r="O2746">
        <v>19868.59</v>
      </c>
      <c r="P2746">
        <v>2388.6</v>
      </c>
      <c r="Q2746">
        <v>58.71</v>
      </c>
      <c r="R2746" t="s">
        <v>65</v>
      </c>
      <c r="S2746">
        <v>5</v>
      </c>
      <c r="T2746" t="b">
        <v>0</v>
      </c>
      <c r="U2746" t="s">
        <v>30</v>
      </c>
      <c r="V2746">
        <v>1</v>
      </c>
    </row>
    <row r="2747" spans="1:22" x14ac:dyDescent="0.25">
      <c r="A2747" t="s">
        <v>5971</v>
      </c>
      <c r="B2747" s="1">
        <v>45148</v>
      </c>
      <c r="C2747" t="s">
        <v>5972</v>
      </c>
      <c r="D2747" t="s">
        <v>364</v>
      </c>
      <c r="E2747">
        <v>60</v>
      </c>
      <c r="F2747" t="str">
        <f>IF(Table1[[#This Row],[age]]&lt;=25,"18-25",IF(Table1[[#This Row],[age]]&lt;=35,"26-35",IF(Table1[[#This Row],[age]]&lt;=50,"36-50","51+")))</f>
        <v>51+</v>
      </c>
      <c r="G2747" t="s">
        <v>34</v>
      </c>
      <c r="H2747" t="s">
        <v>61</v>
      </c>
      <c r="I2747" t="s">
        <v>141</v>
      </c>
      <c r="J2747" t="s">
        <v>47</v>
      </c>
      <c r="K2747" t="s">
        <v>600</v>
      </c>
      <c r="L2747">
        <v>5</v>
      </c>
      <c r="M2747">
        <v>652.44000000000005</v>
      </c>
      <c r="N2747">
        <v>0.01</v>
      </c>
      <c r="O2747">
        <v>2663.55</v>
      </c>
      <c r="P2747">
        <v>1220.8499999999999</v>
      </c>
      <c r="Q2747">
        <v>35.83</v>
      </c>
      <c r="R2747" t="s">
        <v>29</v>
      </c>
      <c r="S2747">
        <v>1</v>
      </c>
      <c r="T2747" t="b">
        <v>0</v>
      </c>
      <c r="U2747" t="s">
        <v>30</v>
      </c>
      <c r="V2747">
        <v>9</v>
      </c>
    </row>
    <row r="2748" spans="1:22" x14ac:dyDescent="0.25">
      <c r="A2748" t="s">
        <v>5973</v>
      </c>
      <c r="B2748" s="1">
        <v>44974</v>
      </c>
      <c r="C2748" t="s">
        <v>5974</v>
      </c>
      <c r="D2748" t="s">
        <v>135</v>
      </c>
      <c r="E2748">
        <v>23</v>
      </c>
      <c r="F2748" t="str">
        <f>IF(Table1[[#This Row],[age]]&lt;=25,"18-25",IF(Table1[[#This Row],[age]]&lt;=35,"26-35",IF(Table1[[#This Row],[age]]&lt;=50,"36-50","51+")))</f>
        <v>18-25</v>
      </c>
      <c r="G2748" t="s">
        <v>24</v>
      </c>
      <c r="H2748" t="s">
        <v>61</v>
      </c>
      <c r="I2748" t="s">
        <v>62</v>
      </c>
      <c r="J2748" t="s">
        <v>27</v>
      </c>
      <c r="K2748" t="s">
        <v>28</v>
      </c>
      <c r="L2748">
        <v>4</v>
      </c>
      <c r="M2748">
        <v>800.18</v>
      </c>
      <c r="N2748">
        <v>0.19</v>
      </c>
      <c r="O2748">
        <v>2969.81</v>
      </c>
      <c r="P2748">
        <v>1136.8399999999999</v>
      </c>
      <c r="Q2748">
        <v>57.24</v>
      </c>
      <c r="R2748" t="s">
        <v>92</v>
      </c>
      <c r="S2748">
        <v>5</v>
      </c>
      <c r="T2748" t="b">
        <v>0</v>
      </c>
      <c r="U2748" t="s">
        <v>193</v>
      </c>
      <c r="V2748">
        <v>10</v>
      </c>
    </row>
    <row r="2749" spans="1:22" x14ac:dyDescent="0.25">
      <c r="A2749" t="s">
        <v>5975</v>
      </c>
      <c r="B2749" s="1">
        <v>44190</v>
      </c>
      <c r="C2749" t="s">
        <v>5976</v>
      </c>
      <c r="D2749" t="s">
        <v>1433</v>
      </c>
      <c r="E2749">
        <v>47</v>
      </c>
      <c r="F2749" t="str">
        <f>IF(Table1[[#This Row],[age]]&lt;=25,"18-25",IF(Table1[[#This Row],[age]]&lt;=35,"26-35",IF(Table1[[#This Row],[age]]&lt;=50,"36-50","51+")))</f>
        <v>36-50</v>
      </c>
      <c r="G2749" t="s">
        <v>54</v>
      </c>
      <c r="H2749" t="s">
        <v>55</v>
      </c>
      <c r="I2749" t="s">
        <v>75</v>
      </c>
      <c r="J2749" t="s">
        <v>36</v>
      </c>
      <c r="K2749" t="s">
        <v>42</v>
      </c>
      <c r="L2749">
        <v>5</v>
      </c>
      <c r="M2749">
        <v>4377.66</v>
      </c>
      <c r="N2749">
        <v>0.24</v>
      </c>
      <c r="O2749">
        <v>12728.48</v>
      </c>
      <c r="P2749">
        <v>2557.64</v>
      </c>
      <c r="Q2749">
        <v>49.31</v>
      </c>
      <c r="R2749" t="s">
        <v>29</v>
      </c>
      <c r="S2749">
        <v>5</v>
      </c>
      <c r="T2749" t="b">
        <v>0</v>
      </c>
      <c r="U2749" t="s">
        <v>30</v>
      </c>
      <c r="V2749">
        <v>7</v>
      </c>
    </row>
    <row r="2750" spans="1:22" x14ac:dyDescent="0.25">
      <c r="A2750" t="s">
        <v>5977</v>
      </c>
      <c r="B2750" s="1">
        <v>45392</v>
      </c>
      <c r="C2750" t="s">
        <v>5978</v>
      </c>
      <c r="D2750" t="s">
        <v>324</v>
      </c>
      <c r="E2750">
        <v>23</v>
      </c>
      <c r="F2750" t="str">
        <f>IF(Table1[[#This Row],[age]]&lt;=25,"18-25",IF(Table1[[#This Row],[age]]&lt;=35,"26-35",IF(Table1[[#This Row],[age]]&lt;=50,"36-50","51+")))</f>
        <v>18-25</v>
      </c>
      <c r="G2750" t="s">
        <v>54</v>
      </c>
      <c r="H2750" t="s">
        <v>80</v>
      </c>
      <c r="I2750" t="s">
        <v>81</v>
      </c>
      <c r="J2750" t="s">
        <v>63</v>
      </c>
      <c r="K2750" t="s">
        <v>434</v>
      </c>
      <c r="L2750">
        <v>10</v>
      </c>
      <c r="M2750">
        <v>2503.17</v>
      </c>
      <c r="N2750">
        <v>0.04</v>
      </c>
      <c r="O2750">
        <v>37794.25</v>
      </c>
      <c r="P2750">
        <v>12461.38</v>
      </c>
      <c r="Q2750">
        <v>67.3</v>
      </c>
      <c r="R2750" t="s">
        <v>65</v>
      </c>
      <c r="S2750">
        <v>4</v>
      </c>
      <c r="T2750" t="b">
        <v>0</v>
      </c>
      <c r="U2750" t="s">
        <v>30</v>
      </c>
      <c r="V2750">
        <v>3</v>
      </c>
    </row>
    <row r="2751" spans="1:22" x14ac:dyDescent="0.25">
      <c r="A2751" t="s">
        <v>5979</v>
      </c>
      <c r="B2751" s="1">
        <v>44048</v>
      </c>
      <c r="C2751" t="s">
        <v>5980</v>
      </c>
      <c r="D2751" t="s">
        <v>711</v>
      </c>
      <c r="E2751">
        <v>22</v>
      </c>
      <c r="F2751" t="str">
        <f>IF(Table1[[#This Row],[age]]&lt;=25,"18-25",IF(Table1[[#This Row],[age]]&lt;=35,"26-35",IF(Table1[[#This Row],[age]]&lt;=50,"36-50","51+")))</f>
        <v>18-25</v>
      </c>
      <c r="G2751" t="s">
        <v>24</v>
      </c>
      <c r="H2751" t="s">
        <v>55</v>
      </c>
      <c r="I2751" t="s">
        <v>114</v>
      </c>
      <c r="J2751" t="s">
        <v>36</v>
      </c>
      <c r="K2751" t="s">
        <v>76</v>
      </c>
      <c r="L2751">
        <v>9</v>
      </c>
      <c r="M2751">
        <v>9703.4699999999993</v>
      </c>
      <c r="N2751">
        <v>0.12</v>
      </c>
      <c r="O2751">
        <v>91868.53</v>
      </c>
      <c r="P2751">
        <v>20614.96</v>
      </c>
      <c r="Q2751">
        <v>74.73</v>
      </c>
      <c r="R2751" t="s">
        <v>57</v>
      </c>
      <c r="S2751">
        <v>1</v>
      </c>
      <c r="T2751" t="b">
        <v>0</v>
      </c>
      <c r="U2751" t="s">
        <v>30</v>
      </c>
      <c r="V2751">
        <v>7</v>
      </c>
    </row>
    <row r="2752" spans="1:22" x14ac:dyDescent="0.25">
      <c r="A2752" t="s">
        <v>5981</v>
      </c>
      <c r="B2752" s="1">
        <v>44654</v>
      </c>
      <c r="C2752" t="s">
        <v>5982</v>
      </c>
      <c r="D2752" t="s">
        <v>203</v>
      </c>
      <c r="E2752">
        <v>29</v>
      </c>
      <c r="F2752" t="str">
        <f>IF(Table1[[#This Row],[age]]&lt;=25,"18-25",IF(Table1[[#This Row],[age]]&lt;=35,"26-35",IF(Table1[[#This Row],[age]]&lt;=50,"36-50","51+")))</f>
        <v>26-35</v>
      </c>
      <c r="G2752" t="s">
        <v>54</v>
      </c>
      <c r="H2752" t="s">
        <v>25</v>
      </c>
      <c r="I2752" t="s">
        <v>298</v>
      </c>
      <c r="J2752" t="s">
        <v>115</v>
      </c>
      <c r="K2752" t="s">
        <v>116</v>
      </c>
      <c r="L2752">
        <v>7</v>
      </c>
      <c r="M2752">
        <v>64794.43</v>
      </c>
      <c r="N2752">
        <v>0.05</v>
      </c>
      <c r="O2752">
        <v>532883.15</v>
      </c>
      <c r="P2752">
        <v>75066.289999999994</v>
      </c>
      <c r="Q2752">
        <v>73.84</v>
      </c>
      <c r="R2752" t="s">
        <v>29</v>
      </c>
      <c r="S2752">
        <v>2</v>
      </c>
      <c r="T2752" t="b">
        <v>1</v>
      </c>
      <c r="U2752" t="s">
        <v>50</v>
      </c>
      <c r="V2752">
        <v>5</v>
      </c>
    </row>
    <row r="2753" spans="1:22" x14ac:dyDescent="0.25">
      <c r="A2753" t="s">
        <v>5983</v>
      </c>
      <c r="B2753" s="1">
        <v>43926</v>
      </c>
      <c r="C2753" t="s">
        <v>5984</v>
      </c>
      <c r="D2753" t="s">
        <v>370</v>
      </c>
      <c r="E2753">
        <v>19</v>
      </c>
      <c r="F2753" t="str">
        <f>IF(Table1[[#This Row],[age]]&lt;=25,"18-25",IF(Table1[[#This Row],[age]]&lt;=35,"26-35",IF(Table1[[#This Row],[age]]&lt;=50,"36-50","51+")))</f>
        <v>18-25</v>
      </c>
      <c r="G2753" t="s">
        <v>24</v>
      </c>
      <c r="H2753" t="s">
        <v>69</v>
      </c>
      <c r="I2753" t="s">
        <v>70</v>
      </c>
      <c r="J2753" t="s">
        <v>101</v>
      </c>
      <c r="K2753" t="s">
        <v>124</v>
      </c>
      <c r="L2753">
        <v>3</v>
      </c>
      <c r="M2753">
        <v>10399.299999999999</v>
      </c>
      <c r="N2753">
        <v>0.02</v>
      </c>
      <c r="O2753">
        <v>32336.400000000001</v>
      </c>
      <c r="P2753">
        <v>7236.11</v>
      </c>
      <c r="Q2753">
        <v>59.2</v>
      </c>
      <c r="R2753" t="s">
        <v>29</v>
      </c>
      <c r="S2753">
        <v>5</v>
      </c>
      <c r="T2753" t="b">
        <v>0</v>
      </c>
      <c r="U2753" t="s">
        <v>30</v>
      </c>
      <c r="V2753">
        <v>2</v>
      </c>
    </row>
    <row r="2754" spans="1:22" x14ac:dyDescent="0.25">
      <c r="A2754" t="s">
        <v>5985</v>
      </c>
      <c r="B2754" s="1">
        <v>44007</v>
      </c>
      <c r="C2754" t="s">
        <v>5986</v>
      </c>
      <c r="D2754" t="s">
        <v>140</v>
      </c>
      <c r="E2754">
        <v>58</v>
      </c>
      <c r="F2754" t="str">
        <f>IF(Table1[[#This Row],[age]]&lt;=25,"18-25",IF(Table1[[#This Row],[age]]&lt;=35,"26-35",IF(Table1[[#This Row],[age]]&lt;=50,"36-50","51+")))</f>
        <v>51+</v>
      </c>
      <c r="G2754" t="s">
        <v>54</v>
      </c>
      <c r="H2754" t="s">
        <v>61</v>
      </c>
      <c r="I2754" t="s">
        <v>163</v>
      </c>
      <c r="J2754" t="s">
        <v>106</v>
      </c>
      <c r="K2754" t="s">
        <v>107</v>
      </c>
      <c r="L2754">
        <v>2</v>
      </c>
      <c r="M2754">
        <v>68.209999999999994</v>
      </c>
      <c r="N2754">
        <v>0.21</v>
      </c>
      <c r="O2754">
        <v>144.62</v>
      </c>
      <c r="P2754">
        <v>7.79</v>
      </c>
      <c r="Q2754">
        <v>51.11</v>
      </c>
      <c r="R2754" t="s">
        <v>49</v>
      </c>
      <c r="S2754">
        <v>2</v>
      </c>
      <c r="T2754" t="b">
        <v>0</v>
      </c>
      <c r="U2754" t="s">
        <v>30</v>
      </c>
      <c r="V2754">
        <v>6</v>
      </c>
    </row>
    <row r="2755" spans="1:22" x14ac:dyDescent="0.25">
      <c r="A2755" t="s">
        <v>5987</v>
      </c>
      <c r="B2755" s="1">
        <v>45097</v>
      </c>
      <c r="C2755" t="s">
        <v>5988</v>
      </c>
      <c r="D2755" t="s">
        <v>3466</v>
      </c>
      <c r="E2755">
        <v>31</v>
      </c>
      <c r="F2755" t="str">
        <f>IF(Table1[[#This Row],[age]]&lt;=25,"18-25",IF(Table1[[#This Row],[age]]&lt;=35,"26-35",IF(Table1[[#This Row],[age]]&lt;=50,"36-50","51+")))</f>
        <v>26-35</v>
      </c>
      <c r="G2755" t="s">
        <v>54</v>
      </c>
      <c r="H2755" t="s">
        <v>69</v>
      </c>
      <c r="I2755" t="s">
        <v>70</v>
      </c>
      <c r="J2755" t="s">
        <v>27</v>
      </c>
      <c r="K2755" t="s">
        <v>168</v>
      </c>
      <c r="L2755">
        <v>8</v>
      </c>
      <c r="M2755">
        <v>203.71</v>
      </c>
      <c r="N2755">
        <v>0.16</v>
      </c>
      <c r="O2755">
        <v>2533.79</v>
      </c>
      <c r="P2755">
        <v>1078.45</v>
      </c>
      <c r="Q2755">
        <v>40.28</v>
      </c>
      <c r="R2755" t="s">
        <v>29</v>
      </c>
      <c r="S2755">
        <v>3</v>
      </c>
      <c r="T2755" t="b">
        <v>0</v>
      </c>
      <c r="U2755" t="s">
        <v>30</v>
      </c>
      <c r="V2755">
        <v>9</v>
      </c>
    </row>
    <row r="2756" spans="1:22" x14ac:dyDescent="0.25">
      <c r="A2756" t="s">
        <v>5989</v>
      </c>
      <c r="B2756" s="1">
        <v>45632</v>
      </c>
      <c r="C2756" t="s">
        <v>5990</v>
      </c>
      <c r="D2756" t="s">
        <v>364</v>
      </c>
      <c r="E2756">
        <v>18</v>
      </c>
      <c r="F2756" t="str">
        <f>IF(Table1[[#This Row],[age]]&lt;=25,"18-25",IF(Table1[[#This Row],[age]]&lt;=35,"26-35",IF(Table1[[#This Row],[age]]&lt;=50,"36-50","51+")))</f>
        <v>18-25</v>
      </c>
      <c r="G2756" t="s">
        <v>24</v>
      </c>
      <c r="H2756" t="s">
        <v>80</v>
      </c>
      <c r="I2756" t="s">
        <v>236</v>
      </c>
      <c r="J2756" t="s">
        <v>27</v>
      </c>
      <c r="K2756" t="s">
        <v>168</v>
      </c>
      <c r="L2756">
        <v>2</v>
      </c>
      <c r="M2756">
        <v>1657.33</v>
      </c>
      <c r="N2756">
        <v>0.02</v>
      </c>
      <c r="O2756">
        <v>3020.21</v>
      </c>
      <c r="P2756">
        <v>1521.99</v>
      </c>
      <c r="Q2756">
        <v>48.9</v>
      </c>
      <c r="R2756" t="s">
        <v>65</v>
      </c>
      <c r="S2756">
        <v>5</v>
      </c>
      <c r="T2756" t="b">
        <v>0</v>
      </c>
      <c r="U2756" t="s">
        <v>93</v>
      </c>
      <c r="V2756">
        <v>4</v>
      </c>
    </row>
    <row r="2757" spans="1:22" x14ac:dyDescent="0.25">
      <c r="A2757" t="s">
        <v>5991</v>
      </c>
      <c r="B2757" s="1">
        <v>45541</v>
      </c>
      <c r="C2757" t="s">
        <v>5992</v>
      </c>
      <c r="D2757" t="s">
        <v>1662</v>
      </c>
      <c r="E2757">
        <v>18</v>
      </c>
      <c r="F2757" t="str">
        <f>IF(Table1[[#This Row],[age]]&lt;=25,"18-25",IF(Table1[[#This Row],[age]]&lt;=35,"26-35",IF(Table1[[#This Row],[age]]&lt;=50,"36-50","51+")))</f>
        <v>18-25</v>
      </c>
      <c r="G2757" t="s">
        <v>34</v>
      </c>
      <c r="H2757" t="s">
        <v>61</v>
      </c>
      <c r="I2757" t="s">
        <v>141</v>
      </c>
      <c r="J2757" t="s">
        <v>106</v>
      </c>
      <c r="K2757" t="s">
        <v>331</v>
      </c>
      <c r="L2757">
        <v>8</v>
      </c>
      <c r="M2757">
        <v>144.94999999999999</v>
      </c>
      <c r="N2757">
        <v>0.02</v>
      </c>
      <c r="O2757">
        <v>1586.94</v>
      </c>
      <c r="P2757">
        <v>135.22999999999999</v>
      </c>
      <c r="Q2757">
        <v>33.74</v>
      </c>
      <c r="R2757" t="s">
        <v>92</v>
      </c>
      <c r="S2757">
        <v>5</v>
      </c>
      <c r="T2757" t="b">
        <v>0</v>
      </c>
      <c r="U2757" t="s">
        <v>30</v>
      </c>
      <c r="V2757">
        <v>2</v>
      </c>
    </row>
    <row r="2758" spans="1:22" x14ac:dyDescent="0.25">
      <c r="A2758" t="s">
        <v>5993</v>
      </c>
      <c r="B2758" s="1">
        <v>44678</v>
      </c>
      <c r="C2758" t="s">
        <v>5994</v>
      </c>
      <c r="D2758" t="s">
        <v>1039</v>
      </c>
      <c r="E2758">
        <v>47</v>
      </c>
      <c r="F2758" t="str">
        <f>IF(Table1[[#This Row],[age]]&lt;=25,"18-25",IF(Table1[[#This Row],[age]]&lt;=35,"26-35",IF(Table1[[#This Row],[age]]&lt;=50,"36-50","51+")))</f>
        <v>36-50</v>
      </c>
      <c r="G2758" t="s">
        <v>24</v>
      </c>
      <c r="H2758" t="s">
        <v>80</v>
      </c>
      <c r="I2758" t="s">
        <v>242</v>
      </c>
      <c r="J2758" t="s">
        <v>106</v>
      </c>
      <c r="K2758" t="s">
        <v>314</v>
      </c>
      <c r="L2758">
        <v>4</v>
      </c>
      <c r="M2758">
        <v>288.13</v>
      </c>
      <c r="N2758">
        <v>0.01</v>
      </c>
      <c r="O2758">
        <v>1536.04</v>
      </c>
      <c r="P2758">
        <v>122.61</v>
      </c>
      <c r="Q2758">
        <v>62.28</v>
      </c>
      <c r="R2758" t="s">
        <v>92</v>
      </c>
      <c r="S2758">
        <v>2</v>
      </c>
      <c r="T2758" t="b">
        <v>0</v>
      </c>
      <c r="U2758" t="s">
        <v>93</v>
      </c>
      <c r="V2758">
        <v>7</v>
      </c>
    </row>
    <row r="2759" spans="1:22" x14ac:dyDescent="0.25">
      <c r="A2759" t="s">
        <v>5995</v>
      </c>
      <c r="B2759" s="1">
        <v>45219</v>
      </c>
      <c r="C2759" t="s">
        <v>5996</v>
      </c>
      <c r="D2759" t="s">
        <v>1538</v>
      </c>
      <c r="E2759">
        <v>43</v>
      </c>
      <c r="F2759" t="str">
        <f>IF(Table1[[#This Row],[age]]&lt;=25,"18-25",IF(Table1[[#This Row],[age]]&lt;=35,"26-35",IF(Table1[[#This Row],[age]]&lt;=50,"36-50","51+")))</f>
        <v>36-50</v>
      </c>
      <c r="G2759" t="s">
        <v>54</v>
      </c>
      <c r="H2759" t="s">
        <v>69</v>
      </c>
      <c r="I2759" t="s">
        <v>181</v>
      </c>
      <c r="J2759" t="s">
        <v>27</v>
      </c>
      <c r="K2759" t="s">
        <v>128</v>
      </c>
      <c r="L2759">
        <v>3</v>
      </c>
      <c r="M2759">
        <v>1474.43</v>
      </c>
      <c r="N2759">
        <v>0.4</v>
      </c>
      <c r="O2759">
        <v>2579.4499999999998</v>
      </c>
      <c r="P2759">
        <v>1120.3599999999999</v>
      </c>
      <c r="Q2759">
        <v>85.55</v>
      </c>
      <c r="R2759" t="s">
        <v>65</v>
      </c>
      <c r="S2759">
        <v>1</v>
      </c>
      <c r="T2759" t="b">
        <v>0</v>
      </c>
      <c r="U2759" t="s">
        <v>30</v>
      </c>
      <c r="V2759">
        <v>3</v>
      </c>
    </row>
    <row r="2760" spans="1:22" x14ac:dyDescent="0.25">
      <c r="A2760" t="s">
        <v>5997</v>
      </c>
      <c r="B2760" s="1">
        <v>43968</v>
      </c>
      <c r="C2760" t="s">
        <v>5998</v>
      </c>
      <c r="D2760" t="s">
        <v>1223</v>
      </c>
      <c r="E2760">
        <v>51</v>
      </c>
      <c r="F2760" t="str">
        <f>IF(Table1[[#This Row],[age]]&lt;=25,"18-25",IF(Table1[[#This Row],[age]]&lt;=35,"26-35",IF(Table1[[#This Row],[age]]&lt;=50,"36-50","51+")))</f>
        <v>51+</v>
      </c>
      <c r="G2760" t="s">
        <v>54</v>
      </c>
      <c r="H2760" t="s">
        <v>25</v>
      </c>
      <c r="I2760" t="s">
        <v>298</v>
      </c>
      <c r="J2760" t="s">
        <v>106</v>
      </c>
      <c r="K2760" t="s">
        <v>247</v>
      </c>
      <c r="L2760">
        <v>6</v>
      </c>
      <c r="M2760">
        <v>476.07</v>
      </c>
      <c r="N2760">
        <v>0.37</v>
      </c>
      <c r="O2760">
        <v>2456.4</v>
      </c>
      <c r="P2760">
        <v>258.13</v>
      </c>
      <c r="Q2760">
        <v>45</v>
      </c>
      <c r="R2760" t="s">
        <v>29</v>
      </c>
      <c r="S2760">
        <v>3</v>
      </c>
      <c r="T2760" t="b">
        <v>0</v>
      </c>
      <c r="U2760" t="s">
        <v>30</v>
      </c>
      <c r="V2760">
        <v>1</v>
      </c>
    </row>
    <row r="2761" spans="1:22" x14ac:dyDescent="0.25">
      <c r="A2761" t="s">
        <v>5999</v>
      </c>
      <c r="B2761" s="1">
        <v>44939</v>
      </c>
      <c r="C2761" t="s">
        <v>6000</v>
      </c>
      <c r="D2761" t="s">
        <v>1898</v>
      </c>
      <c r="E2761">
        <v>45</v>
      </c>
      <c r="F2761" t="str">
        <f>IF(Table1[[#This Row],[age]]&lt;=25,"18-25",IF(Table1[[#This Row],[age]]&lt;=35,"26-35",IF(Table1[[#This Row],[age]]&lt;=50,"36-50","51+")))</f>
        <v>36-50</v>
      </c>
      <c r="G2761" t="s">
        <v>34</v>
      </c>
      <c r="H2761" t="s">
        <v>80</v>
      </c>
      <c r="I2761" t="s">
        <v>242</v>
      </c>
      <c r="J2761" t="s">
        <v>63</v>
      </c>
      <c r="K2761" t="s">
        <v>111</v>
      </c>
      <c r="L2761">
        <v>7</v>
      </c>
      <c r="M2761">
        <v>3456.76</v>
      </c>
      <c r="N2761">
        <v>0.34</v>
      </c>
      <c r="O2761">
        <v>15504.08</v>
      </c>
      <c r="P2761">
        <v>3634.35</v>
      </c>
      <c r="Q2761">
        <v>86.38</v>
      </c>
      <c r="R2761" t="s">
        <v>57</v>
      </c>
      <c r="S2761">
        <v>1</v>
      </c>
      <c r="T2761" t="b">
        <v>0</v>
      </c>
      <c r="U2761" t="s">
        <v>30</v>
      </c>
      <c r="V2761">
        <v>3</v>
      </c>
    </row>
    <row r="2762" spans="1:22" x14ac:dyDescent="0.25">
      <c r="A2762" t="s">
        <v>6001</v>
      </c>
      <c r="B2762" s="1">
        <v>45220</v>
      </c>
      <c r="C2762" t="s">
        <v>6002</v>
      </c>
      <c r="D2762" t="s">
        <v>443</v>
      </c>
      <c r="E2762">
        <v>34</v>
      </c>
      <c r="F2762" t="str">
        <f>IF(Table1[[#This Row],[age]]&lt;=25,"18-25",IF(Table1[[#This Row],[age]]&lt;=35,"26-35",IF(Table1[[#This Row],[age]]&lt;=50,"36-50","51+")))</f>
        <v>26-35</v>
      </c>
      <c r="G2762" t="s">
        <v>54</v>
      </c>
      <c r="H2762" t="s">
        <v>80</v>
      </c>
      <c r="I2762" t="s">
        <v>236</v>
      </c>
      <c r="J2762" t="s">
        <v>27</v>
      </c>
      <c r="K2762" t="s">
        <v>335</v>
      </c>
      <c r="L2762">
        <v>2</v>
      </c>
      <c r="M2762">
        <v>2318.9899999999998</v>
      </c>
      <c r="N2762">
        <v>0.34</v>
      </c>
      <c r="O2762">
        <v>3235.02</v>
      </c>
      <c r="P2762">
        <v>1825.36</v>
      </c>
      <c r="Q2762">
        <v>54.61</v>
      </c>
      <c r="R2762" t="s">
        <v>65</v>
      </c>
      <c r="S2762">
        <v>1</v>
      </c>
      <c r="T2762" t="b">
        <v>0</v>
      </c>
      <c r="U2762" t="s">
        <v>193</v>
      </c>
      <c r="V2762">
        <v>6</v>
      </c>
    </row>
    <row r="2763" spans="1:22" x14ac:dyDescent="0.25">
      <c r="A2763" t="s">
        <v>6003</v>
      </c>
      <c r="B2763" s="1">
        <v>44891</v>
      </c>
      <c r="C2763" t="s">
        <v>6004</v>
      </c>
      <c r="D2763" t="s">
        <v>1241</v>
      </c>
      <c r="E2763">
        <v>58</v>
      </c>
      <c r="F2763" t="str">
        <f>IF(Table1[[#This Row],[age]]&lt;=25,"18-25",IF(Table1[[#This Row],[age]]&lt;=35,"26-35",IF(Table1[[#This Row],[age]]&lt;=50,"36-50","51+")))</f>
        <v>51+</v>
      </c>
      <c r="G2763" t="s">
        <v>34</v>
      </c>
      <c r="H2763" t="s">
        <v>69</v>
      </c>
      <c r="I2763" t="s">
        <v>70</v>
      </c>
      <c r="J2763" t="s">
        <v>106</v>
      </c>
      <c r="K2763" t="s">
        <v>331</v>
      </c>
      <c r="L2763">
        <v>6</v>
      </c>
      <c r="M2763">
        <v>487.77</v>
      </c>
      <c r="N2763">
        <v>0.31</v>
      </c>
      <c r="O2763">
        <v>1675.82</v>
      </c>
      <c r="P2763">
        <v>120.68</v>
      </c>
      <c r="Q2763">
        <v>82.58</v>
      </c>
      <c r="R2763" t="s">
        <v>57</v>
      </c>
      <c r="S2763">
        <v>5</v>
      </c>
      <c r="T2763" t="b">
        <v>0</v>
      </c>
      <c r="U2763" t="s">
        <v>30</v>
      </c>
      <c r="V2763">
        <v>6</v>
      </c>
    </row>
    <row r="2764" spans="1:22" x14ac:dyDescent="0.25">
      <c r="A2764" t="s">
        <v>6005</v>
      </c>
      <c r="B2764" s="1">
        <v>45329</v>
      </c>
      <c r="C2764" t="s">
        <v>6006</v>
      </c>
      <c r="D2764" t="s">
        <v>1439</v>
      </c>
      <c r="E2764">
        <v>37</v>
      </c>
      <c r="F2764" t="str">
        <f>IF(Table1[[#This Row],[age]]&lt;=25,"18-25",IF(Table1[[#This Row],[age]]&lt;=35,"26-35",IF(Table1[[#This Row],[age]]&lt;=50,"36-50","51+")))</f>
        <v>36-50</v>
      </c>
      <c r="G2764" t="s">
        <v>24</v>
      </c>
      <c r="H2764" t="s">
        <v>61</v>
      </c>
      <c r="I2764" t="s">
        <v>141</v>
      </c>
      <c r="J2764" t="s">
        <v>63</v>
      </c>
      <c r="K2764" t="s">
        <v>434</v>
      </c>
      <c r="L2764">
        <v>3</v>
      </c>
      <c r="M2764">
        <v>497.57</v>
      </c>
      <c r="N2764">
        <v>0.15</v>
      </c>
      <c r="O2764">
        <v>1277.03</v>
      </c>
      <c r="P2764">
        <v>481.63</v>
      </c>
      <c r="Q2764">
        <v>64.84</v>
      </c>
      <c r="R2764" t="s">
        <v>49</v>
      </c>
      <c r="S2764">
        <v>5</v>
      </c>
      <c r="T2764" t="b">
        <v>0</v>
      </c>
      <c r="U2764" t="s">
        <v>30</v>
      </c>
      <c r="V2764">
        <v>8</v>
      </c>
    </row>
    <row r="2765" spans="1:22" x14ac:dyDescent="0.25">
      <c r="A2765" t="s">
        <v>6007</v>
      </c>
      <c r="B2765" s="1">
        <v>45255</v>
      </c>
      <c r="C2765" t="s">
        <v>6008</v>
      </c>
      <c r="D2765" t="s">
        <v>1566</v>
      </c>
      <c r="E2765">
        <v>46</v>
      </c>
      <c r="F2765" t="str">
        <f>IF(Table1[[#This Row],[age]]&lt;=25,"18-25",IF(Table1[[#This Row],[age]]&lt;=35,"26-35",IF(Table1[[#This Row],[age]]&lt;=50,"36-50","51+")))</f>
        <v>36-50</v>
      </c>
      <c r="G2765" t="s">
        <v>54</v>
      </c>
      <c r="H2765" t="s">
        <v>69</v>
      </c>
      <c r="I2765" t="s">
        <v>221</v>
      </c>
      <c r="J2765" t="s">
        <v>63</v>
      </c>
      <c r="K2765" t="s">
        <v>64</v>
      </c>
      <c r="L2765">
        <v>8</v>
      </c>
      <c r="M2765">
        <v>2163.34</v>
      </c>
      <c r="N2765">
        <v>0.09</v>
      </c>
      <c r="O2765">
        <v>14389.27</v>
      </c>
      <c r="P2765">
        <v>6967.35</v>
      </c>
      <c r="Q2765">
        <v>86.07</v>
      </c>
      <c r="R2765" t="s">
        <v>29</v>
      </c>
      <c r="S2765">
        <v>4</v>
      </c>
      <c r="T2765" t="b">
        <v>1</v>
      </c>
      <c r="U2765" t="s">
        <v>50</v>
      </c>
      <c r="V2765">
        <v>2</v>
      </c>
    </row>
    <row r="2766" spans="1:22" x14ac:dyDescent="0.25">
      <c r="A2766" t="s">
        <v>6009</v>
      </c>
      <c r="B2766" s="1">
        <v>44137</v>
      </c>
      <c r="C2766" t="s">
        <v>6010</v>
      </c>
      <c r="D2766" t="s">
        <v>131</v>
      </c>
      <c r="E2766">
        <v>45</v>
      </c>
      <c r="F2766" t="str">
        <f>IF(Table1[[#This Row],[age]]&lt;=25,"18-25",IF(Table1[[#This Row],[age]]&lt;=35,"26-35",IF(Table1[[#This Row],[age]]&lt;=50,"36-50","51+")))</f>
        <v>36-50</v>
      </c>
      <c r="G2766" t="s">
        <v>24</v>
      </c>
      <c r="H2766" t="s">
        <v>25</v>
      </c>
      <c r="I2766" t="s">
        <v>41</v>
      </c>
      <c r="J2766" t="s">
        <v>115</v>
      </c>
      <c r="K2766" t="s">
        <v>197</v>
      </c>
      <c r="L2766">
        <v>10</v>
      </c>
      <c r="M2766">
        <v>57547.360000000001</v>
      </c>
      <c r="N2766">
        <v>0</v>
      </c>
      <c r="O2766">
        <v>412747.46</v>
      </c>
      <c r="P2766">
        <v>38336.33</v>
      </c>
      <c r="Q2766">
        <v>95.34</v>
      </c>
      <c r="R2766" t="s">
        <v>43</v>
      </c>
      <c r="S2766">
        <v>1</v>
      </c>
      <c r="T2766" t="b">
        <v>0</v>
      </c>
      <c r="U2766" t="s">
        <v>93</v>
      </c>
      <c r="V2766">
        <v>1</v>
      </c>
    </row>
    <row r="2767" spans="1:22" x14ac:dyDescent="0.25">
      <c r="A2767" t="s">
        <v>6011</v>
      </c>
      <c r="B2767" s="1">
        <v>45130</v>
      </c>
      <c r="C2767" t="s">
        <v>6012</v>
      </c>
      <c r="D2767" t="s">
        <v>2503</v>
      </c>
      <c r="E2767">
        <v>22</v>
      </c>
      <c r="F2767" t="str">
        <f>IF(Table1[[#This Row],[age]]&lt;=25,"18-25",IF(Table1[[#This Row],[age]]&lt;=35,"26-35",IF(Table1[[#This Row],[age]]&lt;=50,"36-50","51+")))</f>
        <v>18-25</v>
      </c>
      <c r="G2767" t="s">
        <v>54</v>
      </c>
      <c r="H2767" t="s">
        <v>61</v>
      </c>
      <c r="I2767" t="s">
        <v>91</v>
      </c>
      <c r="J2767" t="s">
        <v>101</v>
      </c>
      <c r="K2767" t="s">
        <v>318</v>
      </c>
      <c r="L2767">
        <v>7</v>
      </c>
      <c r="M2767">
        <v>5217.82</v>
      </c>
      <c r="N2767">
        <v>0.38</v>
      </c>
      <c r="O2767">
        <v>29460.53</v>
      </c>
      <c r="P2767">
        <v>4891.91</v>
      </c>
      <c r="Q2767">
        <v>48.5</v>
      </c>
      <c r="R2767" t="s">
        <v>49</v>
      </c>
      <c r="S2767">
        <v>2</v>
      </c>
      <c r="T2767" t="b">
        <v>0</v>
      </c>
      <c r="U2767" t="s">
        <v>30</v>
      </c>
      <c r="V2767">
        <v>4</v>
      </c>
    </row>
    <row r="2768" spans="1:22" x14ac:dyDescent="0.25">
      <c r="A2768" t="s">
        <v>6013</v>
      </c>
      <c r="B2768" s="1">
        <v>43974</v>
      </c>
      <c r="C2768" t="s">
        <v>6014</v>
      </c>
      <c r="D2768" t="s">
        <v>2736</v>
      </c>
      <c r="E2768">
        <v>35</v>
      </c>
      <c r="F2768" t="str">
        <f>IF(Table1[[#This Row],[age]]&lt;=25,"18-25",IF(Table1[[#This Row],[age]]&lt;=35,"26-35",IF(Table1[[#This Row],[age]]&lt;=50,"36-50","51+")))</f>
        <v>26-35</v>
      </c>
      <c r="G2768" t="s">
        <v>24</v>
      </c>
      <c r="H2768" t="s">
        <v>25</v>
      </c>
      <c r="I2768" t="s">
        <v>26</v>
      </c>
      <c r="J2768" t="s">
        <v>115</v>
      </c>
      <c r="K2768" t="s">
        <v>145</v>
      </c>
      <c r="L2768">
        <v>8</v>
      </c>
      <c r="M2768">
        <v>66799.88</v>
      </c>
      <c r="N2768">
        <v>0</v>
      </c>
      <c r="O2768">
        <v>700450.24</v>
      </c>
      <c r="P2768">
        <v>86189.72</v>
      </c>
      <c r="Q2768">
        <v>63.99</v>
      </c>
      <c r="R2768" t="s">
        <v>29</v>
      </c>
      <c r="S2768">
        <v>1</v>
      </c>
      <c r="T2768" t="b">
        <v>0</v>
      </c>
      <c r="U2768" t="s">
        <v>30</v>
      </c>
      <c r="V2768">
        <v>2</v>
      </c>
    </row>
    <row r="2769" spans="1:22" x14ac:dyDescent="0.25">
      <c r="A2769" t="s">
        <v>6015</v>
      </c>
      <c r="B2769" s="1">
        <v>44767</v>
      </c>
      <c r="C2769" t="s">
        <v>6016</v>
      </c>
      <c r="D2769" t="s">
        <v>527</v>
      </c>
      <c r="E2769">
        <v>33</v>
      </c>
      <c r="F2769" t="str">
        <f>IF(Table1[[#This Row],[age]]&lt;=25,"18-25",IF(Table1[[#This Row],[age]]&lt;=35,"26-35",IF(Table1[[#This Row],[age]]&lt;=50,"36-50","51+")))</f>
        <v>26-35</v>
      </c>
      <c r="G2769" t="s">
        <v>24</v>
      </c>
      <c r="H2769" t="s">
        <v>25</v>
      </c>
      <c r="I2769" t="s">
        <v>26</v>
      </c>
      <c r="J2769" t="s">
        <v>27</v>
      </c>
      <c r="K2769" t="s">
        <v>480</v>
      </c>
      <c r="L2769">
        <v>2</v>
      </c>
      <c r="M2769">
        <v>879.32</v>
      </c>
      <c r="N2769">
        <v>0.11</v>
      </c>
      <c r="O2769">
        <v>2351.2399999999998</v>
      </c>
      <c r="P2769">
        <v>1051.5899999999999</v>
      </c>
      <c r="Q2769">
        <v>52.42</v>
      </c>
      <c r="R2769" t="s">
        <v>49</v>
      </c>
      <c r="S2769">
        <v>5</v>
      </c>
      <c r="T2769" t="b">
        <v>0</v>
      </c>
      <c r="U2769" t="s">
        <v>30</v>
      </c>
      <c r="V2769">
        <v>5</v>
      </c>
    </row>
    <row r="2770" spans="1:22" x14ac:dyDescent="0.25">
      <c r="A2770" t="s">
        <v>6017</v>
      </c>
      <c r="B2770" s="1">
        <v>44766</v>
      </c>
      <c r="C2770" t="s">
        <v>6018</v>
      </c>
      <c r="D2770" t="s">
        <v>2432</v>
      </c>
      <c r="E2770">
        <v>45</v>
      </c>
      <c r="F2770" t="str">
        <f>IF(Table1[[#This Row],[age]]&lt;=25,"18-25",IF(Table1[[#This Row],[age]]&lt;=35,"26-35",IF(Table1[[#This Row],[age]]&lt;=50,"36-50","51+")))</f>
        <v>36-50</v>
      </c>
      <c r="G2770" t="s">
        <v>34</v>
      </c>
      <c r="H2770" t="s">
        <v>80</v>
      </c>
      <c r="I2770" t="s">
        <v>242</v>
      </c>
      <c r="J2770" t="s">
        <v>36</v>
      </c>
      <c r="K2770" t="s">
        <v>37</v>
      </c>
      <c r="L2770">
        <v>4</v>
      </c>
      <c r="M2770">
        <v>25587.02</v>
      </c>
      <c r="N2770">
        <v>0.31</v>
      </c>
      <c r="O2770">
        <v>106262.43</v>
      </c>
      <c r="P2770">
        <v>24161.7</v>
      </c>
      <c r="Q2770">
        <v>68.959999999999994</v>
      </c>
      <c r="R2770" t="s">
        <v>29</v>
      </c>
      <c r="S2770">
        <v>2</v>
      </c>
      <c r="T2770" t="b">
        <v>0</v>
      </c>
      <c r="U2770" t="s">
        <v>30</v>
      </c>
      <c r="V2770">
        <v>2</v>
      </c>
    </row>
    <row r="2771" spans="1:22" x14ac:dyDescent="0.25">
      <c r="A2771" t="s">
        <v>6019</v>
      </c>
      <c r="B2771" s="1">
        <v>44813</v>
      </c>
      <c r="C2771" t="s">
        <v>6020</v>
      </c>
      <c r="D2771" t="s">
        <v>317</v>
      </c>
      <c r="E2771">
        <v>23</v>
      </c>
      <c r="F2771" t="str">
        <f>IF(Table1[[#This Row],[age]]&lt;=25,"18-25",IF(Table1[[#This Row],[age]]&lt;=35,"26-35",IF(Table1[[#This Row],[age]]&lt;=50,"36-50","51+")))</f>
        <v>18-25</v>
      </c>
      <c r="G2771" t="s">
        <v>54</v>
      </c>
      <c r="H2771" t="s">
        <v>61</v>
      </c>
      <c r="I2771" t="s">
        <v>91</v>
      </c>
      <c r="J2771" t="s">
        <v>101</v>
      </c>
      <c r="K2771" t="s">
        <v>456</v>
      </c>
      <c r="L2771">
        <v>1</v>
      </c>
      <c r="M2771">
        <v>10374.719999999999</v>
      </c>
      <c r="N2771">
        <v>0.04</v>
      </c>
      <c r="O2771">
        <v>10806.31</v>
      </c>
      <c r="P2771">
        <v>2109.69</v>
      </c>
      <c r="Q2771">
        <v>63.95</v>
      </c>
      <c r="R2771" t="s">
        <v>49</v>
      </c>
      <c r="S2771">
        <v>3</v>
      </c>
      <c r="T2771" t="b">
        <v>0</v>
      </c>
      <c r="U2771" t="s">
        <v>71</v>
      </c>
      <c r="V2771">
        <v>3</v>
      </c>
    </row>
    <row r="2772" spans="1:22" x14ac:dyDescent="0.25">
      <c r="A2772" t="s">
        <v>6021</v>
      </c>
      <c r="B2772" s="1">
        <v>43870</v>
      </c>
      <c r="C2772" t="s">
        <v>6022</v>
      </c>
      <c r="D2772" t="s">
        <v>726</v>
      </c>
      <c r="E2772">
        <v>47</v>
      </c>
      <c r="F2772" t="str">
        <f>IF(Table1[[#This Row],[age]]&lt;=25,"18-25",IF(Table1[[#This Row],[age]]&lt;=35,"26-35",IF(Table1[[#This Row],[age]]&lt;=50,"36-50","51+")))</f>
        <v>36-50</v>
      </c>
      <c r="G2772" t="s">
        <v>34</v>
      </c>
      <c r="H2772" t="s">
        <v>55</v>
      </c>
      <c r="I2772" t="s">
        <v>114</v>
      </c>
      <c r="J2772" t="s">
        <v>101</v>
      </c>
      <c r="K2772" t="s">
        <v>164</v>
      </c>
      <c r="L2772">
        <v>9</v>
      </c>
      <c r="M2772">
        <v>13043.73</v>
      </c>
      <c r="N2772">
        <v>0.25</v>
      </c>
      <c r="O2772">
        <v>74033.850000000006</v>
      </c>
      <c r="P2772">
        <v>18187.78</v>
      </c>
      <c r="Q2772">
        <v>74.92</v>
      </c>
      <c r="R2772" t="s">
        <v>29</v>
      </c>
      <c r="S2772">
        <v>3</v>
      </c>
      <c r="T2772" t="b">
        <v>0</v>
      </c>
      <c r="U2772" t="s">
        <v>30</v>
      </c>
      <c r="V2772">
        <v>3</v>
      </c>
    </row>
    <row r="2773" spans="1:22" x14ac:dyDescent="0.25">
      <c r="A2773" t="s">
        <v>6023</v>
      </c>
      <c r="B2773" s="1">
        <v>45294</v>
      </c>
      <c r="C2773" t="s">
        <v>6024</v>
      </c>
      <c r="D2773" t="s">
        <v>85</v>
      </c>
      <c r="E2773">
        <v>35</v>
      </c>
      <c r="F2773" t="str">
        <f>IF(Table1[[#This Row],[age]]&lt;=25,"18-25",IF(Table1[[#This Row],[age]]&lt;=35,"26-35",IF(Table1[[#This Row],[age]]&lt;=50,"36-50","51+")))</f>
        <v>26-35</v>
      </c>
      <c r="G2773" t="s">
        <v>24</v>
      </c>
      <c r="H2773" t="s">
        <v>25</v>
      </c>
      <c r="I2773" t="s">
        <v>41</v>
      </c>
      <c r="J2773" t="s">
        <v>101</v>
      </c>
      <c r="K2773" t="s">
        <v>164</v>
      </c>
      <c r="L2773">
        <v>8</v>
      </c>
      <c r="M2773">
        <v>13871.72</v>
      </c>
      <c r="N2773">
        <v>0.03</v>
      </c>
      <c r="O2773">
        <v>104587.68</v>
      </c>
      <c r="P2773">
        <v>20681.46</v>
      </c>
      <c r="Q2773">
        <v>87.71</v>
      </c>
      <c r="R2773" t="s">
        <v>65</v>
      </c>
      <c r="S2773">
        <v>5</v>
      </c>
      <c r="T2773" t="b">
        <v>0</v>
      </c>
      <c r="U2773" t="s">
        <v>93</v>
      </c>
      <c r="V2773">
        <v>8</v>
      </c>
    </row>
    <row r="2774" spans="1:22" x14ac:dyDescent="0.25">
      <c r="A2774" t="s">
        <v>6025</v>
      </c>
      <c r="B2774" s="1">
        <v>45241</v>
      </c>
      <c r="C2774" t="s">
        <v>6026</v>
      </c>
      <c r="D2774" t="s">
        <v>977</v>
      </c>
      <c r="E2774">
        <v>31</v>
      </c>
      <c r="F2774" t="str">
        <f>IF(Table1[[#This Row],[age]]&lt;=25,"18-25",IF(Table1[[#This Row],[age]]&lt;=35,"26-35",IF(Table1[[#This Row],[age]]&lt;=50,"36-50","51+")))</f>
        <v>26-35</v>
      </c>
      <c r="G2774" t="s">
        <v>34</v>
      </c>
      <c r="H2774" t="s">
        <v>69</v>
      </c>
      <c r="I2774" t="s">
        <v>221</v>
      </c>
      <c r="J2774" t="s">
        <v>115</v>
      </c>
      <c r="K2774" t="s">
        <v>116</v>
      </c>
      <c r="L2774">
        <v>10</v>
      </c>
      <c r="M2774">
        <v>19168.2</v>
      </c>
      <c r="N2774">
        <v>0.09</v>
      </c>
      <c r="O2774">
        <v>157139.20000000001</v>
      </c>
      <c r="P2774">
        <v>15931.28</v>
      </c>
      <c r="Q2774">
        <v>92.38</v>
      </c>
      <c r="R2774" t="s">
        <v>65</v>
      </c>
      <c r="S2774">
        <v>1</v>
      </c>
      <c r="T2774" t="b">
        <v>1</v>
      </c>
      <c r="U2774" t="s">
        <v>50</v>
      </c>
      <c r="V2774">
        <v>10</v>
      </c>
    </row>
    <row r="2775" spans="1:22" x14ac:dyDescent="0.25">
      <c r="A2775" t="s">
        <v>6027</v>
      </c>
      <c r="B2775" s="1">
        <v>44166</v>
      </c>
      <c r="C2775" t="s">
        <v>6028</v>
      </c>
      <c r="D2775" t="s">
        <v>68</v>
      </c>
      <c r="E2775">
        <v>59</v>
      </c>
      <c r="F2775" t="str">
        <f>IF(Table1[[#This Row],[age]]&lt;=25,"18-25",IF(Table1[[#This Row],[age]]&lt;=35,"26-35",IF(Table1[[#This Row],[age]]&lt;=50,"36-50","51+")))</f>
        <v>51+</v>
      </c>
      <c r="G2775" t="s">
        <v>54</v>
      </c>
      <c r="H2775" t="s">
        <v>69</v>
      </c>
      <c r="I2775" t="s">
        <v>70</v>
      </c>
      <c r="J2775" t="s">
        <v>63</v>
      </c>
      <c r="K2775" t="s">
        <v>434</v>
      </c>
      <c r="L2775">
        <v>6</v>
      </c>
      <c r="M2775">
        <v>2055.61</v>
      </c>
      <c r="N2775">
        <v>0.19</v>
      </c>
      <c r="O2775">
        <v>7361.83</v>
      </c>
      <c r="P2775">
        <v>2436.42</v>
      </c>
      <c r="Q2775">
        <v>87.2</v>
      </c>
      <c r="R2775" t="s">
        <v>29</v>
      </c>
      <c r="S2775">
        <v>3</v>
      </c>
      <c r="T2775" t="b">
        <v>0</v>
      </c>
      <c r="U2775" t="s">
        <v>193</v>
      </c>
      <c r="V2775">
        <v>7</v>
      </c>
    </row>
    <row r="2776" spans="1:22" x14ac:dyDescent="0.25">
      <c r="A2776" t="s">
        <v>6029</v>
      </c>
      <c r="B2776" s="1">
        <v>45461</v>
      </c>
      <c r="C2776" t="s">
        <v>6030</v>
      </c>
      <c r="D2776" t="s">
        <v>268</v>
      </c>
      <c r="E2776">
        <v>44</v>
      </c>
      <c r="F2776" t="str">
        <f>IF(Table1[[#This Row],[age]]&lt;=25,"18-25",IF(Table1[[#This Row],[age]]&lt;=35,"26-35",IF(Table1[[#This Row],[age]]&lt;=50,"36-50","51+")))</f>
        <v>36-50</v>
      </c>
      <c r="G2776" t="s">
        <v>54</v>
      </c>
      <c r="H2776" t="s">
        <v>25</v>
      </c>
      <c r="I2776" t="s">
        <v>41</v>
      </c>
      <c r="J2776" t="s">
        <v>63</v>
      </c>
      <c r="K2776" t="s">
        <v>64</v>
      </c>
      <c r="L2776">
        <v>8</v>
      </c>
      <c r="M2776">
        <v>318.72000000000003</v>
      </c>
      <c r="N2776">
        <v>0.2</v>
      </c>
      <c r="O2776">
        <v>3315.64</v>
      </c>
      <c r="P2776">
        <v>1361.66</v>
      </c>
      <c r="Q2776">
        <v>66.349999999999994</v>
      </c>
      <c r="R2776" t="s">
        <v>49</v>
      </c>
      <c r="S2776">
        <v>3</v>
      </c>
      <c r="T2776" t="b">
        <v>0</v>
      </c>
      <c r="U2776" t="s">
        <v>30</v>
      </c>
      <c r="V2776">
        <v>6</v>
      </c>
    </row>
    <row r="2777" spans="1:22" x14ac:dyDescent="0.25">
      <c r="A2777" t="s">
        <v>6031</v>
      </c>
      <c r="B2777" s="1">
        <v>44376</v>
      </c>
      <c r="C2777" t="s">
        <v>6032</v>
      </c>
      <c r="D2777" t="s">
        <v>459</v>
      </c>
      <c r="E2777">
        <v>28</v>
      </c>
      <c r="F2777" t="str">
        <f>IF(Table1[[#This Row],[age]]&lt;=25,"18-25",IF(Table1[[#This Row],[age]]&lt;=35,"26-35",IF(Table1[[#This Row],[age]]&lt;=50,"36-50","51+")))</f>
        <v>26-35</v>
      </c>
      <c r="G2777" t="s">
        <v>24</v>
      </c>
      <c r="H2777" t="s">
        <v>25</v>
      </c>
      <c r="I2777" t="s">
        <v>298</v>
      </c>
      <c r="J2777" t="s">
        <v>47</v>
      </c>
      <c r="K2777" t="s">
        <v>204</v>
      </c>
      <c r="L2777">
        <v>3</v>
      </c>
      <c r="M2777">
        <v>332.5</v>
      </c>
      <c r="N2777">
        <v>0.1</v>
      </c>
      <c r="O2777">
        <v>1131.28</v>
      </c>
      <c r="P2777">
        <v>733.38</v>
      </c>
      <c r="Q2777">
        <v>62.24</v>
      </c>
      <c r="R2777" t="s">
        <v>29</v>
      </c>
      <c r="S2777">
        <v>5</v>
      </c>
      <c r="T2777" t="b">
        <v>0</v>
      </c>
      <c r="U2777" t="s">
        <v>30</v>
      </c>
      <c r="V2777">
        <v>2</v>
      </c>
    </row>
    <row r="2778" spans="1:22" x14ac:dyDescent="0.25">
      <c r="A2778" t="s">
        <v>6033</v>
      </c>
      <c r="B2778" s="1">
        <v>44146</v>
      </c>
      <c r="C2778" t="s">
        <v>6034</v>
      </c>
      <c r="D2778" t="s">
        <v>361</v>
      </c>
      <c r="E2778">
        <v>25</v>
      </c>
      <c r="F2778" t="str">
        <f>IF(Table1[[#This Row],[age]]&lt;=25,"18-25",IF(Table1[[#This Row],[age]]&lt;=35,"26-35",IF(Table1[[#This Row],[age]]&lt;=50,"36-50","51+")))</f>
        <v>18-25</v>
      </c>
      <c r="G2778" t="s">
        <v>24</v>
      </c>
      <c r="H2778" t="s">
        <v>61</v>
      </c>
      <c r="I2778" t="s">
        <v>141</v>
      </c>
      <c r="J2778" t="s">
        <v>63</v>
      </c>
      <c r="K2778" t="s">
        <v>82</v>
      </c>
      <c r="L2778">
        <v>4</v>
      </c>
      <c r="M2778">
        <v>1315.54</v>
      </c>
      <c r="N2778">
        <v>0.06</v>
      </c>
      <c r="O2778">
        <v>3873.18</v>
      </c>
      <c r="P2778">
        <v>1168.4100000000001</v>
      </c>
      <c r="Q2778">
        <v>30.16</v>
      </c>
      <c r="R2778" t="s">
        <v>92</v>
      </c>
      <c r="S2778">
        <v>4</v>
      </c>
      <c r="T2778" t="b">
        <v>0</v>
      </c>
      <c r="U2778" t="s">
        <v>71</v>
      </c>
      <c r="V2778">
        <v>6</v>
      </c>
    </row>
    <row r="2779" spans="1:22" x14ac:dyDescent="0.25">
      <c r="A2779" t="s">
        <v>6035</v>
      </c>
      <c r="B2779" s="1">
        <v>45231</v>
      </c>
      <c r="C2779" t="s">
        <v>6036</v>
      </c>
      <c r="D2779" t="s">
        <v>561</v>
      </c>
      <c r="E2779">
        <v>59</v>
      </c>
      <c r="F2779" t="str">
        <f>IF(Table1[[#This Row],[age]]&lt;=25,"18-25",IF(Table1[[#This Row],[age]]&lt;=35,"26-35",IF(Table1[[#This Row],[age]]&lt;=50,"36-50","51+")))</f>
        <v>51+</v>
      </c>
      <c r="G2779" t="s">
        <v>34</v>
      </c>
      <c r="H2779" t="s">
        <v>25</v>
      </c>
      <c r="I2779" t="s">
        <v>26</v>
      </c>
      <c r="J2779" t="s">
        <v>106</v>
      </c>
      <c r="K2779" t="s">
        <v>718</v>
      </c>
      <c r="L2779">
        <v>8</v>
      </c>
      <c r="M2779">
        <v>147.66</v>
      </c>
      <c r="N2779">
        <v>0.12</v>
      </c>
      <c r="O2779">
        <v>936.68</v>
      </c>
      <c r="P2779">
        <v>78.45</v>
      </c>
      <c r="Q2779">
        <v>58.97</v>
      </c>
      <c r="R2779" t="s">
        <v>29</v>
      </c>
      <c r="S2779">
        <v>1</v>
      </c>
      <c r="T2779" t="b">
        <v>1</v>
      </c>
      <c r="U2779" t="s">
        <v>50</v>
      </c>
      <c r="V2779">
        <v>10</v>
      </c>
    </row>
    <row r="2780" spans="1:22" x14ac:dyDescent="0.25">
      <c r="A2780" t="s">
        <v>6037</v>
      </c>
      <c r="B2780" s="1">
        <v>44049</v>
      </c>
      <c r="C2780" t="s">
        <v>6038</v>
      </c>
      <c r="D2780" t="s">
        <v>812</v>
      </c>
      <c r="E2780">
        <v>37</v>
      </c>
      <c r="F2780" t="str">
        <f>IF(Table1[[#This Row],[age]]&lt;=25,"18-25",IF(Table1[[#This Row],[age]]&lt;=35,"26-35",IF(Table1[[#This Row],[age]]&lt;=50,"36-50","51+")))</f>
        <v>36-50</v>
      </c>
      <c r="G2780" t="s">
        <v>54</v>
      </c>
      <c r="H2780" t="s">
        <v>80</v>
      </c>
      <c r="I2780" t="s">
        <v>242</v>
      </c>
      <c r="J2780" t="s">
        <v>27</v>
      </c>
      <c r="K2780" t="s">
        <v>192</v>
      </c>
      <c r="L2780">
        <v>4</v>
      </c>
      <c r="M2780">
        <v>1620.93</v>
      </c>
      <c r="N2780">
        <v>0</v>
      </c>
      <c r="O2780">
        <v>7373.98</v>
      </c>
      <c r="P2780">
        <v>3625.25</v>
      </c>
      <c r="Q2780">
        <v>54.81</v>
      </c>
      <c r="R2780" t="s">
        <v>65</v>
      </c>
      <c r="S2780">
        <v>4</v>
      </c>
      <c r="T2780" t="b">
        <v>0</v>
      </c>
      <c r="U2780" t="s">
        <v>71</v>
      </c>
      <c r="V2780">
        <v>6</v>
      </c>
    </row>
    <row r="2781" spans="1:22" x14ac:dyDescent="0.25">
      <c r="A2781" t="s">
        <v>6039</v>
      </c>
      <c r="B2781" s="1">
        <v>44434</v>
      </c>
      <c r="C2781" t="s">
        <v>6040</v>
      </c>
      <c r="D2781" t="s">
        <v>2423</v>
      </c>
      <c r="E2781">
        <v>25</v>
      </c>
      <c r="F2781" t="str">
        <f>IF(Table1[[#This Row],[age]]&lt;=25,"18-25",IF(Table1[[#This Row],[age]]&lt;=35,"26-35",IF(Table1[[#This Row],[age]]&lt;=50,"36-50","51+")))</f>
        <v>18-25</v>
      </c>
      <c r="G2781" t="s">
        <v>54</v>
      </c>
      <c r="H2781" t="s">
        <v>80</v>
      </c>
      <c r="I2781" t="s">
        <v>81</v>
      </c>
      <c r="J2781" t="s">
        <v>115</v>
      </c>
      <c r="K2781" t="s">
        <v>137</v>
      </c>
      <c r="L2781">
        <v>6</v>
      </c>
      <c r="M2781">
        <v>33295.33</v>
      </c>
      <c r="N2781">
        <v>0.22</v>
      </c>
      <c r="O2781">
        <v>190618.8</v>
      </c>
      <c r="P2781">
        <v>28846.6</v>
      </c>
      <c r="Q2781">
        <v>81.680000000000007</v>
      </c>
      <c r="R2781" t="s">
        <v>43</v>
      </c>
      <c r="S2781">
        <v>3</v>
      </c>
      <c r="T2781" t="b">
        <v>0</v>
      </c>
      <c r="U2781" t="s">
        <v>30</v>
      </c>
      <c r="V2781">
        <v>4</v>
      </c>
    </row>
    <row r="2782" spans="1:22" x14ac:dyDescent="0.25">
      <c r="A2782" t="s">
        <v>6041</v>
      </c>
      <c r="B2782" s="1">
        <v>44354</v>
      </c>
      <c r="C2782" t="s">
        <v>6042</v>
      </c>
      <c r="D2782" t="s">
        <v>177</v>
      </c>
      <c r="E2782">
        <v>59</v>
      </c>
      <c r="F2782" t="str">
        <f>IF(Table1[[#This Row],[age]]&lt;=25,"18-25",IF(Table1[[#This Row],[age]]&lt;=35,"26-35",IF(Table1[[#This Row],[age]]&lt;=50,"36-50","51+")))</f>
        <v>51+</v>
      </c>
      <c r="G2782" t="s">
        <v>24</v>
      </c>
      <c r="H2782" t="s">
        <v>69</v>
      </c>
      <c r="I2782" t="s">
        <v>221</v>
      </c>
      <c r="J2782" t="s">
        <v>115</v>
      </c>
      <c r="K2782" t="s">
        <v>197</v>
      </c>
      <c r="L2782">
        <v>7</v>
      </c>
      <c r="M2782">
        <v>15552.34</v>
      </c>
      <c r="N2782">
        <v>0.22</v>
      </c>
      <c r="O2782">
        <v>129304.85</v>
      </c>
      <c r="P2782">
        <v>22699.93</v>
      </c>
      <c r="Q2782">
        <v>46.69</v>
      </c>
      <c r="R2782" t="s">
        <v>57</v>
      </c>
      <c r="S2782">
        <v>5</v>
      </c>
      <c r="T2782" t="b">
        <v>1</v>
      </c>
      <c r="U2782" t="s">
        <v>50</v>
      </c>
      <c r="V2782">
        <v>6</v>
      </c>
    </row>
    <row r="2783" spans="1:22" x14ac:dyDescent="0.25">
      <c r="A2783" t="s">
        <v>6043</v>
      </c>
      <c r="B2783" s="1">
        <v>44438</v>
      </c>
      <c r="C2783" t="s">
        <v>6044</v>
      </c>
      <c r="D2783" t="s">
        <v>1020</v>
      </c>
      <c r="E2783">
        <v>21</v>
      </c>
      <c r="F2783" t="str">
        <f>IF(Table1[[#This Row],[age]]&lt;=25,"18-25",IF(Table1[[#This Row],[age]]&lt;=35,"26-35",IF(Table1[[#This Row],[age]]&lt;=50,"36-50","51+")))</f>
        <v>18-25</v>
      </c>
      <c r="G2783" t="s">
        <v>54</v>
      </c>
      <c r="H2783" t="s">
        <v>61</v>
      </c>
      <c r="I2783" t="s">
        <v>141</v>
      </c>
      <c r="J2783" t="s">
        <v>63</v>
      </c>
      <c r="K2783" t="s">
        <v>82</v>
      </c>
      <c r="L2783">
        <v>4</v>
      </c>
      <c r="M2783">
        <v>2556.35</v>
      </c>
      <c r="N2783">
        <v>0.19</v>
      </c>
      <c r="O2783">
        <v>9517.59</v>
      </c>
      <c r="P2783">
        <v>1946.08</v>
      </c>
      <c r="Q2783">
        <v>45.36</v>
      </c>
      <c r="R2783" t="s">
        <v>65</v>
      </c>
      <c r="S2783">
        <v>5</v>
      </c>
      <c r="T2783" t="b">
        <v>0</v>
      </c>
      <c r="U2783" t="s">
        <v>30</v>
      </c>
      <c r="V2783">
        <v>2</v>
      </c>
    </row>
    <row r="2784" spans="1:22" x14ac:dyDescent="0.25">
      <c r="A2784" t="s">
        <v>6045</v>
      </c>
      <c r="B2784" s="1">
        <v>44859</v>
      </c>
      <c r="C2784" t="s">
        <v>6046</v>
      </c>
      <c r="D2784" t="s">
        <v>96</v>
      </c>
      <c r="E2784">
        <v>38</v>
      </c>
      <c r="F2784" t="str">
        <f>IF(Table1[[#This Row],[age]]&lt;=25,"18-25",IF(Table1[[#This Row],[age]]&lt;=35,"26-35",IF(Table1[[#This Row],[age]]&lt;=50,"36-50","51+")))</f>
        <v>36-50</v>
      </c>
      <c r="G2784" t="s">
        <v>34</v>
      </c>
      <c r="H2784" t="s">
        <v>69</v>
      </c>
      <c r="I2784" t="s">
        <v>70</v>
      </c>
      <c r="J2784" t="s">
        <v>27</v>
      </c>
      <c r="K2784" t="s">
        <v>480</v>
      </c>
      <c r="L2784">
        <v>9</v>
      </c>
      <c r="M2784">
        <v>2282.2399999999998</v>
      </c>
      <c r="N2784">
        <v>0.27</v>
      </c>
      <c r="O2784">
        <v>15517.58</v>
      </c>
      <c r="P2784">
        <v>5898.92</v>
      </c>
      <c r="Q2784">
        <v>86.96</v>
      </c>
      <c r="R2784" t="s">
        <v>65</v>
      </c>
      <c r="S2784">
        <v>3</v>
      </c>
      <c r="T2784" t="b">
        <v>0</v>
      </c>
      <c r="U2784" t="s">
        <v>71</v>
      </c>
      <c r="V2784">
        <v>7</v>
      </c>
    </row>
    <row r="2785" spans="1:22" x14ac:dyDescent="0.25">
      <c r="A2785" t="s">
        <v>6047</v>
      </c>
      <c r="B2785" s="1">
        <v>44650</v>
      </c>
      <c r="C2785" t="s">
        <v>6048</v>
      </c>
      <c r="D2785" t="s">
        <v>401</v>
      </c>
      <c r="E2785">
        <v>49</v>
      </c>
      <c r="F2785" t="str">
        <f>IF(Table1[[#This Row],[age]]&lt;=25,"18-25",IF(Table1[[#This Row],[age]]&lt;=35,"26-35",IF(Table1[[#This Row],[age]]&lt;=50,"36-50","51+")))</f>
        <v>36-50</v>
      </c>
      <c r="G2785" t="s">
        <v>54</v>
      </c>
      <c r="H2785" t="s">
        <v>69</v>
      </c>
      <c r="I2785" t="s">
        <v>70</v>
      </c>
      <c r="J2785" t="s">
        <v>47</v>
      </c>
      <c r="K2785" t="s">
        <v>156</v>
      </c>
      <c r="L2785">
        <v>7</v>
      </c>
      <c r="M2785">
        <v>1034.3</v>
      </c>
      <c r="N2785">
        <v>0.21</v>
      </c>
      <c r="O2785">
        <v>7324.98</v>
      </c>
      <c r="P2785">
        <v>2536.09</v>
      </c>
      <c r="Q2785">
        <v>60.36</v>
      </c>
      <c r="R2785" t="s">
        <v>57</v>
      </c>
      <c r="S2785">
        <v>5</v>
      </c>
      <c r="T2785" t="b">
        <v>0</v>
      </c>
      <c r="U2785" t="s">
        <v>30</v>
      </c>
      <c r="V2785">
        <v>4</v>
      </c>
    </row>
    <row r="2786" spans="1:22" x14ac:dyDescent="0.25">
      <c r="A2786" t="s">
        <v>6049</v>
      </c>
      <c r="B2786" s="1">
        <v>44814</v>
      </c>
      <c r="C2786" t="s">
        <v>6050</v>
      </c>
      <c r="D2786" t="s">
        <v>1223</v>
      </c>
      <c r="E2786">
        <v>46</v>
      </c>
      <c r="F2786" t="str">
        <f>IF(Table1[[#This Row],[age]]&lt;=25,"18-25",IF(Table1[[#This Row],[age]]&lt;=35,"26-35",IF(Table1[[#This Row],[age]]&lt;=50,"36-50","51+")))</f>
        <v>36-50</v>
      </c>
      <c r="G2786" t="s">
        <v>24</v>
      </c>
      <c r="H2786" t="s">
        <v>55</v>
      </c>
      <c r="I2786" t="s">
        <v>97</v>
      </c>
      <c r="J2786" t="s">
        <v>101</v>
      </c>
      <c r="K2786" t="s">
        <v>102</v>
      </c>
      <c r="L2786">
        <v>2</v>
      </c>
      <c r="M2786">
        <v>2331.7600000000002</v>
      </c>
      <c r="N2786">
        <v>0</v>
      </c>
      <c r="O2786">
        <v>5912.22</v>
      </c>
      <c r="P2786">
        <v>1433.92</v>
      </c>
      <c r="Q2786">
        <v>38.85</v>
      </c>
      <c r="R2786" t="s">
        <v>29</v>
      </c>
      <c r="S2786">
        <v>5</v>
      </c>
      <c r="T2786" t="b">
        <v>0</v>
      </c>
      <c r="U2786" t="s">
        <v>30</v>
      </c>
      <c r="V2786">
        <v>1</v>
      </c>
    </row>
    <row r="2787" spans="1:22" x14ac:dyDescent="0.25">
      <c r="A2787" t="s">
        <v>6051</v>
      </c>
      <c r="B2787" s="1">
        <v>44788</v>
      </c>
      <c r="C2787" t="s">
        <v>6052</v>
      </c>
      <c r="D2787" t="s">
        <v>723</v>
      </c>
      <c r="E2787">
        <v>53</v>
      </c>
      <c r="F2787" t="str">
        <f>IF(Table1[[#This Row],[age]]&lt;=25,"18-25",IF(Table1[[#This Row],[age]]&lt;=35,"26-35",IF(Table1[[#This Row],[age]]&lt;=50,"36-50","51+")))</f>
        <v>51+</v>
      </c>
      <c r="G2787" t="s">
        <v>54</v>
      </c>
      <c r="H2787" t="s">
        <v>80</v>
      </c>
      <c r="I2787" t="s">
        <v>81</v>
      </c>
      <c r="J2787" t="s">
        <v>47</v>
      </c>
      <c r="K2787" t="s">
        <v>48</v>
      </c>
      <c r="L2787">
        <v>5</v>
      </c>
      <c r="M2787">
        <v>1366.96</v>
      </c>
      <c r="N2787">
        <v>0.33</v>
      </c>
      <c r="O2787">
        <v>5049.74</v>
      </c>
      <c r="P2787">
        <v>2062.06</v>
      </c>
      <c r="Q2787">
        <v>90.56</v>
      </c>
      <c r="R2787" t="s">
        <v>49</v>
      </c>
      <c r="S2787">
        <v>1</v>
      </c>
      <c r="T2787" t="b">
        <v>0</v>
      </c>
      <c r="U2787" t="s">
        <v>30</v>
      </c>
      <c r="V2787">
        <v>8</v>
      </c>
    </row>
    <row r="2788" spans="1:22" x14ac:dyDescent="0.25">
      <c r="A2788" t="s">
        <v>6053</v>
      </c>
      <c r="B2788" s="1">
        <v>44058</v>
      </c>
      <c r="C2788" t="s">
        <v>6054</v>
      </c>
      <c r="D2788" t="s">
        <v>2104</v>
      </c>
      <c r="E2788">
        <v>58</v>
      </c>
      <c r="F2788" t="str">
        <f>IF(Table1[[#This Row],[age]]&lt;=25,"18-25",IF(Table1[[#This Row],[age]]&lt;=35,"26-35",IF(Table1[[#This Row],[age]]&lt;=50,"36-50","51+")))</f>
        <v>51+</v>
      </c>
      <c r="G2788" t="s">
        <v>54</v>
      </c>
      <c r="H2788" t="s">
        <v>61</v>
      </c>
      <c r="I2788" t="s">
        <v>62</v>
      </c>
      <c r="J2788" t="s">
        <v>63</v>
      </c>
      <c r="K2788" t="s">
        <v>87</v>
      </c>
      <c r="L2788">
        <v>9</v>
      </c>
      <c r="M2788">
        <v>3838.67</v>
      </c>
      <c r="N2788">
        <v>0.38</v>
      </c>
      <c r="O2788">
        <v>25652.22</v>
      </c>
      <c r="P2788">
        <v>9320.76</v>
      </c>
      <c r="Q2788">
        <v>35.65</v>
      </c>
      <c r="R2788" t="s">
        <v>57</v>
      </c>
      <c r="S2788">
        <v>2</v>
      </c>
      <c r="T2788" t="b">
        <v>1</v>
      </c>
      <c r="U2788" t="s">
        <v>50</v>
      </c>
      <c r="V2788">
        <v>8</v>
      </c>
    </row>
    <row r="2789" spans="1:22" x14ac:dyDescent="0.25">
      <c r="A2789" t="s">
        <v>6055</v>
      </c>
      <c r="B2789" s="1">
        <v>44226</v>
      </c>
      <c r="C2789" t="s">
        <v>6056</v>
      </c>
      <c r="D2789" t="s">
        <v>679</v>
      </c>
      <c r="E2789">
        <v>47</v>
      </c>
      <c r="F2789" t="str">
        <f>IF(Table1[[#This Row],[age]]&lt;=25,"18-25",IF(Table1[[#This Row],[age]]&lt;=35,"26-35",IF(Table1[[#This Row],[age]]&lt;=50,"36-50","51+")))</f>
        <v>36-50</v>
      </c>
      <c r="G2789" t="s">
        <v>34</v>
      </c>
      <c r="H2789" t="s">
        <v>80</v>
      </c>
      <c r="I2789" t="s">
        <v>242</v>
      </c>
      <c r="J2789" t="s">
        <v>101</v>
      </c>
      <c r="K2789" t="s">
        <v>102</v>
      </c>
      <c r="L2789">
        <v>4</v>
      </c>
      <c r="M2789">
        <v>4061.87</v>
      </c>
      <c r="N2789">
        <v>0.15</v>
      </c>
      <c r="O2789">
        <v>11296.47</v>
      </c>
      <c r="P2789">
        <v>2369.9499999999998</v>
      </c>
      <c r="Q2789">
        <v>68.59</v>
      </c>
      <c r="R2789" t="s">
        <v>43</v>
      </c>
      <c r="S2789">
        <v>2</v>
      </c>
      <c r="T2789" t="b">
        <v>0</v>
      </c>
      <c r="U2789" t="s">
        <v>93</v>
      </c>
      <c r="V2789">
        <v>1</v>
      </c>
    </row>
    <row r="2790" spans="1:22" x14ac:dyDescent="0.25">
      <c r="A2790" t="s">
        <v>6057</v>
      </c>
      <c r="B2790" s="1">
        <v>45281</v>
      </c>
      <c r="C2790" t="s">
        <v>6058</v>
      </c>
      <c r="D2790" t="s">
        <v>2037</v>
      </c>
      <c r="E2790">
        <v>40</v>
      </c>
      <c r="F2790" t="str">
        <f>IF(Table1[[#This Row],[age]]&lt;=25,"18-25",IF(Table1[[#This Row],[age]]&lt;=35,"26-35",IF(Table1[[#This Row],[age]]&lt;=50,"36-50","51+")))</f>
        <v>36-50</v>
      </c>
      <c r="G2790" t="s">
        <v>34</v>
      </c>
      <c r="H2790" t="s">
        <v>25</v>
      </c>
      <c r="I2790" t="s">
        <v>26</v>
      </c>
      <c r="J2790" t="s">
        <v>106</v>
      </c>
      <c r="K2790" t="s">
        <v>247</v>
      </c>
      <c r="L2790">
        <v>8</v>
      </c>
      <c r="M2790">
        <v>133.54</v>
      </c>
      <c r="N2790">
        <v>0.25</v>
      </c>
      <c r="O2790">
        <v>700.62</v>
      </c>
      <c r="P2790">
        <v>48.03</v>
      </c>
      <c r="Q2790">
        <v>54.62</v>
      </c>
      <c r="R2790" t="s">
        <v>49</v>
      </c>
      <c r="S2790">
        <v>2</v>
      </c>
      <c r="T2790" t="b">
        <v>0</v>
      </c>
      <c r="U2790" t="s">
        <v>30</v>
      </c>
      <c r="V2790">
        <v>7</v>
      </c>
    </row>
    <row r="2791" spans="1:22" x14ac:dyDescent="0.25">
      <c r="A2791" t="s">
        <v>6059</v>
      </c>
      <c r="B2791" s="1">
        <v>45106</v>
      </c>
      <c r="C2791" t="s">
        <v>6060</v>
      </c>
      <c r="D2791" t="s">
        <v>1761</v>
      </c>
      <c r="E2791">
        <v>33</v>
      </c>
      <c r="F2791" t="str">
        <f>IF(Table1[[#This Row],[age]]&lt;=25,"18-25",IF(Table1[[#This Row],[age]]&lt;=35,"26-35",IF(Table1[[#This Row],[age]]&lt;=50,"36-50","51+")))</f>
        <v>26-35</v>
      </c>
      <c r="G2791" t="s">
        <v>24</v>
      </c>
      <c r="H2791" t="s">
        <v>69</v>
      </c>
      <c r="I2791" t="s">
        <v>221</v>
      </c>
      <c r="J2791" t="s">
        <v>36</v>
      </c>
      <c r="K2791" t="s">
        <v>230</v>
      </c>
      <c r="L2791">
        <v>7</v>
      </c>
      <c r="M2791">
        <v>29626.67</v>
      </c>
      <c r="N2791">
        <v>0.25</v>
      </c>
      <c r="O2791">
        <v>260198.32</v>
      </c>
      <c r="P2791">
        <v>54990.37</v>
      </c>
      <c r="Q2791">
        <v>89.07</v>
      </c>
      <c r="R2791" t="s">
        <v>57</v>
      </c>
      <c r="S2791">
        <v>3</v>
      </c>
      <c r="T2791" t="b">
        <v>0</v>
      </c>
      <c r="U2791" t="s">
        <v>30</v>
      </c>
      <c r="V2791">
        <v>2</v>
      </c>
    </row>
    <row r="2792" spans="1:22" x14ac:dyDescent="0.25">
      <c r="A2792" t="s">
        <v>6061</v>
      </c>
      <c r="B2792" s="1">
        <v>45076</v>
      </c>
      <c r="C2792" t="s">
        <v>6062</v>
      </c>
      <c r="D2792" t="s">
        <v>477</v>
      </c>
      <c r="E2792">
        <v>39</v>
      </c>
      <c r="F2792" t="str">
        <f>IF(Table1[[#This Row],[age]]&lt;=25,"18-25",IF(Table1[[#This Row],[age]]&lt;=35,"26-35",IF(Table1[[#This Row],[age]]&lt;=50,"36-50","51+")))</f>
        <v>36-50</v>
      </c>
      <c r="G2792" t="s">
        <v>34</v>
      </c>
      <c r="H2792" t="s">
        <v>80</v>
      </c>
      <c r="I2792" t="s">
        <v>81</v>
      </c>
      <c r="J2792" t="s">
        <v>47</v>
      </c>
      <c r="K2792" t="s">
        <v>48</v>
      </c>
      <c r="L2792">
        <v>8</v>
      </c>
      <c r="M2792">
        <v>786.23</v>
      </c>
      <c r="N2792">
        <v>0.23</v>
      </c>
      <c r="O2792">
        <v>7962.8</v>
      </c>
      <c r="P2792">
        <v>2889.1</v>
      </c>
      <c r="Q2792">
        <v>89.79</v>
      </c>
      <c r="R2792" t="s">
        <v>49</v>
      </c>
      <c r="S2792">
        <v>4</v>
      </c>
      <c r="T2792" t="b">
        <v>1</v>
      </c>
      <c r="U2792" t="s">
        <v>50</v>
      </c>
      <c r="V2792">
        <v>3</v>
      </c>
    </row>
    <row r="2793" spans="1:22" x14ac:dyDescent="0.25">
      <c r="A2793" t="s">
        <v>6063</v>
      </c>
      <c r="B2793" s="1">
        <v>45530</v>
      </c>
      <c r="C2793" t="s">
        <v>6064</v>
      </c>
      <c r="D2793" t="s">
        <v>1267</v>
      </c>
      <c r="E2793">
        <v>26</v>
      </c>
      <c r="F2793" t="str">
        <f>IF(Table1[[#This Row],[age]]&lt;=25,"18-25",IF(Table1[[#This Row],[age]]&lt;=35,"26-35",IF(Table1[[#This Row],[age]]&lt;=50,"36-50","51+")))</f>
        <v>26-35</v>
      </c>
      <c r="G2793" t="s">
        <v>54</v>
      </c>
      <c r="H2793" t="s">
        <v>61</v>
      </c>
      <c r="I2793" t="s">
        <v>163</v>
      </c>
      <c r="J2793" t="s">
        <v>63</v>
      </c>
      <c r="K2793" t="s">
        <v>82</v>
      </c>
      <c r="L2793">
        <v>2</v>
      </c>
      <c r="M2793">
        <v>2273.4299999999998</v>
      </c>
      <c r="N2793">
        <v>0.19</v>
      </c>
      <c r="O2793">
        <v>6399.63</v>
      </c>
      <c r="P2793">
        <v>2166.56</v>
      </c>
      <c r="Q2793">
        <v>65.89</v>
      </c>
      <c r="R2793" t="s">
        <v>57</v>
      </c>
      <c r="S2793">
        <v>1</v>
      </c>
      <c r="T2793" t="b">
        <v>0</v>
      </c>
      <c r="U2793" t="s">
        <v>30</v>
      </c>
      <c r="V2793">
        <v>5</v>
      </c>
    </row>
    <row r="2794" spans="1:22" x14ac:dyDescent="0.25">
      <c r="A2794" t="s">
        <v>6065</v>
      </c>
      <c r="B2794" s="1">
        <v>45317</v>
      </c>
      <c r="C2794" t="s">
        <v>6066</v>
      </c>
      <c r="D2794" t="s">
        <v>2333</v>
      </c>
      <c r="E2794">
        <v>20</v>
      </c>
      <c r="F2794" t="str">
        <f>IF(Table1[[#This Row],[age]]&lt;=25,"18-25",IF(Table1[[#This Row],[age]]&lt;=35,"26-35",IF(Table1[[#This Row],[age]]&lt;=50,"36-50","51+")))</f>
        <v>18-25</v>
      </c>
      <c r="G2794" t="s">
        <v>54</v>
      </c>
      <c r="H2794" t="s">
        <v>61</v>
      </c>
      <c r="I2794" t="s">
        <v>141</v>
      </c>
      <c r="J2794" t="s">
        <v>106</v>
      </c>
      <c r="K2794" t="s">
        <v>718</v>
      </c>
      <c r="L2794">
        <v>5</v>
      </c>
      <c r="M2794">
        <v>293.8</v>
      </c>
      <c r="N2794">
        <v>0.38</v>
      </c>
      <c r="O2794">
        <v>1025.8</v>
      </c>
      <c r="P2794">
        <v>60.61</v>
      </c>
      <c r="Q2794">
        <v>39.26</v>
      </c>
      <c r="R2794" t="s">
        <v>92</v>
      </c>
      <c r="S2794">
        <v>2</v>
      </c>
      <c r="T2794" t="b">
        <v>0</v>
      </c>
      <c r="U2794" t="s">
        <v>30</v>
      </c>
      <c r="V2794">
        <v>1</v>
      </c>
    </row>
    <row r="2795" spans="1:22" x14ac:dyDescent="0.25">
      <c r="A2795" t="s">
        <v>6067</v>
      </c>
      <c r="B2795" s="1">
        <v>44081</v>
      </c>
      <c r="C2795" t="s">
        <v>6068</v>
      </c>
      <c r="D2795" t="s">
        <v>352</v>
      </c>
      <c r="E2795">
        <v>37</v>
      </c>
      <c r="F2795" t="str">
        <f>IF(Table1[[#This Row],[age]]&lt;=25,"18-25",IF(Table1[[#This Row],[age]]&lt;=35,"26-35",IF(Table1[[#This Row],[age]]&lt;=50,"36-50","51+")))</f>
        <v>36-50</v>
      </c>
      <c r="G2795" t="s">
        <v>24</v>
      </c>
      <c r="H2795" t="s">
        <v>55</v>
      </c>
      <c r="I2795" t="s">
        <v>97</v>
      </c>
      <c r="J2795" t="s">
        <v>101</v>
      </c>
      <c r="K2795" t="s">
        <v>124</v>
      </c>
      <c r="L2795">
        <v>8</v>
      </c>
      <c r="M2795">
        <v>1081.8900000000001</v>
      </c>
      <c r="N2795">
        <v>0.17</v>
      </c>
      <c r="O2795">
        <v>7052.66</v>
      </c>
      <c r="P2795">
        <v>1691.65</v>
      </c>
      <c r="Q2795">
        <v>68.34</v>
      </c>
      <c r="R2795" t="s">
        <v>92</v>
      </c>
      <c r="S2795">
        <v>3</v>
      </c>
      <c r="T2795" t="b">
        <v>0</v>
      </c>
      <c r="U2795" t="s">
        <v>30</v>
      </c>
      <c r="V2795">
        <v>7</v>
      </c>
    </row>
    <row r="2796" spans="1:22" x14ac:dyDescent="0.25">
      <c r="A2796" t="s">
        <v>6069</v>
      </c>
      <c r="B2796" s="1">
        <v>45502</v>
      </c>
      <c r="C2796" t="s">
        <v>6070</v>
      </c>
      <c r="D2796" t="s">
        <v>990</v>
      </c>
      <c r="E2796">
        <v>25</v>
      </c>
      <c r="F2796" t="str">
        <f>IF(Table1[[#This Row],[age]]&lt;=25,"18-25",IF(Table1[[#This Row],[age]]&lt;=35,"26-35",IF(Table1[[#This Row],[age]]&lt;=50,"36-50","51+")))</f>
        <v>18-25</v>
      </c>
      <c r="G2796" t="s">
        <v>24</v>
      </c>
      <c r="H2796" t="s">
        <v>25</v>
      </c>
      <c r="I2796" t="s">
        <v>35</v>
      </c>
      <c r="J2796" t="s">
        <v>27</v>
      </c>
      <c r="K2796" t="s">
        <v>480</v>
      </c>
      <c r="L2796">
        <v>8</v>
      </c>
      <c r="M2796">
        <v>142.19</v>
      </c>
      <c r="N2796">
        <v>0.04</v>
      </c>
      <c r="O2796">
        <v>1840.58</v>
      </c>
      <c r="P2796">
        <v>820.61</v>
      </c>
      <c r="Q2796">
        <v>75.73</v>
      </c>
      <c r="R2796" t="s">
        <v>43</v>
      </c>
      <c r="S2796">
        <v>3</v>
      </c>
      <c r="T2796" t="b">
        <v>0</v>
      </c>
      <c r="U2796" t="s">
        <v>30</v>
      </c>
      <c r="V2796">
        <v>5</v>
      </c>
    </row>
    <row r="2797" spans="1:22" x14ac:dyDescent="0.25">
      <c r="A2797" t="s">
        <v>6071</v>
      </c>
      <c r="B2797" s="1">
        <v>45228</v>
      </c>
      <c r="C2797" t="s">
        <v>6072</v>
      </c>
      <c r="D2797" t="s">
        <v>1433</v>
      </c>
      <c r="E2797">
        <v>28</v>
      </c>
      <c r="F2797" t="str">
        <f>IF(Table1[[#This Row],[age]]&lt;=25,"18-25",IF(Table1[[#This Row],[age]]&lt;=35,"26-35",IF(Table1[[#This Row],[age]]&lt;=50,"36-50","51+")))</f>
        <v>26-35</v>
      </c>
      <c r="G2797" t="s">
        <v>34</v>
      </c>
      <c r="H2797" t="s">
        <v>25</v>
      </c>
      <c r="I2797" t="s">
        <v>41</v>
      </c>
      <c r="J2797" t="s">
        <v>36</v>
      </c>
      <c r="K2797" t="s">
        <v>42</v>
      </c>
      <c r="L2797">
        <v>2</v>
      </c>
      <c r="M2797">
        <v>28320.84</v>
      </c>
      <c r="N2797">
        <v>0.09</v>
      </c>
      <c r="O2797">
        <v>52512.57</v>
      </c>
      <c r="P2797">
        <v>12726.17</v>
      </c>
      <c r="Q2797">
        <v>51.84</v>
      </c>
      <c r="R2797" t="s">
        <v>43</v>
      </c>
      <c r="S2797">
        <v>2</v>
      </c>
      <c r="T2797" t="b">
        <v>0</v>
      </c>
      <c r="U2797" t="s">
        <v>30</v>
      </c>
      <c r="V2797">
        <v>4</v>
      </c>
    </row>
    <row r="2798" spans="1:22" x14ac:dyDescent="0.25">
      <c r="A2798" t="s">
        <v>6073</v>
      </c>
      <c r="B2798" s="1">
        <v>44289</v>
      </c>
      <c r="C2798" t="s">
        <v>6074</v>
      </c>
      <c r="D2798" t="s">
        <v>513</v>
      </c>
      <c r="E2798">
        <v>38</v>
      </c>
      <c r="F2798" t="str">
        <f>IF(Table1[[#This Row],[age]]&lt;=25,"18-25",IF(Table1[[#This Row],[age]]&lt;=35,"26-35",IF(Table1[[#This Row],[age]]&lt;=50,"36-50","51+")))</f>
        <v>36-50</v>
      </c>
      <c r="G2798" t="s">
        <v>34</v>
      </c>
      <c r="H2798" t="s">
        <v>25</v>
      </c>
      <c r="I2798" t="s">
        <v>298</v>
      </c>
      <c r="J2798" t="s">
        <v>63</v>
      </c>
      <c r="K2798" t="s">
        <v>111</v>
      </c>
      <c r="L2798">
        <v>7</v>
      </c>
      <c r="M2798">
        <v>3514.94</v>
      </c>
      <c r="N2798">
        <v>0.24</v>
      </c>
      <c r="O2798">
        <v>21904.97</v>
      </c>
      <c r="P2798">
        <v>8841.56</v>
      </c>
      <c r="Q2798">
        <v>59.33</v>
      </c>
      <c r="R2798" t="s">
        <v>92</v>
      </c>
      <c r="S2798">
        <v>4</v>
      </c>
      <c r="T2798" t="b">
        <v>0</v>
      </c>
      <c r="U2798" t="s">
        <v>30</v>
      </c>
      <c r="V2798">
        <v>10</v>
      </c>
    </row>
    <row r="2799" spans="1:22" x14ac:dyDescent="0.25">
      <c r="A2799" t="s">
        <v>6075</v>
      </c>
      <c r="B2799" s="1">
        <v>44418</v>
      </c>
      <c r="C2799" t="s">
        <v>6076</v>
      </c>
      <c r="D2799" t="s">
        <v>474</v>
      </c>
      <c r="E2799">
        <v>26</v>
      </c>
      <c r="F2799" t="str">
        <f>IF(Table1[[#This Row],[age]]&lt;=25,"18-25",IF(Table1[[#This Row],[age]]&lt;=35,"26-35",IF(Table1[[#This Row],[age]]&lt;=50,"36-50","51+")))</f>
        <v>26-35</v>
      </c>
      <c r="G2799" t="s">
        <v>24</v>
      </c>
      <c r="H2799" t="s">
        <v>55</v>
      </c>
      <c r="I2799" t="s">
        <v>75</v>
      </c>
      <c r="J2799" t="s">
        <v>36</v>
      </c>
      <c r="K2799" t="s">
        <v>37</v>
      </c>
      <c r="L2799">
        <v>8</v>
      </c>
      <c r="M2799">
        <v>29112.080000000002</v>
      </c>
      <c r="N2799">
        <v>0.18</v>
      </c>
      <c r="O2799">
        <v>251589.73</v>
      </c>
      <c r="P2799">
        <v>75733.789999999994</v>
      </c>
      <c r="Q2799">
        <v>27.35</v>
      </c>
      <c r="R2799" t="s">
        <v>43</v>
      </c>
      <c r="S2799">
        <v>1</v>
      </c>
      <c r="T2799" t="b">
        <v>0</v>
      </c>
      <c r="U2799" t="s">
        <v>30</v>
      </c>
      <c r="V2799">
        <v>3</v>
      </c>
    </row>
    <row r="2800" spans="1:22" x14ac:dyDescent="0.25">
      <c r="A2800" t="s">
        <v>6077</v>
      </c>
      <c r="B2800" s="1">
        <v>44231</v>
      </c>
      <c r="C2800" t="s">
        <v>6078</v>
      </c>
      <c r="D2800" t="s">
        <v>33</v>
      </c>
      <c r="E2800">
        <v>35</v>
      </c>
      <c r="F2800" t="str">
        <f>IF(Table1[[#This Row],[age]]&lt;=25,"18-25",IF(Table1[[#This Row],[age]]&lt;=35,"26-35",IF(Table1[[#This Row],[age]]&lt;=50,"36-50","51+")))</f>
        <v>26-35</v>
      </c>
      <c r="G2800" t="s">
        <v>34</v>
      </c>
      <c r="H2800" t="s">
        <v>80</v>
      </c>
      <c r="I2800" t="s">
        <v>242</v>
      </c>
      <c r="J2800" t="s">
        <v>27</v>
      </c>
      <c r="K2800" t="s">
        <v>168</v>
      </c>
      <c r="L2800">
        <v>9</v>
      </c>
      <c r="M2800">
        <v>616.58000000000004</v>
      </c>
      <c r="N2800">
        <v>0.36</v>
      </c>
      <c r="O2800">
        <v>3400.49</v>
      </c>
      <c r="P2800">
        <v>1300.95</v>
      </c>
      <c r="Q2800">
        <v>91.17</v>
      </c>
      <c r="R2800" t="s">
        <v>49</v>
      </c>
      <c r="S2800">
        <v>4</v>
      </c>
      <c r="T2800" t="b">
        <v>0</v>
      </c>
      <c r="U2800" t="s">
        <v>30</v>
      </c>
      <c r="V2800">
        <v>10</v>
      </c>
    </row>
    <row r="2801" spans="1:22" x14ac:dyDescent="0.25">
      <c r="A2801" t="s">
        <v>6079</v>
      </c>
      <c r="B2801" s="1">
        <v>44400</v>
      </c>
      <c r="C2801" t="s">
        <v>6080</v>
      </c>
      <c r="D2801" t="s">
        <v>1303</v>
      </c>
      <c r="E2801">
        <v>29</v>
      </c>
      <c r="F2801" t="str">
        <f>IF(Table1[[#This Row],[age]]&lt;=25,"18-25",IF(Table1[[#This Row],[age]]&lt;=35,"26-35",IF(Table1[[#This Row],[age]]&lt;=50,"36-50","51+")))</f>
        <v>26-35</v>
      </c>
      <c r="G2801" t="s">
        <v>54</v>
      </c>
      <c r="H2801" t="s">
        <v>55</v>
      </c>
      <c r="I2801" t="s">
        <v>114</v>
      </c>
      <c r="J2801" t="s">
        <v>101</v>
      </c>
      <c r="K2801" t="s">
        <v>124</v>
      </c>
      <c r="L2801">
        <v>6</v>
      </c>
      <c r="M2801">
        <v>4001.67</v>
      </c>
      <c r="N2801">
        <v>0.03</v>
      </c>
      <c r="O2801">
        <v>34048.21</v>
      </c>
      <c r="P2801">
        <v>7434.44</v>
      </c>
      <c r="Q2801">
        <v>68.099999999999994</v>
      </c>
      <c r="R2801" t="s">
        <v>65</v>
      </c>
      <c r="S2801">
        <v>5</v>
      </c>
      <c r="T2801" t="b">
        <v>0</v>
      </c>
      <c r="U2801" t="s">
        <v>30</v>
      </c>
      <c r="V2801">
        <v>7</v>
      </c>
    </row>
    <row r="2802" spans="1:22" x14ac:dyDescent="0.25">
      <c r="A2802" t="s">
        <v>6081</v>
      </c>
      <c r="B2802" s="1">
        <v>45015</v>
      </c>
      <c r="C2802" t="s">
        <v>6082</v>
      </c>
      <c r="D2802" t="s">
        <v>1166</v>
      </c>
      <c r="E2802">
        <v>32</v>
      </c>
      <c r="F2802" t="str">
        <f>IF(Table1[[#This Row],[age]]&lt;=25,"18-25",IF(Table1[[#This Row],[age]]&lt;=35,"26-35",IF(Table1[[#This Row],[age]]&lt;=50,"36-50","51+")))</f>
        <v>26-35</v>
      </c>
      <c r="G2802" t="s">
        <v>24</v>
      </c>
      <c r="H2802" t="s">
        <v>61</v>
      </c>
      <c r="I2802" t="s">
        <v>62</v>
      </c>
      <c r="J2802" t="s">
        <v>63</v>
      </c>
      <c r="K2802" t="s">
        <v>87</v>
      </c>
      <c r="L2802">
        <v>8</v>
      </c>
      <c r="M2802">
        <v>1060.79</v>
      </c>
      <c r="N2802">
        <v>0.16</v>
      </c>
      <c r="O2802">
        <v>8629.82</v>
      </c>
      <c r="P2802">
        <v>2159.1999999999998</v>
      </c>
      <c r="Q2802">
        <v>51.46</v>
      </c>
      <c r="R2802" t="s">
        <v>65</v>
      </c>
      <c r="S2802">
        <v>4</v>
      </c>
      <c r="T2802" t="b">
        <v>0</v>
      </c>
      <c r="U2802" t="s">
        <v>193</v>
      </c>
      <c r="V2802">
        <v>7</v>
      </c>
    </row>
    <row r="2803" spans="1:22" x14ac:dyDescent="0.25">
      <c r="A2803" t="s">
        <v>6083</v>
      </c>
      <c r="B2803" s="1">
        <v>45331</v>
      </c>
      <c r="C2803" t="s">
        <v>6084</v>
      </c>
      <c r="D2803" t="s">
        <v>1373</v>
      </c>
      <c r="E2803">
        <v>52</v>
      </c>
      <c r="F2803" t="str">
        <f>IF(Table1[[#This Row],[age]]&lt;=25,"18-25",IF(Table1[[#This Row],[age]]&lt;=35,"26-35",IF(Table1[[#This Row],[age]]&lt;=50,"36-50","51+")))</f>
        <v>51+</v>
      </c>
      <c r="G2803" t="s">
        <v>34</v>
      </c>
      <c r="H2803" t="s">
        <v>69</v>
      </c>
      <c r="I2803" t="s">
        <v>136</v>
      </c>
      <c r="J2803" t="s">
        <v>106</v>
      </c>
      <c r="K2803" t="s">
        <v>314</v>
      </c>
      <c r="L2803">
        <v>8</v>
      </c>
      <c r="M2803">
        <v>465.1</v>
      </c>
      <c r="N2803">
        <v>0.31</v>
      </c>
      <c r="O2803">
        <v>2873.98</v>
      </c>
      <c r="P2803">
        <v>258.85000000000002</v>
      </c>
      <c r="Q2803">
        <v>68.06</v>
      </c>
      <c r="R2803" t="s">
        <v>29</v>
      </c>
      <c r="S2803">
        <v>4</v>
      </c>
      <c r="T2803" t="b">
        <v>0</v>
      </c>
      <c r="U2803" t="s">
        <v>30</v>
      </c>
      <c r="V2803">
        <v>6</v>
      </c>
    </row>
    <row r="2804" spans="1:22" x14ac:dyDescent="0.25">
      <c r="A2804" t="s">
        <v>6085</v>
      </c>
      <c r="B2804" s="1">
        <v>44115</v>
      </c>
      <c r="C2804" t="s">
        <v>6086</v>
      </c>
      <c r="D2804" t="s">
        <v>1436</v>
      </c>
      <c r="E2804">
        <v>44</v>
      </c>
      <c r="F2804" t="str">
        <f>IF(Table1[[#This Row],[age]]&lt;=25,"18-25",IF(Table1[[#This Row],[age]]&lt;=35,"26-35",IF(Table1[[#This Row],[age]]&lt;=50,"36-50","51+")))</f>
        <v>36-50</v>
      </c>
      <c r="G2804" t="s">
        <v>24</v>
      </c>
      <c r="H2804" t="s">
        <v>69</v>
      </c>
      <c r="I2804" t="s">
        <v>221</v>
      </c>
      <c r="J2804" t="s">
        <v>106</v>
      </c>
      <c r="K2804" t="s">
        <v>247</v>
      </c>
      <c r="L2804">
        <v>4</v>
      </c>
      <c r="M2804">
        <v>311.10000000000002</v>
      </c>
      <c r="N2804">
        <v>0.01</v>
      </c>
      <c r="O2804">
        <v>1035.45</v>
      </c>
      <c r="P2804">
        <v>92.22</v>
      </c>
      <c r="Q2804">
        <v>75.239999999999995</v>
      </c>
      <c r="R2804" t="s">
        <v>65</v>
      </c>
      <c r="S2804">
        <v>2</v>
      </c>
      <c r="T2804" t="b">
        <v>0</v>
      </c>
      <c r="U2804" t="s">
        <v>30</v>
      </c>
      <c r="V2804">
        <v>1</v>
      </c>
    </row>
    <row r="2805" spans="1:22" x14ac:dyDescent="0.25">
      <c r="A2805" t="s">
        <v>6087</v>
      </c>
      <c r="B2805" s="1">
        <v>43917</v>
      </c>
      <c r="C2805" t="s">
        <v>6088</v>
      </c>
      <c r="D2805" t="s">
        <v>1370</v>
      </c>
      <c r="E2805">
        <v>26</v>
      </c>
      <c r="F2805" t="str">
        <f>IF(Table1[[#This Row],[age]]&lt;=25,"18-25",IF(Table1[[#This Row],[age]]&lt;=35,"26-35",IF(Table1[[#This Row],[age]]&lt;=50,"36-50","51+")))</f>
        <v>26-35</v>
      </c>
      <c r="G2805" t="s">
        <v>54</v>
      </c>
      <c r="H2805" t="s">
        <v>55</v>
      </c>
      <c r="I2805" t="s">
        <v>75</v>
      </c>
      <c r="J2805" t="s">
        <v>27</v>
      </c>
      <c r="K2805" t="s">
        <v>480</v>
      </c>
      <c r="L2805">
        <v>10</v>
      </c>
      <c r="M2805">
        <v>2466.88</v>
      </c>
      <c r="N2805">
        <v>0.25</v>
      </c>
      <c r="O2805">
        <v>17991.29</v>
      </c>
      <c r="P2805">
        <v>5973.34</v>
      </c>
      <c r="Q2805">
        <v>34.92</v>
      </c>
      <c r="R2805" t="s">
        <v>92</v>
      </c>
      <c r="S2805">
        <v>4</v>
      </c>
      <c r="T2805" t="b">
        <v>0</v>
      </c>
      <c r="U2805" t="s">
        <v>30</v>
      </c>
      <c r="V2805">
        <v>9</v>
      </c>
    </row>
    <row r="2806" spans="1:22" x14ac:dyDescent="0.25">
      <c r="A2806" t="s">
        <v>6089</v>
      </c>
      <c r="B2806" s="1">
        <v>44058</v>
      </c>
      <c r="C2806" t="s">
        <v>6090</v>
      </c>
      <c r="D2806" t="s">
        <v>510</v>
      </c>
      <c r="E2806">
        <v>48</v>
      </c>
      <c r="F2806" t="str">
        <f>IF(Table1[[#This Row],[age]]&lt;=25,"18-25",IF(Table1[[#This Row],[age]]&lt;=35,"26-35",IF(Table1[[#This Row],[age]]&lt;=50,"36-50","51+")))</f>
        <v>36-50</v>
      </c>
      <c r="G2806" t="s">
        <v>34</v>
      </c>
      <c r="H2806" t="s">
        <v>55</v>
      </c>
      <c r="I2806" t="s">
        <v>114</v>
      </c>
      <c r="J2806" t="s">
        <v>36</v>
      </c>
      <c r="K2806" t="s">
        <v>42</v>
      </c>
      <c r="L2806">
        <v>2</v>
      </c>
      <c r="M2806">
        <v>17924.25</v>
      </c>
      <c r="N2806">
        <v>0.15</v>
      </c>
      <c r="O2806">
        <v>40170.17</v>
      </c>
      <c r="P2806">
        <v>13769.68</v>
      </c>
      <c r="Q2806">
        <v>75.45</v>
      </c>
      <c r="R2806" t="s">
        <v>49</v>
      </c>
      <c r="S2806">
        <v>5</v>
      </c>
      <c r="T2806" t="b">
        <v>0</v>
      </c>
      <c r="U2806" t="s">
        <v>30</v>
      </c>
      <c r="V2806">
        <v>10</v>
      </c>
    </row>
    <row r="2807" spans="1:22" x14ac:dyDescent="0.25">
      <c r="A2807" t="s">
        <v>6091</v>
      </c>
      <c r="B2807" s="1">
        <v>44561</v>
      </c>
      <c r="C2807" t="s">
        <v>6092</v>
      </c>
      <c r="D2807" t="s">
        <v>60</v>
      </c>
      <c r="E2807">
        <v>48</v>
      </c>
      <c r="F2807" t="str">
        <f>IF(Table1[[#This Row],[age]]&lt;=25,"18-25",IF(Table1[[#This Row],[age]]&lt;=35,"26-35",IF(Table1[[#This Row],[age]]&lt;=50,"36-50","51+")))</f>
        <v>36-50</v>
      </c>
      <c r="G2807" t="s">
        <v>54</v>
      </c>
      <c r="H2807" t="s">
        <v>61</v>
      </c>
      <c r="I2807" t="s">
        <v>62</v>
      </c>
      <c r="J2807" t="s">
        <v>36</v>
      </c>
      <c r="K2807" t="s">
        <v>132</v>
      </c>
      <c r="L2807">
        <v>10</v>
      </c>
      <c r="M2807">
        <v>33336.04</v>
      </c>
      <c r="N2807">
        <v>0.22</v>
      </c>
      <c r="O2807">
        <v>196057.15</v>
      </c>
      <c r="P2807">
        <v>62738.27</v>
      </c>
      <c r="Q2807">
        <v>43.07</v>
      </c>
      <c r="R2807" t="s">
        <v>43</v>
      </c>
      <c r="S2807">
        <v>2</v>
      </c>
      <c r="T2807" t="b">
        <v>0</v>
      </c>
      <c r="U2807" t="s">
        <v>30</v>
      </c>
      <c r="V2807">
        <v>10</v>
      </c>
    </row>
    <row r="2808" spans="1:22" x14ac:dyDescent="0.25">
      <c r="A2808" t="s">
        <v>6093</v>
      </c>
      <c r="B2808" s="1">
        <v>45464</v>
      </c>
      <c r="C2808" t="s">
        <v>6094</v>
      </c>
      <c r="D2808" t="s">
        <v>1598</v>
      </c>
      <c r="E2808">
        <v>42</v>
      </c>
      <c r="F2808" t="str">
        <f>IF(Table1[[#This Row],[age]]&lt;=25,"18-25",IF(Table1[[#This Row],[age]]&lt;=35,"26-35",IF(Table1[[#This Row],[age]]&lt;=50,"36-50","51+")))</f>
        <v>36-50</v>
      </c>
      <c r="G2808" t="s">
        <v>24</v>
      </c>
      <c r="H2808" t="s">
        <v>69</v>
      </c>
      <c r="I2808" t="s">
        <v>181</v>
      </c>
      <c r="J2808" t="s">
        <v>115</v>
      </c>
      <c r="K2808" t="s">
        <v>545</v>
      </c>
      <c r="L2808">
        <v>6</v>
      </c>
      <c r="M2808">
        <v>72110.58</v>
      </c>
      <c r="N2808">
        <v>0.37</v>
      </c>
      <c r="O2808">
        <v>450289.54</v>
      </c>
      <c r="P2808">
        <v>65004.31</v>
      </c>
      <c r="Q2808">
        <v>70.739999999999995</v>
      </c>
      <c r="R2808" t="s">
        <v>49</v>
      </c>
      <c r="S2808">
        <v>3</v>
      </c>
      <c r="T2808" t="b">
        <v>0</v>
      </c>
      <c r="U2808" t="s">
        <v>193</v>
      </c>
      <c r="V2808">
        <v>9</v>
      </c>
    </row>
    <row r="2809" spans="1:22" x14ac:dyDescent="0.25">
      <c r="A2809" t="s">
        <v>6095</v>
      </c>
      <c r="B2809" s="1">
        <v>45500</v>
      </c>
      <c r="C2809" t="s">
        <v>6096</v>
      </c>
      <c r="D2809" t="s">
        <v>74</v>
      </c>
      <c r="E2809">
        <v>20</v>
      </c>
      <c r="F2809" t="str">
        <f>IF(Table1[[#This Row],[age]]&lt;=25,"18-25",IF(Table1[[#This Row],[age]]&lt;=35,"26-35",IF(Table1[[#This Row],[age]]&lt;=50,"36-50","51+")))</f>
        <v>18-25</v>
      </c>
      <c r="G2809" t="s">
        <v>34</v>
      </c>
      <c r="H2809" t="s">
        <v>69</v>
      </c>
      <c r="I2809" t="s">
        <v>70</v>
      </c>
      <c r="J2809" t="s">
        <v>106</v>
      </c>
      <c r="K2809" t="s">
        <v>107</v>
      </c>
      <c r="L2809">
        <v>7</v>
      </c>
      <c r="M2809">
        <v>75.8</v>
      </c>
      <c r="N2809">
        <v>0.05</v>
      </c>
      <c r="O2809">
        <v>782.05</v>
      </c>
      <c r="P2809">
        <v>70.98</v>
      </c>
      <c r="Q2809">
        <v>62.63</v>
      </c>
      <c r="R2809" t="s">
        <v>92</v>
      </c>
      <c r="S2809">
        <v>4</v>
      </c>
      <c r="T2809" t="b">
        <v>0</v>
      </c>
      <c r="U2809" t="s">
        <v>30</v>
      </c>
      <c r="V2809">
        <v>8</v>
      </c>
    </row>
    <row r="2810" spans="1:22" x14ac:dyDescent="0.25">
      <c r="A2810" t="s">
        <v>6097</v>
      </c>
      <c r="B2810" s="1">
        <v>43922</v>
      </c>
      <c r="C2810" t="s">
        <v>6098</v>
      </c>
      <c r="D2810" t="s">
        <v>705</v>
      </c>
      <c r="E2810">
        <v>29</v>
      </c>
      <c r="F2810" t="str">
        <f>IF(Table1[[#This Row],[age]]&lt;=25,"18-25",IF(Table1[[#This Row],[age]]&lt;=35,"26-35",IF(Table1[[#This Row],[age]]&lt;=50,"36-50","51+")))</f>
        <v>26-35</v>
      </c>
      <c r="G2810" t="s">
        <v>54</v>
      </c>
      <c r="H2810" t="s">
        <v>55</v>
      </c>
      <c r="I2810" t="s">
        <v>75</v>
      </c>
      <c r="J2810" t="s">
        <v>115</v>
      </c>
      <c r="K2810" t="s">
        <v>137</v>
      </c>
      <c r="L2810">
        <v>7</v>
      </c>
      <c r="M2810">
        <v>48050.22</v>
      </c>
      <c r="N2810">
        <v>0.32</v>
      </c>
      <c r="O2810">
        <v>237090.85</v>
      </c>
      <c r="P2810">
        <v>29156.240000000002</v>
      </c>
      <c r="Q2810">
        <v>35.880000000000003</v>
      </c>
      <c r="R2810" t="s">
        <v>29</v>
      </c>
      <c r="S2810">
        <v>4</v>
      </c>
      <c r="T2810" t="b">
        <v>0</v>
      </c>
      <c r="U2810" t="s">
        <v>71</v>
      </c>
      <c r="V2810">
        <v>3</v>
      </c>
    </row>
    <row r="2811" spans="1:22" x14ac:dyDescent="0.25">
      <c r="A2811" t="s">
        <v>6099</v>
      </c>
      <c r="B2811" s="1">
        <v>45150</v>
      </c>
      <c r="C2811" t="s">
        <v>6100</v>
      </c>
      <c r="D2811" t="s">
        <v>2058</v>
      </c>
      <c r="E2811">
        <v>26</v>
      </c>
      <c r="F2811" t="str">
        <f>IF(Table1[[#This Row],[age]]&lt;=25,"18-25",IF(Table1[[#This Row],[age]]&lt;=35,"26-35",IF(Table1[[#This Row],[age]]&lt;=50,"36-50","51+")))</f>
        <v>26-35</v>
      </c>
      <c r="G2811" t="s">
        <v>34</v>
      </c>
      <c r="H2811" t="s">
        <v>69</v>
      </c>
      <c r="I2811" t="s">
        <v>181</v>
      </c>
      <c r="J2811" t="s">
        <v>101</v>
      </c>
      <c r="K2811" t="s">
        <v>164</v>
      </c>
      <c r="L2811">
        <v>9</v>
      </c>
      <c r="M2811">
        <v>905.34</v>
      </c>
      <c r="N2811">
        <v>0.05</v>
      </c>
      <c r="O2811">
        <v>10046.959999999999</v>
      </c>
      <c r="P2811">
        <v>2301.4899999999998</v>
      </c>
      <c r="Q2811">
        <v>59.24</v>
      </c>
      <c r="R2811" t="s">
        <v>92</v>
      </c>
      <c r="S2811">
        <v>1</v>
      </c>
      <c r="T2811" t="b">
        <v>0</v>
      </c>
      <c r="U2811" t="s">
        <v>30</v>
      </c>
      <c r="V2811">
        <v>6</v>
      </c>
    </row>
    <row r="2812" spans="1:22" x14ac:dyDescent="0.25">
      <c r="A2812" t="s">
        <v>6101</v>
      </c>
      <c r="B2812" s="1">
        <v>44364</v>
      </c>
      <c r="C2812" t="s">
        <v>6102</v>
      </c>
      <c r="D2812" t="s">
        <v>449</v>
      </c>
      <c r="E2812">
        <v>22</v>
      </c>
      <c r="F2812" t="str">
        <f>IF(Table1[[#This Row],[age]]&lt;=25,"18-25",IF(Table1[[#This Row],[age]]&lt;=35,"26-35",IF(Table1[[#This Row],[age]]&lt;=50,"36-50","51+")))</f>
        <v>18-25</v>
      </c>
      <c r="G2812" t="s">
        <v>54</v>
      </c>
      <c r="H2812" t="s">
        <v>25</v>
      </c>
      <c r="I2812" t="s">
        <v>41</v>
      </c>
      <c r="J2812" t="s">
        <v>115</v>
      </c>
      <c r="K2812" t="s">
        <v>545</v>
      </c>
      <c r="L2812">
        <v>3</v>
      </c>
      <c r="M2812">
        <v>76896.61</v>
      </c>
      <c r="N2812">
        <v>7.0000000000000007E-2</v>
      </c>
      <c r="O2812">
        <v>332318.84999999998</v>
      </c>
      <c r="P2812">
        <v>37948.79</v>
      </c>
      <c r="Q2812">
        <v>73.13</v>
      </c>
      <c r="R2812" t="s">
        <v>49</v>
      </c>
      <c r="S2812">
        <v>3</v>
      </c>
      <c r="T2812" t="b">
        <v>0</v>
      </c>
      <c r="U2812" t="s">
        <v>93</v>
      </c>
      <c r="V2812">
        <v>5</v>
      </c>
    </row>
    <row r="2813" spans="1:22" x14ac:dyDescent="0.25">
      <c r="A2813" t="s">
        <v>6103</v>
      </c>
      <c r="B2813" s="1">
        <v>43865</v>
      </c>
      <c r="C2813" t="s">
        <v>6104</v>
      </c>
      <c r="D2813" t="s">
        <v>977</v>
      </c>
      <c r="E2813">
        <v>34</v>
      </c>
      <c r="F2813" t="str">
        <f>IF(Table1[[#This Row],[age]]&lt;=25,"18-25",IF(Table1[[#This Row],[age]]&lt;=35,"26-35",IF(Table1[[#This Row],[age]]&lt;=50,"36-50","51+")))</f>
        <v>26-35</v>
      </c>
      <c r="G2813" t="s">
        <v>34</v>
      </c>
      <c r="H2813" t="s">
        <v>61</v>
      </c>
      <c r="I2813" t="s">
        <v>91</v>
      </c>
      <c r="J2813" t="s">
        <v>115</v>
      </c>
      <c r="K2813" t="s">
        <v>145</v>
      </c>
      <c r="L2813">
        <v>7</v>
      </c>
      <c r="M2813">
        <v>60474.12</v>
      </c>
      <c r="N2813">
        <v>0.04</v>
      </c>
      <c r="O2813">
        <v>377022.96</v>
      </c>
      <c r="P2813">
        <v>37668.94</v>
      </c>
      <c r="Q2813">
        <v>62.96</v>
      </c>
      <c r="R2813" t="s">
        <v>92</v>
      </c>
      <c r="S2813">
        <v>4</v>
      </c>
      <c r="T2813" t="b">
        <v>0</v>
      </c>
      <c r="U2813" t="s">
        <v>93</v>
      </c>
      <c r="V2813">
        <v>7</v>
      </c>
    </row>
    <row r="2814" spans="1:22" x14ac:dyDescent="0.25">
      <c r="A2814" t="s">
        <v>6105</v>
      </c>
      <c r="B2814" s="1">
        <v>44448</v>
      </c>
      <c r="C2814" t="s">
        <v>6106</v>
      </c>
      <c r="D2814" t="s">
        <v>1039</v>
      </c>
      <c r="E2814">
        <v>48</v>
      </c>
      <c r="F2814" t="str">
        <f>IF(Table1[[#This Row],[age]]&lt;=25,"18-25",IF(Table1[[#This Row],[age]]&lt;=35,"26-35",IF(Table1[[#This Row],[age]]&lt;=50,"36-50","51+")))</f>
        <v>36-50</v>
      </c>
      <c r="G2814" t="s">
        <v>24</v>
      </c>
      <c r="H2814" t="s">
        <v>69</v>
      </c>
      <c r="I2814" t="s">
        <v>181</v>
      </c>
      <c r="J2814" t="s">
        <v>115</v>
      </c>
      <c r="K2814" t="s">
        <v>137</v>
      </c>
      <c r="L2814">
        <v>5</v>
      </c>
      <c r="M2814">
        <v>77055.5</v>
      </c>
      <c r="N2814">
        <v>0.09</v>
      </c>
      <c r="O2814">
        <v>398426.64</v>
      </c>
      <c r="P2814">
        <v>51765.01</v>
      </c>
      <c r="Q2814">
        <v>68.430000000000007</v>
      </c>
      <c r="R2814" t="s">
        <v>43</v>
      </c>
      <c r="S2814">
        <v>5</v>
      </c>
      <c r="T2814" t="b">
        <v>0</v>
      </c>
      <c r="U2814" t="s">
        <v>30</v>
      </c>
      <c r="V2814">
        <v>6</v>
      </c>
    </row>
    <row r="2815" spans="1:22" x14ac:dyDescent="0.25">
      <c r="A2815" t="s">
        <v>6107</v>
      </c>
      <c r="B2815" s="1">
        <v>45112</v>
      </c>
      <c r="C2815" t="s">
        <v>6108</v>
      </c>
      <c r="D2815" t="s">
        <v>330</v>
      </c>
      <c r="E2815">
        <v>25</v>
      </c>
      <c r="F2815" t="str">
        <f>IF(Table1[[#This Row],[age]]&lt;=25,"18-25",IF(Table1[[#This Row],[age]]&lt;=35,"26-35",IF(Table1[[#This Row],[age]]&lt;=50,"36-50","51+")))</f>
        <v>18-25</v>
      </c>
      <c r="G2815" t="s">
        <v>24</v>
      </c>
      <c r="H2815" t="s">
        <v>61</v>
      </c>
      <c r="I2815" t="s">
        <v>62</v>
      </c>
      <c r="J2815" t="s">
        <v>101</v>
      </c>
      <c r="K2815" t="s">
        <v>214</v>
      </c>
      <c r="L2815">
        <v>3</v>
      </c>
      <c r="M2815">
        <v>13054.7</v>
      </c>
      <c r="N2815">
        <v>0.2</v>
      </c>
      <c r="O2815">
        <v>50129.67</v>
      </c>
      <c r="P2815">
        <v>9740.83</v>
      </c>
      <c r="Q2815">
        <v>41.44</v>
      </c>
      <c r="R2815" t="s">
        <v>65</v>
      </c>
      <c r="S2815">
        <v>2</v>
      </c>
      <c r="T2815" t="b">
        <v>1</v>
      </c>
      <c r="U2815" t="s">
        <v>50</v>
      </c>
      <c r="V2815">
        <v>9</v>
      </c>
    </row>
    <row r="2816" spans="1:22" x14ac:dyDescent="0.25">
      <c r="A2816" t="s">
        <v>6109</v>
      </c>
      <c r="B2816" s="1">
        <v>43916</v>
      </c>
      <c r="C2816" t="s">
        <v>6110</v>
      </c>
      <c r="D2816" t="s">
        <v>1351</v>
      </c>
      <c r="E2816">
        <v>37</v>
      </c>
      <c r="F2816" t="str">
        <f>IF(Table1[[#This Row],[age]]&lt;=25,"18-25",IF(Table1[[#This Row],[age]]&lt;=35,"26-35",IF(Table1[[#This Row],[age]]&lt;=50,"36-50","51+")))</f>
        <v>36-50</v>
      </c>
      <c r="G2816" t="s">
        <v>34</v>
      </c>
      <c r="H2816" t="s">
        <v>80</v>
      </c>
      <c r="I2816" t="s">
        <v>242</v>
      </c>
      <c r="J2816" t="s">
        <v>63</v>
      </c>
      <c r="K2816" t="s">
        <v>111</v>
      </c>
      <c r="L2816">
        <v>2</v>
      </c>
      <c r="M2816">
        <v>2822.43</v>
      </c>
      <c r="N2816">
        <v>0.32</v>
      </c>
      <c r="O2816">
        <v>3893.81</v>
      </c>
      <c r="P2816">
        <v>1101.47</v>
      </c>
      <c r="Q2816">
        <v>41.8</v>
      </c>
      <c r="R2816" t="s">
        <v>49</v>
      </c>
      <c r="S2816">
        <v>2</v>
      </c>
      <c r="T2816" t="b">
        <v>0</v>
      </c>
      <c r="U2816" t="s">
        <v>30</v>
      </c>
      <c r="V2816">
        <v>4</v>
      </c>
    </row>
    <row r="2817" spans="1:22" x14ac:dyDescent="0.25">
      <c r="A2817" t="s">
        <v>6111</v>
      </c>
      <c r="B2817" s="1">
        <v>45494</v>
      </c>
      <c r="C2817" t="s">
        <v>6112</v>
      </c>
      <c r="D2817" t="s">
        <v>3506</v>
      </c>
      <c r="E2817">
        <v>47</v>
      </c>
      <c r="F2817" t="str">
        <f>IF(Table1[[#This Row],[age]]&lt;=25,"18-25",IF(Table1[[#This Row],[age]]&lt;=35,"26-35",IF(Table1[[#This Row],[age]]&lt;=50,"36-50","51+")))</f>
        <v>36-50</v>
      </c>
      <c r="G2817" t="s">
        <v>24</v>
      </c>
      <c r="H2817" t="s">
        <v>25</v>
      </c>
      <c r="I2817" t="s">
        <v>35</v>
      </c>
      <c r="J2817" t="s">
        <v>106</v>
      </c>
      <c r="K2817" t="s">
        <v>314</v>
      </c>
      <c r="L2817">
        <v>7</v>
      </c>
      <c r="M2817">
        <v>488.22</v>
      </c>
      <c r="N2817">
        <v>0.38</v>
      </c>
      <c r="O2817">
        <v>2672.94</v>
      </c>
      <c r="P2817">
        <v>163.37</v>
      </c>
      <c r="Q2817">
        <v>60.37</v>
      </c>
      <c r="R2817" t="s">
        <v>43</v>
      </c>
      <c r="S2817">
        <v>1</v>
      </c>
      <c r="T2817" t="b">
        <v>1</v>
      </c>
      <c r="U2817" t="s">
        <v>50</v>
      </c>
      <c r="V2817">
        <v>8</v>
      </c>
    </row>
    <row r="2818" spans="1:22" x14ac:dyDescent="0.25">
      <c r="A2818" t="s">
        <v>6113</v>
      </c>
      <c r="B2818" s="1">
        <v>43909</v>
      </c>
      <c r="C2818" t="s">
        <v>6114</v>
      </c>
      <c r="D2818" t="s">
        <v>626</v>
      </c>
      <c r="E2818">
        <v>39</v>
      </c>
      <c r="F2818" t="str">
        <f>IF(Table1[[#This Row],[age]]&lt;=25,"18-25",IF(Table1[[#This Row],[age]]&lt;=35,"26-35",IF(Table1[[#This Row],[age]]&lt;=50,"36-50","51+")))</f>
        <v>36-50</v>
      </c>
      <c r="G2818" t="s">
        <v>24</v>
      </c>
      <c r="H2818" t="s">
        <v>80</v>
      </c>
      <c r="I2818" t="s">
        <v>242</v>
      </c>
      <c r="J2818" t="s">
        <v>27</v>
      </c>
      <c r="K2818" t="s">
        <v>128</v>
      </c>
      <c r="L2818">
        <v>2</v>
      </c>
      <c r="M2818">
        <v>691.8</v>
      </c>
      <c r="N2818">
        <v>0.4</v>
      </c>
      <c r="O2818">
        <v>832.4</v>
      </c>
      <c r="P2818">
        <v>369.92</v>
      </c>
      <c r="Q2818">
        <v>65.91</v>
      </c>
      <c r="R2818" t="s">
        <v>29</v>
      </c>
      <c r="S2818">
        <v>5</v>
      </c>
      <c r="T2818" t="b">
        <v>0</v>
      </c>
      <c r="U2818" t="s">
        <v>30</v>
      </c>
      <c r="V2818">
        <v>9</v>
      </c>
    </row>
    <row r="2819" spans="1:22" x14ac:dyDescent="0.25">
      <c r="A2819" t="s">
        <v>6115</v>
      </c>
      <c r="B2819" s="1">
        <v>45500</v>
      </c>
      <c r="C2819" t="s">
        <v>6116</v>
      </c>
      <c r="D2819" t="s">
        <v>96</v>
      </c>
      <c r="E2819">
        <v>36</v>
      </c>
      <c r="F2819" t="str">
        <f>IF(Table1[[#This Row],[age]]&lt;=25,"18-25",IF(Table1[[#This Row],[age]]&lt;=35,"26-35",IF(Table1[[#This Row],[age]]&lt;=50,"36-50","51+")))</f>
        <v>36-50</v>
      </c>
      <c r="G2819" t="s">
        <v>54</v>
      </c>
      <c r="H2819" t="s">
        <v>61</v>
      </c>
      <c r="I2819" t="s">
        <v>163</v>
      </c>
      <c r="J2819" t="s">
        <v>101</v>
      </c>
      <c r="K2819" t="s">
        <v>214</v>
      </c>
      <c r="L2819">
        <v>4</v>
      </c>
      <c r="M2819">
        <v>4702.62</v>
      </c>
      <c r="N2819">
        <v>0.3</v>
      </c>
      <c r="O2819">
        <v>23223.7</v>
      </c>
      <c r="P2819">
        <v>3762.63</v>
      </c>
      <c r="Q2819">
        <v>66.86</v>
      </c>
      <c r="R2819" t="s">
        <v>92</v>
      </c>
      <c r="S2819">
        <v>2</v>
      </c>
      <c r="T2819" t="b">
        <v>0</v>
      </c>
      <c r="U2819" t="s">
        <v>30</v>
      </c>
      <c r="V2819">
        <v>5</v>
      </c>
    </row>
    <row r="2820" spans="1:22" x14ac:dyDescent="0.25">
      <c r="A2820" t="s">
        <v>6117</v>
      </c>
      <c r="B2820" s="1">
        <v>44962</v>
      </c>
      <c r="C2820" t="s">
        <v>6118</v>
      </c>
      <c r="D2820" t="s">
        <v>596</v>
      </c>
      <c r="E2820">
        <v>33</v>
      </c>
      <c r="F2820" t="str">
        <f>IF(Table1[[#This Row],[age]]&lt;=25,"18-25",IF(Table1[[#This Row],[age]]&lt;=35,"26-35",IF(Table1[[#This Row],[age]]&lt;=50,"36-50","51+")))</f>
        <v>26-35</v>
      </c>
      <c r="G2820" t="s">
        <v>34</v>
      </c>
      <c r="H2820" t="s">
        <v>69</v>
      </c>
      <c r="I2820" t="s">
        <v>136</v>
      </c>
      <c r="J2820" t="s">
        <v>106</v>
      </c>
      <c r="K2820" t="s">
        <v>247</v>
      </c>
      <c r="L2820">
        <v>2</v>
      </c>
      <c r="M2820">
        <v>458.79</v>
      </c>
      <c r="N2820">
        <v>0.24</v>
      </c>
      <c r="O2820">
        <v>719.16</v>
      </c>
      <c r="P2820">
        <v>59.83</v>
      </c>
      <c r="Q2820">
        <v>86.04</v>
      </c>
      <c r="R2820" t="s">
        <v>43</v>
      </c>
      <c r="S2820">
        <v>3</v>
      </c>
      <c r="T2820" t="b">
        <v>0</v>
      </c>
      <c r="U2820" t="s">
        <v>71</v>
      </c>
      <c r="V2820">
        <v>6</v>
      </c>
    </row>
    <row r="2821" spans="1:22" x14ac:dyDescent="0.25">
      <c r="A2821" t="s">
        <v>6119</v>
      </c>
      <c r="B2821" s="1">
        <v>45331</v>
      </c>
      <c r="C2821" t="s">
        <v>6120</v>
      </c>
      <c r="D2821" t="s">
        <v>2848</v>
      </c>
      <c r="E2821">
        <v>42</v>
      </c>
      <c r="F2821" t="str">
        <f>IF(Table1[[#This Row],[age]]&lt;=25,"18-25",IF(Table1[[#This Row],[age]]&lt;=35,"26-35",IF(Table1[[#This Row],[age]]&lt;=50,"36-50","51+")))</f>
        <v>36-50</v>
      </c>
      <c r="G2821" t="s">
        <v>54</v>
      </c>
      <c r="H2821" t="s">
        <v>55</v>
      </c>
      <c r="I2821" t="s">
        <v>114</v>
      </c>
      <c r="J2821" t="s">
        <v>106</v>
      </c>
      <c r="K2821" t="s">
        <v>107</v>
      </c>
      <c r="L2821">
        <v>7</v>
      </c>
      <c r="M2821">
        <v>359.97</v>
      </c>
      <c r="N2821">
        <v>0.04</v>
      </c>
      <c r="O2821">
        <v>2544.36</v>
      </c>
      <c r="P2821">
        <v>337.93</v>
      </c>
      <c r="Q2821">
        <v>52.95</v>
      </c>
      <c r="R2821" t="s">
        <v>65</v>
      </c>
      <c r="S2821">
        <v>5</v>
      </c>
      <c r="T2821" t="b">
        <v>0</v>
      </c>
      <c r="U2821" t="s">
        <v>71</v>
      </c>
      <c r="V2821">
        <v>5</v>
      </c>
    </row>
    <row r="2822" spans="1:22" x14ac:dyDescent="0.25">
      <c r="A2822" t="s">
        <v>6121</v>
      </c>
      <c r="B2822" s="1">
        <v>44757</v>
      </c>
      <c r="C2822" t="s">
        <v>6122</v>
      </c>
      <c r="D2822" t="s">
        <v>262</v>
      </c>
      <c r="E2822">
        <v>49</v>
      </c>
      <c r="F2822" t="str">
        <f>IF(Table1[[#This Row],[age]]&lt;=25,"18-25",IF(Table1[[#This Row],[age]]&lt;=35,"26-35",IF(Table1[[#This Row],[age]]&lt;=50,"36-50","51+")))</f>
        <v>36-50</v>
      </c>
      <c r="G2822" t="s">
        <v>54</v>
      </c>
      <c r="H2822" t="s">
        <v>61</v>
      </c>
      <c r="I2822" t="s">
        <v>163</v>
      </c>
      <c r="J2822" t="s">
        <v>106</v>
      </c>
      <c r="K2822" t="s">
        <v>107</v>
      </c>
      <c r="L2822">
        <v>4</v>
      </c>
      <c r="M2822">
        <v>363.4</v>
      </c>
      <c r="N2822">
        <v>0.33</v>
      </c>
      <c r="O2822">
        <v>1689.72</v>
      </c>
      <c r="P2822">
        <v>153.16999999999999</v>
      </c>
      <c r="Q2822">
        <v>55.45</v>
      </c>
      <c r="R2822" t="s">
        <v>49</v>
      </c>
      <c r="S2822">
        <v>1</v>
      </c>
      <c r="T2822" t="b">
        <v>0</v>
      </c>
      <c r="U2822" t="s">
        <v>30</v>
      </c>
      <c r="V2822">
        <v>3</v>
      </c>
    </row>
    <row r="2823" spans="1:22" x14ac:dyDescent="0.25">
      <c r="A2823" t="s">
        <v>6123</v>
      </c>
      <c r="B2823" s="1">
        <v>45523</v>
      </c>
      <c r="C2823" t="s">
        <v>6124</v>
      </c>
      <c r="D2823" t="s">
        <v>2000</v>
      </c>
      <c r="E2823">
        <v>50</v>
      </c>
      <c r="F2823" t="str">
        <f>IF(Table1[[#This Row],[age]]&lt;=25,"18-25",IF(Table1[[#This Row],[age]]&lt;=35,"26-35",IF(Table1[[#This Row],[age]]&lt;=50,"36-50","51+")))</f>
        <v>36-50</v>
      </c>
      <c r="G2823" t="s">
        <v>24</v>
      </c>
      <c r="H2823" t="s">
        <v>69</v>
      </c>
      <c r="I2823" t="s">
        <v>70</v>
      </c>
      <c r="J2823" t="s">
        <v>106</v>
      </c>
      <c r="K2823" t="s">
        <v>107</v>
      </c>
      <c r="L2823">
        <v>4</v>
      </c>
      <c r="M2823">
        <v>169.97</v>
      </c>
      <c r="N2823">
        <v>0.11</v>
      </c>
      <c r="O2823">
        <v>978.94</v>
      </c>
      <c r="P2823">
        <v>86.75</v>
      </c>
      <c r="Q2823">
        <v>73.040000000000006</v>
      </c>
      <c r="R2823" t="s">
        <v>29</v>
      </c>
      <c r="S2823">
        <v>1</v>
      </c>
      <c r="T2823" t="b">
        <v>0</v>
      </c>
      <c r="U2823" t="s">
        <v>30</v>
      </c>
      <c r="V2823">
        <v>9</v>
      </c>
    </row>
    <row r="2824" spans="1:22" x14ac:dyDescent="0.25">
      <c r="A2824" t="s">
        <v>6125</v>
      </c>
      <c r="B2824" s="1">
        <v>45269</v>
      </c>
      <c r="C2824" t="s">
        <v>6126</v>
      </c>
      <c r="D2824" t="s">
        <v>1439</v>
      </c>
      <c r="E2824">
        <v>31</v>
      </c>
      <c r="F2824" t="str">
        <f>IF(Table1[[#This Row],[age]]&lt;=25,"18-25",IF(Table1[[#This Row],[age]]&lt;=35,"26-35",IF(Table1[[#This Row],[age]]&lt;=50,"36-50","51+")))</f>
        <v>26-35</v>
      </c>
      <c r="G2824" t="s">
        <v>34</v>
      </c>
      <c r="H2824" t="s">
        <v>69</v>
      </c>
      <c r="I2824" t="s">
        <v>221</v>
      </c>
      <c r="J2824" t="s">
        <v>106</v>
      </c>
      <c r="K2824" t="s">
        <v>718</v>
      </c>
      <c r="L2824">
        <v>8</v>
      </c>
      <c r="M2824">
        <v>314.32</v>
      </c>
      <c r="N2824">
        <v>0.03</v>
      </c>
      <c r="O2824">
        <v>2055.5500000000002</v>
      </c>
      <c r="P2824">
        <v>180.84</v>
      </c>
      <c r="Q2824">
        <v>99.45</v>
      </c>
      <c r="R2824" t="s">
        <v>29</v>
      </c>
      <c r="S2824">
        <v>1</v>
      </c>
      <c r="T2824" t="b">
        <v>0</v>
      </c>
      <c r="U2824" t="s">
        <v>71</v>
      </c>
      <c r="V2824">
        <v>2</v>
      </c>
    </row>
    <row r="2825" spans="1:22" x14ac:dyDescent="0.25">
      <c r="A2825" t="s">
        <v>6127</v>
      </c>
      <c r="B2825" s="1">
        <v>45156</v>
      </c>
      <c r="C2825" t="s">
        <v>6128</v>
      </c>
      <c r="D2825" t="s">
        <v>1114</v>
      </c>
      <c r="E2825">
        <v>30</v>
      </c>
      <c r="F2825" t="str">
        <f>IF(Table1[[#This Row],[age]]&lt;=25,"18-25",IF(Table1[[#This Row],[age]]&lt;=35,"26-35",IF(Table1[[#This Row],[age]]&lt;=50,"36-50","51+")))</f>
        <v>26-35</v>
      </c>
      <c r="G2825" t="s">
        <v>34</v>
      </c>
      <c r="H2825" t="s">
        <v>69</v>
      </c>
      <c r="I2825" t="s">
        <v>136</v>
      </c>
      <c r="J2825" t="s">
        <v>27</v>
      </c>
      <c r="K2825" t="s">
        <v>480</v>
      </c>
      <c r="L2825">
        <v>1</v>
      </c>
      <c r="M2825">
        <v>133.97999999999999</v>
      </c>
      <c r="N2825">
        <v>0.16</v>
      </c>
      <c r="O2825">
        <v>157</v>
      </c>
      <c r="P2825">
        <v>64.55</v>
      </c>
      <c r="Q2825">
        <v>59.05</v>
      </c>
      <c r="R2825" t="s">
        <v>57</v>
      </c>
      <c r="S2825">
        <v>5</v>
      </c>
      <c r="T2825" t="b">
        <v>0</v>
      </c>
      <c r="U2825" t="s">
        <v>30</v>
      </c>
      <c r="V2825">
        <v>4</v>
      </c>
    </row>
    <row r="2826" spans="1:22" x14ac:dyDescent="0.25">
      <c r="A2826" t="s">
        <v>6129</v>
      </c>
      <c r="B2826" s="1">
        <v>45194</v>
      </c>
      <c r="C2826" t="s">
        <v>6130</v>
      </c>
      <c r="D2826" t="s">
        <v>256</v>
      </c>
      <c r="E2826">
        <v>27</v>
      </c>
      <c r="F2826" t="str">
        <f>IF(Table1[[#This Row],[age]]&lt;=25,"18-25",IF(Table1[[#This Row],[age]]&lt;=35,"26-35",IF(Table1[[#This Row],[age]]&lt;=50,"36-50","51+")))</f>
        <v>26-35</v>
      </c>
      <c r="G2826" t="s">
        <v>24</v>
      </c>
      <c r="H2826" t="s">
        <v>80</v>
      </c>
      <c r="I2826" t="s">
        <v>81</v>
      </c>
      <c r="J2826" t="s">
        <v>115</v>
      </c>
      <c r="K2826" t="s">
        <v>398</v>
      </c>
      <c r="L2826">
        <v>3</v>
      </c>
      <c r="M2826">
        <v>40582.57</v>
      </c>
      <c r="N2826">
        <v>0.22</v>
      </c>
      <c r="O2826">
        <v>118400.61</v>
      </c>
      <c r="P2826">
        <v>13936.96</v>
      </c>
      <c r="Q2826">
        <v>91.9</v>
      </c>
      <c r="R2826" t="s">
        <v>29</v>
      </c>
      <c r="S2826">
        <v>3</v>
      </c>
      <c r="T2826" t="b">
        <v>0</v>
      </c>
      <c r="U2826" t="s">
        <v>71</v>
      </c>
      <c r="V2826">
        <v>4</v>
      </c>
    </row>
    <row r="2827" spans="1:22" x14ac:dyDescent="0.25">
      <c r="A2827" t="s">
        <v>6131</v>
      </c>
      <c r="B2827" s="1">
        <v>44632</v>
      </c>
      <c r="C2827" t="s">
        <v>6132</v>
      </c>
      <c r="D2827" t="s">
        <v>536</v>
      </c>
      <c r="E2827">
        <v>47</v>
      </c>
      <c r="F2827" t="str">
        <f>IF(Table1[[#This Row],[age]]&lt;=25,"18-25",IF(Table1[[#This Row],[age]]&lt;=35,"26-35",IF(Table1[[#This Row],[age]]&lt;=50,"36-50","51+")))</f>
        <v>36-50</v>
      </c>
      <c r="G2827" t="s">
        <v>34</v>
      </c>
      <c r="H2827" t="s">
        <v>55</v>
      </c>
      <c r="I2827" t="s">
        <v>97</v>
      </c>
      <c r="J2827" t="s">
        <v>63</v>
      </c>
      <c r="K2827" t="s">
        <v>111</v>
      </c>
      <c r="L2827">
        <v>1</v>
      </c>
      <c r="M2827">
        <v>1385.37</v>
      </c>
      <c r="N2827">
        <v>0.08</v>
      </c>
      <c r="O2827">
        <v>1543.45</v>
      </c>
      <c r="P2827">
        <v>661.84</v>
      </c>
      <c r="Q2827">
        <v>62.19</v>
      </c>
      <c r="R2827" t="s">
        <v>57</v>
      </c>
      <c r="S2827">
        <v>2</v>
      </c>
      <c r="T2827" t="b">
        <v>0</v>
      </c>
      <c r="U2827" t="s">
        <v>30</v>
      </c>
      <c r="V2827">
        <v>5</v>
      </c>
    </row>
    <row r="2828" spans="1:22" x14ac:dyDescent="0.25">
      <c r="A2828" t="s">
        <v>6133</v>
      </c>
      <c r="B2828" s="1">
        <v>45358</v>
      </c>
      <c r="C2828" t="s">
        <v>2023</v>
      </c>
      <c r="D2828" t="s">
        <v>1573</v>
      </c>
      <c r="E2828">
        <v>41</v>
      </c>
      <c r="F2828" t="str">
        <f>IF(Table1[[#This Row],[age]]&lt;=25,"18-25",IF(Table1[[#This Row],[age]]&lt;=35,"26-35",IF(Table1[[#This Row],[age]]&lt;=50,"36-50","51+")))</f>
        <v>36-50</v>
      </c>
      <c r="G2828" t="s">
        <v>54</v>
      </c>
      <c r="H2828" t="s">
        <v>69</v>
      </c>
      <c r="I2828" t="s">
        <v>221</v>
      </c>
      <c r="J2828" t="s">
        <v>63</v>
      </c>
      <c r="K2828" t="s">
        <v>152</v>
      </c>
      <c r="L2828">
        <v>10</v>
      </c>
      <c r="M2828">
        <v>1320.43</v>
      </c>
      <c r="N2828">
        <v>0.25</v>
      </c>
      <c r="O2828">
        <v>13732.16</v>
      </c>
      <c r="P2828">
        <v>5671.18</v>
      </c>
      <c r="Q2828">
        <v>74.31</v>
      </c>
      <c r="R2828" t="s">
        <v>29</v>
      </c>
      <c r="S2828">
        <v>2</v>
      </c>
      <c r="T2828" t="b">
        <v>0</v>
      </c>
      <c r="U2828" t="s">
        <v>93</v>
      </c>
      <c r="V2828">
        <v>6</v>
      </c>
    </row>
    <row r="2829" spans="1:22" x14ac:dyDescent="0.25">
      <c r="A2829" t="s">
        <v>6134</v>
      </c>
      <c r="B2829" s="1">
        <v>44294</v>
      </c>
      <c r="C2829" t="s">
        <v>6135</v>
      </c>
      <c r="D2829" t="s">
        <v>213</v>
      </c>
      <c r="E2829">
        <v>49</v>
      </c>
      <c r="F2829" t="str">
        <f>IF(Table1[[#This Row],[age]]&lt;=25,"18-25",IF(Table1[[#This Row],[age]]&lt;=35,"26-35",IF(Table1[[#This Row],[age]]&lt;=50,"36-50","51+")))</f>
        <v>36-50</v>
      </c>
      <c r="G2829" t="s">
        <v>54</v>
      </c>
      <c r="H2829" t="s">
        <v>69</v>
      </c>
      <c r="I2829" t="s">
        <v>70</v>
      </c>
      <c r="J2829" t="s">
        <v>36</v>
      </c>
      <c r="K2829" t="s">
        <v>42</v>
      </c>
      <c r="L2829">
        <v>10</v>
      </c>
      <c r="M2829">
        <v>14892.78</v>
      </c>
      <c r="N2829">
        <v>0.21</v>
      </c>
      <c r="O2829">
        <v>168394.7</v>
      </c>
      <c r="P2829">
        <v>64660.74</v>
      </c>
      <c r="Q2829">
        <v>118.18</v>
      </c>
      <c r="R2829" t="s">
        <v>57</v>
      </c>
      <c r="S2829">
        <v>2</v>
      </c>
      <c r="T2829" t="b">
        <v>0</v>
      </c>
      <c r="U2829" t="s">
        <v>93</v>
      </c>
      <c r="V2829">
        <v>8</v>
      </c>
    </row>
    <row r="2830" spans="1:22" x14ac:dyDescent="0.25">
      <c r="A2830" t="s">
        <v>6136</v>
      </c>
      <c r="B2830" s="1">
        <v>44039</v>
      </c>
      <c r="C2830" t="s">
        <v>6137</v>
      </c>
      <c r="D2830" t="s">
        <v>754</v>
      </c>
      <c r="E2830">
        <v>44</v>
      </c>
      <c r="F2830" t="str">
        <f>IF(Table1[[#This Row],[age]]&lt;=25,"18-25",IF(Table1[[#This Row],[age]]&lt;=35,"26-35",IF(Table1[[#This Row],[age]]&lt;=50,"36-50","51+")))</f>
        <v>36-50</v>
      </c>
      <c r="G2830" t="s">
        <v>34</v>
      </c>
      <c r="H2830" t="s">
        <v>69</v>
      </c>
      <c r="I2830" t="s">
        <v>70</v>
      </c>
      <c r="J2830" t="s">
        <v>106</v>
      </c>
      <c r="K2830" t="s">
        <v>331</v>
      </c>
      <c r="L2830">
        <v>1</v>
      </c>
      <c r="M2830">
        <v>117.22</v>
      </c>
      <c r="N2830">
        <v>0.26</v>
      </c>
      <c r="O2830">
        <v>124.38</v>
      </c>
      <c r="P2830">
        <v>11.08</v>
      </c>
      <c r="Q2830">
        <v>84.2</v>
      </c>
      <c r="R2830" t="s">
        <v>57</v>
      </c>
      <c r="S2830">
        <v>2</v>
      </c>
      <c r="T2830" t="b">
        <v>0</v>
      </c>
      <c r="U2830" t="s">
        <v>30</v>
      </c>
      <c r="V2830">
        <v>5</v>
      </c>
    </row>
    <row r="2831" spans="1:22" x14ac:dyDescent="0.25">
      <c r="A2831" t="s">
        <v>6138</v>
      </c>
      <c r="B2831" s="1">
        <v>44003</v>
      </c>
      <c r="C2831" t="s">
        <v>6139</v>
      </c>
      <c r="D2831" t="s">
        <v>621</v>
      </c>
      <c r="E2831">
        <v>27</v>
      </c>
      <c r="F2831" t="str">
        <f>IF(Table1[[#This Row],[age]]&lt;=25,"18-25",IF(Table1[[#This Row],[age]]&lt;=35,"26-35",IF(Table1[[#This Row],[age]]&lt;=50,"36-50","51+")))</f>
        <v>26-35</v>
      </c>
      <c r="G2831" t="s">
        <v>34</v>
      </c>
      <c r="H2831" t="s">
        <v>25</v>
      </c>
      <c r="I2831" t="s">
        <v>298</v>
      </c>
      <c r="J2831" t="s">
        <v>101</v>
      </c>
      <c r="K2831" t="s">
        <v>318</v>
      </c>
      <c r="L2831">
        <v>9</v>
      </c>
      <c r="M2831">
        <v>14879.68</v>
      </c>
      <c r="N2831">
        <v>0.25</v>
      </c>
      <c r="O2831">
        <v>128980.52</v>
      </c>
      <c r="P2831">
        <v>28846.04</v>
      </c>
      <c r="Q2831">
        <v>60</v>
      </c>
      <c r="R2831" t="s">
        <v>57</v>
      </c>
      <c r="S2831">
        <v>3</v>
      </c>
      <c r="T2831" t="b">
        <v>0</v>
      </c>
      <c r="U2831" t="s">
        <v>30</v>
      </c>
      <c r="V2831">
        <v>10</v>
      </c>
    </row>
    <row r="2832" spans="1:22" x14ac:dyDescent="0.25">
      <c r="A2832" t="s">
        <v>6140</v>
      </c>
      <c r="B2832" s="1">
        <v>45351</v>
      </c>
      <c r="C2832" t="s">
        <v>6141</v>
      </c>
      <c r="D2832" t="s">
        <v>471</v>
      </c>
      <c r="E2832">
        <v>39</v>
      </c>
      <c r="F2832" t="str">
        <f>IF(Table1[[#This Row],[age]]&lt;=25,"18-25",IF(Table1[[#This Row],[age]]&lt;=35,"26-35",IF(Table1[[#This Row],[age]]&lt;=50,"36-50","51+")))</f>
        <v>36-50</v>
      </c>
      <c r="G2832" t="s">
        <v>54</v>
      </c>
      <c r="H2832" t="s">
        <v>25</v>
      </c>
      <c r="I2832" t="s">
        <v>35</v>
      </c>
      <c r="J2832" t="s">
        <v>115</v>
      </c>
      <c r="K2832" t="s">
        <v>197</v>
      </c>
      <c r="L2832">
        <v>8</v>
      </c>
      <c r="M2832">
        <v>22744.84</v>
      </c>
      <c r="N2832">
        <v>0.03</v>
      </c>
      <c r="O2832">
        <v>181169.01</v>
      </c>
      <c r="P2832">
        <v>15125.76</v>
      </c>
      <c r="Q2832">
        <v>75.81</v>
      </c>
      <c r="R2832" t="s">
        <v>43</v>
      </c>
      <c r="S2832">
        <v>1</v>
      </c>
      <c r="T2832" t="b">
        <v>0</v>
      </c>
      <c r="U2832" t="s">
        <v>93</v>
      </c>
      <c r="V2832">
        <v>3</v>
      </c>
    </row>
    <row r="2833" spans="1:22" x14ac:dyDescent="0.25">
      <c r="A2833" t="s">
        <v>6142</v>
      </c>
      <c r="B2833" s="1">
        <v>43844</v>
      </c>
      <c r="C2833" t="s">
        <v>6143</v>
      </c>
      <c r="D2833" t="s">
        <v>679</v>
      </c>
      <c r="E2833">
        <v>26</v>
      </c>
      <c r="F2833" t="str">
        <f>IF(Table1[[#This Row],[age]]&lt;=25,"18-25",IF(Table1[[#This Row],[age]]&lt;=35,"26-35",IF(Table1[[#This Row],[age]]&lt;=50,"36-50","51+")))</f>
        <v>26-35</v>
      </c>
      <c r="G2833" t="s">
        <v>54</v>
      </c>
      <c r="H2833" t="s">
        <v>69</v>
      </c>
      <c r="I2833" t="s">
        <v>70</v>
      </c>
      <c r="J2833" t="s">
        <v>36</v>
      </c>
      <c r="K2833" t="s">
        <v>230</v>
      </c>
      <c r="L2833">
        <v>3</v>
      </c>
      <c r="M2833">
        <v>12822.15</v>
      </c>
      <c r="N2833">
        <v>0.01</v>
      </c>
      <c r="O2833">
        <v>29713.41</v>
      </c>
      <c r="P2833">
        <v>10599.17</v>
      </c>
      <c r="Q2833">
        <v>86.21</v>
      </c>
      <c r="R2833" t="s">
        <v>65</v>
      </c>
      <c r="S2833">
        <v>2</v>
      </c>
      <c r="T2833" t="b">
        <v>1</v>
      </c>
      <c r="U2833" t="s">
        <v>50</v>
      </c>
      <c r="V2833">
        <v>9</v>
      </c>
    </row>
    <row r="2834" spans="1:22" x14ac:dyDescent="0.25">
      <c r="A2834" t="s">
        <v>6144</v>
      </c>
      <c r="B2834" s="1">
        <v>44813</v>
      </c>
      <c r="C2834" t="s">
        <v>6145</v>
      </c>
      <c r="D2834" t="s">
        <v>1436</v>
      </c>
      <c r="E2834">
        <v>33</v>
      </c>
      <c r="F2834" t="str">
        <f>IF(Table1[[#This Row],[age]]&lt;=25,"18-25",IF(Table1[[#This Row],[age]]&lt;=35,"26-35",IF(Table1[[#This Row],[age]]&lt;=50,"36-50","51+")))</f>
        <v>26-35</v>
      </c>
      <c r="G2834" t="s">
        <v>54</v>
      </c>
      <c r="H2834" t="s">
        <v>61</v>
      </c>
      <c r="I2834" t="s">
        <v>91</v>
      </c>
      <c r="J2834" t="s">
        <v>36</v>
      </c>
      <c r="K2834" t="s">
        <v>230</v>
      </c>
      <c r="L2834">
        <v>10</v>
      </c>
      <c r="M2834">
        <v>5472.78</v>
      </c>
      <c r="N2834">
        <v>0.24</v>
      </c>
      <c r="O2834">
        <v>53170.77</v>
      </c>
      <c r="P2834">
        <v>15999.21</v>
      </c>
      <c r="Q2834">
        <v>73.94</v>
      </c>
      <c r="R2834" t="s">
        <v>29</v>
      </c>
      <c r="S2834">
        <v>4</v>
      </c>
      <c r="T2834" t="b">
        <v>0</v>
      </c>
      <c r="U2834" t="s">
        <v>30</v>
      </c>
      <c r="V2834">
        <v>9</v>
      </c>
    </row>
    <row r="2835" spans="1:22" x14ac:dyDescent="0.25">
      <c r="A2835" t="s">
        <v>6146</v>
      </c>
      <c r="B2835" s="1">
        <v>44981</v>
      </c>
      <c r="C2835" t="s">
        <v>6147</v>
      </c>
      <c r="D2835" t="s">
        <v>2232</v>
      </c>
      <c r="E2835">
        <v>41</v>
      </c>
      <c r="F2835" t="str">
        <f>IF(Table1[[#This Row],[age]]&lt;=25,"18-25",IF(Table1[[#This Row],[age]]&lt;=35,"26-35",IF(Table1[[#This Row],[age]]&lt;=50,"36-50","51+")))</f>
        <v>36-50</v>
      </c>
      <c r="G2835" t="s">
        <v>34</v>
      </c>
      <c r="H2835" t="s">
        <v>69</v>
      </c>
      <c r="I2835" t="s">
        <v>221</v>
      </c>
      <c r="J2835" t="s">
        <v>106</v>
      </c>
      <c r="K2835" t="s">
        <v>107</v>
      </c>
      <c r="L2835">
        <v>5</v>
      </c>
      <c r="M2835">
        <v>97.04</v>
      </c>
      <c r="N2835">
        <v>7.0000000000000007E-2</v>
      </c>
      <c r="O2835">
        <v>446.89</v>
      </c>
      <c r="P2835">
        <v>48.71</v>
      </c>
      <c r="Q2835">
        <v>82.24</v>
      </c>
      <c r="R2835" t="s">
        <v>92</v>
      </c>
      <c r="S2835">
        <v>1</v>
      </c>
      <c r="T2835" t="b">
        <v>0</v>
      </c>
      <c r="U2835" t="s">
        <v>30</v>
      </c>
      <c r="V2835">
        <v>3</v>
      </c>
    </row>
    <row r="2836" spans="1:22" x14ac:dyDescent="0.25">
      <c r="A2836" t="s">
        <v>6148</v>
      </c>
      <c r="B2836" s="1">
        <v>43943</v>
      </c>
      <c r="C2836" t="s">
        <v>6149</v>
      </c>
      <c r="D2836" t="s">
        <v>556</v>
      </c>
      <c r="E2836">
        <v>50</v>
      </c>
      <c r="F2836" t="str">
        <f>IF(Table1[[#This Row],[age]]&lt;=25,"18-25",IF(Table1[[#This Row],[age]]&lt;=35,"26-35",IF(Table1[[#This Row],[age]]&lt;=50,"36-50","51+")))</f>
        <v>36-50</v>
      </c>
      <c r="G2836" t="s">
        <v>24</v>
      </c>
      <c r="H2836" t="s">
        <v>69</v>
      </c>
      <c r="I2836" t="s">
        <v>70</v>
      </c>
      <c r="J2836" t="s">
        <v>47</v>
      </c>
      <c r="K2836" t="s">
        <v>120</v>
      </c>
      <c r="L2836">
        <v>8</v>
      </c>
      <c r="M2836">
        <v>724.91</v>
      </c>
      <c r="N2836">
        <v>0.39</v>
      </c>
      <c r="O2836">
        <v>3949.85</v>
      </c>
      <c r="P2836">
        <v>1441.05</v>
      </c>
      <c r="Q2836">
        <v>80.319999999999993</v>
      </c>
      <c r="R2836" t="s">
        <v>92</v>
      </c>
      <c r="S2836">
        <v>3</v>
      </c>
      <c r="T2836" t="b">
        <v>0</v>
      </c>
      <c r="U2836" t="s">
        <v>193</v>
      </c>
      <c r="V2836">
        <v>1</v>
      </c>
    </row>
    <row r="2837" spans="1:22" x14ac:dyDescent="0.25">
      <c r="A2837" t="s">
        <v>6150</v>
      </c>
      <c r="B2837" s="1">
        <v>44981</v>
      </c>
      <c r="C2837" t="s">
        <v>6151</v>
      </c>
      <c r="D2837" t="s">
        <v>751</v>
      </c>
      <c r="E2837">
        <v>46</v>
      </c>
      <c r="F2837" t="str">
        <f>IF(Table1[[#This Row],[age]]&lt;=25,"18-25",IF(Table1[[#This Row],[age]]&lt;=35,"26-35",IF(Table1[[#This Row],[age]]&lt;=50,"36-50","51+")))</f>
        <v>36-50</v>
      </c>
      <c r="G2837" t="s">
        <v>54</v>
      </c>
      <c r="H2837" t="s">
        <v>61</v>
      </c>
      <c r="I2837" t="s">
        <v>141</v>
      </c>
      <c r="J2837" t="s">
        <v>36</v>
      </c>
      <c r="K2837" t="s">
        <v>132</v>
      </c>
      <c r="L2837">
        <v>8</v>
      </c>
      <c r="M2837">
        <v>24561.25</v>
      </c>
      <c r="N2837">
        <v>0.33</v>
      </c>
      <c r="O2837">
        <v>140193.35999999999</v>
      </c>
      <c r="P2837">
        <v>31348.77</v>
      </c>
      <c r="Q2837">
        <v>47.2</v>
      </c>
      <c r="R2837" t="s">
        <v>57</v>
      </c>
      <c r="S2837">
        <v>2</v>
      </c>
      <c r="T2837" t="b">
        <v>0</v>
      </c>
      <c r="U2837" t="s">
        <v>30</v>
      </c>
      <c r="V2837">
        <v>1</v>
      </c>
    </row>
    <row r="2838" spans="1:22" x14ac:dyDescent="0.25">
      <c r="A2838" t="s">
        <v>6152</v>
      </c>
      <c r="B2838" s="1">
        <v>44314</v>
      </c>
      <c r="C2838" t="s">
        <v>6153</v>
      </c>
      <c r="D2838" t="s">
        <v>977</v>
      </c>
      <c r="E2838">
        <v>49</v>
      </c>
      <c r="F2838" t="str">
        <f>IF(Table1[[#This Row],[age]]&lt;=25,"18-25",IF(Table1[[#This Row],[age]]&lt;=35,"26-35",IF(Table1[[#This Row],[age]]&lt;=50,"36-50","51+")))</f>
        <v>36-50</v>
      </c>
      <c r="G2838" t="s">
        <v>24</v>
      </c>
      <c r="H2838" t="s">
        <v>80</v>
      </c>
      <c r="I2838" t="s">
        <v>236</v>
      </c>
      <c r="J2838" t="s">
        <v>36</v>
      </c>
      <c r="K2838" t="s">
        <v>243</v>
      </c>
      <c r="L2838">
        <v>8</v>
      </c>
      <c r="M2838">
        <v>13756.55</v>
      </c>
      <c r="N2838">
        <v>0.36</v>
      </c>
      <c r="O2838">
        <v>88558.6</v>
      </c>
      <c r="P2838">
        <v>31183.119999999999</v>
      </c>
      <c r="Q2838">
        <v>80.06</v>
      </c>
      <c r="R2838" t="s">
        <v>57</v>
      </c>
      <c r="S2838">
        <v>2</v>
      </c>
      <c r="T2838" t="b">
        <v>0</v>
      </c>
      <c r="U2838" t="s">
        <v>30</v>
      </c>
      <c r="V2838">
        <v>10</v>
      </c>
    </row>
    <row r="2839" spans="1:22" x14ac:dyDescent="0.25">
      <c r="A2839" t="s">
        <v>6154</v>
      </c>
      <c r="B2839" s="1">
        <v>44411</v>
      </c>
      <c r="C2839" t="s">
        <v>6155</v>
      </c>
      <c r="D2839" t="s">
        <v>1436</v>
      </c>
      <c r="E2839">
        <v>30</v>
      </c>
      <c r="F2839" t="str">
        <f>IF(Table1[[#This Row],[age]]&lt;=25,"18-25",IF(Table1[[#This Row],[age]]&lt;=35,"26-35",IF(Table1[[#This Row],[age]]&lt;=50,"36-50","51+")))</f>
        <v>26-35</v>
      </c>
      <c r="G2839" t="s">
        <v>54</v>
      </c>
      <c r="H2839" t="s">
        <v>25</v>
      </c>
      <c r="I2839" t="s">
        <v>35</v>
      </c>
      <c r="J2839" t="s">
        <v>115</v>
      </c>
      <c r="K2839" t="s">
        <v>398</v>
      </c>
      <c r="L2839">
        <v>5</v>
      </c>
      <c r="M2839">
        <v>53420.53</v>
      </c>
      <c r="N2839">
        <v>0.16</v>
      </c>
      <c r="O2839">
        <v>268730.15000000002</v>
      </c>
      <c r="P2839">
        <v>18234.55</v>
      </c>
      <c r="Q2839">
        <v>49.75</v>
      </c>
      <c r="R2839" t="s">
        <v>29</v>
      </c>
      <c r="S2839">
        <v>4</v>
      </c>
      <c r="T2839" t="b">
        <v>0</v>
      </c>
      <c r="U2839" t="s">
        <v>30</v>
      </c>
      <c r="V2839">
        <v>3</v>
      </c>
    </row>
    <row r="2840" spans="1:22" x14ac:dyDescent="0.25">
      <c r="A2840" t="s">
        <v>6156</v>
      </c>
      <c r="B2840" s="1">
        <v>45223</v>
      </c>
      <c r="C2840" t="s">
        <v>6157</v>
      </c>
      <c r="D2840" t="s">
        <v>789</v>
      </c>
      <c r="E2840">
        <v>30</v>
      </c>
      <c r="F2840" t="str">
        <f>IF(Table1[[#This Row],[age]]&lt;=25,"18-25",IF(Table1[[#This Row],[age]]&lt;=35,"26-35",IF(Table1[[#This Row],[age]]&lt;=50,"36-50","51+")))</f>
        <v>26-35</v>
      </c>
      <c r="G2840" t="s">
        <v>24</v>
      </c>
      <c r="H2840" t="s">
        <v>61</v>
      </c>
      <c r="I2840" t="s">
        <v>141</v>
      </c>
      <c r="J2840" t="s">
        <v>47</v>
      </c>
      <c r="K2840" t="s">
        <v>272</v>
      </c>
      <c r="L2840">
        <v>6</v>
      </c>
      <c r="M2840">
        <v>452.9</v>
      </c>
      <c r="N2840">
        <v>0.01</v>
      </c>
      <c r="O2840">
        <v>2766.66</v>
      </c>
      <c r="P2840">
        <v>1043.0999999999999</v>
      </c>
      <c r="Q2840">
        <v>58.82</v>
      </c>
      <c r="R2840" t="s">
        <v>92</v>
      </c>
      <c r="S2840">
        <v>1</v>
      </c>
      <c r="T2840" t="b">
        <v>0</v>
      </c>
      <c r="U2840" t="s">
        <v>30</v>
      </c>
      <c r="V2840">
        <v>3</v>
      </c>
    </row>
    <row r="2841" spans="1:22" x14ac:dyDescent="0.25">
      <c r="A2841" t="s">
        <v>6158</v>
      </c>
      <c r="B2841" s="1">
        <v>44907</v>
      </c>
      <c r="C2841" t="s">
        <v>6159</v>
      </c>
      <c r="D2841" t="s">
        <v>643</v>
      </c>
      <c r="E2841">
        <v>32</v>
      </c>
      <c r="F2841" t="str">
        <f>IF(Table1[[#This Row],[age]]&lt;=25,"18-25",IF(Table1[[#This Row],[age]]&lt;=35,"26-35",IF(Table1[[#This Row],[age]]&lt;=50,"36-50","51+")))</f>
        <v>26-35</v>
      </c>
      <c r="G2841" t="s">
        <v>24</v>
      </c>
      <c r="H2841" t="s">
        <v>80</v>
      </c>
      <c r="I2841" t="s">
        <v>236</v>
      </c>
      <c r="J2841" t="s">
        <v>115</v>
      </c>
      <c r="K2841" t="s">
        <v>197</v>
      </c>
      <c r="L2841">
        <v>3</v>
      </c>
      <c r="M2841">
        <v>58643.55</v>
      </c>
      <c r="N2841">
        <v>0.18</v>
      </c>
      <c r="O2841">
        <v>104290.62</v>
      </c>
      <c r="P2841">
        <v>10501.29</v>
      </c>
      <c r="Q2841">
        <v>67.56</v>
      </c>
      <c r="R2841" t="s">
        <v>57</v>
      </c>
      <c r="S2841">
        <v>3</v>
      </c>
      <c r="T2841" t="b">
        <v>0</v>
      </c>
      <c r="U2841" t="s">
        <v>71</v>
      </c>
      <c r="V2841">
        <v>2</v>
      </c>
    </row>
    <row r="2842" spans="1:22" x14ac:dyDescent="0.25">
      <c r="A2842" t="s">
        <v>6160</v>
      </c>
      <c r="B2842" s="1">
        <v>45106</v>
      </c>
      <c r="C2842" t="s">
        <v>6161</v>
      </c>
      <c r="D2842" t="s">
        <v>180</v>
      </c>
      <c r="E2842">
        <v>53</v>
      </c>
      <c r="F2842" t="str">
        <f>IF(Table1[[#This Row],[age]]&lt;=25,"18-25",IF(Table1[[#This Row],[age]]&lt;=35,"26-35",IF(Table1[[#This Row],[age]]&lt;=50,"36-50","51+")))</f>
        <v>51+</v>
      </c>
      <c r="G2842" t="s">
        <v>54</v>
      </c>
      <c r="H2842" t="s">
        <v>61</v>
      </c>
      <c r="I2842" t="s">
        <v>62</v>
      </c>
      <c r="J2842" t="s">
        <v>47</v>
      </c>
      <c r="K2842" t="s">
        <v>204</v>
      </c>
      <c r="L2842">
        <v>4</v>
      </c>
      <c r="M2842">
        <v>254.4</v>
      </c>
      <c r="N2842">
        <v>0.04</v>
      </c>
      <c r="O2842">
        <v>1971.55</v>
      </c>
      <c r="P2842">
        <v>765.6</v>
      </c>
      <c r="Q2842">
        <v>70.91</v>
      </c>
      <c r="R2842" t="s">
        <v>49</v>
      </c>
      <c r="S2842">
        <v>4</v>
      </c>
      <c r="T2842" t="b">
        <v>0</v>
      </c>
      <c r="U2842" t="s">
        <v>30</v>
      </c>
      <c r="V2842">
        <v>7</v>
      </c>
    </row>
    <row r="2843" spans="1:22" x14ac:dyDescent="0.25">
      <c r="A2843" t="s">
        <v>6162</v>
      </c>
      <c r="B2843" s="1">
        <v>45151</v>
      </c>
      <c r="C2843" t="s">
        <v>6163</v>
      </c>
      <c r="D2843" t="s">
        <v>452</v>
      </c>
      <c r="E2843">
        <v>38</v>
      </c>
      <c r="F2843" t="str">
        <f>IF(Table1[[#This Row],[age]]&lt;=25,"18-25",IF(Table1[[#This Row],[age]]&lt;=35,"26-35",IF(Table1[[#This Row],[age]]&lt;=50,"36-50","51+")))</f>
        <v>36-50</v>
      </c>
      <c r="G2843" t="s">
        <v>34</v>
      </c>
      <c r="H2843" t="s">
        <v>69</v>
      </c>
      <c r="I2843" t="s">
        <v>136</v>
      </c>
      <c r="J2843" t="s">
        <v>101</v>
      </c>
      <c r="K2843" t="s">
        <v>318</v>
      </c>
      <c r="L2843">
        <v>7</v>
      </c>
      <c r="M2843">
        <v>13199.66</v>
      </c>
      <c r="N2843">
        <v>0.23</v>
      </c>
      <c r="O2843">
        <v>101253.81</v>
      </c>
      <c r="P2843">
        <v>23525.51</v>
      </c>
      <c r="Q2843">
        <v>75.760000000000005</v>
      </c>
      <c r="R2843" t="s">
        <v>49</v>
      </c>
      <c r="S2843">
        <v>4</v>
      </c>
      <c r="T2843" t="b">
        <v>0</v>
      </c>
      <c r="U2843" t="s">
        <v>30</v>
      </c>
      <c r="V2843">
        <v>9</v>
      </c>
    </row>
    <row r="2844" spans="1:22" x14ac:dyDescent="0.25">
      <c r="A2844" t="s">
        <v>6164</v>
      </c>
      <c r="B2844" s="1">
        <v>45159</v>
      </c>
      <c r="C2844" t="s">
        <v>6165</v>
      </c>
      <c r="D2844" t="s">
        <v>1736</v>
      </c>
      <c r="E2844">
        <v>32</v>
      </c>
      <c r="F2844" t="str">
        <f>IF(Table1[[#This Row],[age]]&lt;=25,"18-25",IF(Table1[[#This Row],[age]]&lt;=35,"26-35",IF(Table1[[#This Row],[age]]&lt;=50,"36-50","51+")))</f>
        <v>26-35</v>
      </c>
      <c r="G2844" t="s">
        <v>54</v>
      </c>
      <c r="H2844" t="s">
        <v>69</v>
      </c>
      <c r="I2844" t="s">
        <v>181</v>
      </c>
      <c r="J2844" t="s">
        <v>47</v>
      </c>
      <c r="K2844" t="s">
        <v>272</v>
      </c>
      <c r="L2844">
        <v>3</v>
      </c>
      <c r="M2844">
        <v>761.02</v>
      </c>
      <c r="N2844">
        <v>0.23</v>
      </c>
      <c r="O2844">
        <v>2331.91</v>
      </c>
      <c r="P2844">
        <v>1183.07</v>
      </c>
      <c r="Q2844">
        <v>118.86</v>
      </c>
      <c r="R2844" t="s">
        <v>57</v>
      </c>
      <c r="S2844">
        <v>3</v>
      </c>
      <c r="T2844" t="b">
        <v>0</v>
      </c>
      <c r="U2844" t="s">
        <v>30</v>
      </c>
      <c r="V2844">
        <v>7</v>
      </c>
    </row>
    <row r="2845" spans="1:22" x14ac:dyDescent="0.25">
      <c r="A2845" t="s">
        <v>6166</v>
      </c>
      <c r="B2845" s="1">
        <v>45654</v>
      </c>
      <c r="C2845" t="s">
        <v>6167</v>
      </c>
      <c r="D2845" t="s">
        <v>420</v>
      </c>
      <c r="E2845">
        <v>56</v>
      </c>
      <c r="F2845" t="str">
        <f>IF(Table1[[#This Row],[age]]&lt;=25,"18-25",IF(Table1[[#This Row],[age]]&lt;=35,"26-35",IF(Table1[[#This Row],[age]]&lt;=50,"36-50","51+")))</f>
        <v>51+</v>
      </c>
      <c r="G2845" t="s">
        <v>24</v>
      </c>
      <c r="H2845" t="s">
        <v>61</v>
      </c>
      <c r="I2845" t="s">
        <v>163</v>
      </c>
      <c r="J2845" t="s">
        <v>47</v>
      </c>
      <c r="K2845" t="s">
        <v>600</v>
      </c>
      <c r="L2845">
        <v>2</v>
      </c>
      <c r="M2845">
        <v>709.51</v>
      </c>
      <c r="N2845">
        <v>0.08</v>
      </c>
      <c r="O2845">
        <v>1228.8699999999999</v>
      </c>
      <c r="P2845">
        <v>481.53</v>
      </c>
      <c r="Q2845">
        <v>18.48</v>
      </c>
      <c r="R2845" t="s">
        <v>92</v>
      </c>
      <c r="S2845">
        <v>5</v>
      </c>
      <c r="T2845" t="b">
        <v>0</v>
      </c>
      <c r="U2845" t="s">
        <v>71</v>
      </c>
      <c r="V2845">
        <v>5</v>
      </c>
    </row>
    <row r="2846" spans="1:22" x14ac:dyDescent="0.25">
      <c r="A2846" t="s">
        <v>6168</v>
      </c>
      <c r="B2846" s="1">
        <v>44550</v>
      </c>
      <c r="C2846" t="s">
        <v>6169</v>
      </c>
      <c r="D2846" t="s">
        <v>123</v>
      </c>
      <c r="E2846">
        <v>40</v>
      </c>
      <c r="F2846" t="str">
        <f>IF(Table1[[#This Row],[age]]&lt;=25,"18-25",IF(Table1[[#This Row],[age]]&lt;=35,"26-35",IF(Table1[[#This Row],[age]]&lt;=50,"36-50","51+")))</f>
        <v>36-50</v>
      </c>
      <c r="G2846" t="s">
        <v>34</v>
      </c>
      <c r="H2846" t="s">
        <v>55</v>
      </c>
      <c r="I2846" t="s">
        <v>56</v>
      </c>
      <c r="J2846" t="s">
        <v>47</v>
      </c>
      <c r="K2846" t="s">
        <v>272</v>
      </c>
      <c r="L2846">
        <v>7</v>
      </c>
      <c r="M2846">
        <v>1347.81</v>
      </c>
      <c r="N2846">
        <v>0.14000000000000001</v>
      </c>
      <c r="O2846">
        <v>5535.71</v>
      </c>
      <c r="P2846">
        <v>1992.64</v>
      </c>
      <c r="Q2846">
        <v>32.85</v>
      </c>
      <c r="R2846" t="s">
        <v>57</v>
      </c>
      <c r="S2846">
        <v>2</v>
      </c>
      <c r="T2846" t="b">
        <v>0</v>
      </c>
      <c r="U2846" t="s">
        <v>30</v>
      </c>
      <c r="V2846">
        <v>9</v>
      </c>
    </row>
    <row r="2847" spans="1:22" x14ac:dyDescent="0.25">
      <c r="A2847" t="s">
        <v>6170</v>
      </c>
      <c r="B2847" s="1">
        <v>44854</v>
      </c>
      <c r="C2847" t="s">
        <v>6171</v>
      </c>
      <c r="D2847" t="s">
        <v>977</v>
      </c>
      <c r="E2847">
        <v>33</v>
      </c>
      <c r="F2847" t="str">
        <f>IF(Table1[[#This Row],[age]]&lt;=25,"18-25",IF(Table1[[#This Row],[age]]&lt;=35,"26-35",IF(Table1[[#This Row],[age]]&lt;=50,"36-50","51+")))</f>
        <v>26-35</v>
      </c>
      <c r="G2847" t="s">
        <v>54</v>
      </c>
      <c r="H2847" t="s">
        <v>69</v>
      </c>
      <c r="I2847" t="s">
        <v>70</v>
      </c>
      <c r="J2847" t="s">
        <v>47</v>
      </c>
      <c r="K2847" t="s">
        <v>600</v>
      </c>
      <c r="L2847">
        <v>6</v>
      </c>
      <c r="M2847">
        <v>353.19</v>
      </c>
      <c r="N2847">
        <v>0.37</v>
      </c>
      <c r="O2847">
        <v>1424.52</v>
      </c>
      <c r="P2847">
        <v>640.89</v>
      </c>
      <c r="Q2847">
        <v>87.77</v>
      </c>
      <c r="R2847" t="s">
        <v>92</v>
      </c>
      <c r="S2847">
        <v>3</v>
      </c>
      <c r="T2847" t="b">
        <v>0</v>
      </c>
      <c r="U2847" t="s">
        <v>30</v>
      </c>
      <c r="V2847">
        <v>7</v>
      </c>
    </row>
    <row r="2848" spans="1:22" x14ac:dyDescent="0.25">
      <c r="A2848" t="s">
        <v>6172</v>
      </c>
      <c r="B2848" s="1">
        <v>44250</v>
      </c>
      <c r="C2848" t="s">
        <v>6173</v>
      </c>
      <c r="D2848" t="s">
        <v>1641</v>
      </c>
      <c r="E2848">
        <v>30</v>
      </c>
      <c r="F2848" t="str">
        <f>IF(Table1[[#This Row],[age]]&lt;=25,"18-25",IF(Table1[[#This Row],[age]]&lt;=35,"26-35",IF(Table1[[#This Row],[age]]&lt;=50,"36-50","51+")))</f>
        <v>26-35</v>
      </c>
      <c r="G2848" t="s">
        <v>24</v>
      </c>
      <c r="H2848" t="s">
        <v>25</v>
      </c>
      <c r="I2848" t="s">
        <v>41</v>
      </c>
      <c r="J2848" t="s">
        <v>63</v>
      </c>
      <c r="K2848" t="s">
        <v>152</v>
      </c>
      <c r="L2848">
        <v>9</v>
      </c>
      <c r="M2848">
        <v>1846.99</v>
      </c>
      <c r="N2848">
        <v>0.32</v>
      </c>
      <c r="O2848">
        <v>9441.56</v>
      </c>
      <c r="P2848">
        <v>3194.01</v>
      </c>
      <c r="Q2848">
        <v>82.33</v>
      </c>
      <c r="R2848" t="s">
        <v>29</v>
      </c>
      <c r="S2848">
        <v>3</v>
      </c>
      <c r="T2848" t="b">
        <v>0</v>
      </c>
      <c r="U2848" t="s">
        <v>30</v>
      </c>
      <c r="V2848">
        <v>6</v>
      </c>
    </row>
    <row r="2849" spans="1:22" x14ac:dyDescent="0.25">
      <c r="A2849" t="s">
        <v>6174</v>
      </c>
      <c r="B2849" s="1">
        <v>45107</v>
      </c>
      <c r="C2849" t="s">
        <v>6175</v>
      </c>
      <c r="D2849" t="s">
        <v>317</v>
      </c>
      <c r="E2849">
        <v>40</v>
      </c>
      <c r="F2849" t="str">
        <f>IF(Table1[[#This Row],[age]]&lt;=25,"18-25",IF(Table1[[#This Row],[age]]&lt;=35,"26-35",IF(Table1[[#This Row],[age]]&lt;=50,"36-50","51+")))</f>
        <v>36-50</v>
      </c>
      <c r="G2849" t="s">
        <v>24</v>
      </c>
      <c r="H2849" t="s">
        <v>61</v>
      </c>
      <c r="I2849" t="s">
        <v>91</v>
      </c>
      <c r="J2849" t="s">
        <v>106</v>
      </c>
      <c r="K2849" t="s">
        <v>247</v>
      </c>
      <c r="L2849">
        <v>5</v>
      </c>
      <c r="M2849">
        <v>306.51</v>
      </c>
      <c r="N2849">
        <v>0.18</v>
      </c>
      <c r="O2849">
        <v>2204.96</v>
      </c>
      <c r="P2849">
        <v>174.67</v>
      </c>
      <c r="Q2849">
        <v>63.22</v>
      </c>
      <c r="R2849" t="s">
        <v>49</v>
      </c>
      <c r="S2849">
        <v>3</v>
      </c>
      <c r="T2849" t="b">
        <v>0</v>
      </c>
      <c r="U2849" t="s">
        <v>30</v>
      </c>
      <c r="V2849">
        <v>3</v>
      </c>
    </row>
    <row r="2850" spans="1:22" x14ac:dyDescent="0.25">
      <c r="A2850" t="s">
        <v>6176</v>
      </c>
      <c r="B2850" s="1">
        <v>44749</v>
      </c>
      <c r="C2850" t="s">
        <v>6177</v>
      </c>
      <c r="D2850" t="s">
        <v>2262</v>
      </c>
      <c r="E2850">
        <v>33</v>
      </c>
      <c r="F2850" t="str">
        <f>IF(Table1[[#This Row],[age]]&lt;=25,"18-25",IF(Table1[[#This Row],[age]]&lt;=35,"26-35",IF(Table1[[#This Row],[age]]&lt;=50,"36-50","51+")))</f>
        <v>26-35</v>
      </c>
      <c r="G2850" t="s">
        <v>34</v>
      </c>
      <c r="H2850" t="s">
        <v>25</v>
      </c>
      <c r="I2850" t="s">
        <v>35</v>
      </c>
      <c r="J2850" t="s">
        <v>36</v>
      </c>
      <c r="K2850" t="s">
        <v>132</v>
      </c>
      <c r="L2850">
        <v>6</v>
      </c>
      <c r="M2850">
        <v>6433.11</v>
      </c>
      <c r="N2850">
        <v>0.05</v>
      </c>
      <c r="O2850">
        <v>51511.32</v>
      </c>
      <c r="P2850">
        <v>11059.52</v>
      </c>
      <c r="Q2850">
        <v>68.209999999999994</v>
      </c>
      <c r="R2850" t="s">
        <v>92</v>
      </c>
      <c r="S2850">
        <v>1</v>
      </c>
      <c r="T2850" t="b">
        <v>0</v>
      </c>
      <c r="U2850" t="s">
        <v>30</v>
      </c>
      <c r="V2850">
        <v>7</v>
      </c>
    </row>
    <row r="2851" spans="1:22" x14ac:dyDescent="0.25">
      <c r="A2851" t="s">
        <v>6178</v>
      </c>
      <c r="B2851" s="1">
        <v>45295</v>
      </c>
      <c r="C2851" t="s">
        <v>6179</v>
      </c>
      <c r="D2851" t="s">
        <v>1223</v>
      </c>
      <c r="E2851">
        <v>23</v>
      </c>
      <c r="F2851" t="str">
        <f>IF(Table1[[#This Row],[age]]&lt;=25,"18-25",IF(Table1[[#This Row],[age]]&lt;=35,"26-35",IF(Table1[[#This Row],[age]]&lt;=50,"36-50","51+")))</f>
        <v>18-25</v>
      </c>
      <c r="G2851" t="s">
        <v>24</v>
      </c>
      <c r="H2851" t="s">
        <v>69</v>
      </c>
      <c r="I2851" t="s">
        <v>136</v>
      </c>
      <c r="J2851" t="s">
        <v>47</v>
      </c>
      <c r="K2851" t="s">
        <v>272</v>
      </c>
      <c r="L2851">
        <v>9</v>
      </c>
      <c r="M2851">
        <v>1151.99</v>
      </c>
      <c r="N2851">
        <v>0.36</v>
      </c>
      <c r="O2851">
        <v>5781.66</v>
      </c>
      <c r="P2851">
        <v>2458.52</v>
      </c>
      <c r="Q2851">
        <v>80.27</v>
      </c>
      <c r="R2851" t="s">
        <v>43</v>
      </c>
      <c r="S2851">
        <v>5</v>
      </c>
      <c r="T2851" t="b">
        <v>0</v>
      </c>
      <c r="U2851" t="s">
        <v>30</v>
      </c>
      <c r="V2851">
        <v>6</v>
      </c>
    </row>
    <row r="2852" spans="1:22" x14ac:dyDescent="0.25">
      <c r="A2852" t="s">
        <v>6180</v>
      </c>
      <c r="B2852" s="1">
        <v>44765</v>
      </c>
      <c r="C2852" t="s">
        <v>6181</v>
      </c>
      <c r="D2852" t="s">
        <v>879</v>
      </c>
      <c r="E2852">
        <v>23</v>
      </c>
      <c r="F2852" t="str">
        <f>IF(Table1[[#This Row],[age]]&lt;=25,"18-25",IF(Table1[[#This Row],[age]]&lt;=35,"26-35",IF(Table1[[#This Row],[age]]&lt;=50,"36-50","51+")))</f>
        <v>18-25</v>
      </c>
      <c r="G2852" t="s">
        <v>24</v>
      </c>
      <c r="H2852" t="s">
        <v>25</v>
      </c>
      <c r="I2852" t="s">
        <v>298</v>
      </c>
      <c r="J2852" t="s">
        <v>47</v>
      </c>
      <c r="K2852" t="s">
        <v>156</v>
      </c>
      <c r="L2852">
        <v>6</v>
      </c>
      <c r="M2852">
        <v>1164.68</v>
      </c>
      <c r="N2852">
        <v>0.35</v>
      </c>
      <c r="O2852">
        <v>5939.75</v>
      </c>
      <c r="P2852">
        <v>1561.14</v>
      </c>
      <c r="Q2852">
        <v>57.35</v>
      </c>
      <c r="R2852" t="s">
        <v>29</v>
      </c>
      <c r="S2852">
        <v>2</v>
      </c>
      <c r="T2852" t="b">
        <v>1</v>
      </c>
      <c r="U2852" t="s">
        <v>50</v>
      </c>
      <c r="V2852">
        <v>5</v>
      </c>
    </row>
    <row r="2853" spans="1:22" x14ac:dyDescent="0.25">
      <c r="A2853" t="s">
        <v>6182</v>
      </c>
      <c r="B2853" s="1">
        <v>44801</v>
      </c>
      <c r="C2853" t="s">
        <v>6183</v>
      </c>
      <c r="D2853" t="s">
        <v>1756</v>
      </c>
      <c r="E2853">
        <v>33</v>
      </c>
      <c r="F2853" t="str">
        <f>IF(Table1[[#This Row],[age]]&lt;=25,"18-25",IF(Table1[[#This Row],[age]]&lt;=35,"26-35",IF(Table1[[#This Row],[age]]&lt;=50,"36-50","51+")))</f>
        <v>26-35</v>
      </c>
      <c r="G2853" t="s">
        <v>24</v>
      </c>
      <c r="H2853" t="s">
        <v>55</v>
      </c>
      <c r="I2853" t="s">
        <v>75</v>
      </c>
      <c r="J2853" t="s">
        <v>27</v>
      </c>
      <c r="K2853" t="s">
        <v>168</v>
      </c>
      <c r="L2853">
        <v>5</v>
      </c>
      <c r="M2853">
        <v>1366.62</v>
      </c>
      <c r="N2853">
        <v>0.31</v>
      </c>
      <c r="O2853">
        <v>7613.24</v>
      </c>
      <c r="P2853">
        <v>4061.59</v>
      </c>
      <c r="Q2853">
        <v>45.32</v>
      </c>
      <c r="R2853" t="s">
        <v>92</v>
      </c>
      <c r="S2853">
        <v>4</v>
      </c>
      <c r="T2853" t="b">
        <v>0</v>
      </c>
      <c r="U2853" t="s">
        <v>93</v>
      </c>
      <c r="V2853">
        <v>7</v>
      </c>
    </row>
    <row r="2854" spans="1:22" x14ac:dyDescent="0.25">
      <c r="A2854" t="s">
        <v>6184</v>
      </c>
      <c r="B2854" s="1">
        <v>44318</v>
      </c>
      <c r="C2854" t="s">
        <v>6185</v>
      </c>
      <c r="D2854" t="s">
        <v>2255</v>
      </c>
      <c r="E2854">
        <v>49</v>
      </c>
      <c r="F2854" t="str">
        <f>IF(Table1[[#This Row],[age]]&lt;=25,"18-25",IF(Table1[[#This Row],[age]]&lt;=35,"26-35",IF(Table1[[#This Row],[age]]&lt;=50,"36-50","51+")))</f>
        <v>36-50</v>
      </c>
      <c r="G2854" t="s">
        <v>54</v>
      </c>
      <c r="H2854" t="s">
        <v>80</v>
      </c>
      <c r="I2854" t="s">
        <v>81</v>
      </c>
      <c r="J2854" t="s">
        <v>36</v>
      </c>
      <c r="K2854" t="s">
        <v>132</v>
      </c>
      <c r="L2854">
        <v>1</v>
      </c>
      <c r="M2854">
        <v>28157.96</v>
      </c>
      <c r="N2854">
        <v>0.28000000000000003</v>
      </c>
      <c r="O2854">
        <v>31874.43</v>
      </c>
      <c r="P2854">
        <v>7988.88</v>
      </c>
      <c r="Q2854">
        <v>86.82</v>
      </c>
      <c r="R2854" t="s">
        <v>57</v>
      </c>
      <c r="S2854">
        <v>2</v>
      </c>
      <c r="T2854" t="b">
        <v>1</v>
      </c>
      <c r="U2854" t="s">
        <v>50</v>
      </c>
      <c r="V2854">
        <v>5</v>
      </c>
    </row>
    <row r="2855" spans="1:22" x14ac:dyDescent="0.25">
      <c r="A2855" t="s">
        <v>6186</v>
      </c>
      <c r="B2855" s="1">
        <v>45108</v>
      </c>
      <c r="C2855" t="s">
        <v>6187</v>
      </c>
      <c r="D2855" t="s">
        <v>985</v>
      </c>
      <c r="E2855">
        <v>57</v>
      </c>
      <c r="F2855" t="str">
        <f>IF(Table1[[#This Row],[age]]&lt;=25,"18-25",IF(Table1[[#This Row],[age]]&lt;=35,"26-35",IF(Table1[[#This Row],[age]]&lt;=50,"36-50","51+")))</f>
        <v>51+</v>
      </c>
      <c r="G2855" t="s">
        <v>34</v>
      </c>
      <c r="H2855" t="s">
        <v>55</v>
      </c>
      <c r="I2855" t="s">
        <v>75</v>
      </c>
      <c r="J2855" t="s">
        <v>36</v>
      </c>
      <c r="K2855" t="s">
        <v>76</v>
      </c>
      <c r="L2855">
        <v>7</v>
      </c>
      <c r="M2855">
        <v>7949.66</v>
      </c>
      <c r="N2855">
        <v>0.28999999999999998</v>
      </c>
      <c r="O2855">
        <v>60207.42</v>
      </c>
      <c r="P2855">
        <v>13411.24</v>
      </c>
      <c r="Q2855">
        <v>66.87</v>
      </c>
      <c r="R2855" t="s">
        <v>57</v>
      </c>
      <c r="S2855">
        <v>4</v>
      </c>
      <c r="T2855" t="b">
        <v>0</v>
      </c>
      <c r="U2855" t="s">
        <v>30</v>
      </c>
      <c r="V2855">
        <v>2</v>
      </c>
    </row>
    <row r="2856" spans="1:22" x14ac:dyDescent="0.25">
      <c r="A2856" t="s">
        <v>6188</v>
      </c>
      <c r="B2856" s="1">
        <v>45519</v>
      </c>
      <c r="C2856" t="s">
        <v>6189</v>
      </c>
      <c r="D2856" t="s">
        <v>660</v>
      </c>
      <c r="E2856">
        <v>29</v>
      </c>
      <c r="F2856" t="str">
        <f>IF(Table1[[#This Row],[age]]&lt;=25,"18-25",IF(Table1[[#This Row],[age]]&lt;=35,"26-35",IF(Table1[[#This Row],[age]]&lt;=50,"36-50","51+")))</f>
        <v>26-35</v>
      </c>
      <c r="G2856" t="s">
        <v>34</v>
      </c>
      <c r="H2856" t="s">
        <v>25</v>
      </c>
      <c r="I2856" t="s">
        <v>26</v>
      </c>
      <c r="J2856" t="s">
        <v>106</v>
      </c>
      <c r="K2856" t="s">
        <v>314</v>
      </c>
      <c r="L2856">
        <v>6</v>
      </c>
      <c r="M2856">
        <v>212.91</v>
      </c>
      <c r="N2856">
        <v>0.28000000000000003</v>
      </c>
      <c r="O2856">
        <v>1250.1199999999999</v>
      </c>
      <c r="P2856">
        <v>97.83</v>
      </c>
      <c r="Q2856">
        <v>63.02</v>
      </c>
      <c r="R2856" t="s">
        <v>29</v>
      </c>
      <c r="S2856">
        <v>3</v>
      </c>
      <c r="T2856" t="b">
        <v>0</v>
      </c>
      <c r="U2856" t="s">
        <v>30</v>
      </c>
      <c r="V2856">
        <v>10</v>
      </c>
    </row>
    <row r="2857" spans="1:22" x14ac:dyDescent="0.25">
      <c r="A2857" t="s">
        <v>6190</v>
      </c>
      <c r="B2857" s="1">
        <v>44650</v>
      </c>
      <c r="C2857" t="s">
        <v>6191</v>
      </c>
      <c r="D2857" t="s">
        <v>580</v>
      </c>
      <c r="E2857">
        <v>38</v>
      </c>
      <c r="F2857" t="str">
        <f>IF(Table1[[#This Row],[age]]&lt;=25,"18-25",IF(Table1[[#This Row],[age]]&lt;=35,"26-35",IF(Table1[[#This Row],[age]]&lt;=50,"36-50","51+")))</f>
        <v>36-50</v>
      </c>
      <c r="G2857" t="s">
        <v>24</v>
      </c>
      <c r="H2857" t="s">
        <v>80</v>
      </c>
      <c r="I2857" t="s">
        <v>236</v>
      </c>
      <c r="J2857" t="s">
        <v>101</v>
      </c>
      <c r="K2857" t="s">
        <v>214</v>
      </c>
      <c r="L2857">
        <v>4</v>
      </c>
      <c r="M2857">
        <v>14204.71</v>
      </c>
      <c r="N2857">
        <v>0.27</v>
      </c>
      <c r="O2857">
        <v>54400.72</v>
      </c>
      <c r="P2857">
        <v>13383.31</v>
      </c>
      <c r="Q2857">
        <v>93.83</v>
      </c>
      <c r="R2857" t="s">
        <v>65</v>
      </c>
      <c r="S2857">
        <v>1</v>
      </c>
      <c r="T2857" t="b">
        <v>1</v>
      </c>
      <c r="U2857" t="s">
        <v>50</v>
      </c>
      <c r="V2857">
        <v>10</v>
      </c>
    </row>
    <row r="2858" spans="1:22" x14ac:dyDescent="0.25">
      <c r="A2858" t="s">
        <v>6192</v>
      </c>
      <c r="B2858" s="1">
        <v>45043</v>
      </c>
      <c r="C2858" t="s">
        <v>6193</v>
      </c>
      <c r="D2858" t="s">
        <v>343</v>
      </c>
      <c r="E2858">
        <v>24</v>
      </c>
      <c r="F2858" t="str">
        <f>IF(Table1[[#This Row],[age]]&lt;=25,"18-25",IF(Table1[[#This Row],[age]]&lt;=35,"26-35",IF(Table1[[#This Row],[age]]&lt;=50,"36-50","51+")))</f>
        <v>18-25</v>
      </c>
      <c r="G2858" t="s">
        <v>34</v>
      </c>
      <c r="H2858" t="s">
        <v>69</v>
      </c>
      <c r="I2858" t="s">
        <v>136</v>
      </c>
      <c r="J2858" t="s">
        <v>106</v>
      </c>
      <c r="K2858" t="s">
        <v>107</v>
      </c>
      <c r="L2858">
        <v>8</v>
      </c>
      <c r="M2858">
        <v>132.4</v>
      </c>
      <c r="N2858">
        <v>0.32</v>
      </c>
      <c r="O2858">
        <v>1145.95</v>
      </c>
      <c r="P2858">
        <v>93.32</v>
      </c>
      <c r="Q2858">
        <v>91.9</v>
      </c>
      <c r="R2858" t="s">
        <v>29</v>
      </c>
      <c r="S2858">
        <v>2</v>
      </c>
      <c r="T2858" t="b">
        <v>0</v>
      </c>
      <c r="U2858" t="s">
        <v>30</v>
      </c>
      <c r="V2858">
        <v>2</v>
      </c>
    </row>
    <row r="2859" spans="1:22" x14ac:dyDescent="0.25">
      <c r="A2859" t="s">
        <v>6194</v>
      </c>
      <c r="B2859" s="1">
        <v>44393</v>
      </c>
      <c r="C2859" t="s">
        <v>6195</v>
      </c>
      <c r="D2859" t="s">
        <v>220</v>
      </c>
      <c r="E2859">
        <v>51</v>
      </c>
      <c r="F2859" t="str">
        <f>IF(Table1[[#This Row],[age]]&lt;=25,"18-25",IF(Table1[[#This Row],[age]]&lt;=35,"26-35",IF(Table1[[#This Row],[age]]&lt;=50,"36-50","51+")))</f>
        <v>51+</v>
      </c>
      <c r="G2859" t="s">
        <v>54</v>
      </c>
      <c r="H2859" t="s">
        <v>69</v>
      </c>
      <c r="I2859" t="s">
        <v>136</v>
      </c>
      <c r="J2859" t="s">
        <v>101</v>
      </c>
      <c r="K2859" t="s">
        <v>164</v>
      </c>
      <c r="L2859">
        <v>3</v>
      </c>
      <c r="M2859">
        <v>14773.91</v>
      </c>
      <c r="N2859">
        <v>0.31</v>
      </c>
      <c r="O2859">
        <v>39228.730000000003</v>
      </c>
      <c r="P2859">
        <v>11423.75</v>
      </c>
      <c r="Q2859">
        <v>63.56</v>
      </c>
      <c r="R2859" t="s">
        <v>92</v>
      </c>
      <c r="S2859">
        <v>3</v>
      </c>
      <c r="T2859" t="b">
        <v>0</v>
      </c>
      <c r="U2859" t="s">
        <v>30</v>
      </c>
      <c r="V2859">
        <v>4</v>
      </c>
    </row>
    <row r="2860" spans="1:22" x14ac:dyDescent="0.25">
      <c r="A2860" t="s">
        <v>6196</v>
      </c>
      <c r="B2860" s="1">
        <v>45269</v>
      </c>
      <c r="C2860" t="s">
        <v>6197</v>
      </c>
      <c r="D2860" t="s">
        <v>1644</v>
      </c>
      <c r="E2860">
        <v>38</v>
      </c>
      <c r="F2860" t="str">
        <f>IF(Table1[[#This Row],[age]]&lt;=25,"18-25",IF(Table1[[#This Row],[age]]&lt;=35,"26-35",IF(Table1[[#This Row],[age]]&lt;=50,"36-50","51+")))</f>
        <v>36-50</v>
      </c>
      <c r="G2860" t="s">
        <v>24</v>
      </c>
      <c r="H2860" t="s">
        <v>69</v>
      </c>
      <c r="I2860" t="s">
        <v>70</v>
      </c>
      <c r="J2860" t="s">
        <v>63</v>
      </c>
      <c r="K2860" t="s">
        <v>87</v>
      </c>
      <c r="L2860">
        <v>7</v>
      </c>
      <c r="M2860">
        <v>2311.75</v>
      </c>
      <c r="N2860">
        <v>0.14000000000000001</v>
      </c>
      <c r="O2860">
        <v>11373.42</v>
      </c>
      <c r="P2860">
        <v>4064.18</v>
      </c>
      <c r="Q2860">
        <v>93.86</v>
      </c>
      <c r="R2860" t="s">
        <v>92</v>
      </c>
      <c r="S2860">
        <v>4</v>
      </c>
      <c r="T2860" t="b">
        <v>0</v>
      </c>
      <c r="U2860" t="s">
        <v>30</v>
      </c>
      <c r="V2860">
        <v>10</v>
      </c>
    </row>
    <row r="2861" spans="1:22" x14ac:dyDescent="0.25">
      <c r="A2861" t="s">
        <v>6198</v>
      </c>
      <c r="B2861" s="1">
        <v>44056</v>
      </c>
      <c r="C2861" t="s">
        <v>6199</v>
      </c>
      <c r="D2861" t="s">
        <v>516</v>
      </c>
      <c r="E2861">
        <v>22</v>
      </c>
      <c r="F2861" t="str">
        <f>IF(Table1[[#This Row],[age]]&lt;=25,"18-25",IF(Table1[[#This Row],[age]]&lt;=35,"26-35",IF(Table1[[#This Row],[age]]&lt;=50,"36-50","51+")))</f>
        <v>18-25</v>
      </c>
      <c r="G2861" t="s">
        <v>34</v>
      </c>
      <c r="H2861" t="s">
        <v>55</v>
      </c>
      <c r="I2861" t="s">
        <v>56</v>
      </c>
      <c r="J2861" t="s">
        <v>47</v>
      </c>
      <c r="K2861" t="s">
        <v>272</v>
      </c>
      <c r="L2861">
        <v>7</v>
      </c>
      <c r="M2861">
        <v>286.07</v>
      </c>
      <c r="N2861">
        <v>0.28000000000000003</v>
      </c>
      <c r="O2861">
        <v>1349.48</v>
      </c>
      <c r="P2861">
        <v>474.55</v>
      </c>
      <c r="Q2861">
        <v>52.35</v>
      </c>
      <c r="R2861" t="s">
        <v>49</v>
      </c>
      <c r="S2861">
        <v>3</v>
      </c>
      <c r="T2861" t="b">
        <v>0</v>
      </c>
      <c r="U2861" t="s">
        <v>30</v>
      </c>
      <c r="V2861">
        <v>4</v>
      </c>
    </row>
    <row r="2862" spans="1:22" x14ac:dyDescent="0.25">
      <c r="A2862" t="s">
        <v>6200</v>
      </c>
      <c r="B2862" s="1">
        <v>44156</v>
      </c>
      <c r="C2862" t="s">
        <v>6201</v>
      </c>
      <c r="D2862" t="s">
        <v>256</v>
      </c>
      <c r="E2862">
        <v>51</v>
      </c>
      <c r="F2862" t="str">
        <f>IF(Table1[[#This Row],[age]]&lt;=25,"18-25",IF(Table1[[#This Row],[age]]&lt;=35,"26-35",IF(Table1[[#This Row],[age]]&lt;=50,"36-50","51+")))</f>
        <v>51+</v>
      </c>
      <c r="G2862" t="s">
        <v>24</v>
      </c>
      <c r="H2862" t="s">
        <v>25</v>
      </c>
      <c r="I2862" t="s">
        <v>26</v>
      </c>
      <c r="J2862" t="s">
        <v>63</v>
      </c>
      <c r="K2862" t="s">
        <v>152</v>
      </c>
      <c r="L2862">
        <v>5</v>
      </c>
      <c r="M2862">
        <v>3038.32</v>
      </c>
      <c r="N2862">
        <v>0.08</v>
      </c>
      <c r="O2862">
        <v>11598.72</v>
      </c>
      <c r="P2862">
        <v>4520.1099999999997</v>
      </c>
      <c r="Q2862">
        <v>46.38</v>
      </c>
      <c r="R2862" t="s">
        <v>65</v>
      </c>
      <c r="S2862">
        <v>3</v>
      </c>
      <c r="T2862" t="b">
        <v>0</v>
      </c>
      <c r="U2862" t="s">
        <v>30</v>
      </c>
      <c r="V2862">
        <v>8</v>
      </c>
    </row>
    <row r="2863" spans="1:22" x14ac:dyDescent="0.25">
      <c r="A2863" t="s">
        <v>6202</v>
      </c>
      <c r="B2863" s="1">
        <v>44346</v>
      </c>
      <c r="C2863" t="s">
        <v>6203</v>
      </c>
      <c r="D2863" t="s">
        <v>838</v>
      </c>
      <c r="E2863">
        <v>20</v>
      </c>
      <c r="F2863" t="str">
        <f>IF(Table1[[#This Row],[age]]&lt;=25,"18-25",IF(Table1[[#This Row],[age]]&lt;=35,"26-35",IF(Table1[[#This Row],[age]]&lt;=50,"36-50","51+")))</f>
        <v>18-25</v>
      </c>
      <c r="G2863" t="s">
        <v>24</v>
      </c>
      <c r="H2863" t="s">
        <v>61</v>
      </c>
      <c r="I2863" t="s">
        <v>91</v>
      </c>
      <c r="J2863" t="s">
        <v>101</v>
      </c>
      <c r="K2863" t="s">
        <v>124</v>
      </c>
      <c r="L2863">
        <v>7</v>
      </c>
      <c r="M2863">
        <v>14524.03</v>
      </c>
      <c r="N2863">
        <v>0.17</v>
      </c>
      <c r="O2863">
        <v>124422.97</v>
      </c>
      <c r="P2863">
        <v>28871.78</v>
      </c>
      <c r="Q2863">
        <v>52.9</v>
      </c>
      <c r="R2863" t="s">
        <v>43</v>
      </c>
      <c r="S2863">
        <v>4</v>
      </c>
      <c r="T2863" t="b">
        <v>0</v>
      </c>
      <c r="U2863" t="s">
        <v>30</v>
      </c>
      <c r="V2863">
        <v>9</v>
      </c>
    </row>
    <row r="2864" spans="1:22" x14ac:dyDescent="0.25">
      <c r="A2864" t="s">
        <v>6204</v>
      </c>
      <c r="B2864" s="1">
        <v>44102</v>
      </c>
      <c r="C2864" t="s">
        <v>6205</v>
      </c>
      <c r="D2864" t="s">
        <v>440</v>
      </c>
      <c r="E2864">
        <v>24</v>
      </c>
      <c r="F2864" t="str">
        <f>IF(Table1[[#This Row],[age]]&lt;=25,"18-25",IF(Table1[[#This Row],[age]]&lt;=35,"26-35",IF(Table1[[#This Row],[age]]&lt;=50,"36-50","51+")))</f>
        <v>18-25</v>
      </c>
      <c r="G2864" t="s">
        <v>24</v>
      </c>
      <c r="H2864" t="s">
        <v>61</v>
      </c>
      <c r="I2864" t="s">
        <v>141</v>
      </c>
      <c r="J2864" t="s">
        <v>106</v>
      </c>
      <c r="K2864" t="s">
        <v>247</v>
      </c>
      <c r="L2864">
        <v>6</v>
      </c>
      <c r="M2864">
        <v>56.45</v>
      </c>
      <c r="N2864">
        <v>7.0000000000000007E-2</v>
      </c>
      <c r="O2864">
        <v>342.17</v>
      </c>
      <c r="P2864">
        <v>22.1</v>
      </c>
      <c r="Q2864">
        <v>41.2</v>
      </c>
      <c r="R2864" t="s">
        <v>65</v>
      </c>
      <c r="S2864">
        <v>2</v>
      </c>
      <c r="T2864" t="b">
        <v>1</v>
      </c>
      <c r="U2864" t="s">
        <v>50</v>
      </c>
      <c r="V2864">
        <v>6</v>
      </c>
    </row>
    <row r="2865" spans="1:22" x14ac:dyDescent="0.25">
      <c r="A2865" t="s">
        <v>6206</v>
      </c>
      <c r="B2865" s="1">
        <v>45202</v>
      </c>
      <c r="C2865" t="s">
        <v>6207</v>
      </c>
      <c r="D2865" t="s">
        <v>2851</v>
      </c>
      <c r="E2865">
        <v>47</v>
      </c>
      <c r="F2865" t="str">
        <f>IF(Table1[[#This Row],[age]]&lt;=25,"18-25",IF(Table1[[#This Row],[age]]&lt;=35,"26-35",IF(Table1[[#This Row],[age]]&lt;=50,"36-50","51+")))</f>
        <v>36-50</v>
      </c>
      <c r="G2865" t="s">
        <v>54</v>
      </c>
      <c r="H2865" t="s">
        <v>55</v>
      </c>
      <c r="I2865" t="s">
        <v>56</v>
      </c>
      <c r="J2865" t="s">
        <v>36</v>
      </c>
      <c r="K2865" t="s">
        <v>132</v>
      </c>
      <c r="L2865">
        <v>9</v>
      </c>
      <c r="M2865">
        <v>22760.46</v>
      </c>
      <c r="N2865">
        <v>0.37</v>
      </c>
      <c r="O2865">
        <v>145109.60999999999</v>
      </c>
      <c r="P2865">
        <v>39767.620000000003</v>
      </c>
      <c r="Q2865">
        <v>72.02</v>
      </c>
      <c r="R2865" t="s">
        <v>43</v>
      </c>
      <c r="S2865">
        <v>1</v>
      </c>
      <c r="T2865" t="b">
        <v>0</v>
      </c>
      <c r="U2865" t="s">
        <v>93</v>
      </c>
      <c r="V2865">
        <v>3</v>
      </c>
    </row>
    <row r="2866" spans="1:22" x14ac:dyDescent="0.25">
      <c r="A2866" t="s">
        <v>6208</v>
      </c>
      <c r="B2866" s="1">
        <v>44227</v>
      </c>
      <c r="C2866" t="s">
        <v>6100</v>
      </c>
      <c r="D2866" t="s">
        <v>947</v>
      </c>
      <c r="E2866">
        <v>38</v>
      </c>
      <c r="F2866" t="str">
        <f>IF(Table1[[#This Row],[age]]&lt;=25,"18-25",IF(Table1[[#This Row],[age]]&lt;=35,"26-35",IF(Table1[[#This Row],[age]]&lt;=50,"36-50","51+")))</f>
        <v>36-50</v>
      </c>
      <c r="G2866" t="s">
        <v>54</v>
      </c>
      <c r="H2866" t="s">
        <v>80</v>
      </c>
      <c r="I2866" t="s">
        <v>236</v>
      </c>
      <c r="J2866" t="s">
        <v>115</v>
      </c>
      <c r="K2866" t="s">
        <v>398</v>
      </c>
      <c r="L2866">
        <v>3</v>
      </c>
      <c r="M2866">
        <v>42838.23</v>
      </c>
      <c r="N2866">
        <v>0.09</v>
      </c>
      <c r="O2866">
        <v>107037.9</v>
      </c>
      <c r="P2866">
        <v>14607.13</v>
      </c>
      <c r="Q2866">
        <v>87.84</v>
      </c>
      <c r="R2866" t="s">
        <v>29</v>
      </c>
      <c r="S2866">
        <v>1</v>
      </c>
      <c r="T2866" t="b">
        <v>1</v>
      </c>
      <c r="U2866" t="s">
        <v>50</v>
      </c>
      <c r="V2866">
        <v>1</v>
      </c>
    </row>
    <row r="2867" spans="1:22" x14ac:dyDescent="0.25">
      <c r="A2867" t="s">
        <v>6209</v>
      </c>
      <c r="B2867" s="1">
        <v>44240</v>
      </c>
      <c r="C2867" t="s">
        <v>6210</v>
      </c>
      <c r="D2867" t="s">
        <v>131</v>
      </c>
      <c r="E2867">
        <v>31</v>
      </c>
      <c r="F2867" t="str">
        <f>IF(Table1[[#This Row],[age]]&lt;=25,"18-25",IF(Table1[[#This Row],[age]]&lt;=35,"26-35",IF(Table1[[#This Row],[age]]&lt;=50,"36-50","51+")))</f>
        <v>26-35</v>
      </c>
      <c r="G2867" t="s">
        <v>24</v>
      </c>
      <c r="H2867" t="s">
        <v>55</v>
      </c>
      <c r="I2867" t="s">
        <v>97</v>
      </c>
      <c r="J2867" t="s">
        <v>36</v>
      </c>
      <c r="K2867" t="s">
        <v>243</v>
      </c>
      <c r="L2867">
        <v>7</v>
      </c>
      <c r="M2867">
        <v>16795.84</v>
      </c>
      <c r="N2867">
        <v>0.36</v>
      </c>
      <c r="O2867">
        <v>56221.37</v>
      </c>
      <c r="P2867">
        <v>12491.37</v>
      </c>
      <c r="Q2867">
        <v>56.62</v>
      </c>
      <c r="R2867" t="s">
        <v>49</v>
      </c>
      <c r="S2867">
        <v>2</v>
      </c>
      <c r="T2867" t="b">
        <v>1</v>
      </c>
      <c r="U2867" t="s">
        <v>50</v>
      </c>
      <c r="V2867">
        <v>2</v>
      </c>
    </row>
    <row r="2868" spans="1:22" x14ac:dyDescent="0.25">
      <c r="A2868" t="s">
        <v>6211</v>
      </c>
      <c r="B2868" s="1">
        <v>44681</v>
      </c>
      <c r="C2868" t="s">
        <v>6212</v>
      </c>
      <c r="D2868" t="s">
        <v>250</v>
      </c>
      <c r="E2868">
        <v>55</v>
      </c>
      <c r="F2868" t="str">
        <f>IF(Table1[[#This Row],[age]]&lt;=25,"18-25",IF(Table1[[#This Row],[age]]&lt;=35,"26-35",IF(Table1[[#This Row],[age]]&lt;=50,"36-50","51+")))</f>
        <v>51+</v>
      </c>
      <c r="G2868" t="s">
        <v>34</v>
      </c>
      <c r="H2868" t="s">
        <v>80</v>
      </c>
      <c r="I2868" t="s">
        <v>236</v>
      </c>
      <c r="J2868" t="s">
        <v>106</v>
      </c>
      <c r="K2868" t="s">
        <v>718</v>
      </c>
      <c r="L2868">
        <v>1</v>
      </c>
      <c r="M2868">
        <v>116.8</v>
      </c>
      <c r="N2868">
        <v>0.34</v>
      </c>
      <c r="O2868">
        <v>98.72</v>
      </c>
      <c r="P2868">
        <v>7.87</v>
      </c>
      <c r="Q2868">
        <v>74.41</v>
      </c>
      <c r="R2868" t="s">
        <v>57</v>
      </c>
      <c r="S2868">
        <v>4</v>
      </c>
      <c r="T2868" t="b">
        <v>0</v>
      </c>
      <c r="U2868" t="s">
        <v>30</v>
      </c>
      <c r="V2868">
        <v>3</v>
      </c>
    </row>
    <row r="2869" spans="1:22" x14ac:dyDescent="0.25">
      <c r="A2869" t="s">
        <v>6213</v>
      </c>
      <c r="B2869" s="1">
        <v>45456</v>
      </c>
      <c r="C2869" t="s">
        <v>6214</v>
      </c>
      <c r="D2869" t="s">
        <v>3506</v>
      </c>
      <c r="E2869">
        <v>29</v>
      </c>
      <c r="F2869" t="str">
        <f>IF(Table1[[#This Row],[age]]&lt;=25,"18-25",IF(Table1[[#This Row],[age]]&lt;=35,"26-35",IF(Table1[[#This Row],[age]]&lt;=50,"36-50","51+")))</f>
        <v>26-35</v>
      </c>
      <c r="G2869" t="s">
        <v>24</v>
      </c>
      <c r="H2869" t="s">
        <v>69</v>
      </c>
      <c r="I2869" t="s">
        <v>70</v>
      </c>
      <c r="J2869" t="s">
        <v>36</v>
      </c>
      <c r="K2869" t="s">
        <v>132</v>
      </c>
      <c r="L2869">
        <v>4</v>
      </c>
      <c r="M2869">
        <v>29351.23</v>
      </c>
      <c r="N2869">
        <v>0.19</v>
      </c>
      <c r="O2869">
        <v>174388.71</v>
      </c>
      <c r="P2869">
        <v>36069.54</v>
      </c>
      <c r="Q2869">
        <v>82.28</v>
      </c>
      <c r="R2869" t="s">
        <v>92</v>
      </c>
      <c r="S2869">
        <v>4</v>
      </c>
      <c r="T2869" t="b">
        <v>0</v>
      </c>
      <c r="U2869" t="s">
        <v>30</v>
      </c>
      <c r="V2869">
        <v>9</v>
      </c>
    </row>
    <row r="2870" spans="1:22" x14ac:dyDescent="0.25">
      <c r="A2870" t="s">
        <v>6215</v>
      </c>
      <c r="B2870" s="1">
        <v>43891</v>
      </c>
      <c r="C2870" t="s">
        <v>6216</v>
      </c>
      <c r="D2870" t="s">
        <v>1114</v>
      </c>
      <c r="E2870">
        <v>32</v>
      </c>
      <c r="F2870" t="str">
        <f>IF(Table1[[#This Row],[age]]&lt;=25,"18-25",IF(Table1[[#This Row],[age]]&lt;=35,"26-35",IF(Table1[[#This Row],[age]]&lt;=50,"36-50","51+")))</f>
        <v>26-35</v>
      </c>
      <c r="G2870" t="s">
        <v>24</v>
      </c>
      <c r="H2870" t="s">
        <v>25</v>
      </c>
      <c r="I2870" t="s">
        <v>298</v>
      </c>
      <c r="J2870" t="s">
        <v>36</v>
      </c>
      <c r="K2870" t="s">
        <v>132</v>
      </c>
      <c r="L2870">
        <v>5</v>
      </c>
      <c r="M2870">
        <v>31560.75</v>
      </c>
      <c r="N2870">
        <v>0.37</v>
      </c>
      <c r="O2870">
        <v>117876.02</v>
      </c>
      <c r="P2870">
        <v>35282.21</v>
      </c>
      <c r="Q2870">
        <v>38.479999999999997</v>
      </c>
      <c r="R2870" t="s">
        <v>49</v>
      </c>
      <c r="S2870">
        <v>4</v>
      </c>
      <c r="T2870" t="b">
        <v>0</v>
      </c>
      <c r="U2870" t="s">
        <v>30</v>
      </c>
      <c r="V2870">
        <v>5</v>
      </c>
    </row>
    <row r="2871" spans="1:22" x14ac:dyDescent="0.25">
      <c r="A2871" t="s">
        <v>6217</v>
      </c>
      <c r="B2871" s="1">
        <v>44173</v>
      </c>
      <c r="C2871" t="s">
        <v>6218</v>
      </c>
      <c r="D2871" t="s">
        <v>591</v>
      </c>
      <c r="E2871">
        <v>46</v>
      </c>
      <c r="F2871" t="str">
        <f>IF(Table1[[#This Row],[age]]&lt;=25,"18-25",IF(Table1[[#This Row],[age]]&lt;=35,"26-35",IF(Table1[[#This Row],[age]]&lt;=50,"36-50","51+")))</f>
        <v>36-50</v>
      </c>
      <c r="G2871" t="s">
        <v>34</v>
      </c>
      <c r="H2871" t="s">
        <v>69</v>
      </c>
      <c r="I2871" t="s">
        <v>221</v>
      </c>
      <c r="J2871" t="s">
        <v>115</v>
      </c>
      <c r="K2871" t="s">
        <v>137</v>
      </c>
      <c r="L2871">
        <v>9</v>
      </c>
      <c r="M2871">
        <v>9975.0499999999993</v>
      </c>
      <c r="N2871">
        <v>0.28000000000000003</v>
      </c>
      <c r="O2871">
        <v>38987.93</v>
      </c>
      <c r="P2871">
        <v>3991.52</v>
      </c>
      <c r="Q2871">
        <v>83.83</v>
      </c>
      <c r="R2871" t="s">
        <v>43</v>
      </c>
      <c r="S2871">
        <v>1</v>
      </c>
      <c r="T2871" t="b">
        <v>1</v>
      </c>
      <c r="U2871" t="s">
        <v>50</v>
      </c>
      <c r="V2871">
        <v>5</v>
      </c>
    </row>
    <row r="2872" spans="1:22" x14ac:dyDescent="0.25">
      <c r="A2872" t="s">
        <v>6219</v>
      </c>
      <c r="B2872" s="1">
        <v>45375</v>
      </c>
      <c r="C2872" t="s">
        <v>6220</v>
      </c>
      <c r="D2872" t="s">
        <v>649</v>
      </c>
      <c r="E2872">
        <v>44</v>
      </c>
      <c r="F2872" t="str">
        <f>IF(Table1[[#This Row],[age]]&lt;=25,"18-25",IF(Table1[[#This Row],[age]]&lt;=35,"26-35",IF(Table1[[#This Row],[age]]&lt;=50,"36-50","51+")))</f>
        <v>36-50</v>
      </c>
      <c r="G2872" t="s">
        <v>54</v>
      </c>
      <c r="H2872" t="s">
        <v>55</v>
      </c>
      <c r="I2872" t="s">
        <v>114</v>
      </c>
      <c r="J2872" t="s">
        <v>63</v>
      </c>
      <c r="K2872" t="s">
        <v>82</v>
      </c>
      <c r="L2872">
        <v>8</v>
      </c>
      <c r="M2872">
        <v>825.43</v>
      </c>
      <c r="N2872">
        <v>0.3</v>
      </c>
      <c r="O2872">
        <v>6590.81</v>
      </c>
      <c r="P2872">
        <v>2481.12</v>
      </c>
      <c r="Q2872">
        <v>48.12</v>
      </c>
      <c r="R2872" t="s">
        <v>92</v>
      </c>
      <c r="S2872">
        <v>1</v>
      </c>
      <c r="T2872" t="b">
        <v>0</v>
      </c>
      <c r="U2872" t="s">
        <v>30</v>
      </c>
      <c r="V2872">
        <v>2</v>
      </c>
    </row>
    <row r="2873" spans="1:22" x14ac:dyDescent="0.25">
      <c r="A2873" t="s">
        <v>6221</v>
      </c>
      <c r="B2873" s="1">
        <v>44893</v>
      </c>
      <c r="C2873" t="s">
        <v>5680</v>
      </c>
      <c r="D2873" t="s">
        <v>2368</v>
      </c>
      <c r="E2873">
        <v>58</v>
      </c>
      <c r="F2873" t="str">
        <f>IF(Table1[[#This Row],[age]]&lt;=25,"18-25",IF(Table1[[#This Row],[age]]&lt;=35,"26-35",IF(Table1[[#This Row],[age]]&lt;=50,"36-50","51+")))</f>
        <v>51+</v>
      </c>
      <c r="G2873" t="s">
        <v>54</v>
      </c>
      <c r="H2873" t="s">
        <v>25</v>
      </c>
      <c r="I2873" t="s">
        <v>298</v>
      </c>
      <c r="J2873" t="s">
        <v>101</v>
      </c>
      <c r="K2873" t="s">
        <v>318</v>
      </c>
      <c r="L2873">
        <v>9</v>
      </c>
      <c r="M2873">
        <v>13538.61</v>
      </c>
      <c r="N2873">
        <v>0.04</v>
      </c>
      <c r="O2873">
        <v>98932.09</v>
      </c>
      <c r="P2873">
        <v>24598.22</v>
      </c>
      <c r="Q2873">
        <v>64.819999999999993</v>
      </c>
      <c r="R2873" t="s">
        <v>57</v>
      </c>
      <c r="S2873">
        <v>3</v>
      </c>
      <c r="T2873" t="b">
        <v>0</v>
      </c>
      <c r="U2873" t="s">
        <v>30</v>
      </c>
      <c r="V2873">
        <v>1</v>
      </c>
    </row>
    <row r="2874" spans="1:22" x14ac:dyDescent="0.25">
      <c r="A2874" t="s">
        <v>6222</v>
      </c>
      <c r="B2874" s="1">
        <v>44405</v>
      </c>
      <c r="C2874" t="s">
        <v>6223</v>
      </c>
      <c r="D2874" t="s">
        <v>551</v>
      </c>
      <c r="E2874">
        <v>29</v>
      </c>
      <c r="F2874" t="str">
        <f>IF(Table1[[#This Row],[age]]&lt;=25,"18-25",IF(Table1[[#This Row],[age]]&lt;=35,"26-35",IF(Table1[[#This Row],[age]]&lt;=50,"36-50","51+")))</f>
        <v>26-35</v>
      </c>
      <c r="G2874" t="s">
        <v>54</v>
      </c>
      <c r="H2874" t="s">
        <v>69</v>
      </c>
      <c r="I2874" t="s">
        <v>181</v>
      </c>
      <c r="J2874" t="s">
        <v>36</v>
      </c>
      <c r="K2874" t="s">
        <v>243</v>
      </c>
      <c r="L2874">
        <v>2</v>
      </c>
      <c r="M2874">
        <v>3092.5</v>
      </c>
      <c r="N2874">
        <v>0.03</v>
      </c>
      <c r="O2874">
        <v>7652.46</v>
      </c>
      <c r="P2874">
        <v>2113.54</v>
      </c>
      <c r="Q2874">
        <v>62.46</v>
      </c>
      <c r="R2874" t="s">
        <v>57</v>
      </c>
      <c r="S2874">
        <v>4</v>
      </c>
      <c r="T2874" t="b">
        <v>0</v>
      </c>
      <c r="U2874" t="s">
        <v>30</v>
      </c>
      <c r="V2874">
        <v>3</v>
      </c>
    </row>
    <row r="2875" spans="1:22" x14ac:dyDescent="0.25">
      <c r="A2875" t="s">
        <v>6224</v>
      </c>
      <c r="B2875" s="1">
        <v>43979</v>
      </c>
      <c r="C2875" t="s">
        <v>6225</v>
      </c>
      <c r="D2875" t="s">
        <v>536</v>
      </c>
      <c r="E2875">
        <v>34</v>
      </c>
      <c r="F2875" t="str">
        <f>IF(Table1[[#This Row],[age]]&lt;=25,"18-25",IF(Table1[[#This Row],[age]]&lt;=35,"26-35",IF(Table1[[#This Row],[age]]&lt;=50,"36-50","51+")))</f>
        <v>26-35</v>
      </c>
      <c r="G2875" t="s">
        <v>24</v>
      </c>
      <c r="H2875" t="s">
        <v>55</v>
      </c>
      <c r="I2875" t="s">
        <v>97</v>
      </c>
      <c r="J2875" t="s">
        <v>106</v>
      </c>
      <c r="K2875" t="s">
        <v>188</v>
      </c>
      <c r="L2875">
        <v>7</v>
      </c>
      <c r="M2875">
        <v>369.81</v>
      </c>
      <c r="N2875">
        <v>0.4</v>
      </c>
      <c r="O2875">
        <v>1896.12</v>
      </c>
      <c r="P2875">
        <v>92.88</v>
      </c>
      <c r="Q2875">
        <v>65.27</v>
      </c>
      <c r="R2875" t="s">
        <v>57</v>
      </c>
      <c r="S2875">
        <v>2</v>
      </c>
      <c r="T2875" t="b">
        <v>0</v>
      </c>
      <c r="U2875" t="s">
        <v>93</v>
      </c>
      <c r="V2875">
        <v>4</v>
      </c>
    </row>
    <row r="2876" spans="1:22" x14ac:dyDescent="0.25">
      <c r="A2876" t="s">
        <v>6226</v>
      </c>
      <c r="B2876" s="1">
        <v>45616</v>
      </c>
      <c r="C2876" t="s">
        <v>6227</v>
      </c>
      <c r="D2876" t="s">
        <v>90</v>
      </c>
      <c r="E2876">
        <v>31</v>
      </c>
      <c r="F2876" t="str">
        <f>IF(Table1[[#This Row],[age]]&lt;=25,"18-25",IF(Table1[[#This Row],[age]]&lt;=35,"26-35",IF(Table1[[#This Row],[age]]&lt;=50,"36-50","51+")))</f>
        <v>26-35</v>
      </c>
      <c r="G2876" t="s">
        <v>54</v>
      </c>
      <c r="H2876" t="s">
        <v>80</v>
      </c>
      <c r="I2876" t="s">
        <v>81</v>
      </c>
      <c r="J2876" t="s">
        <v>106</v>
      </c>
      <c r="K2876" t="s">
        <v>314</v>
      </c>
      <c r="L2876">
        <v>1</v>
      </c>
      <c r="M2876">
        <v>281.64999999999998</v>
      </c>
      <c r="N2876">
        <v>0.11</v>
      </c>
      <c r="O2876">
        <v>268.27</v>
      </c>
      <c r="P2876">
        <v>27.01</v>
      </c>
      <c r="Q2876">
        <v>73.959999999999994</v>
      </c>
      <c r="R2876" t="s">
        <v>65</v>
      </c>
      <c r="S2876">
        <v>1</v>
      </c>
      <c r="T2876" t="b">
        <v>1</v>
      </c>
      <c r="U2876" t="s">
        <v>50</v>
      </c>
      <c r="V2876">
        <v>7</v>
      </c>
    </row>
    <row r="2877" spans="1:22" x14ac:dyDescent="0.25">
      <c r="A2877" t="s">
        <v>6228</v>
      </c>
      <c r="B2877" s="1">
        <v>45143</v>
      </c>
      <c r="C2877" t="s">
        <v>6229</v>
      </c>
      <c r="D2877" t="s">
        <v>177</v>
      </c>
      <c r="E2877">
        <v>57</v>
      </c>
      <c r="F2877" t="str">
        <f>IF(Table1[[#This Row],[age]]&lt;=25,"18-25",IF(Table1[[#This Row],[age]]&lt;=35,"26-35",IF(Table1[[#This Row],[age]]&lt;=50,"36-50","51+")))</f>
        <v>51+</v>
      </c>
      <c r="G2877" t="s">
        <v>54</v>
      </c>
      <c r="H2877" t="s">
        <v>55</v>
      </c>
      <c r="I2877" t="s">
        <v>114</v>
      </c>
      <c r="J2877" t="s">
        <v>115</v>
      </c>
      <c r="K2877" t="s">
        <v>398</v>
      </c>
      <c r="L2877">
        <v>4</v>
      </c>
      <c r="M2877">
        <v>5288.54</v>
      </c>
      <c r="N2877">
        <v>0.19</v>
      </c>
      <c r="O2877">
        <v>27570.77</v>
      </c>
      <c r="P2877">
        <v>3492.82</v>
      </c>
      <c r="Q2877">
        <v>95.83</v>
      </c>
      <c r="R2877" t="s">
        <v>29</v>
      </c>
      <c r="S2877">
        <v>3</v>
      </c>
      <c r="T2877" t="b">
        <v>0</v>
      </c>
      <c r="U2877" t="s">
        <v>30</v>
      </c>
      <c r="V2877">
        <v>5</v>
      </c>
    </row>
    <row r="2878" spans="1:22" x14ac:dyDescent="0.25">
      <c r="A2878" t="s">
        <v>6230</v>
      </c>
      <c r="B2878" s="1">
        <v>44812</v>
      </c>
      <c r="C2878" t="s">
        <v>6231</v>
      </c>
      <c r="D2878" t="s">
        <v>2848</v>
      </c>
      <c r="E2878">
        <v>22</v>
      </c>
      <c r="F2878" t="str">
        <f>IF(Table1[[#This Row],[age]]&lt;=25,"18-25",IF(Table1[[#This Row],[age]]&lt;=35,"26-35",IF(Table1[[#This Row],[age]]&lt;=50,"36-50","51+")))</f>
        <v>18-25</v>
      </c>
      <c r="G2878" t="s">
        <v>54</v>
      </c>
      <c r="H2878" t="s">
        <v>69</v>
      </c>
      <c r="I2878" t="s">
        <v>181</v>
      </c>
      <c r="J2878" t="s">
        <v>106</v>
      </c>
      <c r="K2878" t="s">
        <v>107</v>
      </c>
      <c r="L2878">
        <v>6</v>
      </c>
      <c r="M2878">
        <v>129.66</v>
      </c>
      <c r="N2878">
        <v>0.08</v>
      </c>
      <c r="O2878">
        <v>1008.28</v>
      </c>
      <c r="P2878">
        <v>60.96</v>
      </c>
      <c r="Q2878">
        <v>63.39</v>
      </c>
      <c r="R2878" t="s">
        <v>92</v>
      </c>
      <c r="S2878">
        <v>5</v>
      </c>
      <c r="T2878" t="b">
        <v>0</v>
      </c>
      <c r="U2878" t="s">
        <v>30</v>
      </c>
      <c r="V2878">
        <v>3</v>
      </c>
    </row>
    <row r="2879" spans="1:22" x14ac:dyDescent="0.25">
      <c r="A2879" t="s">
        <v>6232</v>
      </c>
      <c r="B2879" s="1">
        <v>45034</v>
      </c>
      <c r="C2879" t="s">
        <v>6233</v>
      </c>
      <c r="D2879" t="s">
        <v>1433</v>
      </c>
      <c r="E2879">
        <v>43</v>
      </c>
      <c r="F2879" t="str">
        <f>IF(Table1[[#This Row],[age]]&lt;=25,"18-25",IF(Table1[[#This Row],[age]]&lt;=35,"26-35",IF(Table1[[#This Row],[age]]&lt;=50,"36-50","51+")))</f>
        <v>36-50</v>
      </c>
      <c r="G2879" t="s">
        <v>34</v>
      </c>
      <c r="H2879" t="s">
        <v>55</v>
      </c>
      <c r="I2879" t="s">
        <v>75</v>
      </c>
      <c r="J2879" t="s">
        <v>106</v>
      </c>
      <c r="K2879" t="s">
        <v>107</v>
      </c>
      <c r="L2879">
        <v>7</v>
      </c>
      <c r="M2879">
        <v>287.94</v>
      </c>
      <c r="N2879">
        <v>0.34</v>
      </c>
      <c r="O2879">
        <v>1907.63</v>
      </c>
      <c r="P2879">
        <v>168.82</v>
      </c>
      <c r="Q2879">
        <v>48.27</v>
      </c>
      <c r="R2879" t="s">
        <v>57</v>
      </c>
      <c r="S2879">
        <v>4</v>
      </c>
      <c r="T2879" t="b">
        <v>0</v>
      </c>
      <c r="U2879" t="s">
        <v>30</v>
      </c>
      <c r="V2879">
        <v>5</v>
      </c>
    </row>
    <row r="2880" spans="1:22" x14ac:dyDescent="0.25">
      <c r="A2880" t="s">
        <v>6234</v>
      </c>
      <c r="B2880" s="1">
        <v>45016</v>
      </c>
      <c r="C2880" t="s">
        <v>6235</v>
      </c>
      <c r="D2880" t="s">
        <v>1069</v>
      </c>
      <c r="E2880">
        <v>39</v>
      </c>
      <c r="F2880" t="str">
        <f>IF(Table1[[#This Row],[age]]&lt;=25,"18-25",IF(Table1[[#This Row],[age]]&lt;=35,"26-35",IF(Table1[[#This Row],[age]]&lt;=50,"36-50","51+")))</f>
        <v>36-50</v>
      </c>
      <c r="G2880" t="s">
        <v>54</v>
      </c>
      <c r="H2880" t="s">
        <v>25</v>
      </c>
      <c r="I2880" t="s">
        <v>26</v>
      </c>
      <c r="J2880" t="s">
        <v>27</v>
      </c>
      <c r="K2880" t="s">
        <v>28</v>
      </c>
      <c r="L2880">
        <v>3</v>
      </c>
      <c r="M2880">
        <v>1932.05</v>
      </c>
      <c r="N2880">
        <v>0.12</v>
      </c>
      <c r="O2880">
        <v>6749.05</v>
      </c>
      <c r="P2880">
        <v>2983.29</v>
      </c>
      <c r="Q2880">
        <v>47.16</v>
      </c>
      <c r="R2880" t="s">
        <v>65</v>
      </c>
      <c r="S2880">
        <v>1</v>
      </c>
      <c r="T2880" t="b">
        <v>0</v>
      </c>
      <c r="U2880" t="s">
        <v>193</v>
      </c>
      <c r="V2880">
        <v>5</v>
      </c>
    </row>
    <row r="2881" spans="1:22" x14ac:dyDescent="0.25">
      <c r="A2881" t="s">
        <v>6236</v>
      </c>
      <c r="B2881" s="1">
        <v>45420</v>
      </c>
      <c r="C2881" t="s">
        <v>6237</v>
      </c>
      <c r="D2881" t="s">
        <v>542</v>
      </c>
      <c r="E2881">
        <v>43</v>
      </c>
      <c r="F2881" t="str">
        <f>IF(Table1[[#This Row],[age]]&lt;=25,"18-25",IF(Table1[[#This Row],[age]]&lt;=35,"26-35",IF(Table1[[#This Row],[age]]&lt;=50,"36-50","51+")))</f>
        <v>36-50</v>
      </c>
      <c r="G2881" t="s">
        <v>54</v>
      </c>
      <c r="H2881" t="s">
        <v>69</v>
      </c>
      <c r="I2881" t="s">
        <v>181</v>
      </c>
      <c r="J2881" t="s">
        <v>36</v>
      </c>
      <c r="K2881" t="s">
        <v>243</v>
      </c>
      <c r="L2881">
        <v>7</v>
      </c>
      <c r="M2881">
        <v>16570.919999999998</v>
      </c>
      <c r="N2881">
        <v>0.33</v>
      </c>
      <c r="O2881">
        <v>122079.93</v>
      </c>
      <c r="P2881">
        <v>40801.29</v>
      </c>
      <c r="Q2881">
        <v>111.73</v>
      </c>
      <c r="R2881" t="s">
        <v>92</v>
      </c>
      <c r="S2881">
        <v>1</v>
      </c>
      <c r="T2881" t="b">
        <v>0</v>
      </c>
      <c r="U2881" t="s">
        <v>93</v>
      </c>
      <c r="V2881">
        <v>9</v>
      </c>
    </row>
    <row r="2882" spans="1:22" x14ac:dyDescent="0.25">
      <c r="A2882" t="s">
        <v>6238</v>
      </c>
      <c r="B2882" s="1">
        <v>44492</v>
      </c>
      <c r="C2882" t="s">
        <v>6239</v>
      </c>
      <c r="D2882" t="s">
        <v>1092</v>
      </c>
      <c r="E2882">
        <v>36</v>
      </c>
      <c r="F2882" t="str">
        <f>IF(Table1[[#This Row],[age]]&lt;=25,"18-25",IF(Table1[[#This Row],[age]]&lt;=35,"26-35",IF(Table1[[#This Row],[age]]&lt;=50,"36-50","51+")))</f>
        <v>36-50</v>
      </c>
      <c r="G2882" t="s">
        <v>24</v>
      </c>
      <c r="H2882" t="s">
        <v>25</v>
      </c>
      <c r="I2882" t="s">
        <v>41</v>
      </c>
      <c r="J2882" t="s">
        <v>63</v>
      </c>
      <c r="K2882" t="s">
        <v>434</v>
      </c>
      <c r="L2882">
        <v>10</v>
      </c>
      <c r="M2882">
        <v>2394.19</v>
      </c>
      <c r="N2882">
        <v>0.18</v>
      </c>
      <c r="O2882">
        <v>18412.38</v>
      </c>
      <c r="P2882">
        <v>6424.53</v>
      </c>
      <c r="Q2882">
        <v>80.64</v>
      </c>
      <c r="R2882" t="s">
        <v>49</v>
      </c>
      <c r="S2882">
        <v>4</v>
      </c>
      <c r="T2882" t="b">
        <v>0</v>
      </c>
      <c r="U2882" t="s">
        <v>30</v>
      </c>
      <c r="V2882">
        <v>5</v>
      </c>
    </row>
    <row r="2883" spans="1:22" x14ac:dyDescent="0.25">
      <c r="A2883" t="s">
        <v>6240</v>
      </c>
      <c r="B2883" s="1">
        <v>44982</v>
      </c>
      <c r="C2883" t="s">
        <v>6241</v>
      </c>
      <c r="D2883" t="s">
        <v>437</v>
      </c>
      <c r="E2883">
        <v>29</v>
      </c>
      <c r="F2883" t="str">
        <f>IF(Table1[[#This Row],[age]]&lt;=25,"18-25",IF(Table1[[#This Row],[age]]&lt;=35,"26-35",IF(Table1[[#This Row],[age]]&lt;=50,"36-50","51+")))</f>
        <v>26-35</v>
      </c>
      <c r="G2883" t="s">
        <v>54</v>
      </c>
      <c r="H2883" t="s">
        <v>55</v>
      </c>
      <c r="I2883" t="s">
        <v>56</v>
      </c>
      <c r="J2883" t="s">
        <v>63</v>
      </c>
      <c r="K2883" t="s">
        <v>111</v>
      </c>
      <c r="L2883">
        <v>4</v>
      </c>
      <c r="M2883">
        <v>2095.6</v>
      </c>
      <c r="N2883">
        <v>0.36</v>
      </c>
      <c r="O2883">
        <v>5514.66</v>
      </c>
      <c r="P2883">
        <v>1469.25</v>
      </c>
      <c r="Q2883">
        <v>50.22</v>
      </c>
      <c r="R2883" t="s">
        <v>92</v>
      </c>
      <c r="S2883">
        <v>4</v>
      </c>
      <c r="T2883" t="b">
        <v>0</v>
      </c>
      <c r="U2883" t="s">
        <v>30</v>
      </c>
      <c r="V2883">
        <v>6</v>
      </c>
    </row>
    <row r="2884" spans="1:22" x14ac:dyDescent="0.25">
      <c r="A2884" t="s">
        <v>6242</v>
      </c>
      <c r="B2884" s="1">
        <v>44265</v>
      </c>
      <c r="C2884" t="s">
        <v>6243</v>
      </c>
      <c r="D2884" t="s">
        <v>1647</v>
      </c>
      <c r="E2884">
        <v>38</v>
      </c>
      <c r="F2884" t="str">
        <f>IF(Table1[[#This Row],[age]]&lt;=25,"18-25",IF(Table1[[#This Row],[age]]&lt;=35,"26-35",IF(Table1[[#This Row],[age]]&lt;=50,"36-50","51+")))</f>
        <v>36-50</v>
      </c>
      <c r="G2884" t="s">
        <v>24</v>
      </c>
      <c r="H2884" t="s">
        <v>25</v>
      </c>
      <c r="I2884" t="s">
        <v>298</v>
      </c>
      <c r="J2884" t="s">
        <v>47</v>
      </c>
      <c r="K2884" t="s">
        <v>204</v>
      </c>
      <c r="L2884">
        <v>10</v>
      </c>
      <c r="M2884">
        <v>1207.23</v>
      </c>
      <c r="N2884">
        <v>0.16</v>
      </c>
      <c r="O2884">
        <v>10978.87</v>
      </c>
      <c r="P2884">
        <v>2840.09</v>
      </c>
      <c r="Q2884">
        <v>56.99</v>
      </c>
      <c r="R2884" t="s">
        <v>49</v>
      </c>
      <c r="S2884">
        <v>2</v>
      </c>
      <c r="T2884" t="b">
        <v>0</v>
      </c>
      <c r="U2884" t="s">
        <v>30</v>
      </c>
      <c r="V2884">
        <v>6</v>
      </c>
    </row>
    <row r="2885" spans="1:22" x14ac:dyDescent="0.25">
      <c r="A2885" t="s">
        <v>6244</v>
      </c>
      <c r="B2885" s="1">
        <v>44897</v>
      </c>
      <c r="C2885" t="s">
        <v>6245</v>
      </c>
      <c r="D2885" t="s">
        <v>583</v>
      </c>
      <c r="E2885">
        <v>33</v>
      </c>
      <c r="F2885" t="str">
        <f>IF(Table1[[#This Row],[age]]&lt;=25,"18-25",IF(Table1[[#This Row],[age]]&lt;=35,"26-35",IF(Table1[[#This Row],[age]]&lt;=50,"36-50","51+")))</f>
        <v>26-35</v>
      </c>
      <c r="G2885" t="s">
        <v>24</v>
      </c>
      <c r="H2885" t="s">
        <v>80</v>
      </c>
      <c r="I2885" t="s">
        <v>236</v>
      </c>
      <c r="J2885" t="s">
        <v>63</v>
      </c>
      <c r="K2885" t="s">
        <v>111</v>
      </c>
      <c r="L2885">
        <v>4</v>
      </c>
      <c r="M2885">
        <v>1231.26</v>
      </c>
      <c r="N2885">
        <v>7.0000000000000007E-2</v>
      </c>
      <c r="O2885">
        <v>3543.81</v>
      </c>
      <c r="P2885">
        <v>1397.23</v>
      </c>
      <c r="Q2885">
        <v>42.37</v>
      </c>
      <c r="R2885" t="s">
        <v>29</v>
      </c>
      <c r="S2885">
        <v>3</v>
      </c>
      <c r="T2885" t="b">
        <v>0</v>
      </c>
      <c r="U2885" t="s">
        <v>30</v>
      </c>
      <c r="V2885">
        <v>9</v>
      </c>
    </row>
    <row r="2886" spans="1:22" x14ac:dyDescent="0.25">
      <c r="A2886" t="s">
        <v>6246</v>
      </c>
      <c r="B2886" s="1">
        <v>44978</v>
      </c>
      <c r="C2886" t="s">
        <v>6247</v>
      </c>
      <c r="D2886" t="s">
        <v>1430</v>
      </c>
      <c r="E2886">
        <v>47</v>
      </c>
      <c r="F2886" t="str">
        <f>IF(Table1[[#This Row],[age]]&lt;=25,"18-25",IF(Table1[[#This Row],[age]]&lt;=35,"26-35",IF(Table1[[#This Row],[age]]&lt;=50,"36-50","51+")))</f>
        <v>36-50</v>
      </c>
      <c r="G2886" t="s">
        <v>54</v>
      </c>
      <c r="H2886" t="s">
        <v>69</v>
      </c>
      <c r="I2886" t="s">
        <v>181</v>
      </c>
      <c r="J2886" t="s">
        <v>63</v>
      </c>
      <c r="K2886" t="s">
        <v>64</v>
      </c>
      <c r="L2886">
        <v>6</v>
      </c>
      <c r="M2886">
        <v>3972.74</v>
      </c>
      <c r="N2886">
        <v>0.19</v>
      </c>
      <c r="O2886">
        <v>21803.58</v>
      </c>
      <c r="P2886">
        <v>9997.3700000000008</v>
      </c>
      <c r="Q2886">
        <v>46.75</v>
      </c>
      <c r="R2886" t="s">
        <v>29</v>
      </c>
      <c r="S2886">
        <v>2</v>
      </c>
      <c r="T2886" t="b">
        <v>0</v>
      </c>
      <c r="U2886" t="s">
        <v>30</v>
      </c>
      <c r="V2886">
        <v>1</v>
      </c>
    </row>
    <row r="2887" spans="1:22" x14ac:dyDescent="0.25">
      <c r="A2887" t="s">
        <v>6248</v>
      </c>
      <c r="B2887" s="1">
        <v>44542</v>
      </c>
      <c r="C2887" t="s">
        <v>6249</v>
      </c>
      <c r="D2887" t="s">
        <v>937</v>
      </c>
      <c r="E2887">
        <v>37</v>
      </c>
      <c r="F2887" t="str">
        <f>IF(Table1[[#This Row],[age]]&lt;=25,"18-25",IF(Table1[[#This Row],[age]]&lt;=35,"26-35",IF(Table1[[#This Row],[age]]&lt;=50,"36-50","51+")))</f>
        <v>36-50</v>
      </c>
      <c r="G2887" t="s">
        <v>54</v>
      </c>
      <c r="H2887" t="s">
        <v>61</v>
      </c>
      <c r="I2887" t="s">
        <v>62</v>
      </c>
      <c r="J2887" t="s">
        <v>106</v>
      </c>
      <c r="K2887" t="s">
        <v>188</v>
      </c>
      <c r="L2887">
        <v>5</v>
      </c>
      <c r="M2887">
        <v>225.72</v>
      </c>
      <c r="N2887">
        <v>0.01</v>
      </c>
      <c r="O2887">
        <v>877.93</v>
      </c>
      <c r="P2887">
        <v>110.9</v>
      </c>
      <c r="Q2887">
        <v>57.3</v>
      </c>
      <c r="R2887" t="s">
        <v>49</v>
      </c>
      <c r="S2887">
        <v>2</v>
      </c>
      <c r="T2887" t="b">
        <v>1</v>
      </c>
      <c r="U2887" t="s">
        <v>50</v>
      </c>
      <c r="V2887">
        <v>7</v>
      </c>
    </row>
    <row r="2888" spans="1:22" x14ac:dyDescent="0.25">
      <c r="A2888" t="s">
        <v>6250</v>
      </c>
      <c r="B2888" s="1">
        <v>44962</v>
      </c>
      <c r="C2888" t="s">
        <v>6251</v>
      </c>
      <c r="D2888" t="s">
        <v>1039</v>
      </c>
      <c r="E2888">
        <v>48</v>
      </c>
      <c r="F2888" t="str">
        <f>IF(Table1[[#This Row],[age]]&lt;=25,"18-25",IF(Table1[[#This Row],[age]]&lt;=35,"26-35",IF(Table1[[#This Row],[age]]&lt;=50,"36-50","51+")))</f>
        <v>36-50</v>
      </c>
      <c r="G2888" t="s">
        <v>34</v>
      </c>
      <c r="H2888" t="s">
        <v>80</v>
      </c>
      <c r="I2888" t="s">
        <v>86</v>
      </c>
      <c r="J2888" t="s">
        <v>63</v>
      </c>
      <c r="K2888" t="s">
        <v>111</v>
      </c>
      <c r="L2888">
        <v>9</v>
      </c>
      <c r="M2888">
        <v>1032.03</v>
      </c>
      <c r="N2888">
        <v>0.33</v>
      </c>
      <c r="O2888">
        <v>6175.76</v>
      </c>
      <c r="P2888">
        <v>1554.99</v>
      </c>
      <c r="Q2888">
        <v>79.739999999999995</v>
      </c>
      <c r="R2888" t="s">
        <v>65</v>
      </c>
      <c r="S2888">
        <v>4</v>
      </c>
      <c r="T2888" t="b">
        <v>1</v>
      </c>
      <c r="U2888" t="s">
        <v>50</v>
      </c>
      <c r="V2888">
        <v>7</v>
      </c>
    </row>
    <row r="2889" spans="1:22" x14ac:dyDescent="0.25">
      <c r="A2889" t="s">
        <v>6252</v>
      </c>
      <c r="B2889" s="1">
        <v>45470</v>
      </c>
      <c r="C2889" t="s">
        <v>6253</v>
      </c>
      <c r="D2889" t="s">
        <v>599</v>
      </c>
      <c r="E2889">
        <v>41</v>
      </c>
      <c r="F2889" t="str">
        <f>IF(Table1[[#This Row],[age]]&lt;=25,"18-25",IF(Table1[[#This Row],[age]]&lt;=35,"26-35",IF(Table1[[#This Row],[age]]&lt;=50,"36-50","51+")))</f>
        <v>36-50</v>
      </c>
      <c r="G2889" t="s">
        <v>54</v>
      </c>
      <c r="H2889" t="s">
        <v>69</v>
      </c>
      <c r="I2889" t="s">
        <v>136</v>
      </c>
      <c r="J2889" t="s">
        <v>36</v>
      </c>
      <c r="K2889" t="s">
        <v>37</v>
      </c>
      <c r="L2889">
        <v>1</v>
      </c>
      <c r="M2889">
        <v>31109.85</v>
      </c>
      <c r="N2889">
        <v>0.22</v>
      </c>
      <c r="O2889">
        <v>44220.44</v>
      </c>
      <c r="P2889">
        <v>11000.78</v>
      </c>
      <c r="Q2889">
        <v>97.57</v>
      </c>
      <c r="R2889" t="s">
        <v>29</v>
      </c>
      <c r="S2889">
        <v>3</v>
      </c>
      <c r="T2889" t="b">
        <v>0</v>
      </c>
      <c r="U2889" t="s">
        <v>30</v>
      </c>
      <c r="V2889">
        <v>3</v>
      </c>
    </row>
    <row r="2890" spans="1:22" x14ac:dyDescent="0.25">
      <c r="A2890" t="s">
        <v>6254</v>
      </c>
      <c r="B2890" s="1">
        <v>44513</v>
      </c>
      <c r="C2890" t="s">
        <v>6255</v>
      </c>
      <c r="D2890" t="s">
        <v>1401</v>
      </c>
      <c r="E2890">
        <v>34</v>
      </c>
      <c r="F2890" t="str">
        <f>IF(Table1[[#This Row],[age]]&lt;=25,"18-25",IF(Table1[[#This Row],[age]]&lt;=35,"26-35",IF(Table1[[#This Row],[age]]&lt;=50,"36-50","51+")))</f>
        <v>26-35</v>
      </c>
      <c r="G2890" t="s">
        <v>34</v>
      </c>
      <c r="H2890" t="s">
        <v>69</v>
      </c>
      <c r="I2890" t="s">
        <v>181</v>
      </c>
      <c r="J2890" t="s">
        <v>101</v>
      </c>
      <c r="K2890" t="s">
        <v>214</v>
      </c>
      <c r="L2890">
        <v>10</v>
      </c>
      <c r="M2890">
        <v>8236.27</v>
      </c>
      <c r="N2890">
        <v>0.04</v>
      </c>
      <c r="O2890">
        <v>66408.75</v>
      </c>
      <c r="P2890">
        <v>10958.97</v>
      </c>
      <c r="Q2890">
        <v>69.62</v>
      </c>
      <c r="R2890" t="s">
        <v>29</v>
      </c>
      <c r="S2890">
        <v>3</v>
      </c>
      <c r="T2890" t="b">
        <v>1</v>
      </c>
      <c r="U2890" t="s">
        <v>50</v>
      </c>
      <c r="V2890">
        <v>7</v>
      </c>
    </row>
    <row r="2891" spans="1:22" x14ac:dyDescent="0.25">
      <c r="A2891" t="s">
        <v>6256</v>
      </c>
      <c r="B2891" s="1">
        <v>44143</v>
      </c>
      <c r="C2891" t="s">
        <v>2026</v>
      </c>
      <c r="D2891" t="s">
        <v>268</v>
      </c>
      <c r="E2891">
        <v>22</v>
      </c>
      <c r="F2891" t="str">
        <f>IF(Table1[[#This Row],[age]]&lt;=25,"18-25",IF(Table1[[#This Row],[age]]&lt;=35,"26-35",IF(Table1[[#This Row],[age]]&lt;=50,"36-50","51+")))</f>
        <v>18-25</v>
      </c>
      <c r="G2891" t="s">
        <v>54</v>
      </c>
      <c r="H2891" t="s">
        <v>61</v>
      </c>
      <c r="I2891" t="s">
        <v>163</v>
      </c>
      <c r="J2891" t="s">
        <v>36</v>
      </c>
      <c r="K2891" t="s">
        <v>230</v>
      </c>
      <c r="L2891">
        <v>6</v>
      </c>
      <c r="M2891">
        <v>21919.09</v>
      </c>
      <c r="N2891">
        <v>0.17</v>
      </c>
      <c r="O2891">
        <v>80745.64</v>
      </c>
      <c r="P2891">
        <v>19787.939999999999</v>
      </c>
      <c r="Q2891">
        <v>53.3</v>
      </c>
      <c r="R2891" t="s">
        <v>29</v>
      </c>
      <c r="S2891">
        <v>5</v>
      </c>
      <c r="T2891" t="b">
        <v>0</v>
      </c>
      <c r="U2891" t="s">
        <v>30</v>
      </c>
      <c r="V2891">
        <v>9</v>
      </c>
    </row>
    <row r="2892" spans="1:22" x14ac:dyDescent="0.25">
      <c r="A2892" t="s">
        <v>6257</v>
      </c>
      <c r="B2892" s="1">
        <v>43976</v>
      </c>
      <c r="C2892" t="s">
        <v>6258</v>
      </c>
      <c r="D2892" t="s">
        <v>159</v>
      </c>
      <c r="E2892">
        <v>27</v>
      </c>
      <c r="F2892" t="str">
        <f>IF(Table1[[#This Row],[age]]&lt;=25,"18-25",IF(Table1[[#This Row],[age]]&lt;=35,"26-35",IF(Table1[[#This Row],[age]]&lt;=50,"36-50","51+")))</f>
        <v>26-35</v>
      </c>
      <c r="G2892" t="s">
        <v>54</v>
      </c>
      <c r="H2892" t="s">
        <v>55</v>
      </c>
      <c r="I2892" t="s">
        <v>97</v>
      </c>
      <c r="J2892" t="s">
        <v>36</v>
      </c>
      <c r="K2892" t="s">
        <v>230</v>
      </c>
      <c r="L2892">
        <v>5</v>
      </c>
      <c r="M2892">
        <v>6765.44</v>
      </c>
      <c r="N2892">
        <v>0.33</v>
      </c>
      <c r="O2892">
        <v>31049.48</v>
      </c>
      <c r="P2892">
        <v>6138.52</v>
      </c>
      <c r="Q2892">
        <v>54.05</v>
      </c>
      <c r="R2892" t="s">
        <v>65</v>
      </c>
      <c r="S2892">
        <v>2</v>
      </c>
      <c r="T2892" t="b">
        <v>0</v>
      </c>
      <c r="U2892" t="s">
        <v>71</v>
      </c>
      <c r="V2892">
        <v>6</v>
      </c>
    </row>
    <row r="2893" spans="1:22" x14ac:dyDescent="0.25">
      <c r="A2893" t="s">
        <v>6259</v>
      </c>
      <c r="B2893" s="1">
        <v>44852</v>
      </c>
      <c r="C2893" t="s">
        <v>6260</v>
      </c>
      <c r="D2893" t="s">
        <v>361</v>
      </c>
      <c r="E2893">
        <v>38</v>
      </c>
      <c r="F2893" t="str">
        <f>IF(Table1[[#This Row],[age]]&lt;=25,"18-25",IF(Table1[[#This Row],[age]]&lt;=35,"26-35",IF(Table1[[#This Row],[age]]&lt;=50,"36-50","51+")))</f>
        <v>36-50</v>
      </c>
      <c r="G2893" t="s">
        <v>24</v>
      </c>
      <c r="H2893" t="s">
        <v>25</v>
      </c>
      <c r="I2893" t="s">
        <v>35</v>
      </c>
      <c r="J2893" t="s">
        <v>115</v>
      </c>
      <c r="K2893" t="s">
        <v>116</v>
      </c>
      <c r="L2893">
        <v>5</v>
      </c>
      <c r="M2893">
        <v>5729.21</v>
      </c>
      <c r="N2893">
        <v>0.26</v>
      </c>
      <c r="O2893">
        <v>21082.560000000001</v>
      </c>
      <c r="P2893">
        <v>2258.77</v>
      </c>
      <c r="Q2893">
        <v>47.72</v>
      </c>
      <c r="R2893" t="s">
        <v>92</v>
      </c>
      <c r="S2893">
        <v>4</v>
      </c>
      <c r="T2893" t="b">
        <v>0</v>
      </c>
      <c r="U2893" t="s">
        <v>71</v>
      </c>
      <c r="V2893">
        <v>8</v>
      </c>
    </row>
    <row r="2894" spans="1:22" x14ac:dyDescent="0.25">
      <c r="A2894" t="s">
        <v>6261</v>
      </c>
      <c r="B2894" s="1">
        <v>44725</v>
      </c>
      <c r="C2894" t="s">
        <v>6262</v>
      </c>
      <c r="D2894" t="s">
        <v>259</v>
      </c>
      <c r="E2894">
        <v>28</v>
      </c>
      <c r="F2894" t="str">
        <f>IF(Table1[[#This Row],[age]]&lt;=25,"18-25",IF(Table1[[#This Row],[age]]&lt;=35,"26-35",IF(Table1[[#This Row],[age]]&lt;=50,"36-50","51+")))</f>
        <v>26-35</v>
      </c>
      <c r="G2894" t="s">
        <v>24</v>
      </c>
      <c r="H2894" t="s">
        <v>55</v>
      </c>
      <c r="I2894" t="s">
        <v>56</v>
      </c>
      <c r="J2894" t="s">
        <v>106</v>
      </c>
      <c r="K2894" t="s">
        <v>314</v>
      </c>
      <c r="L2894">
        <v>1</v>
      </c>
      <c r="M2894">
        <v>431.51</v>
      </c>
      <c r="N2894">
        <v>0.26</v>
      </c>
      <c r="O2894">
        <v>545.27</v>
      </c>
      <c r="P2894">
        <v>23.26</v>
      </c>
      <c r="Q2894">
        <v>56.68</v>
      </c>
      <c r="R2894" t="s">
        <v>65</v>
      </c>
      <c r="S2894">
        <v>3</v>
      </c>
      <c r="T2894" t="b">
        <v>0</v>
      </c>
      <c r="U2894" t="s">
        <v>30</v>
      </c>
      <c r="V2894">
        <v>5</v>
      </c>
    </row>
    <row r="2895" spans="1:22" x14ac:dyDescent="0.25">
      <c r="A2895" t="s">
        <v>6263</v>
      </c>
      <c r="B2895" s="1">
        <v>44186</v>
      </c>
      <c r="C2895" t="s">
        <v>6264</v>
      </c>
      <c r="D2895" t="s">
        <v>310</v>
      </c>
      <c r="E2895">
        <v>42</v>
      </c>
      <c r="F2895" t="str">
        <f>IF(Table1[[#This Row],[age]]&lt;=25,"18-25",IF(Table1[[#This Row],[age]]&lt;=35,"26-35",IF(Table1[[#This Row],[age]]&lt;=50,"36-50","51+")))</f>
        <v>36-50</v>
      </c>
      <c r="G2895" t="s">
        <v>34</v>
      </c>
      <c r="H2895" t="s">
        <v>25</v>
      </c>
      <c r="I2895" t="s">
        <v>298</v>
      </c>
      <c r="J2895" t="s">
        <v>36</v>
      </c>
      <c r="K2895" t="s">
        <v>230</v>
      </c>
      <c r="L2895">
        <v>8</v>
      </c>
      <c r="M2895">
        <v>14923.8</v>
      </c>
      <c r="N2895">
        <v>0.19</v>
      </c>
      <c r="O2895">
        <v>74800.009999999995</v>
      </c>
      <c r="P2895">
        <v>25405.51</v>
      </c>
      <c r="Q2895">
        <v>42.54</v>
      </c>
      <c r="R2895" t="s">
        <v>57</v>
      </c>
      <c r="S2895">
        <v>2</v>
      </c>
      <c r="T2895" t="b">
        <v>0</v>
      </c>
      <c r="U2895" t="s">
        <v>30</v>
      </c>
      <c r="V2895">
        <v>4</v>
      </c>
    </row>
    <row r="2896" spans="1:22" x14ac:dyDescent="0.25">
      <c r="A2896" t="s">
        <v>6265</v>
      </c>
      <c r="B2896" s="1">
        <v>45567</v>
      </c>
      <c r="C2896" t="s">
        <v>6266</v>
      </c>
      <c r="D2896" t="s">
        <v>1644</v>
      </c>
      <c r="E2896">
        <v>39</v>
      </c>
      <c r="F2896" t="str">
        <f>IF(Table1[[#This Row],[age]]&lt;=25,"18-25",IF(Table1[[#This Row],[age]]&lt;=35,"26-35",IF(Table1[[#This Row],[age]]&lt;=50,"36-50","51+")))</f>
        <v>36-50</v>
      </c>
      <c r="G2896" t="s">
        <v>24</v>
      </c>
      <c r="H2896" t="s">
        <v>55</v>
      </c>
      <c r="I2896" t="s">
        <v>56</v>
      </c>
      <c r="J2896" t="s">
        <v>115</v>
      </c>
      <c r="K2896" t="s">
        <v>197</v>
      </c>
      <c r="L2896">
        <v>2</v>
      </c>
      <c r="M2896">
        <v>24384.77</v>
      </c>
      <c r="N2896">
        <v>0.4</v>
      </c>
      <c r="O2896">
        <v>33639.93</v>
      </c>
      <c r="P2896">
        <v>4904.58</v>
      </c>
      <c r="Q2896">
        <v>40.950000000000003</v>
      </c>
      <c r="R2896" t="s">
        <v>57</v>
      </c>
      <c r="S2896">
        <v>3</v>
      </c>
      <c r="T2896" t="b">
        <v>0</v>
      </c>
      <c r="U2896" t="s">
        <v>30</v>
      </c>
      <c r="V2896">
        <v>9</v>
      </c>
    </row>
    <row r="2897" spans="1:22" x14ac:dyDescent="0.25">
      <c r="A2897" t="s">
        <v>6267</v>
      </c>
      <c r="B2897" s="1">
        <v>44109</v>
      </c>
      <c r="C2897" t="s">
        <v>6268</v>
      </c>
      <c r="D2897" t="s">
        <v>131</v>
      </c>
      <c r="E2897">
        <v>27</v>
      </c>
      <c r="F2897" t="str">
        <f>IF(Table1[[#This Row],[age]]&lt;=25,"18-25",IF(Table1[[#This Row],[age]]&lt;=35,"26-35",IF(Table1[[#This Row],[age]]&lt;=50,"36-50","51+")))</f>
        <v>26-35</v>
      </c>
      <c r="G2897" t="s">
        <v>24</v>
      </c>
      <c r="H2897" t="s">
        <v>61</v>
      </c>
      <c r="I2897" t="s">
        <v>91</v>
      </c>
      <c r="J2897" t="s">
        <v>27</v>
      </c>
      <c r="K2897" t="s">
        <v>480</v>
      </c>
      <c r="L2897">
        <v>2</v>
      </c>
      <c r="M2897">
        <v>662.8</v>
      </c>
      <c r="N2897">
        <v>0.3</v>
      </c>
      <c r="O2897">
        <v>887.58</v>
      </c>
      <c r="P2897">
        <v>508.29</v>
      </c>
      <c r="Q2897">
        <v>51.48</v>
      </c>
      <c r="R2897" t="s">
        <v>57</v>
      </c>
      <c r="S2897">
        <v>2</v>
      </c>
      <c r="T2897" t="b">
        <v>0</v>
      </c>
      <c r="U2897" t="s">
        <v>30</v>
      </c>
      <c r="V2897">
        <v>10</v>
      </c>
    </row>
    <row r="2898" spans="1:22" x14ac:dyDescent="0.25">
      <c r="A2898" t="s">
        <v>6269</v>
      </c>
      <c r="B2898" s="1">
        <v>45386</v>
      </c>
      <c r="C2898" t="s">
        <v>6270</v>
      </c>
      <c r="D2898" t="s">
        <v>2721</v>
      </c>
      <c r="E2898">
        <v>31</v>
      </c>
      <c r="F2898" t="str">
        <f>IF(Table1[[#This Row],[age]]&lt;=25,"18-25",IF(Table1[[#This Row],[age]]&lt;=35,"26-35",IF(Table1[[#This Row],[age]]&lt;=50,"36-50","51+")))</f>
        <v>26-35</v>
      </c>
      <c r="G2898" t="s">
        <v>24</v>
      </c>
      <c r="H2898" t="s">
        <v>61</v>
      </c>
      <c r="I2898" t="s">
        <v>62</v>
      </c>
      <c r="J2898" t="s">
        <v>115</v>
      </c>
      <c r="K2898" t="s">
        <v>116</v>
      </c>
      <c r="L2898">
        <v>3</v>
      </c>
      <c r="M2898">
        <v>40441.120000000003</v>
      </c>
      <c r="N2898">
        <v>0.06</v>
      </c>
      <c r="O2898">
        <v>167514.18</v>
      </c>
      <c r="P2898">
        <v>15922.46</v>
      </c>
      <c r="Q2898">
        <v>37.81</v>
      </c>
      <c r="R2898" t="s">
        <v>57</v>
      </c>
      <c r="S2898">
        <v>3</v>
      </c>
      <c r="T2898" t="b">
        <v>0</v>
      </c>
      <c r="U2898" t="s">
        <v>93</v>
      </c>
      <c r="V2898">
        <v>3</v>
      </c>
    </row>
    <row r="2899" spans="1:22" x14ac:dyDescent="0.25">
      <c r="A2899" t="s">
        <v>6271</v>
      </c>
      <c r="B2899" s="1">
        <v>45269</v>
      </c>
      <c r="C2899" t="s">
        <v>6272</v>
      </c>
      <c r="D2899" t="s">
        <v>1233</v>
      </c>
      <c r="E2899">
        <v>43</v>
      </c>
      <c r="F2899" t="str">
        <f>IF(Table1[[#This Row],[age]]&lt;=25,"18-25",IF(Table1[[#This Row],[age]]&lt;=35,"26-35",IF(Table1[[#This Row],[age]]&lt;=50,"36-50","51+")))</f>
        <v>36-50</v>
      </c>
      <c r="G2899" t="s">
        <v>34</v>
      </c>
      <c r="H2899" t="s">
        <v>61</v>
      </c>
      <c r="I2899" t="s">
        <v>62</v>
      </c>
      <c r="J2899" t="s">
        <v>47</v>
      </c>
      <c r="K2899" t="s">
        <v>600</v>
      </c>
      <c r="L2899">
        <v>6</v>
      </c>
      <c r="M2899">
        <v>816.54</v>
      </c>
      <c r="N2899">
        <v>0.12</v>
      </c>
      <c r="O2899">
        <v>3736.19</v>
      </c>
      <c r="P2899">
        <v>1793.27</v>
      </c>
      <c r="Q2899">
        <v>39.880000000000003</v>
      </c>
      <c r="R2899" t="s">
        <v>92</v>
      </c>
      <c r="S2899">
        <v>2</v>
      </c>
      <c r="T2899" t="b">
        <v>0</v>
      </c>
      <c r="U2899" t="s">
        <v>193</v>
      </c>
      <c r="V2899">
        <v>7</v>
      </c>
    </row>
    <row r="2900" spans="1:22" x14ac:dyDescent="0.25">
      <c r="A2900" t="s">
        <v>6273</v>
      </c>
      <c r="B2900" s="1">
        <v>44351</v>
      </c>
      <c r="C2900" t="s">
        <v>6274</v>
      </c>
      <c r="D2900" t="s">
        <v>895</v>
      </c>
      <c r="E2900">
        <v>41</v>
      </c>
      <c r="F2900" t="str">
        <f>IF(Table1[[#This Row],[age]]&lt;=25,"18-25",IF(Table1[[#This Row],[age]]&lt;=35,"26-35",IF(Table1[[#This Row],[age]]&lt;=50,"36-50","51+")))</f>
        <v>36-50</v>
      </c>
      <c r="G2900" t="s">
        <v>34</v>
      </c>
      <c r="H2900" t="s">
        <v>80</v>
      </c>
      <c r="I2900" t="s">
        <v>242</v>
      </c>
      <c r="J2900" t="s">
        <v>63</v>
      </c>
      <c r="K2900" t="s">
        <v>434</v>
      </c>
      <c r="L2900">
        <v>2</v>
      </c>
      <c r="M2900">
        <v>838.89</v>
      </c>
      <c r="N2900">
        <v>0.15</v>
      </c>
      <c r="O2900">
        <v>2075.3200000000002</v>
      </c>
      <c r="P2900">
        <v>829.82</v>
      </c>
      <c r="Q2900">
        <v>52.06</v>
      </c>
      <c r="R2900" t="s">
        <v>49</v>
      </c>
      <c r="S2900">
        <v>4</v>
      </c>
      <c r="T2900" t="b">
        <v>1</v>
      </c>
      <c r="U2900" t="s">
        <v>50</v>
      </c>
      <c r="V2900">
        <v>2</v>
      </c>
    </row>
    <row r="2901" spans="1:22" x14ac:dyDescent="0.25">
      <c r="A2901" t="s">
        <v>6275</v>
      </c>
      <c r="B2901" s="1">
        <v>44770</v>
      </c>
      <c r="C2901" t="s">
        <v>6276</v>
      </c>
      <c r="D2901" t="s">
        <v>583</v>
      </c>
      <c r="E2901">
        <v>53</v>
      </c>
      <c r="F2901" t="str">
        <f>IF(Table1[[#This Row],[age]]&lt;=25,"18-25",IF(Table1[[#This Row],[age]]&lt;=35,"26-35",IF(Table1[[#This Row],[age]]&lt;=50,"36-50","51+")))</f>
        <v>51+</v>
      </c>
      <c r="G2901" t="s">
        <v>54</v>
      </c>
      <c r="H2901" t="s">
        <v>61</v>
      </c>
      <c r="I2901" t="s">
        <v>91</v>
      </c>
      <c r="J2901" t="s">
        <v>47</v>
      </c>
      <c r="K2901" t="s">
        <v>120</v>
      </c>
      <c r="L2901">
        <v>10</v>
      </c>
      <c r="M2901">
        <v>772.14</v>
      </c>
      <c r="N2901">
        <v>0.4</v>
      </c>
      <c r="O2901">
        <v>6278.32</v>
      </c>
      <c r="P2901">
        <v>2969.03</v>
      </c>
      <c r="Q2901">
        <v>72.12</v>
      </c>
      <c r="R2901" t="s">
        <v>49</v>
      </c>
      <c r="S2901">
        <v>2</v>
      </c>
      <c r="T2901" t="b">
        <v>0</v>
      </c>
      <c r="U2901" t="s">
        <v>71</v>
      </c>
      <c r="V2901">
        <v>4</v>
      </c>
    </row>
    <row r="2902" spans="1:22" x14ac:dyDescent="0.25">
      <c r="A2902" t="s">
        <v>6277</v>
      </c>
      <c r="B2902" s="1">
        <v>44213</v>
      </c>
      <c r="C2902" t="s">
        <v>6278</v>
      </c>
      <c r="D2902" t="s">
        <v>349</v>
      </c>
      <c r="E2902">
        <v>23</v>
      </c>
      <c r="F2902" t="str">
        <f>IF(Table1[[#This Row],[age]]&lt;=25,"18-25",IF(Table1[[#This Row],[age]]&lt;=35,"26-35",IF(Table1[[#This Row],[age]]&lt;=50,"36-50","51+")))</f>
        <v>18-25</v>
      </c>
      <c r="G2902" t="s">
        <v>24</v>
      </c>
      <c r="H2902" t="s">
        <v>69</v>
      </c>
      <c r="I2902" t="s">
        <v>181</v>
      </c>
      <c r="J2902" t="s">
        <v>106</v>
      </c>
      <c r="K2902" t="s">
        <v>718</v>
      </c>
      <c r="L2902">
        <v>9</v>
      </c>
      <c r="M2902">
        <v>358.92</v>
      </c>
      <c r="N2902">
        <v>0.08</v>
      </c>
      <c r="O2902">
        <v>2353.0700000000002</v>
      </c>
      <c r="P2902">
        <v>122.29</v>
      </c>
      <c r="Q2902">
        <v>84.03</v>
      </c>
      <c r="R2902" t="s">
        <v>29</v>
      </c>
      <c r="S2902">
        <v>4</v>
      </c>
      <c r="T2902" t="b">
        <v>0</v>
      </c>
      <c r="U2902" t="s">
        <v>30</v>
      </c>
      <c r="V2902">
        <v>6</v>
      </c>
    </row>
    <row r="2903" spans="1:22" x14ac:dyDescent="0.25">
      <c r="A2903" t="s">
        <v>6279</v>
      </c>
      <c r="B2903" s="1">
        <v>44974</v>
      </c>
      <c r="C2903" t="s">
        <v>6280</v>
      </c>
      <c r="D2903" t="s">
        <v>2420</v>
      </c>
      <c r="E2903">
        <v>30</v>
      </c>
      <c r="F2903" t="str">
        <f>IF(Table1[[#This Row],[age]]&lt;=25,"18-25",IF(Table1[[#This Row],[age]]&lt;=35,"26-35",IF(Table1[[#This Row],[age]]&lt;=50,"36-50","51+")))</f>
        <v>26-35</v>
      </c>
      <c r="G2903" t="s">
        <v>54</v>
      </c>
      <c r="H2903" t="s">
        <v>25</v>
      </c>
      <c r="I2903" t="s">
        <v>35</v>
      </c>
      <c r="J2903" t="s">
        <v>63</v>
      </c>
      <c r="K2903" t="s">
        <v>434</v>
      </c>
      <c r="L2903">
        <v>8</v>
      </c>
      <c r="M2903">
        <v>3934.14</v>
      </c>
      <c r="N2903">
        <v>0.01</v>
      </c>
      <c r="O2903">
        <v>31003.27</v>
      </c>
      <c r="P2903">
        <v>9818.15</v>
      </c>
      <c r="Q2903">
        <v>59.66</v>
      </c>
      <c r="R2903" t="s">
        <v>57</v>
      </c>
      <c r="S2903">
        <v>1</v>
      </c>
      <c r="T2903" t="b">
        <v>0</v>
      </c>
      <c r="U2903" t="s">
        <v>30</v>
      </c>
      <c r="V2903">
        <v>5</v>
      </c>
    </row>
    <row r="2904" spans="1:22" x14ac:dyDescent="0.25">
      <c r="A2904" t="s">
        <v>6281</v>
      </c>
      <c r="B2904" s="1">
        <v>44953</v>
      </c>
      <c r="C2904" t="s">
        <v>6282</v>
      </c>
      <c r="D2904" t="s">
        <v>1761</v>
      </c>
      <c r="E2904">
        <v>46</v>
      </c>
      <c r="F2904" t="str">
        <f>IF(Table1[[#This Row],[age]]&lt;=25,"18-25",IF(Table1[[#This Row],[age]]&lt;=35,"26-35",IF(Table1[[#This Row],[age]]&lt;=50,"36-50","51+")))</f>
        <v>36-50</v>
      </c>
      <c r="G2904" t="s">
        <v>34</v>
      </c>
      <c r="H2904" t="s">
        <v>25</v>
      </c>
      <c r="I2904" t="s">
        <v>35</v>
      </c>
      <c r="J2904" t="s">
        <v>27</v>
      </c>
      <c r="K2904" t="s">
        <v>128</v>
      </c>
      <c r="L2904">
        <v>4</v>
      </c>
      <c r="M2904">
        <v>1660.82</v>
      </c>
      <c r="N2904">
        <v>0.21</v>
      </c>
      <c r="O2904">
        <v>5505.54</v>
      </c>
      <c r="P2904">
        <v>2444.92</v>
      </c>
      <c r="Q2904">
        <v>41.4</v>
      </c>
      <c r="R2904" t="s">
        <v>29</v>
      </c>
      <c r="S2904">
        <v>3</v>
      </c>
      <c r="T2904" t="b">
        <v>0</v>
      </c>
      <c r="U2904" t="s">
        <v>30</v>
      </c>
      <c r="V2904">
        <v>7</v>
      </c>
    </row>
    <row r="2905" spans="1:22" x14ac:dyDescent="0.25">
      <c r="A2905" t="s">
        <v>6283</v>
      </c>
      <c r="B2905" s="1">
        <v>44730</v>
      </c>
      <c r="C2905" t="s">
        <v>6284</v>
      </c>
      <c r="D2905" t="s">
        <v>167</v>
      </c>
      <c r="E2905">
        <v>30</v>
      </c>
      <c r="F2905" t="str">
        <f>IF(Table1[[#This Row],[age]]&lt;=25,"18-25",IF(Table1[[#This Row],[age]]&lt;=35,"26-35",IF(Table1[[#This Row],[age]]&lt;=50,"36-50","51+")))</f>
        <v>26-35</v>
      </c>
      <c r="G2905" t="s">
        <v>54</v>
      </c>
      <c r="H2905" t="s">
        <v>80</v>
      </c>
      <c r="I2905" t="s">
        <v>242</v>
      </c>
      <c r="J2905" t="s">
        <v>36</v>
      </c>
      <c r="K2905" t="s">
        <v>230</v>
      </c>
      <c r="L2905">
        <v>8</v>
      </c>
      <c r="M2905">
        <v>25000.7</v>
      </c>
      <c r="N2905">
        <v>0.06</v>
      </c>
      <c r="O2905">
        <v>272564.21999999997</v>
      </c>
      <c r="P2905">
        <v>76789.22</v>
      </c>
      <c r="Q2905">
        <v>67.03</v>
      </c>
      <c r="R2905" t="s">
        <v>29</v>
      </c>
      <c r="S2905">
        <v>4</v>
      </c>
      <c r="T2905" t="b">
        <v>0</v>
      </c>
      <c r="U2905" t="s">
        <v>30</v>
      </c>
      <c r="V2905">
        <v>1</v>
      </c>
    </row>
    <row r="2906" spans="1:22" x14ac:dyDescent="0.25">
      <c r="A2906" t="s">
        <v>6285</v>
      </c>
      <c r="B2906" s="1">
        <v>44487</v>
      </c>
      <c r="C2906" t="s">
        <v>6286</v>
      </c>
      <c r="D2906" t="s">
        <v>375</v>
      </c>
      <c r="E2906">
        <v>48</v>
      </c>
      <c r="F2906" t="str">
        <f>IF(Table1[[#This Row],[age]]&lt;=25,"18-25",IF(Table1[[#This Row],[age]]&lt;=35,"26-35",IF(Table1[[#This Row],[age]]&lt;=50,"36-50","51+")))</f>
        <v>36-50</v>
      </c>
      <c r="G2906" t="s">
        <v>24</v>
      </c>
      <c r="H2906" t="s">
        <v>61</v>
      </c>
      <c r="I2906" t="s">
        <v>91</v>
      </c>
      <c r="J2906" t="s">
        <v>63</v>
      </c>
      <c r="K2906" t="s">
        <v>111</v>
      </c>
      <c r="L2906">
        <v>8</v>
      </c>
      <c r="M2906">
        <v>983.33</v>
      </c>
      <c r="N2906">
        <v>0.33</v>
      </c>
      <c r="O2906">
        <v>5486.4</v>
      </c>
      <c r="P2906">
        <v>1956.84</v>
      </c>
      <c r="Q2906">
        <v>48</v>
      </c>
      <c r="R2906" t="s">
        <v>29</v>
      </c>
      <c r="S2906">
        <v>1</v>
      </c>
      <c r="T2906" t="b">
        <v>1</v>
      </c>
      <c r="U2906" t="s">
        <v>50</v>
      </c>
      <c r="V2906">
        <v>9</v>
      </c>
    </row>
    <row r="2907" spans="1:22" x14ac:dyDescent="0.25">
      <c r="A2907" t="s">
        <v>6287</v>
      </c>
      <c r="B2907" s="1">
        <v>44217</v>
      </c>
      <c r="C2907" t="s">
        <v>6288</v>
      </c>
      <c r="D2907" t="s">
        <v>1598</v>
      </c>
      <c r="E2907">
        <v>31</v>
      </c>
      <c r="F2907" t="str">
        <f>IF(Table1[[#This Row],[age]]&lt;=25,"18-25",IF(Table1[[#This Row],[age]]&lt;=35,"26-35",IF(Table1[[#This Row],[age]]&lt;=50,"36-50","51+")))</f>
        <v>26-35</v>
      </c>
      <c r="G2907" t="s">
        <v>34</v>
      </c>
      <c r="H2907" t="s">
        <v>55</v>
      </c>
      <c r="I2907" t="s">
        <v>97</v>
      </c>
      <c r="J2907" t="s">
        <v>27</v>
      </c>
      <c r="K2907" t="s">
        <v>168</v>
      </c>
      <c r="L2907">
        <v>2</v>
      </c>
      <c r="M2907">
        <v>2449.9699999999998</v>
      </c>
      <c r="N2907">
        <v>0.36</v>
      </c>
      <c r="O2907">
        <v>2301.25</v>
      </c>
      <c r="P2907">
        <v>882.12</v>
      </c>
      <c r="Q2907">
        <v>63.24</v>
      </c>
      <c r="R2907" t="s">
        <v>65</v>
      </c>
      <c r="S2907">
        <v>5</v>
      </c>
      <c r="T2907" t="b">
        <v>0</v>
      </c>
      <c r="U2907" t="s">
        <v>30</v>
      </c>
      <c r="V2907">
        <v>5</v>
      </c>
    </row>
    <row r="2908" spans="1:22" x14ac:dyDescent="0.25">
      <c r="A2908" t="s">
        <v>6289</v>
      </c>
      <c r="B2908" s="1">
        <v>45178</v>
      </c>
      <c r="C2908" t="s">
        <v>6290</v>
      </c>
      <c r="D2908" t="s">
        <v>174</v>
      </c>
      <c r="E2908">
        <v>32</v>
      </c>
      <c r="F2908" t="str">
        <f>IF(Table1[[#This Row],[age]]&lt;=25,"18-25",IF(Table1[[#This Row],[age]]&lt;=35,"26-35",IF(Table1[[#This Row],[age]]&lt;=50,"36-50","51+")))</f>
        <v>26-35</v>
      </c>
      <c r="G2908" t="s">
        <v>54</v>
      </c>
      <c r="H2908" t="s">
        <v>61</v>
      </c>
      <c r="I2908" t="s">
        <v>62</v>
      </c>
      <c r="J2908" t="s">
        <v>101</v>
      </c>
      <c r="K2908" t="s">
        <v>214</v>
      </c>
      <c r="L2908">
        <v>4</v>
      </c>
      <c r="M2908">
        <v>4072.52</v>
      </c>
      <c r="N2908">
        <v>0.37</v>
      </c>
      <c r="O2908">
        <v>12014.98</v>
      </c>
      <c r="P2908">
        <v>2649.18</v>
      </c>
      <c r="Q2908">
        <v>60.13</v>
      </c>
      <c r="R2908" t="s">
        <v>92</v>
      </c>
      <c r="S2908">
        <v>3</v>
      </c>
      <c r="T2908" t="b">
        <v>0</v>
      </c>
      <c r="U2908" t="s">
        <v>30</v>
      </c>
      <c r="V2908">
        <v>4</v>
      </c>
    </row>
    <row r="2909" spans="1:22" x14ac:dyDescent="0.25">
      <c r="A2909" t="s">
        <v>6291</v>
      </c>
      <c r="B2909" s="1">
        <v>44969</v>
      </c>
      <c r="C2909" t="s">
        <v>6292</v>
      </c>
      <c r="D2909" t="s">
        <v>2716</v>
      </c>
      <c r="E2909">
        <v>28</v>
      </c>
      <c r="F2909" t="str">
        <f>IF(Table1[[#This Row],[age]]&lt;=25,"18-25",IF(Table1[[#This Row],[age]]&lt;=35,"26-35",IF(Table1[[#This Row],[age]]&lt;=50,"36-50","51+")))</f>
        <v>26-35</v>
      </c>
      <c r="G2909" t="s">
        <v>54</v>
      </c>
      <c r="H2909" t="s">
        <v>69</v>
      </c>
      <c r="I2909" t="s">
        <v>136</v>
      </c>
      <c r="J2909" t="s">
        <v>115</v>
      </c>
      <c r="K2909" t="s">
        <v>137</v>
      </c>
      <c r="L2909">
        <v>1</v>
      </c>
      <c r="M2909">
        <v>34782.199999999997</v>
      </c>
      <c r="N2909">
        <v>0.31</v>
      </c>
      <c r="O2909">
        <v>23810.12</v>
      </c>
      <c r="P2909">
        <v>2943.23</v>
      </c>
      <c r="Q2909">
        <v>73.540000000000006</v>
      </c>
      <c r="R2909" t="s">
        <v>65</v>
      </c>
      <c r="S2909">
        <v>5</v>
      </c>
      <c r="T2909" t="b">
        <v>0</v>
      </c>
      <c r="U2909" t="s">
        <v>30</v>
      </c>
      <c r="V2909">
        <v>4</v>
      </c>
    </row>
    <row r="2910" spans="1:22" x14ac:dyDescent="0.25">
      <c r="A2910" t="s">
        <v>6293</v>
      </c>
      <c r="B2910" s="1">
        <v>45036</v>
      </c>
      <c r="C2910" t="s">
        <v>6294</v>
      </c>
      <c r="D2910" t="s">
        <v>910</v>
      </c>
      <c r="E2910">
        <v>52</v>
      </c>
      <c r="F2910" t="str">
        <f>IF(Table1[[#This Row],[age]]&lt;=25,"18-25",IF(Table1[[#This Row],[age]]&lt;=35,"26-35",IF(Table1[[#This Row],[age]]&lt;=50,"36-50","51+")))</f>
        <v>51+</v>
      </c>
      <c r="G2910" t="s">
        <v>24</v>
      </c>
      <c r="H2910" t="s">
        <v>55</v>
      </c>
      <c r="I2910" t="s">
        <v>56</v>
      </c>
      <c r="J2910" t="s">
        <v>27</v>
      </c>
      <c r="K2910" t="s">
        <v>335</v>
      </c>
      <c r="L2910">
        <v>8</v>
      </c>
      <c r="M2910">
        <v>2413.19</v>
      </c>
      <c r="N2910">
        <v>0.25</v>
      </c>
      <c r="O2910">
        <v>18757.8</v>
      </c>
      <c r="P2910">
        <v>6413.01</v>
      </c>
      <c r="Q2910">
        <v>55.59</v>
      </c>
      <c r="R2910" t="s">
        <v>43</v>
      </c>
      <c r="S2910">
        <v>3</v>
      </c>
      <c r="T2910" t="b">
        <v>0</v>
      </c>
      <c r="U2910" t="s">
        <v>30</v>
      </c>
      <c r="V2910">
        <v>10</v>
      </c>
    </row>
    <row r="2911" spans="1:22" x14ac:dyDescent="0.25">
      <c r="A2911" t="s">
        <v>6295</v>
      </c>
      <c r="B2911" s="1">
        <v>44262</v>
      </c>
      <c r="C2911" t="s">
        <v>6296</v>
      </c>
      <c r="D2911" t="s">
        <v>187</v>
      </c>
      <c r="E2911">
        <v>25</v>
      </c>
      <c r="F2911" t="str">
        <f>IF(Table1[[#This Row],[age]]&lt;=25,"18-25",IF(Table1[[#This Row],[age]]&lt;=35,"26-35",IF(Table1[[#This Row],[age]]&lt;=50,"36-50","51+")))</f>
        <v>18-25</v>
      </c>
      <c r="G2911" t="s">
        <v>54</v>
      </c>
      <c r="H2911" t="s">
        <v>69</v>
      </c>
      <c r="I2911" t="s">
        <v>181</v>
      </c>
      <c r="J2911" t="s">
        <v>63</v>
      </c>
      <c r="K2911" t="s">
        <v>152</v>
      </c>
      <c r="L2911">
        <v>1</v>
      </c>
      <c r="M2911">
        <v>2017.09</v>
      </c>
      <c r="N2911">
        <v>0.05</v>
      </c>
      <c r="O2911">
        <v>2090.5700000000002</v>
      </c>
      <c r="P2911">
        <v>823.03</v>
      </c>
      <c r="Q2911">
        <v>84.95</v>
      </c>
      <c r="R2911" t="s">
        <v>57</v>
      </c>
      <c r="S2911">
        <v>2</v>
      </c>
      <c r="T2911" t="b">
        <v>0</v>
      </c>
      <c r="U2911" t="s">
        <v>193</v>
      </c>
      <c r="V2911">
        <v>1</v>
      </c>
    </row>
    <row r="2912" spans="1:22" x14ac:dyDescent="0.25">
      <c r="A2912" t="s">
        <v>6297</v>
      </c>
      <c r="B2912" s="1">
        <v>44611</v>
      </c>
      <c r="C2912" t="s">
        <v>6298</v>
      </c>
      <c r="D2912" t="s">
        <v>1521</v>
      </c>
      <c r="E2912">
        <v>41</v>
      </c>
      <c r="F2912" t="str">
        <f>IF(Table1[[#This Row],[age]]&lt;=25,"18-25",IF(Table1[[#This Row],[age]]&lt;=35,"26-35",IF(Table1[[#This Row],[age]]&lt;=50,"36-50","51+")))</f>
        <v>36-50</v>
      </c>
      <c r="G2912" t="s">
        <v>54</v>
      </c>
      <c r="H2912" t="s">
        <v>25</v>
      </c>
      <c r="I2912" t="s">
        <v>41</v>
      </c>
      <c r="J2912" t="s">
        <v>115</v>
      </c>
      <c r="K2912" t="s">
        <v>545</v>
      </c>
      <c r="L2912">
        <v>9</v>
      </c>
      <c r="M2912">
        <v>9157.81</v>
      </c>
      <c r="N2912">
        <v>0.33</v>
      </c>
      <c r="O2912">
        <v>55730.83</v>
      </c>
      <c r="P2912">
        <v>7761.83</v>
      </c>
      <c r="Q2912">
        <v>67.23</v>
      </c>
      <c r="R2912" t="s">
        <v>43</v>
      </c>
      <c r="S2912">
        <v>3</v>
      </c>
      <c r="T2912" t="b">
        <v>0</v>
      </c>
      <c r="U2912" t="s">
        <v>30</v>
      </c>
      <c r="V2912">
        <v>3</v>
      </c>
    </row>
    <row r="2913" spans="1:22" x14ac:dyDescent="0.25">
      <c r="A2913" t="s">
        <v>6299</v>
      </c>
      <c r="B2913" s="1">
        <v>44842</v>
      </c>
      <c r="C2913" t="s">
        <v>6300</v>
      </c>
      <c r="D2913" t="s">
        <v>895</v>
      </c>
      <c r="E2913">
        <v>21</v>
      </c>
      <c r="F2913" t="str">
        <f>IF(Table1[[#This Row],[age]]&lt;=25,"18-25",IF(Table1[[#This Row],[age]]&lt;=35,"26-35",IF(Table1[[#This Row],[age]]&lt;=50,"36-50","51+")))</f>
        <v>18-25</v>
      </c>
      <c r="G2913" t="s">
        <v>24</v>
      </c>
      <c r="H2913" t="s">
        <v>25</v>
      </c>
      <c r="I2913" t="s">
        <v>298</v>
      </c>
      <c r="J2913" t="s">
        <v>106</v>
      </c>
      <c r="K2913" t="s">
        <v>247</v>
      </c>
      <c r="L2913">
        <v>5</v>
      </c>
      <c r="M2913">
        <v>142.69999999999999</v>
      </c>
      <c r="N2913">
        <v>0.28999999999999998</v>
      </c>
      <c r="O2913">
        <v>560.89</v>
      </c>
      <c r="P2913">
        <v>25.3</v>
      </c>
      <c r="Q2913">
        <v>26.87</v>
      </c>
      <c r="R2913" t="s">
        <v>43</v>
      </c>
      <c r="S2913">
        <v>5</v>
      </c>
      <c r="T2913" t="b">
        <v>0</v>
      </c>
      <c r="U2913" t="s">
        <v>30</v>
      </c>
      <c r="V2913">
        <v>8</v>
      </c>
    </row>
    <row r="2914" spans="1:22" x14ac:dyDescent="0.25">
      <c r="A2914" t="s">
        <v>6301</v>
      </c>
      <c r="B2914" s="1">
        <v>44820</v>
      </c>
      <c r="C2914" t="s">
        <v>6302</v>
      </c>
      <c r="D2914" t="s">
        <v>220</v>
      </c>
      <c r="E2914">
        <v>37</v>
      </c>
      <c r="F2914" t="str">
        <f>IF(Table1[[#This Row],[age]]&lt;=25,"18-25",IF(Table1[[#This Row],[age]]&lt;=35,"26-35",IF(Table1[[#This Row],[age]]&lt;=50,"36-50","51+")))</f>
        <v>36-50</v>
      </c>
      <c r="G2914" t="s">
        <v>54</v>
      </c>
      <c r="H2914" t="s">
        <v>61</v>
      </c>
      <c r="I2914" t="s">
        <v>91</v>
      </c>
      <c r="J2914" t="s">
        <v>101</v>
      </c>
      <c r="K2914" t="s">
        <v>456</v>
      </c>
      <c r="L2914">
        <v>4</v>
      </c>
      <c r="M2914">
        <v>590.58000000000004</v>
      </c>
      <c r="N2914">
        <v>0.26</v>
      </c>
      <c r="O2914">
        <v>2166.86</v>
      </c>
      <c r="P2914">
        <v>376.29</v>
      </c>
      <c r="Q2914">
        <v>74.83</v>
      </c>
      <c r="R2914" t="s">
        <v>49</v>
      </c>
      <c r="S2914">
        <v>1</v>
      </c>
      <c r="T2914" t="b">
        <v>0</v>
      </c>
      <c r="U2914" t="s">
        <v>193</v>
      </c>
      <c r="V2914">
        <v>5</v>
      </c>
    </row>
    <row r="2915" spans="1:22" x14ac:dyDescent="0.25">
      <c r="A2915" t="s">
        <v>6303</v>
      </c>
      <c r="B2915" s="1">
        <v>45472</v>
      </c>
      <c r="C2915" t="s">
        <v>6304</v>
      </c>
      <c r="D2915" t="s">
        <v>375</v>
      </c>
      <c r="E2915">
        <v>38</v>
      </c>
      <c r="F2915" t="str">
        <f>IF(Table1[[#This Row],[age]]&lt;=25,"18-25",IF(Table1[[#This Row],[age]]&lt;=35,"26-35",IF(Table1[[#This Row],[age]]&lt;=50,"36-50","51+")))</f>
        <v>36-50</v>
      </c>
      <c r="G2915" t="s">
        <v>54</v>
      </c>
      <c r="H2915" t="s">
        <v>80</v>
      </c>
      <c r="I2915" t="s">
        <v>236</v>
      </c>
      <c r="J2915" t="s">
        <v>63</v>
      </c>
      <c r="K2915" t="s">
        <v>87</v>
      </c>
      <c r="L2915">
        <v>6</v>
      </c>
      <c r="M2915">
        <v>3840.34</v>
      </c>
      <c r="N2915">
        <v>0.23</v>
      </c>
      <c r="O2915">
        <v>33201.769999999997</v>
      </c>
      <c r="P2915">
        <v>12918.61</v>
      </c>
      <c r="Q2915">
        <v>69.58</v>
      </c>
      <c r="R2915" t="s">
        <v>49</v>
      </c>
      <c r="S2915">
        <v>3</v>
      </c>
      <c r="T2915" t="b">
        <v>0</v>
      </c>
      <c r="U2915" t="s">
        <v>193</v>
      </c>
      <c r="V2915">
        <v>1</v>
      </c>
    </row>
    <row r="2916" spans="1:22" x14ac:dyDescent="0.25">
      <c r="A2916" t="s">
        <v>6305</v>
      </c>
      <c r="B2916" s="1">
        <v>44737</v>
      </c>
      <c r="C2916" t="s">
        <v>6306</v>
      </c>
      <c r="D2916" t="s">
        <v>33</v>
      </c>
      <c r="E2916">
        <v>44</v>
      </c>
      <c r="F2916" t="str">
        <f>IF(Table1[[#This Row],[age]]&lt;=25,"18-25",IF(Table1[[#This Row],[age]]&lt;=35,"26-35",IF(Table1[[#This Row],[age]]&lt;=50,"36-50","51+")))</f>
        <v>36-50</v>
      </c>
      <c r="G2916" t="s">
        <v>54</v>
      </c>
      <c r="H2916" t="s">
        <v>69</v>
      </c>
      <c r="I2916" t="s">
        <v>181</v>
      </c>
      <c r="J2916" t="s">
        <v>36</v>
      </c>
      <c r="K2916" t="s">
        <v>42</v>
      </c>
      <c r="L2916">
        <v>4</v>
      </c>
      <c r="M2916">
        <v>34052.07</v>
      </c>
      <c r="N2916">
        <v>7.0000000000000007E-2</v>
      </c>
      <c r="O2916">
        <v>210338.05</v>
      </c>
      <c r="P2916">
        <v>69009.61</v>
      </c>
      <c r="Q2916">
        <v>65.239999999999995</v>
      </c>
      <c r="R2916" t="s">
        <v>65</v>
      </c>
      <c r="S2916">
        <v>2</v>
      </c>
      <c r="T2916" t="b">
        <v>0</v>
      </c>
      <c r="U2916" t="s">
        <v>193</v>
      </c>
      <c r="V2916">
        <v>2</v>
      </c>
    </row>
    <row r="2917" spans="1:22" x14ac:dyDescent="0.25">
      <c r="A2917" t="s">
        <v>6307</v>
      </c>
      <c r="B2917" s="1">
        <v>44331</v>
      </c>
      <c r="C2917" t="s">
        <v>6308</v>
      </c>
      <c r="D2917" t="s">
        <v>1338</v>
      </c>
      <c r="E2917">
        <v>29</v>
      </c>
      <c r="F2917" t="str">
        <f>IF(Table1[[#This Row],[age]]&lt;=25,"18-25",IF(Table1[[#This Row],[age]]&lt;=35,"26-35",IF(Table1[[#This Row],[age]]&lt;=50,"36-50","51+")))</f>
        <v>26-35</v>
      </c>
      <c r="G2917" t="s">
        <v>54</v>
      </c>
      <c r="H2917" t="s">
        <v>61</v>
      </c>
      <c r="I2917" t="s">
        <v>91</v>
      </c>
      <c r="J2917" t="s">
        <v>115</v>
      </c>
      <c r="K2917" t="s">
        <v>545</v>
      </c>
      <c r="L2917">
        <v>6</v>
      </c>
      <c r="M2917">
        <v>48230.85</v>
      </c>
      <c r="N2917">
        <v>0.35</v>
      </c>
      <c r="O2917">
        <v>245712.19</v>
      </c>
      <c r="P2917">
        <v>22881.08</v>
      </c>
      <c r="Q2917">
        <v>68.73</v>
      </c>
      <c r="R2917" t="s">
        <v>29</v>
      </c>
      <c r="S2917">
        <v>1</v>
      </c>
      <c r="T2917" t="b">
        <v>0</v>
      </c>
      <c r="U2917" t="s">
        <v>93</v>
      </c>
      <c r="V2917">
        <v>9</v>
      </c>
    </row>
    <row r="2918" spans="1:22" x14ac:dyDescent="0.25">
      <c r="A2918" t="s">
        <v>6309</v>
      </c>
      <c r="B2918" s="1">
        <v>45635</v>
      </c>
      <c r="C2918" t="s">
        <v>6310</v>
      </c>
      <c r="D2918" t="s">
        <v>2432</v>
      </c>
      <c r="E2918">
        <v>40</v>
      </c>
      <c r="F2918" t="str">
        <f>IF(Table1[[#This Row],[age]]&lt;=25,"18-25",IF(Table1[[#This Row],[age]]&lt;=35,"26-35",IF(Table1[[#This Row],[age]]&lt;=50,"36-50","51+")))</f>
        <v>36-50</v>
      </c>
      <c r="G2918" t="s">
        <v>34</v>
      </c>
      <c r="H2918" t="s">
        <v>55</v>
      </c>
      <c r="I2918" t="s">
        <v>75</v>
      </c>
      <c r="J2918" t="s">
        <v>115</v>
      </c>
      <c r="K2918" t="s">
        <v>197</v>
      </c>
      <c r="L2918">
        <v>4</v>
      </c>
      <c r="M2918">
        <v>23593.16</v>
      </c>
      <c r="N2918">
        <v>0.39</v>
      </c>
      <c r="O2918">
        <v>50867.37</v>
      </c>
      <c r="P2918">
        <v>6623.39</v>
      </c>
      <c r="Q2918">
        <v>41.37</v>
      </c>
      <c r="R2918" t="s">
        <v>92</v>
      </c>
      <c r="S2918">
        <v>4</v>
      </c>
      <c r="T2918" t="b">
        <v>0</v>
      </c>
      <c r="U2918" t="s">
        <v>30</v>
      </c>
      <c r="V2918">
        <v>9</v>
      </c>
    </row>
    <row r="2919" spans="1:22" x14ac:dyDescent="0.25">
      <c r="A2919" t="s">
        <v>6311</v>
      </c>
      <c r="B2919" s="1">
        <v>43960</v>
      </c>
      <c r="C2919" t="s">
        <v>6312</v>
      </c>
      <c r="D2919" t="s">
        <v>1183</v>
      </c>
      <c r="E2919">
        <v>23</v>
      </c>
      <c r="F2919" t="str">
        <f>IF(Table1[[#This Row],[age]]&lt;=25,"18-25",IF(Table1[[#This Row],[age]]&lt;=35,"26-35",IF(Table1[[#This Row],[age]]&lt;=50,"36-50","51+")))</f>
        <v>18-25</v>
      </c>
      <c r="G2919" t="s">
        <v>54</v>
      </c>
      <c r="H2919" t="s">
        <v>69</v>
      </c>
      <c r="I2919" t="s">
        <v>221</v>
      </c>
      <c r="J2919" t="s">
        <v>47</v>
      </c>
      <c r="K2919" t="s">
        <v>272</v>
      </c>
      <c r="L2919">
        <v>9</v>
      </c>
      <c r="M2919">
        <v>1441.87</v>
      </c>
      <c r="N2919">
        <v>0.09</v>
      </c>
      <c r="O2919">
        <v>15544.23</v>
      </c>
      <c r="P2919">
        <v>6061.53</v>
      </c>
      <c r="Q2919">
        <v>61.52</v>
      </c>
      <c r="R2919" t="s">
        <v>29</v>
      </c>
      <c r="S2919">
        <v>4</v>
      </c>
      <c r="T2919" t="b">
        <v>0</v>
      </c>
      <c r="U2919" t="s">
        <v>93</v>
      </c>
      <c r="V2919">
        <v>1</v>
      </c>
    </row>
    <row r="2920" spans="1:22" x14ac:dyDescent="0.25">
      <c r="A2920" t="s">
        <v>6313</v>
      </c>
      <c r="B2920" s="1">
        <v>45203</v>
      </c>
      <c r="C2920" t="s">
        <v>6314</v>
      </c>
      <c r="D2920" t="s">
        <v>1589</v>
      </c>
      <c r="E2920">
        <v>36</v>
      </c>
      <c r="F2920" t="str">
        <f>IF(Table1[[#This Row],[age]]&lt;=25,"18-25",IF(Table1[[#This Row],[age]]&lt;=35,"26-35",IF(Table1[[#This Row],[age]]&lt;=50,"36-50","51+")))</f>
        <v>36-50</v>
      </c>
      <c r="G2920" t="s">
        <v>24</v>
      </c>
      <c r="H2920" t="s">
        <v>25</v>
      </c>
      <c r="I2920" t="s">
        <v>298</v>
      </c>
      <c r="J2920" t="s">
        <v>101</v>
      </c>
      <c r="K2920" t="s">
        <v>164</v>
      </c>
      <c r="L2920">
        <v>7</v>
      </c>
      <c r="M2920">
        <v>11959.3</v>
      </c>
      <c r="N2920">
        <v>0.06</v>
      </c>
      <c r="O2920">
        <v>80013.649999999994</v>
      </c>
      <c r="P2920">
        <v>18319.5</v>
      </c>
      <c r="Q2920">
        <v>55.16</v>
      </c>
      <c r="R2920" t="s">
        <v>49</v>
      </c>
      <c r="S2920">
        <v>1</v>
      </c>
      <c r="T2920" t="b">
        <v>0</v>
      </c>
      <c r="U2920" t="s">
        <v>93</v>
      </c>
      <c r="V2920">
        <v>1</v>
      </c>
    </row>
    <row r="2921" spans="1:22" x14ac:dyDescent="0.25">
      <c r="A2921" t="s">
        <v>6315</v>
      </c>
      <c r="B2921" s="1">
        <v>45309</v>
      </c>
      <c r="C2921" t="s">
        <v>6316</v>
      </c>
      <c r="D2921" t="s">
        <v>96</v>
      </c>
      <c r="E2921">
        <v>28</v>
      </c>
      <c r="F2921" t="str">
        <f>IF(Table1[[#This Row],[age]]&lt;=25,"18-25",IF(Table1[[#This Row],[age]]&lt;=35,"26-35",IF(Table1[[#This Row],[age]]&lt;=50,"36-50","51+")))</f>
        <v>26-35</v>
      </c>
      <c r="G2921" t="s">
        <v>54</v>
      </c>
      <c r="H2921" t="s">
        <v>69</v>
      </c>
      <c r="I2921" t="s">
        <v>136</v>
      </c>
      <c r="J2921" t="s">
        <v>27</v>
      </c>
      <c r="K2921" t="s">
        <v>480</v>
      </c>
      <c r="L2921">
        <v>10</v>
      </c>
      <c r="M2921">
        <v>103.75</v>
      </c>
      <c r="N2921">
        <v>0.26</v>
      </c>
      <c r="O2921">
        <v>763.63</v>
      </c>
      <c r="P2921">
        <v>473.48</v>
      </c>
      <c r="Q2921">
        <v>78.5</v>
      </c>
      <c r="R2921" t="s">
        <v>57</v>
      </c>
      <c r="S2921">
        <v>1</v>
      </c>
      <c r="T2921" t="b">
        <v>0</v>
      </c>
      <c r="U2921" t="s">
        <v>71</v>
      </c>
      <c r="V2921">
        <v>7</v>
      </c>
    </row>
    <row r="2922" spans="1:22" x14ac:dyDescent="0.25">
      <c r="A2922" t="s">
        <v>6317</v>
      </c>
      <c r="B2922" s="1">
        <v>45213</v>
      </c>
      <c r="C2922" t="s">
        <v>6318</v>
      </c>
      <c r="D2922" t="s">
        <v>734</v>
      </c>
      <c r="E2922">
        <v>35</v>
      </c>
      <c r="F2922" t="str">
        <f>IF(Table1[[#This Row],[age]]&lt;=25,"18-25",IF(Table1[[#This Row],[age]]&lt;=35,"26-35",IF(Table1[[#This Row],[age]]&lt;=50,"36-50","51+")))</f>
        <v>26-35</v>
      </c>
      <c r="G2922" t="s">
        <v>54</v>
      </c>
      <c r="H2922" t="s">
        <v>55</v>
      </c>
      <c r="I2922" t="s">
        <v>97</v>
      </c>
      <c r="J2922" t="s">
        <v>106</v>
      </c>
      <c r="K2922" t="s">
        <v>718</v>
      </c>
      <c r="L2922">
        <v>1</v>
      </c>
      <c r="M2922">
        <v>466.8</v>
      </c>
      <c r="N2922">
        <v>0.37</v>
      </c>
      <c r="O2922">
        <v>312.81</v>
      </c>
      <c r="P2922">
        <v>17.47</v>
      </c>
      <c r="Q2922">
        <v>67.52</v>
      </c>
      <c r="R2922" t="s">
        <v>43</v>
      </c>
      <c r="S2922">
        <v>4</v>
      </c>
      <c r="T2922" t="b">
        <v>0</v>
      </c>
      <c r="U2922" t="s">
        <v>30</v>
      </c>
      <c r="V2922">
        <v>7</v>
      </c>
    </row>
    <row r="2923" spans="1:22" x14ac:dyDescent="0.25">
      <c r="A2923" t="s">
        <v>6319</v>
      </c>
      <c r="B2923" s="1">
        <v>44958</v>
      </c>
      <c r="C2923" t="s">
        <v>6320</v>
      </c>
      <c r="D2923" t="s">
        <v>275</v>
      </c>
      <c r="E2923">
        <v>35</v>
      </c>
      <c r="F2923" t="str">
        <f>IF(Table1[[#This Row],[age]]&lt;=25,"18-25",IF(Table1[[#This Row],[age]]&lt;=35,"26-35",IF(Table1[[#This Row],[age]]&lt;=50,"36-50","51+")))</f>
        <v>26-35</v>
      </c>
      <c r="G2923" t="s">
        <v>54</v>
      </c>
      <c r="H2923" t="s">
        <v>55</v>
      </c>
      <c r="I2923" t="s">
        <v>97</v>
      </c>
      <c r="J2923" t="s">
        <v>101</v>
      </c>
      <c r="K2923" t="s">
        <v>124</v>
      </c>
      <c r="L2923">
        <v>10</v>
      </c>
      <c r="M2923">
        <v>856.51</v>
      </c>
      <c r="N2923">
        <v>0.39</v>
      </c>
      <c r="O2923">
        <v>5930.43</v>
      </c>
      <c r="P2923">
        <v>1385.75</v>
      </c>
      <c r="Q2923">
        <v>57.74</v>
      </c>
      <c r="R2923" t="s">
        <v>92</v>
      </c>
      <c r="S2923">
        <v>3</v>
      </c>
      <c r="T2923" t="b">
        <v>0</v>
      </c>
      <c r="U2923" t="s">
        <v>30</v>
      </c>
      <c r="V2923">
        <v>4</v>
      </c>
    </row>
    <row r="2924" spans="1:22" x14ac:dyDescent="0.25">
      <c r="A2924" t="s">
        <v>6321</v>
      </c>
      <c r="B2924" s="1">
        <v>44993</v>
      </c>
      <c r="C2924" t="s">
        <v>6322</v>
      </c>
      <c r="D2924" t="s">
        <v>838</v>
      </c>
      <c r="E2924">
        <v>51</v>
      </c>
      <c r="F2924" t="str">
        <f>IF(Table1[[#This Row],[age]]&lt;=25,"18-25",IF(Table1[[#This Row],[age]]&lt;=35,"26-35",IF(Table1[[#This Row],[age]]&lt;=50,"36-50","51+")))</f>
        <v>51+</v>
      </c>
      <c r="G2924" t="s">
        <v>34</v>
      </c>
      <c r="H2924" t="s">
        <v>80</v>
      </c>
      <c r="I2924" t="s">
        <v>81</v>
      </c>
      <c r="J2924" t="s">
        <v>63</v>
      </c>
      <c r="K2924" t="s">
        <v>82</v>
      </c>
      <c r="L2924">
        <v>8</v>
      </c>
      <c r="M2924">
        <v>3911.66</v>
      </c>
      <c r="N2924">
        <v>0.3</v>
      </c>
      <c r="O2924">
        <v>25920.44</v>
      </c>
      <c r="P2924">
        <v>11329.49</v>
      </c>
      <c r="Q2924">
        <v>76.959999999999994</v>
      </c>
      <c r="R2924" t="s">
        <v>29</v>
      </c>
      <c r="S2924">
        <v>3</v>
      </c>
      <c r="T2924" t="b">
        <v>0</v>
      </c>
      <c r="U2924" t="s">
        <v>71</v>
      </c>
      <c r="V2924">
        <v>3</v>
      </c>
    </row>
    <row r="2925" spans="1:22" x14ac:dyDescent="0.25">
      <c r="A2925" t="s">
        <v>6323</v>
      </c>
      <c r="B2925" s="1">
        <v>44038</v>
      </c>
      <c r="C2925" t="s">
        <v>6324</v>
      </c>
      <c r="D2925" t="s">
        <v>1625</v>
      </c>
      <c r="E2925">
        <v>46</v>
      </c>
      <c r="F2925" t="str">
        <f>IF(Table1[[#This Row],[age]]&lt;=25,"18-25",IF(Table1[[#This Row],[age]]&lt;=35,"26-35",IF(Table1[[#This Row],[age]]&lt;=50,"36-50","51+")))</f>
        <v>36-50</v>
      </c>
      <c r="G2925" t="s">
        <v>54</v>
      </c>
      <c r="H2925" t="s">
        <v>61</v>
      </c>
      <c r="I2925" t="s">
        <v>91</v>
      </c>
      <c r="J2925" t="s">
        <v>115</v>
      </c>
      <c r="K2925" t="s">
        <v>545</v>
      </c>
      <c r="L2925">
        <v>7</v>
      </c>
      <c r="M2925">
        <v>64119.9</v>
      </c>
      <c r="N2925">
        <v>0.37</v>
      </c>
      <c r="O2925">
        <v>328579.52</v>
      </c>
      <c r="P2925">
        <v>27779.3</v>
      </c>
      <c r="Q2925">
        <v>23.56</v>
      </c>
      <c r="R2925" t="s">
        <v>57</v>
      </c>
      <c r="S2925">
        <v>4</v>
      </c>
      <c r="T2925" t="b">
        <v>0</v>
      </c>
      <c r="U2925" t="s">
        <v>93</v>
      </c>
      <c r="V2925">
        <v>3</v>
      </c>
    </row>
    <row r="2926" spans="1:22" x14ac:dyDescent="0.25">
      <c r="A2926" t="s">
        <v>6325</v>
      </c>
      <c r="B2926" s="1">
        <v>44079</v>
      </c>
      <c r="C2926" t="s">
        <v>6326</v>
      </c>
      <c r="D2926" t="s">
        <v>1617</v>
      </c>
      <c r="E2926">
        <v>33</v>
      </c>
      <c r="F2926" t="str">
        <f>IF(Table1[[#This Row],[age]]&lt;=25,"18-25",IF(Table1[[#This Row],[age]]&lt;=35,"26-35",IF(Table1[[#This Row],[age]]&lt;=50,"36-50","51+")))</f>
        <v>26-35</v>
      </c>
      <c r="G2926" t="s">
        <v>54</v>
      </c>
      <c r="H2926" t="s">
        <v>55</v>
      </c>
      <c r="I2926" t="s">
        <v>56</v>
      </c>
      <c r="J2926" t="s">
        <v>115</v>
      </c>
      <c r="K2926" t="s">
        <v>545</v>
      </c>
      <c r="L2926">
        <v>4</v>
      </c>
      <c r="M2926">
        <v>61889.58</v>
      </c>
      <c r="N2926">
        <v>0.28000000000000003</v>
      </c>
      <c r="O2926">
        <v>188994.43</v>
      </c>
      <c r="P2926">
        <v>30756.01</v>
      </c>
      <c r="Q2926">
        <v>79.61</v>
      </c>
      <c r="R2926" t="s">
        <v>43</v>
      </c>
      <c r="S2926">
        <v>2</v>
      </c>
      <c r="T2926" t="b">
        <v>0</v>
      </c>
      <c r="U2926" t="s">
        <v>30</v>
      </c>
      <c r="V2926">
        <v>5</v>
      </c>
    </row>
    <row r="2927" spans="1:22" x14ac:dyDescent="0.25">
      <c r="A2927" t="s">
        <v>6327</v>
      </c>
      <c r="B2927" s="1">
        <v>44729</v>
      </c>
      <c r="C2927" t="s">
        <v>6328</v>
      </c>
      <c r="D2927" t="s">
        <v>657</v>
      </c>
      <c r="E2927">
        <v>38</v>
      </c>
      <c r="F2927" t="str">
        <f>IF(Table1[[#This Row],[age]]&lt;=25,"18-25",IF(Table1[[#This Row],[age]]&lt;=35,"26-35",IF(Table1[[#This Row],[age]]&lt;=50,"36-50","51+")))</f>
        <v>36-50</v>
      </c>
      <c r="G2927" t="s">
        <v>34</v>
      </c>
      <c r="H2927" t="s">
        <v>69</v>
      </c>
      <c r="I2927" t="s">
        <v>70</v>
      </c>
      <c r="J2927" t="s">
        <v>101</v>
      </c>
      <c r="K2927" t="s">
        <v>456</v>
      </c>
      <c r="L2927">
        <v>6</v>
      </c>
      <c r="M2927">
        <v>14693.99</v>
      </c>
      <c r="N2927">
        <v>0.23</v>
      </c>
      <c r="O2927">
        <v>98156.4</v>
      </c>
      <c r="P2927">
        <v>22834.62</v>
      </c>
      <c r="Q2927">
        <v>68.94</v>
      </c>
      <c r="R2927" t="s">
        <v>29</v>
      </c>
      <c r="S2927">
        <v>2</v>
      </c>
      <c r="T2927" t="b">
        <v>0</v>
      </c>
      <c r="U2927" t="s">
        <v>30</v>
      </c>
      <c r="V2927">
        <v>4</v>
      </c>
    </row>
    <row r="2928" spans="1:22" x14ac:dyDescent="0.25">
      <c r="A2928" t="s">
        <v>6329</v>
      </c>
      <c r="B2928" s="1">
        <v>45480</v>
      </c>
      <c r="C2928" t="s">
        <v>6330</v>
      </c>
      <c r="D2928" t="s">
        <v>596</v>
      </c>
      <c r="E2928">
        <v>18</v>
      </c>
      <c r="F2928" t="str">
        <f>IF(Table1[[#This Row],[age]]&lt;=25,"18-25",IF(Table1[[#This Row],[age]]&lt;=35,"26-35",IF(Table1[[#This Row],[age]]&lt;=50,"36-50","51+")))</f>
        <v>18-25</v>
      </c>
      <c r="G2928" t="s">
        <v>34</v>
      </c>
      <c r="H2928" t="s">
        <v>55</v>
      </c>
      <c r="I2928" t="s">
        <v>75</v>
      </c>
      <c r="J2928" t="s">
        <v>63</v>
      </c>
      <c r="K2928" t="s">
        <v>82</v>
      </c>
      <c r="L2928">
        <v>10</v>
      </c>
      <c r="M2928">
        <v>1784.51</v>
      </c>
      <c r="N2928">
        <v>0.18</v>
      </c>
      <c r="O2928">
        <v>22208.97</v>
      </c>
      <c r="P2928">
        <v>11474.7</v>
      </c>
      <c r="Q2928">
        <v>69.08</v>
      </c>
      <c r="R2928" t="s">
        <v>49</v>
      </c>
      <c r="S2928">
        <v>4</v>
      </c>
      <c r="T2928" t="b">
        <v>0</v>
      </c>
      <c r="U2928" t="s">
        <v>30</v>
      </c>
      <c r="V2928">
        <v>8</v>
      </c>
    </row>
    <row r="2929" spans="1:22" x14ac:dyDescent="0.25">
      <c r="A2929" t="s">
        <v>6331</v>
      </c>
      <c r="B2929" s="1">
        <v>44845</v>
      </c>
      <c r="C2929" t="s">
        <v>6332</v>
      </c>
      <c r="D2929" t="s">
        <v>516</v>
      </c>
      <c r="E2929">
        <v>31</v>
      </c>
      <c r="F2929" t="str">
        <f>IF(Table1[[#This Row],[age]]&lt;=25,"18-25",IF(Table1[[#This Row],[age]]&lt;=35,"26-35",IF(Table1[[#This Row],[age]]&lt;=50,"36-50","51+")))</f>
        <v>26-35</v>
      </c>
      <c r="G2929" t="s">
        <v>24</v>
      </c>
      <c r="H2929" t="s">
        <v>69</v>
      </c>
      <c r="I2929" t="s">
        <v>221</v>
      </c>
      <c r="J2929" t="s">
        <v>115</v>
      </c>
      <c r="K2929" t="s">
        <v>137</v>
      </c>
      <c r="L2929">
        <v>9</v>
      </c>
      <c r="M2929">
        <v>58781.51</v>
      </c>
      <c r="N2929">
        <v>0.2</v>
      </c>
      <c r="O2929">
        <v>399047.78</v>
      </c>
      <c r="P2929">
        <v>43776.4</v>
      </c>
      <c r="Q2929">
        <v>94.29</v>
      </c>
      <c r="R2929" t="s">
        <v>43</v>
      </c>
      <c r="S2929">
        <v>4</v>
      </c>
      <c r="T2929" t="b">
        <v>0</v>
      </c>
      <c r="U2929" t="s">
        <v>30</v>
      </c>
      <c r="V2929">
        <v>2</v>
      </c>
    </row>
    <row r="2930" spans="1:22" x14ac:dyDescent="0.25">
      <c r="A2930" t="s">
        <v>6333</v>
      </c>
      <c r="B2930" s="1">
        <v>45056</v>
      </c>
      <c r="C2930" t="s">
        <v>6334</v>
      </c>
      <c r="D2930" t="s">
        <v>2639</v>
      </c>
      <c r="E2930">
        <v>56</v>
      </c>
      <c r="F2930" t="str">
        <f>IF(Table1[[#This Row],[age]]&lt;=25,"18-25",IF(Table1[[#This Row],[age]]&lt;=35,"26-35",IF(Table1[[#This Row],[age]]&lt;=50,"36-50","51+")))</f>
        <v>51+</v>
      </c>
      <c r="G2930" t="s">
        <v>34</v>
      </c>
      <c r="H2930" t="s">
        <v>61</v>
      </c>
      <c r="I2930" t="s">
        <v>91</v>
      </c>
      <c r="J2930" t="s">
        <v>115</v>
      </c>
      <c r="K2930" t="s">
        <v>545</v>
      </c>
      <c r="L2930">
        <v>8</v>
      </c>
      <c r="M2930">
        <v>29764.18</v>
      </c>
      <c r="N2930">
        <v>0.21</v>
      </c>
      <c r="O2930">
        <v>268708.58</v>
      </c>
      <c r="P2930">
        <v>24851.54</v>
      </c>
      <c r="Q2930">
        <v>45.84</v>
      </c>
      <c r="R2930" t="s">
        <v>49</v>
      </c>
      <c r="S2930">
        <v>2</v>
      </c>
      <c r="T2930" t="b">
        <v>0</v>
      </c>
      <c r="U2930" t="s">
        <v>30</v>
      </c>
      <c r="V2930">
        <v>2</v>
      </c>
    </row>
    <row r="2931" spans="1:22" x14ac:dyDescent="0.25">
      <c r="A2931" t="s">
        <v>6335</v>
      </c>
      <c r="B2931" s="1">
        <v>44479</v>
      </c>
      <c r="C2931" t="s">
        <v>6336</v>
      </c>
      <c r="D2931" t="s">
        <v>588</v>
      </c>
      <c r="E2931">
        <v>37</v>
      </c>
      <c r="F2931" t="str">
        <f>IF(Table1[[#This Row],[age]]&lt;=25,"18-25",IF(Table1[[#This Row],[age]]&lt;=35,"26-35",IF(Table1[[#This Row],[age]]&lt;=50,"36-50","51+")))</f>
        <v>36-50</v>
      </c>
      <c r="G2931" t="s">
        <v>24</v>
      </c>
      <c r="H2931" t="s">
        <v>55</v>
      </c>
      <c r="I2931" t="s">
        <v>97</v>
      </c>
      <c r="J2931" t="s">
        <v>101</v>
      </c>
      <c r="K2931" t="s">
        <v>318</v>
      </c>
      <c r="L2931">
        <v>3</v>
      </c>
      <c r="M2931">
        <v>13108.91</v>
      </c>
      <c r="N2931">
        <v>0.14000000000000001</v>
      </c>
      <c r="O2931">
        <v>30143.82</v>
      </c>
      <c r="P2931">
        <v>8326.51</v>
      </c>
      <c r="Q2931">
        <v>55.08</v>
      </c>
      <c r="R2931" t="s">
        <v>57</v>
      </c>
      <c r="S2931">
        <v>1</v>
      </c>
      <c r="T2931" t="b">
        <v>0</v>
      </c>
      <c r="U2931" t="s">
        <v>30</v>
      </c>
      <c r="V2931">
        <v>10</v>
      </c>
    </row>
    <row r="2932" spans="1:22" x14ac:dyDescent="0.25">
      <c r="A2932" t="s">
        <v>6337</v>
      </c>
      <c r="B2932" s="1">
        <v>44401</v>
      </c>
      <c r="C2932" t="s">
        <v>6338</v>
      </c>
      <c r="D2932" t="s">
        <v>2514</v>
      </c>
      <c r="E2932">
        <v>63</v>
      </c>
      <c r="F2932" t="str">
        <f>IF(Table1[[#This Row],[age]]&lt;=25,"18-25",IF(Table1[[#This Row],[age]]&lt;=35,"26-35",IF(Table1[[#This Row],[age]]&lt;=50,"36-50","51+")))</f>
        <v>51+</v>
      </c>
      <c r="G2932" t="s">
        <v>24</v>
      </c>
      <c r="H2932" t="s">
        <v>25</v>
      </c>
      <c r="I2932" t="s">
        <v>26</v>
      </c>
      <c r="J2932" t="s">
        <v>101</v>
      </c>
      <c r="K2932" t="s">
        <v>124</v>
      </c>
      <c r="L2932">
        <v>10</v>
      </c>
      <c r="M2932">
        <v>5417.12</v>
      </c>
      <c r="N2932">
        <v>0.21</v>
      </c>
      <c r="O2932">
        <v>55413.45</v>
      </c>
      <c r="P2932">
        <v>15661.22</v>
      </c>
      <c r="Q2932">
        <v>56.55</v>
      </c>
      <c r="R2932" t="s">
        <v>65</v>
      </c>
      <c r="S2932">
        <v>1</v>
      </c>
      <c r="T2932" t="b">
        <v>0</v>
      </c>
      <c r="U2932" t="s">
        <v>71</v>
      </c>
      <c r="V2932">
        <v>5</v>
      </c>
    </row>
    <row r="2933" spans="1:22" x14ac:dyDescent="0.25">
      <c r="A2933" t="s">
        <v>6339</v>
      </c>
      <c r="B2933" s="1">
        <v>45230</v>
      </c>
      <c r="C2933" t="s">
        <v>4604</v>
      </c>
      <c r="D2933" t="s">
        <v>367</v>
      </c>
      <c r="E2933">
        <v>48</v>
      </c>
      <c r="F2933" t="str">
        <f>IF(Table1[[#This Row],[age]]&lt;=25,"18-25",IF(Table1[[#This Row],[age]]&lt;=35,"26-35",IF(Table1[[#This Row],[age]]&lt;=50,"36-50","51+")))</f>
        <v>36-50</v>
      </c>
      <c r="G2933" t="s">
        <v>34</v>
      </c>
      <c r="H2933" t="s">
        <v>69</v>
      </c>
      <c r="I2933" t="s">
        <v>221</v>
      </c>
      <c r="J2933" t="s">
        <v>27</v>
      </c>
      <c r="K2933" t="s">
        <v>335</v>
      </c>
      <c r="L2933">
        <v>3</v>
      </c>
      <c r="M2933">
        <v>434.81</v>
      </c>
      <c r="N2933">
        <v>0.39</v>
      </c>
      <c r="O2933">
        <v>892.79</v>
      </c>
      <c r="P2933">
        <v>365.96</v>
      </c>
      <c r="Q2933">
        <v>77.89</v>
      </c>
      <c r="R2933" t="s">
        <v>29</v>
      </c>
      <c r="S2933">
        <v>2</v>
      </c>
      <c r="T2933" t="b">
        <v>0</v>
      </c>
      <c r="U2933" t="s">
        <v>30</v>
      </c>
      <c r="V2933">
        <v>5</v>
      </c>
    </row>
    <row r="2934" spans="1:22" x14ac:dyDescent="0.25">
      <c r="A2934" t="s">
        <v>6340</v>
      </c>
      <c r="B2934" s="1">
        <v>44293</v>
      </c>
      <c r="C2934" t="s">
        <v>6341</v>
      </c>
      <c r="D2934" t="s">
        <v>637</v>
      </c>
      <c r="E2934">
        <v>28</v>
      </c>
      <c r="F2934" t="str">
        <f>IF(Table1[[#This Row],[age]]&lt;=25,"18-25",IF(Table1[[#This Row],[age]]&lt;=35,"26-35",IF(Table1[[#This Row],[age]]&lt;=50,"36-50","51+")))</f>
        <v>26-35</v>
      </c>
      <c r="G2934" t="s">
        <v>54</v>
      </c>
      <c r="H2934" t="s">
        <v>69</v>
      </c>
      <c r="I2934" t="s">
        <v>70</v>
      </c>
      <c r="J2934" t="s">
        <v>27</v>
      </c>
      <c r="K2934" t="s">
        <v>128</v>
      </c>
      <c r="L2934">
        <v>4</v>
      </c>
      <c r="M2934">
        <v>1885.47</v>
      </c>
      <c r="N2934">
        <v>0.39</v>
      </c>
      <c r="O2934">
        <v>6078.11</v>
      </c>
      <c r="P2934">
        <v>2097.44</v>
      </c>
      <c r="Q2934">
        <v>72.41</v>
      </c>
      <c r="R2934" t="s">
        <v>49</v>
      </c>
      <c r="S2934">
        <v>4</v>
      </c>
      <c r="T2934" t="b">
        <v>0</v>
      </c>
      <c r="U2934" t="s">
        <v>30</v>
      </c>
      <c r="V2934">
        <v>10</v>
      </c>
    </row>
    <row r="2935" spans="1:22" x14ac:dyDescent="0.25">
      <c r="A2935" t="s">
        <v>6342</v>
      </c>
      <c r="B2935" s="1">
        <v>43877</v>
      </c>
      <c r="C2935" t="s">
        <v>6343</v>
      </c>
      <c r="D2935" t="s">
        <v>321</v>
      </c>
      <c r="E2935">
        <v>62</v>
      </c>
      <c r="F2935" t="str">
        <f>IF(Table1[[#This Row],[age]]&lt;=25,"18-25",IF(Table1[[#This Row],[age]]&lt;=35,"26-35",IF(Table1[[#This Row],[age]]&lt;=50,"36-50","51+")))</f>
        <v>51+</v>
      </c>
      <c r="G2935" t="s">
        <v>24</v>
      </c>
      <c r="H2935" t="s">
        <v>80</v>
      </c>
      <c r="I2935" t="s">
        <v>236</v>
      </c>
      <c r="J2935" t="s">
        <v>27</v>
      </c>
      <c r="K2935" t="s">
        <v>480</v>
      </c>
      <c r="L2935">
        <v>4</v>
      </c>
      <c r="M2935">
        <v>965.04</v>
      </c>
      <c r="N2935">
        <v>0.32</v>
      </c>
      <c r="O2935">
        <v>2121.23</v>
      </c>
      <c r="P2935">
        <v>1209.8800000000001</v>
      </c>
      <c r="Q2935">
        <v>58.85</v>
      </c>
      <c r="R2935" t="s">
        <v>43</v>
      </c>
      <c r="S2935">
        <v>1</v>
      </c>
      <c r="T2935" t="b">
        <v>1</v>
      </c>
      <c r="U2935" t="s">
        <v>50</v>
      </c>
      <c r="V2935">
        <v>6</v>
      </c>
    </row>
    <row r="2936" spans="1:22" x14ac:dyDescent="0.25">
      <c r="A2936" t="s">
        <v>6344</v>
      </c>
      <c r="B2936" s="1">
        <v>44236</v>
      </c>
      <c r="C2936" t="s">
        <v>6345</v>
      </c>
      <c r="D2936" t="s">
        <v>262</v>
      </c>
      <c r="E2936">
        <v>50</v>
      </c>
      <c r="F2936" t="str">
        <f>IF(Table1[[#This Row],[age]]&lt;=25,"18-25",IF(Table1[[#This Row],[age]]&lt;=35,"26-35",IF(Table1[[#This Row],[age]]&lt;=50,"36-50","51+")))</f>
        <v>36-50</v>
      </c>
      <c r="G2936" t="s">
        <v>34</v>
      </c>
      <c r="H2936" t="s">
        <v>61</v>
      </c>
      <c r="I2936" t="s">
        <v>91</v>
      </c>
      <c r="J2936" t="s">
        <v>115</v>
      </c>
      <c r="K2936" t="s">
        <v>137</v>
      </c>
      <c r="L2936">
        <v>7</v>
      </c>
      <c r="M2936">
        <v>10081.67</v>
      </c>
      <c r="N2936">
        <v>0.03</v>
      </c>
      <c r="O2936">
        <v>59897.17</v>
      </c>
      <c r="P2936">
        <v>4993.59</v>
      </c>
      <c r="Q2936">
        <v>16.940000000000001</v>
      </c>
      <c r="R2936" t="s">
        <v>57</v>
      </c>
      <c r="S2936">
        <v>5</v>
      </c>
      <c r="T2936" t="b">
        <v>0</v>
      </c>
      <c r="U2936" t="s">
        <v>30</v>
      </c>
      <c r="V2936">
        <v>7</v>
      </c>
    </row>
    <row r="2937" spans="1:22" x14ac:dyDescent="0.25">
      <c r="A2937" t="s">
        <v>6346</v>
      </c>
      <c r="B2937" s="1">
        <v>45471</v>
      </c>
      <c r="C2937" t="s">
        <v>6347</v>
      </c>
      <c r="D2937" t="s">
        <v>956</v>
      </c>
      <c r="E2937">
        <v>43</v>
      </c>
      <c r="F2937" t="str">
        <f>IF(Table1[[#This Row],[age]]&lt;=25,"18-25",IF(Table1[[#This Row],[age]]&lt;=35,"26-35",IF(Table1[[#This Row],[age]]&lt;=50,"36-50","51+")))</f>
        <v>36-50</v>
      </c>
      <c r="G2937" t="s">
        <v>34</v>
      </c>
      <c r="H2937" t="s">
        <v>25</v>
      </c>
      <c r="I2937" t="s">
        <v>26</v>
      </c>
      <c r="J2937" t="s">
        <v>36</v>
      </c>
      <c r="K2937" t="s">
        <v>42</v>
      </c>
      <c r="L2937">
        <v>3</v>
      </c>
      <c r="M2937">
        <v>20889.939999999999</v>
      </c>
      <c r="N2937">
        <v>0.28000000000000003</v>
      </c>
      <c r="O2937">
        <v>70530.850000000006</v>
      </c>
      <c r="P2937">
        <v>15914.76</v>
      </c>
      <c r="Q2937">
        <v>86.28</v>
      </c>
      <c r="R2937" t="s">
        <v>65</v>
      </c>
      <c r="S2937">
        <v>5</v>
      </c>
      <c r="T2937" t="b">
        <v>0</v>
      </c>
      <c r="U2937" t="s">
        <v>30</v>
      </c>
      <c r="V2937">
        <v>2</v>
      </c>
    </row>
    <row r="2938" spans="1:22" x14ac:dyDescent="0.25">
      <c r="A2938" t="s">
        <v>6348</v>
      </c>
      <c r="B2938" s="1">
        <v>44419</v>
      </c>
      <c r="C2938" t="s">
        <v>6349</v>
      </c>
      <c r="D2938" t="s">
        <v>1129</v>
      </c>
      <c r="E2938">
        <v>28</v>
      </c>
      <c r="F2938" t="str">
        <f>IF(Table1[[#This Row],[age]]&lt;=25,"18-25",IF(Table1[[#This Row],[age]]&lt;=35,"26-35",IF(Table1[[#This Row],[age]]&lt;=50,"36-50","51+")))</f>
        <v>26-35</v>
      </c>
      <c r="G2938" t="s">
        <v>24</v>
      </c>
      <c r="H2938" t="s">
        <v>61</v>
      </c>
      <c r="I2938" t="s">
        <v>91</v>
      </c>
      <c r="J2938" t="s">
        <v>47</v>
      </c>
      <c r="K2938" t="s">
        <v>120</v>
      </c>
      <c r="L2938">
        <v>4</v>
      </c>
      <c r="M2938">
        <v>268</v>
      </c>
      <c r="N2938">
        <v>0.31</v>
      </c>
      <c r="O2938">
        <v>983.11</v>
      </c>
      <c r="P2938">
        <v>397.26</v>
      </c>
      <c r="Q2938">
        <v>58.22</v>
      </c>
      <c r="R2938" t="s">
        <v>65</v>
      </c>
      <c r="S2938">
        <v>4</v>
      </c>
      <c r="T2938" t="b">
        <v>0</v>
      </c>
      <c r="U2938" t="s">
        <v>71</v>
      </c>
      <c r="V2938">
        <v>4</v>
      </c>
    </row>
    <row r="2939" spans="1:22" x14ac:dyDescent="0.25">
      <c r="A2939" t="s">
        <v>6350</v>
      </c>
      <c r="B2939" s="1">
        <v>44458</v>
      </c>
      <c r="C2939" t="s">
        <v>6351</v>
      </c>
      <c r="D2939" t="s">
        <v>551</v>
      </c>
      <c r="E2939">
        <v>29</v>
      </c>
      <c r="F2939" t="str">
        <f>IF(Table1[[#This Row],[age]]&lt;=25,"18-25",IF(Table1[[#This Row],[age]]&lt;=35,"26-35",IF(Table1[[#This Row],[age]]&lt;=50,"36-50","51+")))</f>
        <v>26-35</v>
      </c>
      <c r="G2939" t="s">
        <v>34</v>
      </c>
      <c r="H2939" t="s">
        <v>69</v>
      </c>
      <c r="I2939" t="s">
        <v>136</v>
      </c>
      <c r="J2939" t="s">
        <v>101</v>
      </c>
      <c r="K2939" t="s">
        <v>318</v>
      </c>
      <c r="L2939">
        <v>5</v>
      </c>
      <c r="M2939">
        <v>5472.78</v>
      </c>
      <c r="N2939">
        <v>0.09</v>
      </c>
      <c r="O2939">
        <v>26718.92</v>
      </c>
      <c r="P2939">
        <v>5839.8</v>
      </c>
      <c r="Q2939">
        <v>85.38</v>
      </c>
      <c r="R2939" t="s">
        <v>92</v>
      </c>
      <c r="S2939">
        <v>3</v>
      </c>
      <c r="T2939" t="b">
        <v>0</v>
      </c>
      <c r="U2939" t="s">
        <v>93</v>
      </c>
      <c r="V2939">
        <v>7</v>
      </c>
    </row>
    <row r="2940" spans="1:22" x14ac:dyDescent="0.25">
      <c r="A2940" t="s">
        <v>6352</v>
      </c>
      <c r="B2940" s="1">
        <v>45492</v>
      </c>
      <c r="C2940" t="s">
        <v>6353</v>
      </c>
      <c r="D2940" t="s">
        <v>1212</v>
      </c>
      <c r="E2940">
        <v>48</v>
      </c>
      <c r="F2940" t="str">
        <f>IF(Table1[[#This Row],[age]]&lt;=25,"18-25",IF(Table1[[#This Row],[age]]&lt;=35,"26-35",IF(Table1[[#This Row],[age]]&lt;=50,"36-50","51+")))</f>
        <v>36-50</v>
      </c>
      <c r="G2940" t="s">
        <v>24</v>
      </c>
      <c r="H2940" t="s">
        <v>69</v>
      </c>
      <c r="I2940" t="s">
        <v>221</v>
      </c>
      <c r="J2940" t="s">
        <v>36</v>
      </c>
      <c r="K2940" t="s">
        <v>243</v>
      </c>
      <c r="L2940">
        <v>3</v>
      </c>
      <c r="M2940">
        <v>10939.89</v>
      </c>
      <c r="N2940">
        <v>0.37</v>
      </c>
      <c r="O2940">
        <v>35018.76</v>
      </c>
      <c r="P2940">
        <v>7992.14</v>
      </c>
      <c r="Q2940">
        <v>99.95</v>
      </c>
      <c r="R2940" t="s">
        <v>49</v>
      </c>
      <c r="S2940">
        <v>1</v>
      </c>
      <c r="T2940" t="b">
        <v>0</v>
      </c>
      <c r="U2940" t="s">
        <v>30</v>
      </c>
      <c r="V2940">
        <v>9</v>
      </c>
    </row>
    <row r="2941" spans="1:22" x14ac:dyDescent="0.25">
      <c r="A2941" t="s">
        <v>6354</v>
      </c>
      <c r="B2941" s="1">
        <v>44431</v>
      </c>
      <c r="C2941" t="s">
        <v>6355</v>
      </c>
      <c r="D2941" t="s">
        <v>1359</v>
      </c>
      <c r="E2941">
        <v>38</v>
      </c>
      <c r="F2941" t="str">
        <f>IF(Table1[[#This Row],[age]]&lt;=25,"18-25",IF(Table1[[#This Row],[age]]&lt;=35,"26-35",IF(Table1[[#This Row],[age]]&lt;=50,"36-50","51+")))</f>
        <v>36-50</v>
      </c>
      <c r="G2941" t="s">
        <v>34</v>
      </c>
      <c r="H2941" t="s">
        <v>55</v>
      </c>
      <c r="I2941" t="s">
        <v>114</v>
      </c>
      <c r="J2941" t="s">
        <v>36</v>
      </c>
      <c r="K2941" t="s">
        <v>37</v>
      </c>
      <c r="L2941">
        <v>8</v>
      </c>
      <c r="M2941">
        <v>27002.71</v>
      </c>
      <c r="N2941">
        <v>0.1</v>
      </c>
      <c r="O2941">
        <v>247619.21</v>
      </c>
      <c r="P2941">
        <v>75880.399999999994</v>
      </c>
      <c r="Q2941">
        <v>107.71</v>
      </c>
      <c r="R2941" t="s">
        <v>65</v>
      </c>
      <c r="S2941">
        <v>1</v>
      </c>
      <c r="T2941" t="b">
        <v>0</v>
      </c>
      <c r="U2941" t="s">
        <v>30</v>
      </c>
      <c r="V2941">
        <v>3</v>
      </c>
    </row>
    <row r="2942" spans="1:22" x14ac:dyDescent="0.25">
      <c r="A2942" t="s">
        <v>6356</v>
      </c>
      <c r="B2942" s="1">
        <v>44940</v>
      </c>
      <c r="C2942" t="s">
        <v>6357</v>
      </c>
      <c r="D2942" t="s">
        <v>1406</v>
      </c>
      <c r="E2942">
        <v>46</v>
      </c>
      <c r="F2942" t="str">
        <f>IF(Table1[[#This Row],[age]]&lt;=25,"18-25",IF(Table1[[#This Row],[age]]&lt;=35,"26-35",IF(Table1[[#This Row],[age]]&lt;=50,"36-50","51+")))</f>
        <v>36-50</v>
      </c>
      <c r="G2942" t="s">
        <v>54</v>
      </c>
      <c r="H2942" t="s">
        <v>69</v>
      </c>
      <c r="I2942" t="s">
        <v>70</v>
      </c>
      <c r="J2942" t="s">
        <v>27</v>
      </c>
      <c r="K2942" t="s">
        <v>128</v>
      </c>
      <c r="L2942">
        <v>1</v>
      </c>
      <c r="M2942">
        <v>1511.99</v>
      </c>
      <c r="N2942">
        <v>0.39</v>
      </c>
      <c r="O2942">
        <v>914.13</v>
      </c>
      <c r="P2942">
        <v>402.56</v>
      </c>
      <c r="Q2942">
        <v>88.69</v>
      </c>
      <c r="R2942" t="s">
        <v>65</v>
      </c>
      <c r="S2942">
        <v>1</v>
      </c>
      <c r="T2942" t="b">
        <v>0</v>
      </c>
      <c r="U2942" t="s">
        <v>71</v>
      </c>
      <c r="V2942">
        <v>7</v>
      </c>
    </row>
    <row r="2943" spans="1:22" x14ac:dyDescent="0.25">
      <c r="A2943" t="s">
        <v>6358</v>
      </c>
      <c r="B2943" s="1">
        <v>44802</v>
      </c>
      <c r="C2943" t="s">
        <v>6359</v>
      </c>
      <c r="D2943" t="s">
        <v>646</v>
      </c>
      <c r="E2943">
        <v>53</v>
      </c>
      <c r="F2943" t="str">
        <f>IF(Table1[[#This Row],[age]]&lt;=25,"18-25",IF(Table1[[#This Row],[age]]&lt;=35,"26-35",IF(Table1[[#This Row],[age]]&lt;=50,"36-50","51+")))</f>
        <v>51+</v>
      </c>
      <c r="G2943" t="s">
        <v>34</v>
      </c>
      <c r="H2943" t="s">
        <v>55</v>
      </c>
      <c r="I2943" t="s">
        <v>75</v>
      </c>
      <c r="J2943" t="s">
        <v>36</v>
      </c>
      <c r="K2943" t="s">
        <v>42</v>
      </c>
      <c r="L2943">
        <v>5</v>
      </c>
      <c r="M2943">
        <v>16148.89</v>
      </c>
      <c r="N2943">
        <v>0.31</v>
      </c>
      <c r="O2943">
        <v>65510.48</v>
      </c>
      <c r="P2943">
        <v>17083.16</v>
      </c>
      <c r="Q2943">
        <v>56.19</v>
      </c>
      <c r="R2943" t="s">
        <v>49</v>
      </c>
      <c r="S2943">
        <v>5</v>
      </c>
      <c r="T2943" t="b">
        <v>0</v>
      </c>
      <c r="U2943" t="s">
        <v>30</v>
      </c>
      <c r="V2943">
        <v>1</v>
      </c>
    </row>
    <row r="2944" spans="1:22" x14ac:dyDescent="0.25">
      <c r="A2944" t="s">
        <v>6360</v>
      </c>
      <c r="B2944" s="1">
        <v>44686</v>
      </c>
      <c r="C2944" t="s">
        <v>6361</v>
      </c>
      <c r="D2944" t="s">
        <v>695</v>
      </c>
      <c r="E2944">
        <v>35</v>
      </c>
      <c r="F2944" t="str">
        <f>IF(Table1[[#This Row],[age]]&lt;=25,"18-25",IF(Table1[[#This Row],[age]]&lt;=35,"26-35",IF(Table1[[#This Row],[age]]&lt;=50,"36-50","51+")))</f>
        <v>26-35</v>
      </c>
      <c r="G2944" t="s">
        <v>34</v>
      </c>
      <c r="H2944" t="s">
        <v>25</v>
      </c>
      <c r="I2944" t="s">
        <v>26</v>
      </c>
      <c r="J2944" t="s">
        <v>115</v>
      </c>
      <c r="K2944" t="s">
        <v>116</v>
      </c>
      <c r="L2944">
        <v>4</v>
      </c>
      <c r="M2944">
        <v>35805.64</v>
      </c>
      <c r="N2944">
        <v>0.22</v>
      </c>
      <c r="O2944">
        <v>175898.51</v>
      </c>
      <c r="P2944">
        <v>16761.62</v>
      </c>
      <c r="Q2944">
        <v>64.56</v>
      </c>
      <c r="R2944" t="s">
        <v>92</v>
      </c>
      <c r="S2944">
        <v>2</v>
      </c>
      <c r="T2944" t="b">
        <v>0</v>
      </c>
      <c r="U2944" t="s">
        <v>71</v>
      </c>
      <c r="V2944">
        <v>9</v>
      </c>
    </row>
    <row r="2945" spans="1:22" x14ac:dyDescent="0.25">
      <c r="A2945" t="s">
        <v>6362</v>
      </c>
      <c r="B2945" s="1">
        <v>45513</v>
      </c>
      <c r="C2945" t="s">
        <v>6363</v>
      </c>
      <c r="D2945" t="s">
        <v>1233</v>
      </c>
      <c r="E2945">
        <v>30</v>
      </c>
      <c r="F2945" t="str">
        <f>IF(Table1[[#This Row],[age]]&lt;=25,"18-25",IF(Table1[[#This Row],[age]]&lt;=35,"26-35",IF(Table1[[#This Row],[age]]&lt;=50,"36-50","51+")))</f>
        <v>26-35</v>
      </c>
      <c r="G2945" t="s">
        <v>54</v>
      </c>
      <c r="H2945" t="s">
        <v>55</v>
      </c>
      <c r="I2945" t="s">
        <v>75</v>
      </c>
      <c r="J2945" t="s">
        <v>115</v>
      </c>
      <c r="K2945" t="s">
        <v>145</v>
      </c>
      <c r="L2945">
        <v>1</v>
      </c>
      <c r="M2945">
        <v>8508.27</v>
      </c>
      <c r="N2945">
        <v>0.12</v>
      </c>
      <c r="O2945">
        <v>10874.57</v>
      </c>
      <c r="P2945">
        <v>1416.52</v>
      </c>
      <c r="Q2945">
        <v>82.74</v>
      </c>
      <c r="R2945" t="s">
        <v>65</v>
      </c>
      <c r="S2945">
        <v>3</v>
      </c>
      <c r="T2945" t="b">
        <v>0</v>
      </c>
      <c r="U2945" t="s">
        <v>193</v>
      </c>
      <c r="V2945">
        <v>1</v>
      </c>
    </row>
    <row r="2946" spans="1:22" x14ac:dyDescent="0.25">
      <c r="A2946" t="s">
        <v>6364</v>
      </c>
      <c r="B2946" s="1">
        <v>44324</v>
      </c>
      <c r="C2946" t="s">
        <v>6365</v>
      </c>
      <c r="D2946" t="s">
        <v>2262</v>
      </c>
      <c r="E2946">
        <v>43</v>
      </c>
      <c r="F2946" t="str">
        <f>IF(Table1[[#This Row],[age]]&lt;=25,"18-25",IF(Table1[[#This Row],[age]]&lt;=35,"26-35",IF(Table1[[#This Row],[age]]&lt;=50,"36-50","51+")))</f>
        <v>36-50</v>
      </c>
      <c r="G2946" t="s">
        <v>34</v>
      </c>
      <c r="H2946" t="s">
        <v>25</v>
      </c>
      <c r="I2946" t="s">
        <v>35</v>
      </c>
      <c r="J2946" t="s">
        <v>115</v>
      </c>
      <c r="K2946" t="s">
        <v>398</v>
      </c>
      <c r="L2946">
        <v>10</v>
      </c>
      <c r="M2946">
        <v>65812.2</v>
      </c>
      <c r="N2946">
        <v>0.14000000000000001</v>
      </c>
      <c r="O2946">
        <v>755611.74</v>
      </c>
      <c r="P2946">
        <v>101212.3</v>
      </c>
      <c r="Q2946">
        <v>48.25</v>
      </c>
      <c r="R2946" t="s">
        <v>92</v>
      </c>
      <c r="S2946">
        <v>4</v>
      </c>
      <c r="T2946" t="b">
        <v>0</v>
      </c>
      <c r="U2946" t="s">
        <v>30</v>
      </c>
      <c r="V2946">
        <v>8</v>
      </c>
    </row>
    <row r="2947" spans="1:22" x14ac:dyDescent="0.25">
      <c r="A2947" t="s">
        <v>6366</v>
      </c>
      <c r="B2947" s="1">
        <v>44530</v>
      </c>
      <c r="C2947" t="s">
        <v>6367</v>
      </c>
      <c r="D2947" t="s">
        <v>937</v>
      </c>
      <c r="E2947">
        <v>58</v>
      </c>
      <c r="F2947" t="str">
        <f>IF(Table1[[#This Row],[age]]&lt;=25,"18-25",IF(Table1[[#This Row],[age]]&lt;=35,"26-35",IF(Table1[[#This Row],[age]]&lt;=50,"36-50","51+")))</f>
        <v>51+</v>
      </c>
      <c r="G2947" t="s">
        <v>54</v>
      </c>
      <c r="H2947" t="s">
        <v>25</v>
      </c>
      <c r="I2947" t="s">
        <v>298</v>
      </c>
      <c r="J2947" t="s">
        <v>101</v>
      </c>
      <c r="K2947" t="s">
        <v>102</v>
      </c>
      <c r="L2947">
        <v>10</v>
      </c>
      <c r="M2947">
        <v>12971.47</v>
      </c>
      <c r="N2947">
        <v>0.35</v>
      </c>
      <c r="O2947">
        <v>65353.81</v>
      </c>
      <c r="P2947">
        <v>15914.47</v>
      </c>
      <c r="Q2947">
        <v>51.11</v>
      </c>
      <c r="R2947" t="s">
        <v>57</v>
      </c>
      <c r="S2947">
        <v>3</v>
      </c>
      <c r="T2947" t="b">
        <v>0</v>
      </c>
      <c r="U2947" t="s">
        <v>30</v>
      </c>
      <c r="V2947">
        <v>7</v>
      </c>
    </row>
    <row r="2948" spans="1:22" x14ac:dyDescent="0.25">
      <c r="A2948" t="s">
        <v>6368</v>
      </c>
      <c r="B2948" s="1">
        <v>45512</v>
      </c>
      <c r="C2948" t="s">
        <v>6369</v>
      </c>
      <c r="D2948" t="s">
        <v>737</v>
      </c>
      <c r="E2948">
        <v>44</v>
      </c>
      <c r="F2948" t="str">
        <f>IF(Table1[[#This Row],[age]]&lt;=25,"18-25",IF(Table1[[#This Row],[age]]&lt;=35,"26-35",IF(Table1[[#This Row],[age]]&lt;=50,"36-50","51+")))</f>
        <v>36-50</v>
      </c>
      <c r="G2948" t="s">
        <v>34</v>
      </c>
      <c r="H2948" t="s">
        <v>55</v>
      </c>
      <c r="I2948" t="s">
        <v>114</v>
      </c>
      <c r="J2948" t="s">
        <v>115</v>
      </c>
      <c r="K2948" t="s">
        <v>398</v>
      </c>
      <c r="L2948">
        <v>3</v>
      </c>
      <c r="M2948">
        <v>21470.45</v>
      </c>
      <c r="N2948">
        <v>0.02</v>
      </c>
      <c r="O2948">
        <v>92585</v>
      </c>
      <c r="P2948">
        <v>5457.16</v>
      </c>
      <c r="Q2948">
        <v>77.05</v>
      </c>
      <c r="R2948" t="s">
        <v>57</v>
      </c>
      <c r="S2948">
        <v>5</v>
      </c>
      <c r="T2948" t="b">
        <v>0</v>
      </c>
      <c r="U2948" t="s">
        <v>30</v>
      </c>
      <c r="V2948">
        <v>9</v>
      </c>
    </row>
    <row r="2949" spans="1:22" x14ac:dyDescent="0.25">
      <c r="A2949" t="s">
        <v>6370</v>
      </c>
      <c r="B2949" s="1">
        <v>44205</v>
      </c>
      <c r="C2949" t="s">
        <v>6371</v>
      </c>
      <c r="D2949" t="s">
        <v>1039</v>
      </c>
      <c r="E2949">
        <v>48</v>
      </c>
      <c r="F2949" t="str">
        <f>IF(Table1[[#This Row],[age]]&lt;=25,"18-25",IF(Table1[[#This Row],[age]]&lt;=35,"26-35",IF(Table1[[#This Row],[age]]&lt;=50,"36-50","51+")))</f>
        <v>36-50</v>
      </c>
      <c r="G2949" t="s">
        <v>54</v>
      </c>
      <c r="H2949" t="s">
        <v>69</v>
      </c>
      <c r="I2949" t="s">
        <v>136</v>
      </c>
      <c r="J2949" t="s">
        <v>63</v>
      </c>
      <c r="K2949" t="s">
        <v>152</v>
      </c>
      <c r="L2949">
        <v>4</v>
      </c>
      <c r="M2949">
        <v>1333.04</v>
      </c>
      <c r="N2949">
        <v>0.15</v>
      </c>
      <c r="O2949">
        <v>3641.6</v>
      </c>
      <c r="P2949">
        <v>1576</v>
      </c>
      <c r="Q2949">
        <v>89.29</v>
      </c>
      <c r="R2949" t="s">
        <v>92</v>
      </c>
      <c r="S2949">
        <v>5</v>
      </c>
      <c r="T2949" t="b">
        <v>0</v>
      </c>
      <c r="U2949" t="s">
        <v>30</v>
      </c>
      <c r="V2949">
        <v>9</v>
      </c>
    </row>
    <row r="2950" spans="1:22" x14ac:dyDescent="0.25">
      <c r="A2950" t="s">
        <v>6372</v>
      </c>
      <c r="B2950" s="1">
        <v>44320</v>
      </c>
      <c r="C2950" t="s">
        <v>6373</v>
      </c>
      <c r="D2950" t="s">
        <v>407</v>
      </c>
      <c r="E2950">
        <v>21</v>
      </c>
      <c r="F2950" t="str">
        <f>IF(Table1[[#This Row],[age]]&lt;=25,"18-25",IF(Table1[[#This Row],[age]]&lt;=35,"26-35",IF(Table1[[#This Row],[age]]&lt;=50,"36-50","51+")))</f>
        <v>18-25</v>
      </c>
      <c r="G2950" t="s">
        <v>24</v>
      </c>
      <c r="H2950" t="s">
        <v>61</v>
      </c>
      <c r="I2950" t="s">
        <v>62</v>
      </c>
      <c r="J2950" t="s">
        <v>106</v>
      </c>
      <c r="K2950" t="s">
        <v>188</v>
      </c>
      <c r="L2950">
        <v>6</v>
      </c>
      <c r="M2950">
        <v>195</v>
      </c>
      <c r="N2950">
        <v>0.01</v>
      </c>
      <c r="O2950">
        <v>1590.89</v>
      </c>
      <c r="P2950">
        <v>163.31</v>
      </c>
      <c r="Q2950">
        <v>46.08</v>
      </c>
      <c r="R2950" t="s">
        <v>92</v>
      </c>
      <c r="S2950">
        <v>2</v>
      </c>
      <c r="T2950" t="b">
        <v>0</v>
      </c>
      <c r="U2950" t="s">
        <v>71</v>
      </c>
      <c r="V2950">
        <v>7</v>
      </c>
    </row>
    <row r="2951" spans="1:22" x14ac:dyDescent="0.25">
      <c r="A2951" t="s">
        <v>6374</v>
      </c>
      <c r="B2951" s="1">
        <v>44376</v>
      </c>
      <c r="C2951" t="s">
        <v>6375</v>
      </c>
      <c r="D2951" t="s">
        <v>2420</v>
      </c>
      <c r="E2951">
        <v>36</v>
      </c>
      <c r="F2951" t="str">
        <f>IF(Table1[[#This Row],[age]]&lt;=25,"18-25",IF(Table1[[#This Row],[age]]&lt;=35,"26-35",IF(Table1[[#This Row],[age]]&lt;=50,"36-50","51+")))</f>
        <v>36-50</v>
      </c>
      <c r="G2951" t="s">
        <v>34</v>
      </c>
      <c r="H2951" t="s">
        <v>25</v>
      </c>
      <c r="I2951" t="s">
        <v>35</v>
      </c>
      <c r="J2951" t="s">
        <v>115</v>
      </c>
      <c r="K2951" t="s">
        <v>398</v>
      </c>
      <c r="L2951">
        <v>6</v>
      </c>
      <c r="M2951">
        <v>35685.360000000001</v>
      </c>
      <c r="N2951">
        <v>0.3</v>
      </c>
      <c r="O2951">
        <v>182448.8</v>
      </c>
      <c r="P2951">
        <v>21541.19</v>
      </c>
      <c r="Q2951">
        <v>65.92</v>
      </c>
      <c r="R2951" t="s">
        <v>43</v>
      </c>
      <c r="S2951">
        <v>4</v>
      </c>
      <c r="T2951" t="b">
        <v>0</v>
      </c>
      <c r="U2951" t="s">
        <v>30</v>
      </c>
      <c r="V2951">
        <v>2</v>
      </c>
    </row>
    <row r="2952" spans="1:22" x14ac:dyDescent="0.25">
      <c r="A2952" t="s">
        <v>6376</v>
      </c>
      <c r="B2952" s="1">
        <v>43868</v>
      </c>
      <c r="C2952" t="s">
        <v>6377</v>
      </c>
      <c r="D2952" t="s">
        <v>268</v>
      </c>
      <c r="E2952">
        <v>38</v>
      </c>
      <c r="F2952" t="str">
        <f>IF(Table1[[#This Row],[age]]&lt;=25,"18-25",IF(Table1[[#This Row],[age]]&lt;=35,"26-35",IF(Table1[[#This Row],[age]]&lt;=50,"36-50","51+")))</f>
        <v>36-50</v>
      </c>
      <c r="G2952" t="s">
        <v>34</v>
      </c>
      <c r="H2952" t="s">
        <v>61</v>
      </c>
      <c r="I2952" t="s">
        <v>62</v>
      </c>
      <c r="J2952" t="s">
        <v>101</v>
      </c>
      <c r="K2952" t="s">
        <v>318</v>
      </c>
      <c r="L2952">
        <v>3</v>
      </c>
      <c r="M2952">
        <v>2728.31</v>
      </c>
      <c r="N2952">
        <v>0.24</v>
      </c>
      <c r="O2952">
        <v>5207.6400000000003</v>
      </c>
      <c r="P2952">
        <v>802.54</v>
      </c>
      <c r="Q2952">
        <v>36.26</v>
      </c>
      <c r="R2952" t="s">
        <v>57</v>
      </c>
      <c r="S2952">
        <v>1</v>
      </c>
      <c r="T2952" t="b">
        <v>1</v>
      </c>
      <c r="U2952" t="s">
        <v>50</v>
      </c>
      <c r="V2952">
        <v>10</v>
      </c>
    </row>
    <row r="2953" spans="1:22" x14ac:dyDescent="0.25">
      <c r="A2953" t="s">
        <v>6378</v>
      </c>
      <c r="B2953" s="1">
        <v>45650</v>
      </c>
      <c r="C2953" t="s">
        <v>6379</v>
      </c>
      <c r="D2953" t="s">
        <v>1215</v>
      </c>
      <c r="E2953">
        <v>34</v>
      </c>
      <c r="F2953" t="str">
        <f>IF(Table1[[#This Row],[age]]&lt;=25,"18-25",IF(Table1[[#This Row],[age]]&lt;=35,"26-35",IF(Table1[[#This Row],[age]]&lt;=50,"36-50","51+")))</f>
        <v>26-35</v>
      </c>
      <c r="G2953" t="s">
        <v>24</v>
      </c>
      <c r="H2953" t="s">
        <v>69</v>
      </c>
      <c r="I2953" t="s">
        <v>136</v>
      </c>
      <c r="J2953" t="s">
        <v>36</v>
      </c>
      <c r="K2953" t="s">
        <v>243</v>
      </c>
      <c r="L2953">
        <v>9</v>
      </c>
      <c r="M2953">
        <v>17949.599999999999</v>
      </c>
      <c r="N2953">
        <v>0.08</v>
      </c>
      <c r="O2953">
        <v>129636.87</v>
      </c>
      <c r="P2953">
        <v>41301.730000000003</v>
      </c>
      <c r="Q2953">
        <v>79.91</v>
      </c>
      <c r="R2953" t="s">
        <v>65</v>
      </c>
      <c r="S2953">
        <v>5</v>
      </c>
      <c r="T2953" t="b">
        <v>0</v>
      </c>
      <c r="U2953" t="s">
        <v>30</v>
      </c>
      <c r="V2953">
        <v>3</v>
      </c>
    </row>
    <row r="2954" spans="1:22" x14ac:dyDescent="0.25">
      <c r="A2954" t="s">
        <v>6380</v>
      </c>
      <c r="B2954" s="1">
        <v>44881</v>
      </c>
      <c r="C2954" t="s">
        <v>6381</v>
      </c>
      <c r="D2954" t="s">
        <v>23</v>
      </c>
      <c r="E2954">
        <v>35</v>
      </c>
      <c r="F2954" t="str">
        <f>IF(Table1[[#This Row],[age]]&lt;=25,"18-25",IF(Table1[[#This Row],[age]]&lt;=35,"26-35",IF(Table1[[#This Row],[age]]&lt;=50,"36-50","51+")))</f>
        <v>26-35</v>
      </c>
      <c r="G2954" t="s">
        <v>54</v>
      </c>
      <c r="H2954" t="s">
        <v>61</v>
      </c>
      <c r="I2954" t="s">
        <v>62</v>
      </c>
      <c r="J2954" t="s">
        <v>36</v>
      </c>
      <c r="K2954" t="s">
        <v>230</v>
      </c>
      <c r="L2954">
        <v>4</v>
      </c>
      <c r="M2954">
        <v>9446.44</v>
      </c>
      <c r="N2954">
        <v>0.3</v>
      </c>
      <c r="O2954">
        <v>22683.91</v>
      </c>
      <c r="P2954">
        <v>5513.68</v>
      </c>
      <c r="Q2954">
        <v>58.8</v>
      </c>
      <c r="R2954" t="s">
        <v>29</v>
      </c>
      <c r="S2954">
        <v>5</v>
      </c>
      <c r="T2954" t="b">
        <v>0</v>
      </c>
      <c r="U2954" t="s">
        <v>71</v>
      </c>
      <c r="V2954">
        <v>9</v>
      </c>
    </row>
    <row r="2955" spans="1:22" x14ac:dyDescent="0.25">
      <c r="A2955" t="s">
        <v>6382</v>
      </c>
      <c r="B2955" s="1">
        <v>44100</v>
      </c>
      <c r="C2955" t="s">
        <v>6383</v>
      </c>
      <c r="D2955" t="s">
        <v>1654</v>
      </c>
      <c r="E2955">
        <v>39</v>
      </c>
      <c r="F2955" t="str">
        <f>IF(Table1[[#This Row],[age]]&lt;=25,"18-25",IF(Table1[[#This Row],[age]]&lt;=35,"26-35",IF(Table1[[#This Row],[age]]&lt;=50,"36-50","51+")))</f>
        <v>36-50</v>
      </c>
      <c r="G2955" t="s">
        <v>34</v>
      </c>
      <c r="H2955" t="s">
        <v>80</v>
      </c>
      <c r="I2955" t="s">
        <v>236</v>
      </c>
      <c r="J2955" t="s">
        <v>27</v>
      </c>
      <c r="K2955" t="s">
        <v>480</v>
      </c>
      <c r="L2955">
        <v>7</v>
      </c>
      <c r="M2955">
        <v>387.9</v>
      </c>
      <c r="N2955">
        <v>0.09</v>
      </c>
      <c r="O2955">
        <v>2585.0300000000002</v>
      </c>
      <c r="P2955">
        <v>1269.6300000000001</v>
      </c>
      <c r="Q2955">
        <v>57.88</v>
      </c>
      <c r="R2955" t="s">
        <v>43</v>
      </c>
      <c r="S2955">
        <v>1</v>
      </c>
      <c r="T2955" t="b">
        <v>0</v>
      </c>
      <c r="U2955" t="s">
        <v>193</v>
      </c>
      <c r="V2955">
        <v>3</v>
      </c>
    </row>
    <row r="2956" spans="1:22" x14ac:dyDescent="0.25">
      <c r="A2956" t="s">
        <v>6384</v>
      </c>
      <c r="B2956" s="1">
        <v>45174</v>
      </c>
      <c r="C2956" t="s">
        <v>6385</v>
      </c>
      <c r="D2956" t="s">
        <v>1445</v>
      </c>
      <c r="E2956">
        <v>48</v>
      </c>
      <c r="F2956" t="str">
        <f>IF(Table1[[#This Row],[age]]&lt;=25,"18-25",IF(Table1[[#This Row],[age]]&lt;=35,"26-35",IF(Table1[[#This Row],[age]]&lt;=50,"36-50","51+")))</f>
        <v>36-50</v>
      </c>
      <c r="G2956" t="s">
        <v>34</v>
      </c>
      <c r="H2956" t="s">
        <v>80</v>
      </c>
      <c r="I2956" t="s">
        <v>236</v>
      </c>
      <c r="J2956" t="s">
        <v>63</v>
      </c>
      <c r="K2956" t="s">
        <v>82</v>
      </c>
      <c r="L2956">
        <v>8</v>
      </c>
      <c r="M2956">
        <v>771.59</v>
      </c>
      <c r="N2956">
        <v>0.37</v>
      </c>
      <c r="O2956">
        <v>4477.38</v>
      </c>
      <c r="P2956">
        <v>1547</v>
      </c>
      <c r="Q2956">
        <v>66.22</v>
      </c>
      <c r="R2956" t="s">
        <v>92</v>
      </c>
      <c r="S2956">
        <v>5</v>
      </c>
      <c r="T2956" t="b">
        <v>0</v>
      </c>
      <c r="U2956" t="s">
        <v>30</v>
      </c>
      <c r="V2956">
        <v>2</v>
      </c>
    </row>
    <row r="2957" spans="1:22" x14ac:dyDescent="0.25">
      <c r="A2957" t="s">
        <v>6386</v>
      </c>
      <c r="B2957" s="1">
        <v>44761</v>
      </c>
      <c r="C2957" t="s">
        <v>6387</v>
      </c>
      <c r="D2957" t="s">
        <v>805</v>
      </c>
      <c r="E2957">
        <v>58</v>
      </c>
      <c r="F2957" t="str">
        <f>IF(Table1[[#This Row],[age]]&lt;=25,"18-25",IF(Table1[[#This Row],[age]]&lt;=35,"26-35",IF(Table1[[#This Row],[age]]&lt;=50,"36-50","51+")))</f>
        <v>51+</v>
      </c>
      <c r="G2957" t="s">
        <v>54</v>
      </c>
      <c r="H2957" t="s">
        <v>69</v>
      </c>
      <c r="I2957" t="s">
        <v>221</v>
      </c>
      <c r="J2957" t="s">
        <v>36</v>
      </c>
      <c r="K2957" t="s">
        <v>76</v>
      </c>
      <c r="L2957">
        <v>8</v>
      </c>
      <c r="M2957">
        <v>6806.19</v>
      </c>
      <c r="N2957">
        <v>0.1</v>
      </c>
      <c r="O2957">
        <v>67597</v>
      </c>
      <c r="P2957">
        <v>26754.18</v>
      </c>
      <c r="Q2957">
        <v>63.82</v>
      </c>
      <c r="R2957" t="s">
        <v>92</v>
      </c>
      <c r="S2957">
        <v>5</v>
      </c>
      <c r="T2957" t="b">
        <v>0</v>
      </c>
      <c r="U2957" t="s">
        <v>30</v>
      </c>
      <c r="V2957">
        <v>1</v>
      </c>
    </row>
    <row r="2958" spans="1:22" x14ac:dyDescent="0.25">
      <c r="A2958" t="s">
        <v>6388</v>
      </c>
      <c r="B2958" s="1">
        <v>45223</v>
      </c>
      <c r="C2958" t="s">
        <v>6389</v>
      </c>
      <c r="D2958" t="s">
        <v>519</v>
      </c>
      <c r="E2958">
        <v>44</v>
      </c>
      <c r="F2958" t="str">
        <f>IF(Table1[[#This Row],[age]]&lt;=25,"18-25",IF(Table1[[#This Row],[age]]&lt;=35,"26-35",IF(Table1[[#This Row],[age]]&lt;=50,"36-50","51+")))</f>
        <v>36-50</v>
      </c>
      <c r="G2958" t="s">
        <v>34</v>
      </c>
      <c r="H2958" t="s">
        <v>25</v>
      </c>
      <c r="I2958" t="s">
        <v>41</v>
      </c>
      <c r="J2958" t="s">
        <v>47</v>
      </c>
      <c r="K2958" t="s">
        <v>204</v>
      </c>
      <c r="L2958">
        <v>6</v>
      </c>
      <c r="M2958">
        <v>1199.21</v>
      </c>
      <c r="N2958">
        <v>0.09</v>
      </c>
      <c r="O2958">
        <v>7876.86</v>
      </c>
      <c r="P2958">
        <v>3776.83</v>
      </c>
      <c r="Q2958">
        <v>61.99</v>
      </c>
      <c r="R2958" t="s">
        <v>43</v>
      </c>
      <c r="S2958">
        <v>5</v>
      </c>
      <c r="T2958" t="b">
        <v>0</v>
      </c>
      <c r="U2958" t="s">
        <v>93</v>
      </c>
      <c r="V2958">
        <v>3</v>
      </c>
    </row>
    <row r="2959" spans="1:22" x14ac:dyDescent="0.25">
      <c r="A2959" t="s">
        <v>6390</v>
      </c>
      <c r="B2959" s="1">
        <v>44041</v>
      </c>
      <c r="C2959" t="s">
        <v>6391</v>
      </c>
      <c r="D2959" t="s">
        <v>301</v>
      </c>
      <c r="E2959">
        <v>46</v>
      </c>
      <c r="F2959" t="str">
        <f>IF(Table1[[#This Row],[age]]&lt;=25,"18-25",IF(Table1[[#This Row],[age]]&lt;=35,"26-35",IF(Table1[[#This Row],[age]]&lt;=50,"36-50","51+")))</f>
        <v>36-50</v>
      </c>
      <c r="G2959" t="s">
        <v>54</v>
      </c>
      <c r="H2959" t="s">
        <v>25</v>
      </c>
      <c r="I2959" t="s">
        <v>35</v>
      </c>
      <c r="J2959" t="s">
        <v>63</v>
      </c>
      <c r="K2959" t="s">
        <v>111</v>
      </c>
      <c r="L2959">
        <v>7</v>
      </c>
      <c r="M2959">
        <v>359.64</v>
      </c>
      <c r="N2959">
        <v>0.12</v>
      </c>
      <c r="O2959">
        <v>2673.78</v>
      </c>
      <c r="P2959">
        <v>1271.43</v>
      </c>
      <c r="Q2959">
        <v>58.05</v>
      </c>
      <c r="R2959" t="s">
        <v>29</v>
      </c>
      <c r="S2959">
        <v>3</v>
      </c>
      <c r="T2959" t="b">
        <v>0</v>
      </c>
      <c r="U2959" t="s">
        <v>30</v>
      </c>
      <c r="V2959">
        <v>3</v>
      </c>
    </row>
    <row r="2960" spans="1:22" x14ac:dyDescent="0.25">
      <c r="A2960" t="s">
        <v>6392</v>
      </c>
      <c r="B2960" s="1">
        <v>43923</v>
      </c>
      <c r="C2960" t="s">
        <v>6393</v>
      </c>
      <c r="D2960" t="s">
        <v>2721</v>
      </c>
      <c r="E2960">
        <v>33</v>
      </c>
      <c r="F2960" t="str">
        <f>IF(Table1[[#This Row],[age]]&lt;=25,"18-25",IF(Table1[[#This Row],[age]]&lt;=35,"26-35",IF(Table1[[#This Row],[age]]&lt;=50,"36-50","51+")))</f>
        <v>26-35</v>
      </c>
      <c r="G2960" t="s">
        <v>24</v>
      </c>
      <c r="H2960" t="s">
        <v>55</v>
      </c>
      <c r="I2960" t="s">
        <v>97</v>
      </c>
      <c r="J2960" t="s">
        <v>27</v>
      </c>
      <c r="K2960" t="s">
        <v>192</v>
      </c>
      <c r="L2960">
        <v>3</v>
      </c>
      <c r="M2960">
        <v>538.36</v>
      </c>
      <c r="N2960">
        <v>0.03</v>
      </c>
      <c r="O2960">
        <v>1938.58</v>
      </c>
      <c r="P2960">
        <v>978.3</v>
      </c>
      <c r="Q2960">
        <v>42</v>
      </c>
      <c r="R2960" t="s">
        <v>65</v>
      </c>
      <c r="S2960">
        <v>1</v>
      </c>
      <c r="T2960" t="b">
        <v>0</v>
      </c>
      <c r="U2960" t="s">
        <v>30</v>
      </c>
      <c r="V2960">
        <v>10</v>
      </c>
    </row>
    <row r="2961" spans="1:22" x14ac:dyDescent="0.25">
      <c r="A2961" t="s">
        <v>6394</v>
      </c>
      <c r="B2961" s="1">
        <v>45359</v>
      </c>
      <c r="C2961" t="s">
        <v>6395</v>
      </c>
      <c r="D2961" t="s">
        <v>1677</v>
      </c>
      <c r="E2961">
        <v>45</v>
      </c>
      <c r="F2961" t="str">
        <f>IF(Table1[[#This Row],[age]]&lt;=25,"18-25",IF(Table1[[#This Row],[age]]&lt;=35,"26-35",IF(Table1[[#This Row],[age]]&lt;=50,"36-50","51+")))</f>
        <v>36-50</v>
      </c>
      <c r="G2961" t="s">
        <v>34</v>
      </c>
      <c r="H2961" t="s">
        <v>69</v>
      </c>
      <c r="I2961" t="s">
        <v>136</v>
      </c>
      <c r="J2961" t="s">
        <v>115</v>
      </c>
      <c r="K2961" t="s">
        <v>398</v>
      </c>
      <c r="L2961">
        <v>7</v>
      </c>
      <c r="M2961">
        <v>70949.08</v>
      </c>
      <c r="N2961">
        <v>0.21</v>
      </c>
      <c r="O2961">
        <v>539413.9</v>
      </c>
      <c r="P2961">
        <v>58300.98</v>
      </c>
      <c r="Q2961">
        <v>79.98</v>
      </c>
      <c r="R2961" t="s">
        <v>49</v>
      </c>
      <c r="S2961">
        <v>4</v>
      </c>
      <c r="T2961" t="b">
        <v>0</v>
      </c>
      <c r="U2961" t="s">
        <v>93</v>
      </c>
      <c r="V2961">
        <v>4</v>
      </c>
    </row>
    <row r="2962" spans="1:22" x14ac:dyDescent="0.25">
      <c r="A2962" t="s">
        <v>6396</v>
      </c>
      <c r="B2962" s="1">
        <v>44540</v>
      </c>
      <c r="C2962" t="s">
        <v>6397</v>
      </c>
      <c r="D2962" t="s">
        <v>1066</v>
      </c>
      <c r="E2962">
        <v>29</v>
      </c>
      <c r="F2962" t="str">
        <f>IF(Table1[[#This Row],[age]]&lt;=25,"18-25",IF(Table1[[#This Row],[age]]&lt;=35,"26-35",IF(Table1[[#This Row],[age]]&lt;=50,"36-50","51+")))</f>
        <v>26-35</v>
      </c>
      <c r="G2962" t="s">
        <v>54</v>
      </c>
      <c r="H2962" t="s">
        <v>69</v>
      </c>
      <c r="I2962" t="s">
        <v>70</v>
      </c>
      <c r="J2962" t="s">
        <v>101</v>
      </c>
      <c r="K2962" t="s">
        <v>318</v>
      </c>
      <c r="L2962">
        <v>8</v>
      </c>
      <c r="M2962">
        <v>14455.23</v>
      </c>
      <c r="N2962">
        <v>7.0000000000000007E-2</v>
      </c>
      <c r="O2962">
        <v>81451.899999999994</v>
      </c>
      <c r="P2962">
        <v>14095.31</v>
      </c>
      <c r="Q2962">
        <v>69.38</v>
      </c>
      <c r="R2962" t="s">
        <v>57</v>
      </c>
      <c r="S2962">
        <v>1</v>
      </c>
      <c r="T2962" t="b">
        <v>0</v>
      </c>
      <c r="U2962" t="s">
        <v>30</v>
      </c>
      <c r="V2962">
        <v>1</v>
      </c>
    </row>
    <row r="2963" spans="1:22" x14ac:dyDescent="0.25">
      <c r="A2963" t="s">
        <v>6398</v>
      </c>
      <c r="B2963" s="1">
        <v>44907</v>
      </c>
      <c r="C2963" t="s">
        <v>6399</v>
      </c>
      <c r="D2963" t="s">
        <v>812</v>
      </c>
      <c r="E2963">
        <v>30</v>
      </c>
      <c r="F2963" t="str">
        <f>IF(Table1[[#This Row],[age]]&lt;=25,"18-25",IF(Table1[[#This Row],[age]]&lt;=35,"26-35",IF(Table1[[#This Row],[age]]&lt;=50,"36-50","51+")))</f>
        <v>26-35</v>
      </c>
      <c r="G2963" t="s">
        <v>34</v>
      </c>
      <c r="H2963" t="s">
        <v>25</v>
      </c>
      <c r="I2963" t="s">
        <v>26</v>
      </c>
      <c r="J2963" t="s">
        <v>106</v>
      </c>
      <c r="K2963" t="s">
        <v>314</v>
      </c>
      <c r="L2963">
        <v>10</v>
      </c>
      <c r="M2963">
        <v>93.18</v>
      </c>
      <c r="N2963">
        <v>0.11</v>
      </c>
      <c r="O2963">
        <v>717.1</v>
      </c>
      <c r="P2963">
        <v>61.36</v>
      </c>
      <c r="Q2963">
        <v>39.090000000000003</v>
      </c>
      <c r="R2963" t="s">
        <v>92</v>
      </c>
      <c r="S2963">
        <v>1</v>
      </c>
      <c r="T2963" t="b">
        <v>0</v>
      </c>
      <c r="U2963" t="s">
        <v>30</v>
      </c>
      <c r="V2963">
        <v>8</v>
      </c>
    </row>
    <row r="2964" spans="1:22" x14ac:dyDescent="0.25">
      <c r="A2964" t="s">
        <v>6400</v>
      </c>
      <c r="B2964" s="1">
        <v>43954</v>
      </c>
      <c r="C2964" t="s">
        <v>6401</v>
      </c>
      <c r="D2964" t="s">
        <v>522</v>
      </c>
      <c r="E2964">
        <v>59</v>
      </c>
      <c r="F2964" t="str">
        <f>IF(Table1[[#This Row],[age]]&lt;=25,"18-25",IF(Table1[[#This Row],[age]]&lt;=35,"26-35",IF(Table1[[#This Row],[age]]&lt;=50,"36-50","51+")))</f>
        <v>51+</v>
      </c>
      <c r="G2964" t="s">
        <v>34</v>
      </c>
      <c r="H2964" t="s">
        <v>80</v>
      </c>
      <c r="I2964" t="s">
        <v>242</v>
      </c>
      <c r="J2964" t="s">
        <v>106</v>
      </c>
      <c r="K2964" t="s">
        <v>247</v>
      </c>
      <c r="L2964">
        <v>10</v>
      </c>
      <c r="M2964">
        <v>217.3</v>
      </c>
      <c r="N2964">
        <v>0.05</v>
      </c>
      <c r="O2964">
        <v>2227.02</v>
      </c>
      <c r="P2964">
        <v>142.65</v>
      </c>
      <c r="Q2964">
        <v>53.01</v>
      </c>
      <c r="R2964" t="s">
        <v>29</v>
      </c>
      <c r="S2964">
        <v>5</v>
      </c>
      <c r="T2964" t="b">
        <v>0</v>
      </c>
      <c r="U2964" t="s">
        <v>30</v>
      </c>
      <c r="V2964">
        <v>7</v>
      </c>
    </row>
    <row r="2965" spans="1:22" x14ac:dyDescent="0.25">
      <c r="A2965" t="s">
        <v>6402</v>
      </c>
      <c r="B2965" s="1">
        <v>44055</v>
      </c>
      <c r="C2965" t="s">
        <v>6403</v>
      </c>
      <c r="D2965" t="s">
        <v>287</v>
      </c>
      <c r="E2965">
        <v>23</v>
      </c>
      <c r="F2965" t="str">
        <f>IF(Table1[[#This Row],[age]]&lt;=25,"18-25",IF(Table1[[#This Row],[age]]&lt;=35,"26-35",IF(Table1[[#This Row],[age]]&lt;=50,"36-50","51+")))</f>
        <v>18-25</v>
      </c>
      <c r="G2965" t="s">
        <v>34</v>
      </c>
      <c r="H2965" t="s">
        <v>61</v>
      </c>
      <c r="I2965" t="s">
        <v>141</v>
      </c>
      <c r="J2965" t="s">
        <v>115</v>
      </c>
      <c r="K2965" t="s">
        <v>137</v>
      </c>
      <c r="L2965">
        <v>8</v>
      </c>
      <c r="M2965">
        <v>61264.42</v>
      </c>
      <c r="N2965">
        <v>0.05</v>
      </c>
      <c r="O2965">
        <v>463985.67</v>
      </c>
      <c r="P2965">
        <v>82726.06</v>
      </c>
      <c r="Q2965">
        <v>50.65</v>
      </c>
      <c r="R2965" t="s">
        <v>57</v>
      </c>
      <c r="S2965">
        <v>2</v>
      </c>
      <c r="T2965" t="b">
        <v>1</v>
      </c>
      <c r="U2965" t="s">
        <v>50</v>
      </c>
      <c r="V2965">
        <v>7</v>
      </c>
    </row>
    <row r="2966" spans="1:22" x14ac:dyDescent="0.25">
      <c r="A2966" t="s">
        <v>6404</v>
      </c>
      <c r="B2966" s="1">
        <v>44431</v>
      </c>
      <c r="C2966" t="s">
        <v>6405</v>
      </c>
      <c r="D2966" t="s">
        <v>1338</v>
      </c>
      <c r="E2966">
        <v>20</v>
      </c>
      <c r="F2966" t="str">
        <f>IF(Table1[[#This Row],[age]]&lt;=25,"18-25",IF(Table1[[#This Row],[age]]&lt;=35,"26-35",IF(Table1[[#This Row],[age]]&lt;=50,"36-50","51+")))</f>
        <v>18-25</v>
      </c>
      <c r="G2966" t="s">
        <v>54</v>
      </c>
      <c r="H2966" t="s">
        <v>25</v>
      </c>
      <c r="I2966" t="s">
        <v>298</v>
      </c>
      <c r="J2966" t="s">
        <v>27</v>
      </c>
      <c r="K2966" t="s">
        <v>168</v>
      </c>
      <c r="L2966">
        <v>10</v>
      </c>
      <c r="M2966">
        <v>547</v>
      </c>
      <c r="N2966">
        <v>0.32</v>
      </c>
      <c r="O2966">
        <v>4726.28</v>
      </c>
      <c r="P2966">
        <v>2513.67</v>
      </c>
      <c r="Q2966">
        <v>65.08</v>
      </c>
      <c r="R2966" t="s">
        <v>49</v>
      </c>
      <c r="S2966">
        <v>2</v>
      </c>
      <c r="T2966" t="b">
        <v>0</v>
      </c>
      <c r="U2966" t="s">
        <v>71</v>
      </c>
      <c r="V2966">
        <v>7</v>
      </c>
    </row>
    <row r="2967" spans="1:22" x14ac:dyDescent="0.25">
      <c r="A2967" t="s">
        <v>6406</v>
      </c>
      <c r="B2967" s="1">
        <v>44844</v>
      </c>
      <c r="C2967" t="s">
        <v>6407</v>
      </c>
      <c r="D2967" t="s">
        <v>1267</v>
      </c>
      <c r="E2967">
        <v>43</v>
      </c>
      <c r="F2967" t="str">
        <f>IF(Table1[[#This Row],[age]]&lt;=25,"18-25",IF(Table1[[#This Row],[age]]&lt;=35,"26-35",IF(Table1[[#This Row],[age]]&lt;=50,"36-50","51+")))</f>
        <v>36-50</v>
      </c>
      <c r="G2967" t="s">
        <v>24</v>
      </c>
      <c r="H2967" t="s">
        <v>69</v>
      </c>
      <c r="I2967" t="s">
        <v>221</v>
      </c>
      <c r="J2967" t="s">
        <v>47</v>
      </c>
      <c r="K2967" t="s">
        <v>120</v>
      </c>
      <c r="L2967">
        <v>1</v>
      </c>
      <c r="M2967">
        <v>269.23</v>
      </c>
      <c r="N2967">
        <v>0.35</v>
      </c>
      <c r="O2967">
        <v>146.46</v>
      </c>
      <c r="P2967">
        <v>51.64</v>
      </c>
      <c r="Q2967">
        <v>77.260000000000005</v>
      </c>
      <c r="R2967" t="s">
        <v>29</v>
      </c>
      <c r="S2967">
        <v>2</v>
      </c>
      <c r="T2967" t="b">
        <v>0</v>
      </c>
      <c r="U2967" t="s">
        <v>30</v>
      </c>
      <c r="V2967">
        <v>8</v>
      </c>
    </row>
    <row r="2968" spans="1:22" x14ac:dyDescent="0.25">
      <c r="A2968" t="s">
        <v>6408</v>
      </c>
      <c r="B2968" s="1">
        <v>44236</v>
      </c>
      <c r="C2968" t="s">
        <v>6409</v>
      </c>
      <c r="D2968" t="s">
        <v>443</v>
      </c>
      <c r="E2968">
        <v>56</v>
      </c>
      <c r="F2968" t="str">
        <f>IF(Table1[[#This Row],[age]]&lt;=25,"18-25",IF(Table1[[#This Row],[age]]&lt;=35,"26-35",IF(Table1[[#This Row],[age]]&lt;=50,"36-50","51+")))</f>
        <v>51+</v>
      </c>
      <c r="G2968" t="s">
        <v>24</v>
      </c>
      <c r="H2968" t="s">
        <v>61</v>
      </c>
      <c r="I2968" t="s">
        <v>141</v>
      </c>
      <c r="J2968" t="s">
        <v>115</v>
      </c>
      <c r="K2968" t="s">
        <v>197</v>
      </c>
      <c r="L2968">
        <v>1</v>
      </c>
      <c r="M2968">
        <v>39881.71</v>
      </c>
      <c r="N2968">
        <v>0.04</v>
      </c>
      <c r="O2968">
        <v>30194.77</v>
      </c>
      <c r="P2968">
        <v>2984.54</v>
      </c>
      <c r="Q2968">
        <v>21.56</v>
      </c>
      <c r="R2968" t="s">
        <v>92</v>
      </c>
      <c r="S2968">
        <v>3</v>
      </c>
      <c r="T2968" t="b">
        <v>0</v>
      </c>
      <c r="U2968" t="s">
        <v>30</v>
      </c>
      <c r="V2968">
        <v>1</v>
      </c>
    </row>
    <row r="2969" spans="1:22" x14ac:dyDescent="0.25">
      <c r="A2969" t="s">
        <v>6410</v>
      </c>
      <c r="B2969" s="1">
        <v>44028</v>
      </c>
      <c r="C2969" t="s">
        <v>6411</v>
      </c>
      <c r="D2969" t="s">
        <v>224</v>
      </c>
      <c r="E2969">
        <v>41</v>
      </c>
      <c r="F2969" t="str">
        <f>IF(Table1[[#This Row],[age]]&lt;=25,"18-25",IF(Table1[[#This Row],[age]]&lt;=35,"26-35",IF(Table1[[#This Row],[age]]&lt;=50,"36-50","51+")))</f>
        <v>36-50</v>
      </c>
      <c r="G2969" t="s">
        <v>24</v>
      </c>
      <c r="H2969" t="s">
        <v>55</v>
      </c>
      <c r="I2969" t="s">
        <v>97</v>
      </c>
      <c r="J2969" t="s">
        <v>63</v>
      </c>
      <c r="K2969" t="s">
        <v>82</v>
      </c>
      <c r="L2969">
        <v>8</v>
      </c>
      <c r="M2969">
        <v>1227.51</v>
      </c>
      <c r="N2969">
        <v>0.31</v>
      </c>
      <c r="O2969">
        <v>7184.61</v>
      </c>
      <c r="P2969">
        <v>2117.5300000000002</v>
      </c>
      <c r="Q2969">
        <v>55.16</v>
      </c>
      <c r="R2969" t="s">
        <v>57</v>
      </c>
      <c r="S2969">
        <v>5</v>
      </c>
      <c r="T2969" t="b">
        <v>0</v>
      </c>
      <c r="U2969" t="s">
        <v>30</v>
      </c>
      <c r="V2969">
        <v>2</v>
      </c>
    </row>
    <row r="2970" spans="1:22" x14ac:dyDescent="0.25">
      <c r="A2970" t="s">
        <v>6412</v>
      </c>
      <c r="B2970" s="1">
        <v>44466</v>
      </c>
      <c r="C2970" t="s">
        <v>6413</v>
      </c>
      <c r="D2970" t="s">
        <v>1188</v>
      </c>
      <c r="E2970">
        <v>32</v>
      </c>
      <c r="F2970" t="str">
        <f>IF(Table1[[#This Row],[age]]&lt;=25,"18-25",IF(Table1[[#This Row],[age]]&lt;=35,"26-35",IF(Table1[[#This Row],[age]]&lt;=50,"36-50","51+")))</f>
        <v>26-35</v>
      </c>
      <c r="G2970" t="s">
        <v>34</v>
      </c>
      <c r="H2970" t="s">
        <v>69</v>
      </c>
      <c r="I2970" t="s">
        <v>70</v>
      </c>
      <c r="J2970" t="s">
        <v>27</v>
      </c>
      <c r="K2970" t="s">
        <v>168</v>
      </c>
      <c r="L2970">
        <v>7</v>
      </c>
      <c r="M2970">
        <v>1026.47</v>
      </c>
      <c r="N2970">
        <v>7.0000000000000007E-2</v>
      </c>
      <c r="O2970">
        <v>6772.95</v>
      </c>
      <c r="P2970">
        <v>2747.24</v>
      </c>
      <c r="Q2970">
        <v>58.92</v>
      </c>
      <c r="R2970" t="s">
        <v>49</v>
      </c>
      <c r="S2970">
        <v>1</v>
      </c>
      <c r="T2970" t="b">
        <v>1</v>
      </c>
      <c r="U2970" t="s">
        <v>50</v>
      </c>
      <c r="V2970">
        <v>9</v>
      </c>
    </row>
    <row r="2971" spans="1:22" x14ac:dyDescent="0.25">
      <c r="A2971" t="s">
        <v>6414</v>
      </c>
      <c r="B2971" s="1">
        <v>44931</v>
      </c>
      <c r="C2971" t="s">
        <v>6415</v>
      </c>
      <c r="D2971" t="s">
        <v>657</v>
      </c>
      <c r="E2971">
        <v>36</v>
      </c>
      <c r="F2971" t="str">
        <f>IF(Table1[[#This Row],[age]]&lt;=25,"18-25",IF(Table1[[#This Row],[age]]&lt;=35,"26-35",IF(Table1[[#This Row],[age]]&lt;=50,"36-50","51+")))</f>
        <v>36-50</v>
      </c>
      <c r="G2971" t="s">
        <v>54</v>
      </c>
      <c r="H2971" t="s">
        <v>61</v>
      </c>
      <c r="I2971" t="s">
        <v>91</v>
      </c>
      <c r="J2971" t="s">
        <v>36</v>
      </c>
      <c r="K2971" t="s">
        <v>76</v>
      </c>
      <c r="L2971">
        <v>1</v>
      </c>
      <c r="M2971">
        <v>10813.51</v>
      </c>
      <c r="N2971">
        <v>0.12</v>
      </c>
      <c r="O2971">
        <v>8770.86</v>
      </c>
      <c r="P2971">
        <v>1573.05</v>
      </c>
      <c r="Q2971">
        <v>58.09</v>
      </c>
      <c r="R2971" t="s">
        <v>65</v>
      </c>
      <c r="S2971">
        <v>1</v>
      </c>
      <c r="T2971" t="b">
        <v>1</v>
      </c>
      <c r="U2971" t="s">
        <v>50</v>
      </c>
      <c r="V2971">
        <v>1</v>
      </c>
    </row>
    <row r="2972" spans="1:22" x14ac:dyDescent="0.25">
      <c r="A2972" t="s">
        <v>6416</v>
      </c>
      <c r="B2972" s="1">
        <v>45395</v>
      </c>
      <c r="C2972" t="s">
        <v>6417</v>
      </c>
      <c r="D2972" t="s">
        <v>527</v>
      </c>
      <c r="E2972">
        <v>32</v>
      </c>
      <c r="F2972" t="str">
        <f>IF(Table1[[#This Row],[age]]&lt;=25,"18-25",IF(Table1[[#This Row],[age]]&lt;=35,"26-35",IF(Table1[[#This Row],[age]]&lt;=50,"36-50","51+")))</f>
        <v>26-35</v>
      </c>
      <c r="G2972" t="s">
        <v>34</v>
      </c>
      <c r="H2972" t="s">
        <v>25</v>
      </c>
      <c r="I2972" t="s">
        <v>41</v>
      </c>
      <c r="J2972" t="s">
        <v>101</v>
      </c>
      <c r="K2972" t="s">
        <v>124</v>
      </c>
      <c r="L2972">
        <v>2</v>
      </c>
      <c r="M2972">
        <v>10269.18</v>
      </c>
      <c r="N2972">
        <v>0.09</v>
      </c>
      <c r="O2972">
        <v>24486.71</v>
      </c>
      <c r="P2972">
        <v>5686.61</v>
      </c>
      <c r="Q2972">
        <v>76.3</v>
      </c>
      <c r="R2972" t="s">
        <v>49</v>
      </c>
      <c r="S2972">
        <v>3</v>
      </c>
      <c r="T2972" t="b">
        <v>0</v>
      </c>
      <c r="U2972" t="s">
        <v>30</v>
      </c>
      <c r="V2972">
        <v>10</v>
      </c>
    </row>
    <row r="2973" spans="1:22" x14ac:dyDescent="0.25">
      <c r="A2973" t="s">
        <v>6418</v>
      </c>
      <c r="B2973" s="1">
        <v>43963</v>
      </c>
      <c r="C2973" t="s">
        <v>6419</v>
      </c>
      <c r="D2973" t="s">
        <v>1401</v>
      </c>
      <c r="E2973">
        <v>41</v>
      </c>
      <c r="F2973" t="str">
        <f>IF(Table1[[#This Row],[age]]&lt;=25,"18-25",IF(Table1[[#This Row],[age]]&lt;=35,"26-35",IF(Table1[[#This Row],[age]]&lt;=50,"36-50","51+")))</f>
        <v>36-50</v>
      </c>
      <c r="G2973" t="s">
        <v>24</v>
      </c>
      <c r="H2973" t="s">
        <v>55</v>
      </c>
      <c r="I2973" t="s">
        <v>56</v>
      </c>
      <c r="J2973" t="s">
        <v>47</v>
      </c>
      <c r="K2973" t="s">
        <v>204</v>
      </c>
      <c r="L2973">
        <v>7</v>
      </c>
      <c r="M2973">
        <v>513.52</v>
      </c>
      <c r="N2973">
        <v>0.38</v>
      </c>
      <c r="O2973">
        <v>2985.15</v>
      </c>
      <c r="P2973">
        <v>1015.8</v>
      </c>
      <c r="Q2973">
        <v>35.5</v>
      </c>
      <c r="R2973" t="s">
        <v>92</v>
      </c>
      <c r="S2973">
        <v>2</v>
      </c>
      <c r="T2973" t="b">
        <v>0</v>
      </c>
      <c r="U2973" t="s">
        <v>30</v>
      </c>
      <c r="V2973">
        <v>10</v>
      </c>
    </row>
    <row r="2974" spans="1:22" x14ac:dyDescent="0.25">
      <c r="A2974" t="s">
        <v>6420</v>
      </c>
      <c r="B2974" s="1">
        <v>45633</v>
      </c>
      <c r="C2974" t="s">
        <v>6421</v>
      </c>
      <c r="D2974" t="s">
        <v>895</v>
      </c>
      <c r="E2974">
        <v>33</v>
      </c>
      <c r="F2974" t="str">
        <f>IF(Table1[[#This Row],[age]]&lt;=25,"18-25",IF(Table1[[#This Row],[age]]&lt;=35,"26-35",IF(Table1[[#This Row],[age]]&lt;=50,"36-50","51+")))</f>
        <v>26-35</v>
      </c>
      <c r="G2974" t="s">
        <v>54</v>
      </c>
      <c r="H2974" t="s">
        <v>61</v>
      </c>
      <c r="I2974" t="s">
        <v>163</v>
      </c>
      <c r="J2974" t="s">
        <v>63</v>
      </c>
      <c r="K2974" t="s">
        <v>111</v>
      </c>
      <c r="L2974">
        <v>5</v>
      </c>
      <c r="M2974">
        <v>614.15</v>
      </c>
      <c r="N2974">
        <v>0.17</v>
      </c>
      <c r="O2974">
        <v>2315.9</v>
      </c>
      <c r="P2974">
        <v>981.99</v>
      </c>
      <c r="Q2974">
        <v>65.63</v>
      </c>
      <c r="R2974" t="s">
        <v>65</v>
      </c>
      <c r="S2974">
        <v>1</v>
      </c>
      <c r="T2974" t="b">
        <v>1</v>
      </c>
      <c r="U2974" t="s">
        <v>50</v>
      </c>
      <c r="V2974">
        <v>8</v>
      </c>
    </row>
    <row r="2975" spans="1:22" x14ac:dyDescent="0.25">
      <c r="A2975" t="s">
        <v>6422</v>
      </c>
      <c r="B2975" s="1">
        <v>44208</v>
      </c>
      <c r="C2975" t="s">
        <v>6423</v>
      </c>
      <c r="D2975" t="s">
        <v>895</v>
      </c>
      <c r="E2975">
        <v>25</v>
      </c>
      <c r="F2975" t="str">
        <f>IF(Table1[[#This Row],[age]]&lt;=25,"18-25",IF(Table1[[#This Row],[age]]&lt;=35,"26-35",IF(Table1[[#This Row],[age]]&lt;=50,"36-50","51+")))</f>
        <v>18-25</v>
      </c>
      <c r="G2975" t="s">
        <v>54</v>
      </c>
      <c r="H2975" t="s">
        <v>69</v>
      </c>
      <c r="I2975" t="s">
        <v>181</v>
      </c>
      <c r="J2975" t="s">
        <v>115</v>
      </c>
      <c r="K2975" t="s">
        <v>398</v>
      </c>
      <c r="L2975">
        <v>10</v>
      </c>
      <c r="M2975">
        <v>62379.19</v>
      </c>
      <c r="N2975">
        <v>0.06</v>
      </c>
      <c r="O2975">
        <v>476054.02</v>
      </c>
      <c r="P2975">
        <v>44865.32</v>
      </c>
      <c r="Q2975">
        <v>83.61</v>
      </c>
      <c r="R2975" t="s">
        <v>29</v>
      </c>
      <c r="S2975">
        <v>3</v>
      </c>
      <c r="T2975" t="b">
        <v>0</v>
      </c>
      <c r="U2975" t="s">
        <v>30</v>
      </c>
      <c r="V2975">
        <v>4</v>
      </c>
    </row>
    <row r="2976" spans="1:22" x14ac:dyDescent="0.25">
      <c r="A2976" t="s">
        <v>6424</v>
      </c>
      <c r="B2976" s="1">
        <v>45125</v>
      </c>
      <c r="C2976" t="s">
        <v>6425</v>
      </c>
      <c r="D2976" t="s">
        <v>127</v>
      </c>
      <c r="E2976">
        <v>38</v>
      </c>
      <c r="F2976" t="str">
        <f>IF(Table1[[#This Row],[age]]&lt;=25,"18-25",IF(Table1[[#This Row],[age]]&lt;=35,"26-35",IF(Table1[[#This Row],[age]]&lt;=50,"36-50","51+")))</f>
        <v>36-50</v>
      </c>
      <c r="G2976" t="s">
        <v>34</v>
      </c>
      <c r="H2976" t="s">
        <v>61</v>
      </c>
      <c r="I2976" t="s">
        <v>163</v>
      </c>
      <c r="J2976" t="s">
        <v>115</v>
      </c>
      <c r="K2976" t="s">
        <v>145</v>
      </c>
      <c r="L2976">
        <v>2</v>
      </c>
      <c r="M2976">
        <v>77260.63</v>
      </c>
      <c r="N2976">
        <v>0.28000000000000003</v>
      </c>
      <c r="O2976">
        <v>179057.38</v>
      </c>
      <c r="P2976">
        <v>27038.61</v>
      </c>
      <c r="Q2976">
        <v>72.59</v>
      </c>
      <c r="R2976" t="s">
        <v>65</v>
      </c>
      <c r="S2976">
        <v>4</v>
      </c>
      <c r="T2976" t="b">
        <v>0</v>
      </c>
      <c r="U2976" t="s">
        <v>30</v>
      </c>
      <c r="V2976">
        <v>4</v>
      </c>
    </row>
    <row r="2977" spans="1:22" x14ac:dyDescent="0.25">
      <c r="A2977" t="s">
        <v>6426</v>
      </c>
      <c r="B2977" s="1">
        <v>44713</v>
      </c>
      <c r="C2977" t="s">
        <v>6427</v>
      </c>
      <c r="D2977" t="s">
        <v>3195</v>
      </c>
      <c r="E2977">
        <v>32</v>
      </c>
      <c r="F2977" t="str">
        <f>IF(Table1[[#This Row],[age]]&lt;=25,"18-25",IF(Table1[[#This Row],[age]]&lt;=35,"26-35",IF(Table1[[#This Row],[age]]&lt;=50,"36-50","51+")))</f>
        <v>26-35</v>
      </c>
      <c r="G2977" t="s">
        <v>24</v>
      </c>
      <c r="H2977" t="s">
        <v>61</v>
      </c>
      <c r="I2977" t="s">
        <v>141</v>
      </c>
      <c r="J2977" t="s">
        <v>106</v>
      </c>
      <c r="K2977" t="s">
        <v>247</v>
      </c>
      <c r="L2977">
        <v>9</v>
      </c>
      <c r="M2977">
        <v>493.26</v>
      </c>
      <c r="N2977">
        <v>0.08</v>
      </c>
      <c r="O2977">
        <v>6307.15</v>
      </c>
      <c r="P2977">
        <v>506.13</v>
      </c>
      <c r="Q2977">
        <v>45.11</v>
      </c>
      <c r="R2977" t="s">
        <v>65</v>
      </c>
      <c r="S2977">
        <v>3</v>
      </c>
      <c r="T2977" t="b">
        <v>0</v>
      </c>
      <c r="U2977" t="s">
        <v>71</v>
      </c>
      <c r="V2977">
        <v>9</v>
      </c>
    </row>
    <row r="2978" spans="1:22" x14ac:dyDescent="0.25">
      <c r="A2978" t="s">
        <v>6428</v>
      </c>
      <c r="B2978" s="1">
        <v>44744</v>
      </c>
      <c r="C2978" t="s">
        <v>6429</v>
      </c>
      <c r="D2978" t="s">
        <v>1677</v>
      </c>
      <c r="E2978">
        <v>40</v>
      </c>
      <c r="F2978" t="str">
        <f>IF(Table1[[#This Row],[age]]&lt;=25,"18-25",IF(Table1[[#This Row],[age]]&lt;=35,"26-35",IF(Table1[[#This Row],[age]]&lt;=50,"36-50","51+")))</f>
        <v>36-50</v>
      </c>
      <c r="G2978" t="s">
        <v>54</v>
      </c>
      <c r="H2978" t="s">
        <v>25</v>
      </c>
      <c r="I2978" t="s">
        <v>35</v>
      </c>
      <c r="J2978" t="s">
        <v>36</v>
      </c>
      <c r="K2978" t="s">
        <v>37</v>
      </c>
      <c r="L2978">
        <v>9</v>
      </c>
      <c r="M2978">
        <v>33837.01</v>
      </c>
      <c r="N2978">
        <v>0.22</v>
      </c>
      <c r="O2978">
        <v>353282.34</v>
      </c>
      <c r="P2978">
        <v>116653.75</v>
      </c>
      <c r="Q2978">
        <v>42.65</v>
      </c>
      <c r="R2978" t="s">
        <v>92</v>
      </c>
      <c r="S2978">
        <v>1</v>
      </c>
      <c r="T2978" t="b">
        <v>0</v>
      </c>
      <c r="U2978" t="s">
        <v>30</v>
      </c>
      <c r="V2978">
        <v>4</v>
      </c>
    </row>
    <row r="2979" spans="1:22" x14ac:dyDescent="0.25">
      <c r="A2979" t="s">
        <v>6430</v>
      </c>
      <c r="B2979" s="1">
        <v>44671</v>
      </c>
      <c r="C2979" t="s">
        <v>6431</v>
      </c>
      <c r="D2979" t="s">
        <v>177</v>
      </c>
      <c r="E2979">
        <v>26</v>
      </c>
      <c r="F2979" t="str">
        <f>IF(Table1[[#This Row],[age]]&lt;=25,"18-25",IF(Table1[[#This Row],[age]]&lt;=35,"26-35",IF(Table1[[#This Row],[age]]&lt;=50,"36-50","51+")))</f>
        <v>26-35</v>
      </c>
      <c r="G2979" t="s">
        <v>34</v>
      </c>
      <c r="H2979" t="s">
        <v>55</v>
      </c>
      <c r="I2979" t="s">
        <v>56</v>
      </c>
      <c r="J2979" t="s">
        <v>115</v>
      </c>
      <c r="K2979" t="s">
        <v>116</v>
      </c>
      <c r="L2979">
        <v>5</v>
      </c>
      <c r="M2979">
        <v>8793.32</v>
      </c>
      <c r="N2979">
        <v>0.25</v>
      </c>
      <c r="O2979">
        <v>45113.120000000003</v>
      </c>
      <c r="P2979">
        <v>6647.66</v>
      </c>
      <c r="Q2979">
        <v>30.21</v>
      </c>
      <c r="R2979" t="s">
        <v>65</v>
      </c>
      <c r="S2979">
        <v>1</v>
      </c>
      <c r="T2979" t="b">
        <v>0</v>
      </c>
      <c r="U2979" t="s">
        <v>30</v>
      </c>
      <c r="V2979">
        <v>10</v>
      </c>
    </row>
    <row r="2980" spans="1:22" x14ac:dyDescent="0.25">
      <c r="A2980" t="s">
        <v>6432</v>
      </c>
      <c r="B2980" s="1">
        <v>43973</v>
      </c>
      <c r="C2980" t="s">
        <v>6433</v>
      </c>
      <c r="D2980" t="s">
        <v>854</v>
      </c>
      <c r="E2980">
        <v>38</v>
      </c>
      <c r="F2980" t="str">
        <f>IF(Table1[[#This Row],[age]]&lt;=25,"18-25",IF(Table1[[#This Row],[age]]&lt;=35,"26-35",IF(Table1[[#This Row],[age]]&lt;=50,"36-50","51+")))</f>
        <v>36-50</v>
      </c>
      <c r="G2980" t="s">
        <v>24</v>
      </c>
      <c r="H2980" t="s">
        <v>69</v>
      </c>
      <c r="I2980" t="s">
        <v>70</v>
      </c>
      <c r="J2980" t="s">
        <v>115</v>
      </c>
      <c r="K2980" t="s">
        <v>137</v>
      </c>
      <c r="L2980">
        <v>2</v>
      </c>
      <c r="M2980">
        <v>5256.57</v>
      </c>
      <c r="N2980">
        <v>0.26</v>
      </c>
      <c r="O2980">
        <v>10092.16</v>
      </c>
      <c r="P2980">
        <v>822.2</v>
      </c>
      <c r="Q2980">
        <v>111.69</v>
      </c>
      <c r="R2980" t="s">
        <v>92</v>
      </c>
      <c r="S2980">
        <v>4</v>
      </c>
      <c r="T2980" t="b">
        <v>0</v>
      </c>
      <c r="U2980" t="s">
        <v>30</v>
      </c>
      <c r="V2980">
        <v>4</v>
      </c>
    </row>
    <row r="2981" spans="1:22" x14ac:dyDescent="0.25">
      <c r="A2981" t="s">
        <v>6434</v>
      </c>
      <c r="B2981" s="1">
        <v>45272</v>
      </c>
      <c r="C2981" t="s">
        <v>6435</v>
      </c>
      <c r="D2981" t="s">
        <v>1294</v>
      </c>
      <c r="E2981">
        <v>36</v>
      </c>
      <c r="F2981" t="str">
        <f>IF(Table1[[#This Row],[age]]&lt;=25,"18-25",IF(Table1[[#This Row],[age]]&lt;=35,"26-35",IF(Table1[[#This Row],[age]]&lt;=50,"36-50","51+")))</f>
        <v>36-50</v>
      </c>
      <c r="G2981" t="s">
        <v>34</v>
      </c>
      <c r="H2981" t="s">
        <v>69</v>
      </c>
      <c r="I2981" t="s">
        <v>70</v>
      </c>
      <c r="J2981" t="s">
        <v>106</v>
      </c>
      <c r="K2981" t="s">
        <v>314</v>
      </c>
      <c r="L2981">
        <v>8</v>
      </c>
      <c r="M2981">
        <v>244.23</v>
      </c>
      <c r="N2981">
        <v>0.21</v>
      </c>
      <c r="O2981">
        <v>1268.8399999999999</v>
      </c>
      <c r="P2981">
        <v>127.92</v>
      </c>
      <c r="Q2981">
        <v>76.52</v>
      </c>
      <c r="R2981" t="s">
        <v>29</v>
      </c>
      <c r="S2981">
        <v>3</v>
      </c>
      <c r="T2981" t="b">
        <v>0</v>
      </c>
      <c r="U2981" t="s">
        <v>30</v>
      </c>
      <c r="V2981">
        <v>6</v>
      </c>
    </row>
    <row r="2982" spans="1:22" x14ac:dyDescent="0.25">
      <c r="A2982" t="s">
        <v>6436</v>
      </c>
      <c r="B2982" s="1">
        <v>44350</v>
      </c>
      <c r="C2982" t="s">
        <v>6437</v>
      </c>
      <c r="D2982" t="s">
        <v>1114</v>
      </c>
      <c r="E2982">
        <v>32</v>
      </c>
      <c r="F2982" t="str">
        <f>IF(Table1[[#This Row],[age]]&lt;=25,"18-25",IF(Table1[[#This Row],[age]]&lt;=35,"26-35",IF(Table1[[#This Row],[age]]&lt;=50,"36-50","51+")))</f>
        <v>26-35</v>
      </c>
      <c r="G2982" t="s">
        <v>34</v>
      </c>
      <c r="H2982" t="s">
        <v>69</v>
      </c>
      <c r="I2982" t="s">
        <v>221</v>
      </c>
      <c r="J2982" t="s">
        <v>115</v>
      </c>
      <c r="K2982" t="s">
        <v>197</v>
      </c>
      <c r="L2982">
        <v>1</v>
      </c>
      <c r="M2982">
        <v>29383.37</v>
      </c>
      <c r="N2982">
        <v>0.06</v>
      </c>
      <c r="O2982">
        <v>38160.26</v>
      </c>
      <c r="P2982">
        <v>3473.46</v>
      </c>
      <c r="Q2982">
        <v>76.02</v>
      </c>
      <c r="R2982" t="s">
        <v>49</v>
      </c>
      <c r="S2982">
        <v>3</v>
      </c>
      <c r="T2982" t="b">
        <v>1</v>
      </c>
      <c r="U2982" t="s">
        <v>50</v>
      </c>
      <c r="V2982">
        <v>2</v>
      </c>
    </row>
    <row r="2983" spans="1:22" x14ac:dyDescent="0.25">
      <c r="A2983" t="s">
        <v>6438</v>
      </c>
      <c r="B2983" s="1">
        <v>44477</v>
      </c>
      <c r="C2983" t="s">
        <v>6439</v>
      </c>
      <c r="D2983" t="s">
        <v>443</v>
      </c>
      <c r="E2983">
        <v>31</v>
      </c>
      <c r="F2983" t="str">
        <f>IF(Table1[[#This Row],[age]]&lt;=25,"18-25",IF(Table1[[#This Row],[age]]&lt;=35,"26-35",IF(Table1[[#This Row],[age]]&lt;=50,"36-50","51+")))</f>
        <v>26-35</v>
      </c>
      <c r="G2983" t="s">
        <v>24</v>
      </c>
      <c r="H2983" t="s">
        <v>80</v>
      </c>
      <c r="I2983" t="s">
        <v>242</v>
      </c>
      <c r="J2983" t="s">
        <v>63</v>
      </c>
      <c r="K2983" t="s">
        <v>111</v>
      </c>
      <c r="L2983">
        <v>9</v>
      </c>
      <c r="M2983">
        <v>2943.22</v>
      </c>
      <c r="N2983">
        <v>0.02</v>
      </c>
      <c r="O2983">
        <v>22356.5</v>
      </c>
      <c r="P2983">
        <v>7881.59</v>
      </c>
      <c r="Q2983">
        <v>58.83</v>
      </c>
      <c r="R2983" t="s">
        <v>43</v>
      </c>
      <c r="S2983">
        <v>5</v>
      </c>
      <c r="T2983" t="b">
        <v>0</v>
      </c>
      <c r="U2983" t="s">
        <v>93</v>
      </c>
      <c r="V2983">
        <v>5</v>
      </c>
    </row>
    <row r="2984" spans="1:22" x14ac:dyDescent="0.25">
      <c r="A2984" t="s">
        <v>6440</v>
      </c>
      <c r="B2984" s="1">
        <v>44494</v>
      </c>
      <c r="C2984" t="s">
        <v>6441</v>
      </c>
      <c r="D2984" t="s">
        <v>2003</v>
      </c>
      <c r="E2984">
        <v>27</v>
      </c>
      <c r="F2984" t="str">
        <f>IF(Table1[[#This Row],[age]]&lt;=25,"18-25",IF(Table1[[#This Row],[age]]&lt;=35,"26-35",IF(Table1[[#This Row],[age]]&lt;=50,"36-50","51+")))</f>
        <v>26-35</v>
      </c>
      <c r="G2984" t="s">
        <v>24</v>
      </c>
      <c r="H2984" t="s">
        <v>69</v>
      </c>
      <c r="I2984" t="s">
        <v>136</v>
      </c>
      <c r="J2984" t="s">
        <v>115</v>
      </c>
      <c r="K2984" t="s">
        <v>545</v>
      </c>
      <c r="L2984">
        <v>6</v>
      </c>
      <c r="M2984">
        <v>6119.98</v>
      </c>
      <c r="N2984">
        <v>0.28999999999999998</v>
      </c>
      <c r="O2984">
        <v>25738.91</v>
      </c>
      <c r="P2984">
        <v>3137.93</v>
      </c>
      <c r="Q2984">
        <v>74.62</v>
      </c>
      <c r="R2984" t="s">
        <v>29</v>
      </c>
      <c r="S2984">
        <v>1</v>
      </c>
      <c r="T2984" t="b">
        <v>1</v>
      </c>
      <c r="U2984" t="s">
        <v>50</v>
      </c>
      <c r="V2984">
        <v>5</v>
      </c>
    </row>
    <row r="2985" spans="1:22" x14ac:dyDescent="0.25">
      <c r="A2985" t="s">
        <v>6442</v>
      </c>
      <c r="B2985" s="1">
        <v>44756</v>
      </c>
      <c r="C2985" t="s">
        <v>6443</v>
      </c>
      <c r="D2985" t="s">
        <v>499</v>
      </c>
      <c r="E2985">
        <v>32</v>
      </c>
      <c r="F2985" t="str">
        <f>IF(Table1[[#This Row],[age]]&lt;=25,"18-25",IF(Table1[[#This Row],[age]]&lt;=35,"26-35",IF(Table1[[#This Row],[age]]&lt;=50,"36-50","51+")))</f>
        <v>26-35</v>
      </c>
      <c r="G2985" t="s">
        <v>34</v>
      </c>
      <c r="H2985" t="s">
        <v>61</v>
      </c>
      <c r="I2985" t="s">
        <v>91</v>
      </c>
      <c r="J2985" t="s">
        <v>27</v>
      </c>
      <c r="K2985" t="s">
        <v>335</v>
      </c>
      <c r="L2985">
        <v>7</v>
      </c>
      <c r="M2985">
        <v>920.5</v>
      </c>
      <c r="N2985">
        <v>0.1</v>
      </c>
      <c r="O2985">
        <v>8123.9</v>
      </c>
      <c r="P2985">
        <v>4006.12</v>
      </c>
      <c r="Q2985">
        <v>47.75</v>
      </c>
      <c r="R2985" t="s">
        <v>29</v>
      </c>
      <c r="S2985">
        <v>1</v>
      </c>
      <c r="T2985" t="b">
        <v>0</v>
      </c>
      <c r="U2985" t="s">
        <v>93</v>
      </c>
      <c r="V2985">
        <v>4</v>
      </c>
    </row>
    <row r="2986" spans="1:22" x14ac:dyDescent="0.25">
      <c r="A2986" t="s">
        <v>6444</v>
      </c>
      <c r="B2986" s="1">
        <v>45135</v>
      </c>
      <c r="C2986" t="s">
        <v>6445</v>
      </c>
      <c r="D2986" t="s">
        <v>468</v>
      </c>
      <c r="E2986">
        <v>42</v>
      </c>
      <c r="F2986" t="str">
        <f>IF(Table1[[#This Row],[age]]&lt;=25,"18-25",IF(Table1[[#This Row],[age]]&lt;=35,"26-35",IF(Table1[[#This Row],[age]]&lt;=50,"36-50","51+")))</f>
        <v>36-50</v>
      </c>
      <c r="G2986" t="s">
        <v>24</v>
      </c>
      <c r="H2986" t="s">
        <v>69</v>
      </c>
      <c r="I2986" t="s">
        <v>70</v>
      </c>
      <c r="J2986" t="s">
        <v>115</v>
      </c>
      <c r="K2986" t="s">
        <v>137</v>
      </c>
      <c r="L2986">
        <v>3</v>
      </c>
      <c r="M2986">
        <v>73866.570000000007</v>
      </c>
      <c r="N2986">
        <v>0.26</v>
      </c>
      <c r="O2986">
        <v>269224.59000000003</v>
      </c>
      <c r="P2986">
        <v>33151.919999999998</v>
      </c>
      <c r="Q2986">
        <v>88.4</v>
      </c>
      <c r="R2986" t="s">
        <v>49</v>
      </c>
      <c r="S2986">
        <v>4</v>
      </c>
      <c r="T2986" t="b">
        <v>0</v>
      </c>
      <c r="U2986" t="s">
        <v>30</v>
      </c>
      <c r="V2986">
        <v>5</v>
      </c>
    </row>
    <row r="2987" spans="1:22" x14ac:dyDescent="0.25">
      <c r="A2987" t="s">
        <v>6446</v>
      </c>
      <c r="B2987" s="1">
        <v>45122</v>
      </c>
      <c r="C2987" t="s">
        <v>1859</v>
      </c>
      <c r="D2987" t="s">
        <v>304</v>
      </c>
      <c r="E2987">
        <v>58</v>
      </c>
      <c r="F2987" t="str">
        <f>IF(Table1[[#This Row],[age]]&lt;=25,"18-25",IF(Table1[[#This Row],[age]]&lt;=35,"26-35",IF(Table1[[#This Row],[age]]&lt;=50,"36-50","51+")))</f>
        <v>51+</v>
      </c>
      <c r="G2987" t="s">
        <v>34</v>
      </c>
      <c r="H2987" t="s">
        <v>25</v>
      </c>
      <c r="I2987" t="s">
        <v>298</v>
      </c>
      <c r="J2987" t="s">
        <v>106</v>
      </c>
      <c r="K2987" t="s">
        <v>188</v>
      </c>
      <c r="L2987">
        <v>6</v>
      </c>
      <c r="M2987">
        <v>290.29000000000002</v>
      </c>
      <c r="N2987">
        <v>0.28000000000000003</v>
      </c>
      <c r="O2987">
        <v>2095.81</v>
      </c>
      <c r="P2987">
        <v>197.15</v>
      </c>
      <c r="Q2987">
        <v>73.31</v>
      </c>
      <c r="R2987" t="s">
        <v>49</v>
      </c>
      <c r="S2987">
        <v>3</v>
      </c>
      <c r="T2987" t="b">
        <v>0</v>
      </c>
      <c r="U2987" t="s">
        <v>30</v>
      </c>
      <c r="V2987">
        <v>8</v>
      </c>
    </row>
    <row r="2988" spans="1:22" x14ac:dyDescent="0.25">
      <c r="A2988" t="s">
        <v>6447</v>
      </c>
      <c r="B2988" s="1">
        <v>43892</v>
      </c>
      <c r="C2988" t="s">
        <v>6448</v>
      </c>
      <c r="D2988" t="s">
        <v>96</v>
      </c>
      <c r="E2988">
        <v>36</v>
      </c>
      <c r="F2988" t="str">
        <f>IF(Table1[[#This Row],[age]]&lt;=25,"18-25",IF(Table1[[#This Row],[age]]&lt;=35,"26-35",IF(Table1[[#This Row],[age]]&lt;=50,"36-50","51+")))</f>
        <v>36-50</v>
      </c>
      <c r="G2988" t="s">
        <v>24</v>
      </c>
      <c r="H2988" t="s">
        <v>55</v>
      </c>
      <c r="I2988" t="s">
        <v>75</v>
      </c>
      <c r="J2988" t="s">
        <v>36</v>
      </c>
      <c r="K2988" t="s">
        <v>243</v>
      </c>
      <c r="L2988">
        <v>3</v>
      </c>
      <c r="M2988">
        <v>5678.86</v>
      </c>
      <c r="N2988">
        <v>0.33</v>
      </c>
      <c r="O2988">
        <v>10585.41</v>
      </c>
      <c r="P2988">
        <v>3430.87</v>
      </c>
      <c r="Q2988">
        <v>66.63</v>
      </c>
      <c r="R2988" t="s">
        <v>29</v>
      </c>
      <c r="S2988">
        <v>5</v>
      </c>
      <c r="T2988" t="b">
        <v>0</v>
      </c>
      <c r="U2988" t="s">
        <v>30</v>
      </c>
      <c r="V2988">
        <v>6</v>
      </c>
    </row>
    <row r="2989" spans="1:22" x14ac:dyDescent="0.25">
      <c r="A2989" t="s">
        <v>6449</v>
      </c>
      <c r="B2989" s="1">
        <v>45622</v>
      </c>
      <c r="C2989" t="s">
        <v>6450</v>
      </c>
      <c r="D2989" t="s">
        <v>1473</v>
      </c>
      <c r="E2989">
        <v>56</v>
      </c>
      <c r="F2989" t="str">
        <f>IF(Table1[[#This Row],[age]]&lt;=25,"18-25",IF(Table1[[#This Row],[age]]&lt;=35,"26-35",IF(Table1[[#This Row],[age]]&lt;=50,"36-50","51+")))</f>
        <v>51+</v>
      </c>
      <c r="G2989" t="s">
        <v>34</v>
      </c>
      <c r="H2989" t="s">
        <v>61</v>
      </c>
      <c r="I2989" t="s">
        <v>62</v>
      </c>
      <c r="J2989" t="s">
        <v>63</v>
      </c>
      <c r="K2989" t="s">
        <v>64</v>
      </c>
      <c r="L2989">
        <v>9</v>
      </c>
      <c r="M2989">
        <v>2252.16</v>
      </c>
      <c r="N2989">
        <v>0.09</v>
      </c>
      <c r="O2989">
        <v>17908.2</v>
      </c>
      <c r="P2989">
        <v>4417.3500000000004</v>
      </c>
      <c r="Q2989">
        <v>42.65</v>
      </c>
      <c r="R2989" t="s">
        <v>92</v>
      </c>
      <c r="S2989">
        <v>5</v>
      </c>
      <c r="T2989" t="b">
        <v>0</v>
      </c>
      <c r="U2989" t="s">
        <v>93</v>
      </c>
      <c r="V2989">
        <v>5</v>
      </c>
    </row>
    <row r="2990" spans="1:22" x14ac:dyDescent="0.25">
      <c r="A2990" t="s">
        <v>6451</v>
      </c>
      <c r="B2990" s="1">
        <v>44589</v>
      </c>
      <c r="C2990" t="s">
        <v>6452</v>
      </c>
      <c r="D2990" t="s">
        <v>364</v>
      </c>
      <c r="E2990">
        <v>30</v>
      </c>
      <c r="F2990" t="str">
        <f>IF(Table1[[#This Row],[age]]&lt;=25,"18-25",IF(Table1[[#This Row],[age]]&lt;=35,"26-35",IF(Table1[[#This Row],[age]]&lt;=50,"36-50","51+")))</f>
        <v>26-35</v>
      </c>
      <c r="G2990" t="s">
        <v>24</v>
      </c>
      <c r="H2990" t="s">
        <v>61</v>
      </c>
      <c r="I2990" t="s">
        <v>62</v>
      </c>
      <c r="J2990" t="s">
        <v>63</v>
      </c>
      <c r="K2990" t="s">
        <v>434</v>
      </c>
      <c r="L2990">
        <v>8</v>
      </c>
      <c r="M2990">
        <v>670.37</v>
      </c>
      <c r="N2990">
        <v>0.4</v>
      </c>
      <c r="O2990">
        <v>2707.64</v>
      </c>
      <c r="P2990">
        <v>886.76</v>
      </c>
      <c r="Q2990">
        <v>85.42</v>
      </c>
      <c r="R2990" t="s">
        <v>49</v>
      </c>
      <c r="S2990">
        <v>1</v>
      </c>
      <c r="T2990" t="b">
        <v>1</v>
      </c>
      <c r="U2990" t="s">
        <v>50</v>
      </c>
      <c r="V2990">
        <v>7</v>
      </c>
    </row>
    <row r="2991" spans="1:22" x14ac:dyDescent="0.25">
      <c r="A2991" t="s">
        <v>6453</v>
      </c>
      <c r="B2991" s="1">
        <v>44338</v>
      </c>
      <c r="C2991" t="s">
        <v>6454</v>
      </c>
      <c r="D2991" t="s">
        <v>1442</v>
      </c>
      <c r="E2991">
        <v>45</v>
      </c>
      <c r="F2991" t="str">
        <f>IF(Table1[[#This Row],[age]]&lt;=25,"18-25",IF(Table1[[#This Row],[age]]&lt;=35,"26-35",IF(Table1[[#This Row],[age]]&lt;=50,"36-50","51+")))</f>
        <v>36-50</v>
      </c>
      <c r="G2991" t="s">
        <v>24</v>
      </c>
      <c r="H2991" t="s">
        <v>69</v>
      </c>
      <c r="I2991" t="s">
        <v>136</v>
      </c>
      <c r="J2991" t="s">
        <v>106</v>
      </c>
      <c r="K2991" t="s">
        <v>718</v>
      </c>
      <c r="L2991">
        <v>7</v>
      </c>
      <c r="M2991">
        <v>261.14999999999998</v>
      </c>
      <c r="N2991">
        <v>0.3</v>
      </c>
      <c r="O2991">
        <v>1938.7</v>
      </c>
      <c r="P2991">
        <v>126.72</v>
      </c>
      <c r="Q2991">
        <v>75.319999999999993</v>
      </c>
      <c r="R2991" t="s">
        <v>65</v>
      </c>
      <c r="S2991">
        <v>3</v>
      </c>
      <c r="T2991" t="b">
        <v>0</v>
      </c>
      <c r="U2991" t="s">
        <v>30</v>
      </c>
      <c r="V2991">
        <v>3</v>
      </c>
    </row>
    <row r="2992" spans="1:22" x14ac:dyDescent="0.25">
      <c r="A2992" t="s">
        <v>6455</v>
      </c>
      <c r="B2992" s="1">
        <v>45044</v>
      </c>
      <c r="C2992" t="s">
        <v>6456</v>
      </c>
      <c r="D2992" t="s">
        <v>1818</v>
      </c>
      <c r="E2992">
        <v>35</v>
      </c>
      <c r="F2992" t="str">
        <f>IF(Table1[[#This Row],[age]]&lt;=25,"18-25",IF(Table1[[#This Row],[age]]&lt;=35,"26-35",IF(Table1[[#This Row],[age]]&lt;=50,"36-50","51+")))</f>
        <v>26-35</v>
      </c>
      <c r="G2992" t="s">
        <v>24</v>
      </c>
      <c r="H2992" t="s">
        <v>61</v>
      </c>
      <c r="I2992" t="s">
        <v>62</v>
      </c>
      <c r="J2992" t="s">
        <v>115</v>
      </c>
      <c r="K2992" t="s">
        <v>197</v>
      </c>
      <c r="L2992">
        <v>4</v>
      </c>
      <c r="M2992">
        <v>22399.3</v>
      </c>
      <c r="N2992">
        <v>0.34</v>
      </c>
      <c r="O2992">
        <v>85795.74</v>
      </c>
      <c r="P2992">
        <v>10309.74</v>
      </c>
      <c r="Q2992">
        <v>54.13</v>
      </c>
      <c r="R2992" t="s">
        <v>43</v>
      </c>
      <c r="S2992">
        <v>4</v>
      </c>
      <c r="T2992" t="b">
        <v>0</v>
      </c>
      <c r="U2992" t="s">
        <v>71</v>
      </c>
      <c r="V2992">
        <v>8</v>
      </c>
    </row>
    <row r="2993" spans="1:22" x14ac:dyDescent="0.25">
      <c r="A2993" t="s">
        <v>6457</v>
      </c>
      <c r="B2993" s="1">
        <v>44306</v>
      </c>
      <c r="C2993" t="s">
        <v>6458</v>
      </c>
      <c r="D2993" t="s">
        <v>1092</v>
      </c>
      <c r="E2993">
        <v>54</v>
      </c>
      <c r="F2993" t="str">
        <f>IF(Table1[[#This Row],[age]]&lt;=25,"18-25",IF(Table1[[#This Row],[age]]&lt;=35,"26-35",IF(Table1[[#This Row],[age]]&lt;=50,"36-50","51+")))</f>
        <v>51+</v>
      </c>
      <c r="G2993" t="s">
        <v>34</v>
      </c>
      <c r="H2993" t="s">
        <v>61</v>
      </c>
      <c r="I2993" t="s">
        <v>163</v>
      </c>
      <c r="J2993" t="s">
        <v>27</v>
      </c>
      <c r="K2993" t="s">
        <v>480</v>
      </c>
      <c r="L2993">
        <v>5</v>
      </c>
      <c r="M2993">
        <v>2321.44</v>
      </c>
      <c r="N2993">
        <v>0.34</v>
      </c>
      <c r="O2993">
        <v>10030.620000000001</v>
      </c>
      <c r="P2993">
        <v>3661.06</v>
      </c>
      <c r="Q2993">
        <v>74.83</v>
      </c>
      <c r="R2993" t="s">
        <v>49</v>
      </c>
      <c r="S2993">
        <v>4</v>
      </c>
      <c r="T2993" t="b">
        <v>0</v>
      </c>
      <c r="U2993" t="s">
        <v>30</v>
      </c>
      <c r="V2993">
        <v>8</v>
      </c>
    </row>
    <row r="2994" spans="1:22" x14ac:dyDescent="0.25">
      <c r="A2994" t="s">
        <v>6459</v>
      </c>
      <c r="B2994" s="1">
        <v>44203</v>
      </c>
      <c r="C2994" t="s">
        <v>6460</v>
      </c>
      <c r="D2994" t="s">
        <v>1644</v>
      </c>
      <c r="E2994">
        <v>37</v>
      </c>
      <c r="F2994" t="str">
        <f>IF(Table1[[#This Row],[age]]&lt;=25,"18-25",IF(Table1[[#This Row],[age]]&lt;=35,"26-35",IF(Table1[[#This Row],[age]]&lt;=50,"36-50","51+")))</f>
        <v>36-50</v>
      </c>
      <c r="G2994" t="s">
        <v>54</v>
      </c>
      <c r="H2994" t="s">
        <v>80</v>
      </c>
      <c r="I2994" t="s">
        <v>242</v>
      </c>
      <c r="J2994" t="s">
        <v>115</v>
      </c>
      <c r="K2994" t="s">
        <v>398</v>
      </c>
      <c r="L2994">
        <v>10</v>
      </c>
      <c r="M2994">
        <v>60534.21</v>
      </c>
      <c r="N2994">
        <v>0.01</v>
      </c>
      <c r="O2994">
        <v>501766.48</v>
      </c>
      <c r="P2994">
        <v>79842.600000000006</v>
      </c>
      <c r="Q2994">
        <v>52</v>
      </c>
      <c r="R2994" t="s">
        <v>29</v>
      </c>
      <c r="S2994">
        <v>4</v>
      </c>
      <c r="T2994" t="b">
        <v>0</v>
      </c>
      <c r="U2994" t="s">
        <v>30</v>
      </c>
      <c r="V2994">
        <v>2</v>
      </c>
    </row>
    <row r="2995" spans="1:22" x14ac:dyDescent="0.25">
      <c r="A2995" t="s">
        <v>6461</v>
      </c>
      <c r="B2995" s="1">
        <v>45007</v>
      </c>
      <c r="C2995" t="s">
        <v>6462</v>
      </c>
      <c r="D2995" t="s">
        <v>346</v>
      </c>
      <c r="E2995">
        <v>34</v>
      </c>
      <c r="F2995" t="str">
        <f>IF(Table1[[#This Row],[age]]&lt;=25,"18-25",IF(Table1[[#This Row],[age]]&lt;=35,"26-35",IF(Table1[[#This Row],[age]]&lt;=50,"36-50","51+")))</f>
        <v>26-35</v>
      </c>
      <c r="G2995" t="s">
        <v>24</v>
      </c>
      <c r="H2995" t="s">
        <v>69</v>
      </c>
      <c r="I2995" t="s">
        <v>136</v>
      </c>
      <c r="J2995" t="s">
        <v>115</v>
      </c>
      <c r="K2995" t="s">
        <v>398</v>
      </c>
      <c r="L2995">
        <v>2</v>
      </c>
      <c r="M2995">
        <v>10193.98</v>
      </c>
      <c r="N2995">
        <v>0.38</v>
      </c>
      <c r="O2995">
        <v>14993.54</v>
      </c>
      <c r="P2995">
        <v>1174.9000000000001</v>
      </c>
      <c r="Q2995">
        <v>86.74</v>
      </c>
      <c r="R2995" t="s">
        <v>43</v>
      </c>
      <c r="S2995">
        <v>4</v>
      </c>
      <c r="T2995" t="b">
        <v>0</v>
      </c>
      <c r="U2995" t="s">
        <v>193</v>
      </c>
      <c r="V2995">
        <v>5</v>
      </c>
    </row>
    <row r="2996" spans="1:22" x14ac:dyDescent="0.25">
      <c r="A2996" t="s">
        <v>6463</v>
      </c>
      <c r="B2996" s="1">
        <v>45520</v>
      </c>
      <c r="C2996" t="s">
        <v>6464</v>
      </c>
      <c r="D2996" t="s">
        <v>967</v>
      </c>
      <c r="E2996">
        <v>51</v>
      </c>
      <c r="F2996" t="str">
        <f>IF(Table1[[#This Row],[age]]&lt;=25,"18-25",IF(Table1[[#This Row],[age]]&lt;=35,"26-35",IF(Table1[[#This Row],[age]]&lt;=50,"36-50","51+")))</f>
        <v>51+</v>
      </c>
      <c r="G2996" t="s">
        <v>24</v>
      </c>
      <c r="H2996" t="s">
        <v>61</v>
      </c>
      <c r="I2996" t="s">
        <v>62</v>
      </c>
      <c r="J2996" t="s">
        <v>101</v>
      </c>
      <c r="K2996" t="s">
        <v>318</v>
      </c>
      <c r="L2996">
        <v>10</v>
      </c>
      <c r="M2996">
        <v>786.71</v>
      </c>
      <c r="N2996">
        <v>0.03</v>
      </c>
      <c r="O2996">
        <v>11951.87</v>
      </c>
      <c r="P2996">
        <v>1750.05</v>
      </c>
      <c r="Q2996">
        <v>48.55</v>
      </c>
      <c r="R2996" t="s">
        <v>92</v>
      </c>
      <c r="S2996">
        <v>1</v>
      </c>
      <c r="T2996" t="b">
        <v>0</v>
      </c>
      <c r="U2996" t="s">
        <v>30</v>
      </c>
      <c r="V2996">
        <v>8</v>
      </c>
    </row>
    <row r="2997" spans="1:22" x14ac:dyDescent="0.25">
      <c r="A2997" t="s">
        <v>6465</v>
      </c>
      <c r="B2997" s="1">
        <v>44529</v>
      </c>
      <c r="C2997" t="s">
        <v>6466</v>
      </c>
      <c r="D2997" t="s">
        <v>1163</v>
      </c>
      <c r="E2997">
        <v>21</v>
      </c>
      <c r="F2997" t="str">
        <f>IF(Table1[[#This Row],[age]]&lt;=25,"18-25",IF(Table1[[#This Row],[age]]&lt;=35,"26-35",IF(Table1[[#This Row],[age]]&lt;=50,"36-50","51+")))</f>
        <v>18-25</v>
      </c>
      <c r="G2997" t="s">
        <v>54</v>
      </c>
      <c r="H2997" t="s">
        <v>69</v>
      </c>
      <c r="I2997" t="s">
        <v>70</v>
      </c>
      <c r="J2997" t="s">
        <v>47</v>
      </c>
      <c r="K2997" t="s">
        <v>204</v>
      </c>
      <c r="L2997">
        <v>10</v>
      </c>
      <c r="M2997">
        <v>722.86</v>
      </c>
      <c r="N2997">
        <v>0.15</v>
      </c>
      <c r="O2997">
        <v>5123.0200000000004</v>
      </c>
      <c r="P2997">
        <v>2442.73</v>
      </c>
      <c r="Q2997">
        <v>55.76</v>
      </c>
      <c r="R2997" t="s">
        <v>65</v>
      </c>
      <c r="S2997">
        <v>1</v>
      </c>
      <c r="T2997" t="b">
        <v>0</v>
      </c>
      <c r="U2997" t="s">
        <v>30</v>
      </c>
      <c r="V2997">
        <v>4</v>
      </c>
    </row>
    <row r="2998" spans="1:22" x14ac:dyDescent="0.25">
      <c r="A2998" t="s">
        <v>6467</v>
      </c>
      <c r="B2998" s="1">
        <v>44313</v>
      </c>
      <c r="C2998" t="s">
        <v>6468</v>
      </c>
      <c r="D2998" t="s">
        <v>907</v>
      </c>
      <c r="E2998">
        <v>27</v>
      </c>
      <c r="F2998" t="str">
        <f>IF(Table1[[#This Row],[age]]&lt;=25,"18-25",IF(Table1[[#This Row],[age]]&lt;=35,"26-35",IF(Table1[[#This Row],[age]]&lt;=50,"36-50","51+")))</f>
        <v>26-35</v>
      </c>
      <c r="G2998" t="s">
        <v>24</v>
      </c>
      <c r="H2998" t="s">
        <v>55</v>
      </c>
      <c r="I2998" t="s">
        <v>97</v>
      </c>
      <c r="J2998" t="s">
        <v>27</v>
      </c>
      <c r="K2998" t="s">
        <v>192</v>
      </c>
      <c r="L2998">
        <v>6</v>
      </c>
      <c r="M2998">
        <v>2416.31</v>
      </c>
      <c r="N2998">
        <v>0.13</v>
      </c>
      <c r="O2998">
        <v>15688.04</v>
      </c>
      <c r="P2998">
        <v>7768.7</v>
      </c>
      <c r="Q2998">
        <v>37.54</v>
      </c>
      <c r="R2998" t="s">
        <v>49</v>
      </c>
      <c r="S2998">
        <v>4</v>
      </c>
      <c r="T2998" t="b">
        <v>0</v>
      </c>
      <c r="U2998" t="s">
        <v>30</v>
      </c>
      <c r="V2998">
        <v>4</v>
      </c>
    </row>
    <row r="2999" spans="1:22" x14ac:dyDescent="0.25">
      <c r="A2999" t="s">
        <v>6469</v>
      </c>
      <c r="B2999" s="1">
        <v>45198</v>
      </c>
      <c r="C2999" t="s">
        <v>6470</v>
      </c>
      <c r="D2999" t="s">
        <v>184</v>
      </c>
      <c r="E2999">
        <v>25</v>
      </c>
      <c r="F2999" t="str">
        <f>IF(Table1[[#This Row],[age]]&lt;=25,"18-25",IF(Table1[[#This Row],[age]]&lt;=35,"26-35",IF(Table1[[#This Row],[age]]&lt;=50,"36-50","51+")))</f>
        <v>18-25</v>
      </c>
      <c r="G2999" t="s">
        <v>34</v>
      </c>
      <c r="H2999" t="s">
        <v>80</v>
      </c>
      <c r="I2999" t="s">
        <v>242</v>
      </c>
      <c r="J2999" t="s">
        <v>63</v>
      </c>
      <c r="K2999" t="s">
        <v>87</v>
      </c>
      <c r="L2999">
        <v>6</v>
      </c>
      <c r="M2999">
        <v>2996.07</v>
      </c>
      <c r="N2999">
        <v>0.39</v>
      </c>
      <c r="O2999">
        <v>13261.21</v>
      </c>
      <c r="P2999">
        <v>6275.03</v>
      </c>
      <c r="Q2999">
        <v>75.180000000000007</v>
      </c>
      <c r="R2999" t="s">
        <v>49</v>
      </c>
      <c r="S2999">
        <v>2</v>
      </c>
      <c r="T2999" t="b">
        <v>0</v>
      </c>
      <c r="U2999" t="s">
        <v>30</v>
      </c>
      <c r="V2999">
        <v>1</v>
      </c>
    </row>
    <row r="3000" spans="1:22" x14ac:dyDescent="0.25">
      <c r="A3000" t="s">
        <v>6471</v>
      </c>
      <c r="B3000" s="1">
        <v>44831</v>
      </c>
      <c r="C3000" t="s">
        <v>6472</v>
      </c>
      <c r="D3000" t="s">
        <v>412</v>
      </c>
      <c r="E3000">
        <v>34</v>
      </c>
      <c r="F3000" t="str">
        <f>IF(Table1[[#This Row],[age]]&lt;=25,"18-25",IF(Table1[[#This Row],[age]]&lt;=35,"26-35",IF(Table1[[#This Row],[age]]&lt;=50,"36-50","51+")))</f>
        <v>26-35</v>
      </c>
      <c r="G3000" t="s">
        <v>24</v>
      </c>
      <c r="H3000" t="s">
        <v>69</v>
      </c>
      <c r="I3000" t="s">
        <v>136</v>
      </c>
      <c r="J3000" t="s">
        <v>27</v>
      </c>
      <c r="K3000" t="s">
        <v>128</v>
      </c>
      <c r="L3000">
        <v>8</v>
      </c>
      <c r="M3000">
        <v>1956.04</v>
      </c>
      <c r="N3000">
        <v>0.05</v>
      </c>
      <c r="O3000">
        <v>16158.29</v>
      </c>
      <c r="P3000">
        <v>7683.48</v>
      </c>
      <c r="Q3000">
        <v>90.07</v>
      </c>
      <c r="R3000" t="s">
        <v>43</v>
      </c>
      <c r="S3000">
        <v>1</v>
      </c>
      <c r="T3000" t="b">
        <v>0</v>
      </c>
      <c r="U3000" t="s">
        <v>71</v>
      </c>
      <c r="V3000">
        <v>4</v>
      </c>
    </row>
    <row r="3001" spans="1:22" x14ac:dyDescent="0.25">
      <c r="A3001" t="s">
        <v>6473</v>
      </c>
      <c r="B3001" s="1">
        <v>44232</v>
      </c>
      <c r="C3001" t="s">
        <v>837</v>
      </c>
      <c r="D3001" t="s">
        <v>1420</v>
      </c>
      <c r="E3001">
        <v>48</v>
      </c>
      <c r="F3001" t="str">
        <f>IF(Table1[[#This Row],[age]]&lt;=25,"18-25",IF(Table1[[#This Row],[age]]&lt;=35,"26-35",IF(Table1[[#This Row],[age]]&lt;=50,"36-50","51+")))</f>
        <v>36-50</v>
      </c>
      <c r="G3001" t="s">
        <v>34</v>
      </c>
      <c r="H3001" t="s">
        <v>80</v>
      </c>
      <c r="I3001" t="s">
        <v>236</v>
      </c>
      <c r="J3001" t="s">
        <v>106</v>
      </c>
      <c r="K3001" t="s">
        <v>314</v>
      </c>
      <c r="L3001">
        <v>4</v>
      </c>
      <c r="M3001">
        <v>405.74</v>
      </c>
      <c r="N3001">
        <v>0.06</v>
      </c>
      <c r="O3001">
        <v>1652.51</v>
      </c>
      <c r="P3001">
        <v>140.36000000000001</v>
      </c>
      <c r="Q3001">
        <v>111.98</v>
      </c>
      <c r="R3001" t="s">
        <v>57</v>
      </c>
      <c r="S3001">
        <v>5</v>
      </c>
      <c r="T3001" t="b">
        <v>0</v>
      </c>
      <c r="U3001" t="s">
        <v>93</v>
      </c>
      <c r="V3001">
        <v>7</v>
      </c>
    </row>
    <row r="3002" spans="1:22" x14ac:dyDescent="0.25">
      <c r="A3002" t="s">
        <v>6474</v>
      </c>
      <c r="B3002" s="1">
        <v>44327</v>
      </c>
      <c r="C3002" t="s">
        <v>6475</v>
      </c>
      <c r="D3002" t="s">
        <v>1066</v>
      </c>
      <c r="E3002">
        <v>23</v>
      </c>
      <c r="F3002" t="str">
        <f>IF(Table1[[#This Row],[age]]&lt;=25,"18-25",IF(Table1[[#This Row],[age]]&lt;=35,"26-35",IF(Table1[[#This Row],[age]]&lt;=50,"36-50","51+")))</f>
        <v>18-25</v>
      </c>
      <c r="G3002" t="s">
        <v>34</v>
      </c>
      <c r="H3002" t="s">
        <v>69</v>
      </c>
      <c r="I3002" t="s">
        <v>181</v>
      </c>
      <c r="J3002" t="s">
        <v>27</v>
      </c>
      <c r="K3002" t="s">
        <v>335</v>
      </c>
      <c r="L3002">
        <v>4</v>
      </c>
      <c r="M3002">
        <v>2455.13</v>
      </c>
      <c r="N3002">
        <v>0.04</v>
      </c>
      <c r="O3002">
        <v>12314.54</v>
      </c>
      <c r="P3002">
        <v>5429.24</v>
      </c>
      <c r="Q3002">
        <v>86.94</v>
      </c>
      <c r="R3002" t="s">
        <v>43</v>
      </c>
      <c r="S3002">
        <v>5</v>
      </c>
      <c r="T3002" t="b">
        <v>0</v>
      </c>
      <c r="U3002" t="s">
        <v>30</v>
      </c>
      <c r="V3002">
        <v>2</v>
      </c>
    </row>
    <row r="3003" spans="1:22" x14ac:dyDescent="0.25">
      <c r="A3003" t="s">
        <v>6476</v>
      </c>
      <c r="B3003" s="1">
        <v>45122</v>
      </c>
      <c r="C3003" t="s">
        <v>6477</v>
      </c>
      <c r="D3003" t="s">
        <v>324</v>
      </c>
      <c r="E3003">
        <v>42</v>
      </c>
      <c r="F3003" t="str">
        <f>IF(Table1[[#This Row],[age]]&lt;=25,"18-25",IF(Table1[[#This Row],[age]]&lt;=35,"26-35",IF(Table1[[#This Row],[age]]&lt;=50,"36-50","51+")))</f>
        <v>36-50</v>
      </c>
      <c r="G3003" t="s">
        <v>24</v>
      </c>
      <c r="H3003" t="s">
        <v>69</v>
      </c>
      <c r="I3003" t="s">
        <v>136</v>
      </c>
      <c r="J3003" t="s">
        <v>101</v>
      </c>
      <c r="K3003" t="s">
        <v>164</v>
      </c>
      <c r="L3003">
        <v>3</v>
      </c>
      <c r="M3003">
        <v>13447.87</v>
      </c>
      <c r="N3003">
        <v>0.03</v>
      </c>
      <c r="O3003">
        <v>63861.69</v>
      </c>
      <c r="P3003">
        <v>14051.98</v>
      </c>
      <c r="Q3003">
        <v>89.88</v>
      </c>
      <c r="R3003" t="s">
        <v>57</v>
      </c>
      <c r="S3003">
        <v>1</v>
      </c>
      <c r="T3003" t="b">
        <v>1</v>
      </c>
      <c r="U3003" t="s">
        <v>50</v>
      </c>
      <c r="V3003">
        <v>1</v>
      </c>
    </row>
    <row r="3004" spans="1:22" x14ac:dyDescent="0.25">
      <c r="A3004" t="s">
        <v>6478</v>
      </c>
      <c r="B3004" s="1">
        <v>44566</v>
      </c>
      <c r="C3004" t="s">
        <v>6479</v>
      </c>
      <c r="D3004" t="s">
        <v>46</v>
      </c>
      <c r="E3004">
        <v>28</v>
      </c>
      <c r="F3004" t="str">
        <f>IF(Table1[[#This Row],[age]]&lt;=25,"18-25",IF(Table1[[#This Row],[age]]&lt;=35,"26-35",IF(Table1[[#This Row],[age]]&lt;=50,"36-50","51+")))</f>
        <v>26-35</v>
      </c>
      <c r="G3004" t="s">
        <v>34</v>
      </c>
      <c r="H3004" t="s">
        <v>61</v>
      </c>
      <c r="I3004" t="s">
        <v>62</v>
      </c>
      <c r="J3004" t="s">
        <v>36</v>
      </c>
      <c r="K3004" t="s">
        <v>42</v>
      </c>
      <c r="L3004">
        <v>10</v>
      </c>
      <c r="M3004">
        <v>9788.59</v>
      </c>
      <c r="N3004">
        <v>0.18</v>
      </c>
      <c r="O3004">
        <v>56440.79</v>
      </c>
      <c r="P3004">
        <v>15796.43</v>
      </c>
      <c r="Q3004">
        <v>48.09</v>
      </c>
      <c r="R3004" t="s">
        <v>92</v>
      </c>
      <c r="S3004">
        <v>1</v>
      </c>
      <c r="T3004" t="b">
        <v>1</v>
      </c>
      <c r="U3004" t="s">
        <v>50</v>
      </c>
      <c r="V3004">
        <v>7</v>
      </c>
    </row>
    <row r="3005" spans="1:22" x14ac:dyDescent="0.25">
      <c r="A3005" t="s">
        <v>6480</v>
      </c>
      <c r="B3005" s="1">
        <v>45172</v>
      </c>
      <c r="C3005" t="s">
        <v>6481</v>
      </c>
      <c r="D3005" t="s">
        <v>2021</v>
      </c>
      <c r="E3005">
        <v>26</v>
      </c>
      <c r="F3005" t="str">
        <f>IF(Table1[[#This Row],[age]]&lt;=25,"18-25",IF(Table1[[#This Row],[age]]&lt;=35,"26-35",IF(Table1[[#This Row],[age]]&lt;=50,"36-50","51+")))</f>
        <v>26-35</v>
      </c>
      <c r="G3005" t="s">
        <v>24</v>
      </c>
      <c r="H3005" t="s">
        <v>25</v>
      </c>
      <c r="I3005" t="s">
        <v>41</v>
      </c>
      <c r="J3005" t="s">
        <v>63</v>
      </c>
      <c r="K3005" t="s">
        <v>64</v>
      </c>
      <c r="L3005">
        <v>1</v>
      </c>
      <c r="M3005">
        <v>1916.17</v>
      </c>
      <c r="N3005">
        <v>0.22</v>
      </c>
      <c r="O3005">
        <v>1845.9</v>
      </c>
      <c r="P3005">
        <v>598.99</v>
      </c>
      <c r="Q3005">
        <v>47.98</v>
      </c>
      <c r="R3005" t="s">
        <v>92</v>
      </c>
      <c r="S3005">
        <v>4</v>
      </c>
      <c r="T3005" t="b">
        <v>0</v>
      </c>
      <c r="U3005" t="s">
        <v>30</v>
      </c>
      <c r="V3005">
        <v>10</v>
      </c>
    </row>
    <row r="3006" spans="1:22" x14ac:dyDescent="0.25">
      <c r="A3006" t="s">
        <v>6482</v>
      </c>
      <c r="B3006" s="1">
        <v>44193</v>
      </c>
      <c r="C3006" t="s">
        <v>6483</v>
      </c>
      <c r="D3006" t="s">
        <v>2716</v>
      </c>
      <c r="E3006">
        <v>44</v>
      </c>
      <c r="F3006" t="str">
        <f>IF(Table1[[#This Row],[age]]&lt;=25,"18-25",IF(Table1[[#This Row],[age]]&lt;=35,"26-35",IF(Table1[[#This Row],[age]]&lt;=50,"36-50","51+")))</f>
        <v>36-50</v>
      </c>
      <c r="G3006" t="s">
        <v>34</v>
      </c>
      <c r="H3006" t="s">
        <v>25</v>
      </c>
      <c r="I3006" t="s">
        <v>298</v>
      </c>
      <c r="J3006" t="s">
        <v>63</v>
      </c>
      <c r="K3006" t="s">
        <v>111</v>
      </c>
      <c r="L3006">
        <v>8</v>
      </c>
      <c r="M3006">
        <v>1635.94</v>
      </c>
      <c r="N3006">
        <v>0.17</v>
      </c>
      <c r="O3006">
        <v>7364.45</v>
      </c>
      <c r="P3006">
        <v>1973.68</v>
      </c>
      <c r="Q3006">
        <v>58.56</v>
      </c>
      <c r="R3006" t="s">
        <v>43</v>
      </c>
      <c r="S3006">
        <v>4</v>
      </c>
      <c r="T3006" t="b">
        <v>0</v>
      </c>
      <c r="U3006" t="s">
        <v>30</v>
      </c>
      <c r="V3006">
        <v>7</v>
      </c>
    </row>
    <row r="3007" spans="1:22" x14ac:dyDescent="0.25">
      <c r="A3007" t="s">
        <v>6484</v>
      </c>
      <c r="B3007" s="1">
        <v>43858</v>
      </c>
      <c r="C3007" t="s">
        <v>6485</v>
      </c>
      <c r="D3007" t="s">
        <v>1359</v>
      </c>
      <c r="E3007">
        <v>40</v>
      </c>
      <c r="F3007" t="str">
        <f>IF(Table1[[#This Row],[age]]&lt;=25,"18-25",IF(Table1[[#This Row],[age]]&lt;=35,"26-35",IF(Table1[[#This Row],[age]]&lt;=50,"36-50","51+")))</f>
        <v>36-50</v>
      </c>
      <c r="G3007" t="s">
        <v>54</v>
      </c>
      <c r="H3007" t="s">
        <v>69</v>
      </c>
      <c r="I3007" t="s">
        <v>70</v>
      </c>
      <c r="J3007" t="s">
        <v>36</v>
      </c>
      <c r="K3007" t="s">
        <v>243</v>
      </c>
      <c r="L3007">
        <v>8</v>
      </c>
      <c r="M3007">
        <v>33648.870000000003</v>
      </c>
      <c r="N3007">
        <v>0.27</v>
      </c>
      <c r="O3007">
        <v>165959.54999999999</v>
      </c>
      <c r="P3007">
        <v>58848.22</v>
      </c>
      <c r="Q3007">
        <v>90.58</v>
      </c>
      <c r="R3007" t="s">
        <v>92</v>
      </c>
      <c r="S3007">
        <v>4</v>
      </c>
      <c r="T3007" t="b">
        <v>1</v>
      </c>
      <c r="U3007" t="s">
        <v>50</v>
      </c>
      <c r="V3007">
        <v>9</v>
      </c>
    </row>
    <row r="3008" spans="1:22" x14ac:dyDescent="0.25">
      <c r="A3008" t="s">
        <v>6486</v>
      </c>
      <c r="B3008" s="1">
        <v>44033</v>
      </c>
      <c r="C3008" t="s">
        <v>6487</v>
      </c>
      <c r="D3008" t="s">
        <v>1166</v>
      </c>
      <c r="E3008">
        <v>36</v>
      </c>
      <c r="F3008" t="str">
        <f>IF(Table1[[#This Row],[age]]&lt;=25,"18-25",IF(Table1[[#This Row],[age]]&lt;=35,"26-35",IF(Table1[[#This Row],[age]]&lt;=50,"36-50","51+")))</f>
        <v>36-50</v>
      </c>
      <c r="G3008" t="s">
        <v>34</v>
      </c>
      <c r="H3008" t="s">
        <v>61</v>
      </c>
      <c r="I3008" t="s">
        <v>163</v>
      </c>
      <c r="J3008" t="s">
        <v>101</v>
      </c>
      <c r="K3008" t="s">
        <v>456</v>
      </c>
      <c r="L3008">
        <v>6</v>
      </c>
      <c r="M3008">
        <v>11043.66</v>
      </c>
      <c r="N3008">
        <v>0.36</v>
      </c>
      <c r="O3008">
        <v>52329.61</v>
      </c>
      <c r="P3008">
        <v>10394.780000000001</v>
      </c>
      <c r="Q3008">
        <v>45.19</v>
      </c>
      <c r="R3008" t="s">
        <v>65</v>
      </c>
      <c r="S3008">
        <v>1</v>
      </c>
      <c r="T3008" t="b">
        <v>0</v>
      </c>
      <c r="U3008" t="s">
        <v>30</v>
      </c>
      <c r="V3008">
        <v>3</v>
      </c>
    </row>
    <row r="3009" spans="1:22" x14ac:dyDescent="0.25">
      <c r="A3009" t="s">
        <v>6488</v>
      </c>
      <c r="B3009" s="1">
        <v>44046</v>
      </c>
      <c r="C3009" t="s">
        <v>6489</v>
      </c>
      <c r="D3009" t="s">
        <v>397</v>
      </c>
      <c r="E3009">
        <v>36</v>
      </c>
      <c r="F3009" t="str">
        <f>IF(Table1[[#This Row],[age]]&lt;=25,"18-25",IF(Table1[[#This Row],[age]]&lt;=35,"26-35",IF(Table1[[#This Row],[age]]&lt;=50,"36-50","51+")))</f>
        <v>36-50</v>
      </c>
      <c r="G3009" t="s">
        <v>54</v>
      </c>
      <c r="H3009" t="s">
        <v>61</v>
      </c>
      <c r="I3009" t="s">
        <v>62</v>
      </c>
      <c r="J3009" t="s">
        <v>63</v>
      </c>
      <c r="K3009" t="s">
        <v>152</v>
      </c>
      <c r="L3009">
        <v>1</v>
      </c>
      <c r="M3009">
        <v>2218.42</v>
      </c>
      <c r="N3009">
        <v>0.01</v>
      </c>
      <c r="O3009">
        <v>2825.18</v>
      </c>
      <c r="P3009">
        <v>885.38</v>
      </c>
      <c r="Q3009">
        <v>25.22</v>
      </c>
      <c r="R3009" t="s">
        <v>92</v>
      </c>
      <c r="S3009">
        <v>2</v>
      </c>
      <c r="T3009" t="b">
        <v>0</v>
      </c>
      <c r="U3009" t="s">
        <v>30</v>
      </c>
      <c r="V3009">
        <v>6</v>
      </c>
    </row>
    <row r="3010" spans="1:22" x14ac:dyDescent="0.25">
      <c r="A3010" t="s">
        <v>6490</v>
      </c>
      <c r="B3010" s="1">
        <v>44770</v>
      </c>
      <c r="C3010" t="s">
        <v>6491</v>
      </c>
      <c r="D3010" t="s">
        <v>3701</v>
      </c>
      <c r="E3010">
        <v>40</v>
      </c>
      <c r="F3010" t="str">
        <f>IF(Table1[[#This Row],[age]]&lt;=25,"18-25",IF(Table1[[#This Row],[age]]&lt;=35,"26-35",IF(Table1[[#This Row],[age]]&lt;=50,"36-50","51+")))</f>
        <v>36-50</v>
      </c>
      <c r="G3010" t="s">
        <v>34</v>
      </c>
      <c r="H3010" t="s">
        <v>61</v>
      </c>
      <c r="I3010" t="s">
        <v>91</v>
      </c>
      <c r="J3010" t="s">
        <v>27</v>
      </c>
      <c r="K3010" t="s">
        <v>128</v>
      </c>
      <c r="L3010">
        <v>8</v>
      </c>
      <c r="M3010">
        <v>1990.6</v>
      </c>
      <c r="N3010">
        <v>0.37</v>
      </c>
      <c r="O3010">
        <v>14038.19</v>
      </c>
      <c r="P3010">
        <v>5997.36</v>
      </c>
      <c r="Q3010">
        <v>71.989999999999995</v>
      </c>
      <c r="R3010" t="s">
        <v>65</v>
      </c>
      <c r="S3010">
        <v>2</v>
      </c>
      <c r="T3010" t="b">
        <v>0</v>
      </c>
      <c r="U3010" t="s">
        <v>30</v>
      </c>
      <c r="V3010">
        <v>9</v>
      </c>
    </row>
    <row r="3011" spans="1:22" x14ac:dyDescent="0.25">
      <c r="A3011" t="s">
        <v>6492</v>
      </c>
      <c r="B3011" s="1">
        <v>44047</v>
      </c>
      <c r="C3011" t="s">
        <v>6493</v>
      </c>
      <c r="D3011" t="s">
        <v>1359</v>
      </c>
      <c r="E3011">
        <v>52</v>
      </c>
      <c r="F3011" t="str">
        <f>IF(Table1[[#This Row],[age]]&lt;=25,"18-25",IF(Table1[[#This Row],[age]]&lt;=35,"26-35",IF(Table1[[#This Row],[age]]&lt;=50,"36-50","51+")))</f>
        <v>51+</v>
      </c>
      <c r="G3011" t="s">
        <v>34</v>
      </c>
      <c r="H3011" t="s">
        <v>25</v>
      </c>
      <c r="I3011" t="s">
        <v>26</v>
      </c>
      <c r="J3011" t="s">
        <v>36</v>
      </c>
      <c r="K3011" t="s">
        <v>76</v>
      </c>
      <c r="L3011">
        <v>3</v>
      </c>
      <c r="M3011">
        <v>14320.7</v>
      </c>
      <c r="N3011">
        <v>0.28000000000000003</v>
      </c>
      <c r="O3011">
        <v>33717.699999999997</v>
      </c>
      <c r="P3011">
        <v>8980.94</v>
      </c>
      <c r="Q3011">
        <v>51.39</v>
      </c>
      <c r="R3011" t="s">
        <v>29</v>
      </c>
      <c r="S3011">
        <v>1</v>
      </c>
      <c r="T3011" t="b">
        <v>0</v>
      </c>
      <c r="U3011" t="s">
        <v>30</v>
      </c>
      <c r="V3011">
        <v>3</v>
      </c>
    </row>
    <row r="3012" spans="1:22" x14ac:dyDescent="0.25">
      <c r="A3012" t="s">
        <v>6494</v>
      </c>
      <c r="B3012" s="1">
        <v>44758</v>
      </c>
      <c r="C3012" t="s">
        <v>6495</v>
      </c>
      <c r="D3012" t="s">
        <v>2107</v>
      </c>
      <c r="E3012">
        <v>28</v>
      </c>
      <c r="F3012" t="str">
        <f>IF(Table1[[#This Row],[age]]&lt;=25,"18-25",IF(Table1[[#This Row],[age]]&lt;=35,"26-35",IF(Table1[[#This Row],[age]]&lt;=50,"36-50","51+")))</f>
        <v>26-35</v>
      </c>
      <c r="G3012" t="s">
        <v>34</v>
      </c>
      <c r="H3012" t="s">
        <v>25</v>
      </c>
      <c r="I3012" t="s">
        <v>26</v>
      </c>
      <c r="J3012" t="s">
        <v>47</v>
      </c>
      <c r="K3012" t="s">
        <v>120</v>
      </c>
      <c r="L3012">
        <v>10</v>
      </c>
      <c r="M3012">
        <v>1326.18</v>
      </c>
      <c r="N3012">
        <v>0.2</v>
      </c>
      <c r="O3012">
        <v>16441.16</v>
      </c>
      <c r="P3012">
        <v>5803.82</v>
      </c>
      <c r="Q3012">
        <v>73.42</v>
      </c>
      <c r="R3012" t="s">
        <v>49</v>
      </c>
      <c r="S3012">
        <v>3</v>
      </c>
      <c r="T3012" t="b">
        <v>0</v>
      </c>
      <c r="U3012" t="s">
        <v>30</v>
      </c>
      <c r="V3012">
        <v>5</v>
      </c>
    </row>
    <row r="3013" spans="1:22" x14ac:dyDescent="0.25">
      <c r="A3013" t="s">
        <v>6496</v>
      </c>
      <c r="B3013" s="1">
        <v>45313</v>
      </c>
      <c r="C3013" t="s">
        <v>6497</v>
      </c>
      <c r="D3013" t="s">
        <v>777</v>
      </c>
      <c r="E3013">
        <v>37</v>
      </c>
      <c r="F3013" t="str">
        <f>IF(Table1[[#This Row],[age]]&lt;=25,"18-25",IF(Table1[[#This Row],[age]]&lt;=35,"26-35",IF(Table1[[#This Row],[age]]&lt;=50,"36-50","51+")))</f>
        <v>36-50</v>
      </c>
      <c r="G3013" t="s">
        <v>34</v>
      </c>
      <c r="H3013" t="s">
        <v>80</v>
      </c>
      <c r="I3013" t="s">
        <v>242</v>
      </c>
      <c r="J3013" t="s">
        <v>101</v>
      </c>
      <c r="K3013" t="s">
        <v>124</v>
      </c>
      <c r="L3013">
        <v>6</v>
      </c>
      <c r="M3013">
        <v>548.70000000000005</v>
      </c>
      <c r="N3013">
        <v>0.13</v>
      </c>
      <c r="O3013">
        <v>2818.03</v>
      </c>
      <c r="P3013">
        <v>795.42</v>
      </c>
      <c r="Q3013">
        <v>59.32</v>
      </c>
      <c r="R3013" t="s">
        <v>43</v>
      </c>
      <c r="S3013">
        <v>3</v>
      </c>
      <c r="T3013" t="b">
        <v>0</v>
      </c>
      <c r="U3013" t="s">
        <v>30</v>
      </c>
      <c r="V3013">
        <v>2</v>
      </c>
    </row>
    <row r="3014" spans="1:22" x14ac:dyDescent="0.25">
      <c r="A3014" t="s">
        <v>6498</v>
      </c>
      <c r="B3014" s="1">
        <v>44928</v>
      </c>
      <c r="C3014" t="s">
        <v>6499</v>
      </c>
      <c r="D3014" t="s">
        <v>1901</v>
      </c>
      <c r="E3014">
        <v>38</v>
      </c>
      <c r="F3014" t="str">
        <f>IF(Table1[[#This Row],[age]]&lt;=25,"18-25",IF(Table1[[#This Row],[age]]&lt;=35,"26-35",IF(Table1[[#This Row],[age]]&lt;=50,"36-50","51+")))</f>
        <v>36-50</v>
      </c>
      <c r="G3014" t="s">
        <v>54</v>
      </c>
      <c r="H3014" t="s">
        <v>80</v>
      </c>
      <c r="I3014" t="s">
        <v>81</v>
      </c>
      <c r="J3014" t="s">
        <v>63</v>
      </c>
      <c r="K3014" t="s">
        <v>87</v>
      </c>
      <c r="L3014">
        <v>9</v>
      </c>
      <c r="M3014">
        <v>2765.83</v>
      </c>
      <c r="N3014">
        <v>0.09</v>
      </c>
      <c r="O3014">
        <v>21588.14</v>
      </c>
      <c r="P3014">
        <v>7174.59</v>
      </c>
      <c r="Q3014">
        <v>83.41</v>
      </c>
      <c r="R3014" t="s">
        <v>49</v>
      </c>
      <c r="S3014">
        <v>5</v>
      </c>
      <c r="T3014" t="b">
        <v>0</v>
      </c>
      <c r="U3014" t="s">
        <v>71</v>
      </c>
      <c r="V3014">
        <v>4</v>
      </c>
    </row>
    <row r="3015" spans="1:22" x14ac:dyDescent="0.25">
      <c r="A3015" t="s">
        <v>6500</v>
      </c>
      <c r="B3015" s="1">
        <v>44615</v>
      </c>
      <c r="C3015" t="s">
        <v>6501</v>
      </c>
      <c r="D3015" t="s">
        <v>53</v>
      </c>
      <c r="E3015">
        <v>44</v>
      </c>
      <c r="F3015" t="str">
        <f>IF(Table1[[#This Row],[age]]&lt;=25,"18-25",IF(Table1[[#This Row],[age]]&lt;=35,"26-35",IF(Table1[[#This Row],[age]]&lt;=50,"36-50","51+")))</f>
        <v>36-50</v>
      </c>
      <c r="G3015" t="s">
        <v>54</v>
      </c>
      <c r="H3015" t="s">
        <v>61</v>
      </c>
      <c r="I3015" t="s">
        <v>141</v>
      </c>
      <c r="J3015" t="s">
        <v>36</v>
      </c>
      <c r="K3015" t="s">
        <v>42</v>
      </c>
      <c r="L3015">
        <v>10</v>
      </c>
      <c r="M3015">
        <v>18135.2</v>
      </c>
      <c r="N3015">
        <v>0.08</v>
      </c>
      <c r="O3015">
        <v>146993.72</v>
      </c>
      <c r="P3015">
        <v>36601.82</v>
      </c>
      <c r="Q3015">
        <v>42.09</v>
      </c>
      <c r="R3015" t="s">
        <v>49</v>
      </c>
      <c r="S3015">
        <v>2</v>
      </c>
      <c r="T3015" t="b">
        <v>0</v>
      </c>
      <c r="U3015" t="s">
        <v>93</v>
      </c>
      <c r="V3015">
        <v>7</v>
      </c>
    </row>
    <row r="3016" spans="1:22" x14ac:dyDescent="0.25">
      <c r="A3016" t="s">
        <v>6502</v>
      </c>
      <c r="B3016" s="1">
        <v>44492</v>
      </c>
      <c r="C3016" t="s">
        <v>6503</v>
      </c>
      <c r="D3016" t="s">
        <v>1414</v>
      </c>
      <c r="E3016">
        <v>24</v>
      </c>
      <c r="F3016" t="str">
        <f>IF(Table1[[#This Row],[age]]&lt;=25,"18-25",IF(Table1[[#This Row],[age]]&lt;=35,"26-35",IF(Table1[[#This Row],[age]]&lt;=50,"36-50","51+")))</f>
        <v>18-25</v>
      </c>
      <c r="G3016" t="s">
        <v>54</v>
      </c>
      <c r="H3016" t="s">
        <v>25</v>
      </c>
      <c r="I3016" t="s">
        <v>298</v>
      </c>
      <c r="J3016" t="s">
        <v>106</v>
      </c>
      <c r="K3016" t="s">
        <v>107</v>
      </c>
      <c r="L3016">
        <v>9</v>
      </c>
      <c r="M3016">
        <v>63.47</v>
      </c>
      <c r="N3016">
        <v>0.15</v>
      </c>
      <c r="O3016">
        <v>477.64</v>
      </c>
      <c r="P3016">
        <v>35.42</v>
      </c>
      <c r="Q3016">
        <v>44.96</v>
      </c>
      <c r="R3016" t="s">
        <v>57</v>
      </c>
      <c r="S3016">
        <v>3</v>
      </c>
      <c r="T3016" t="b">
        <v>0</v>
      </c>
      <c r="U3016" t="s">
        <v>30</v>
      </c>
      <c r="V3016">
        <v>8</v>
      </c>
    </row>
    <row r="3017" spans="1:22" x14ac:dyDescent="0.25">
      <c r="A3017" t="s">
        <v>6504</v>
      </c>
      <c r="B3017" s="1">
        <v>44495</v>
      </c>
      <c r="C3017" t="s">
        <v>6505</v>
      </c>
      <c r="D3017" t="s">
        <v>287</v>
      </c>
      <c r="E3017">
        <v>28</v>
      </c>
      <c r="F3017" t="str">
        <f>IF(Table1[[#This Row],[age]]&lt;=25,"18-25",IF(Table1[[#This Row],[age]]&lt;=35,"26-35",IF(Table1[[#This Row],[age]]&lt;=50,"36-50","51+")))</f>
        <v>26-35</v>
      </c>
      <c r="G3017" t="s">
        <v>24</v>
      </c>
      <c r="H3017" t="s">
        <v>80</v>
      </c>
      <c r="I3017" t="s">
        <v>86</v>
      </c>
      <c r="J3017" t="s">
        <v>27</v>
      </c>
      <c r="K3017" t="s">
        <v>168</v>
      </c>
      <c r="L3017">
        <v>1</v>
      </c>
      <c r="M3017">
        <v>703.89</v>
      </c>
      <c r="N3017">
        <v>0.12</v>
      </c>
      <c r="O3017">
        <v>594.21</v>
      </c>
      <c r="P3017">
        <v>209.92</v>
      </c>
      <c r="Q3017">
        <v>68.12</v>
      </c>
      <c r="R3017" t="s">
        <v>57</v>
      </c>
      <c r="S3017">
        <v>1</v>
      </c>
      <c r="T3017" t="b">
        <v>1</v>
      </c>
      <c r="U3017" t="s">
        <v>50</v>
      </c>
      <c r="V3017">
        <v>4</v>
      </c>
    </row>
    <row r="3018" spans="1:22" x14ac:dyDescent="0.25">
      <c r="A3018" t="s">
        <v>6506</v>
      </c>
      <c r="B3018" s="1">
        <v>44666</v>
      </c>
      <c r="C3018" t="s">
        <v>6507</v>
      </c>
      <c r="D3018" t="s">
        <v>2067</v>
      </c>
      <c r="E3018">
        <v>23</v>
      </c>
      <c r="F3018" t="str">
        <f>IF(Table1[[#This Row],[age]]&lt;=25,"18-25",IF(Table1[[#This Row],[age]]&lt;=35,"26-35",IF(Table1[[#This Row],[age]]&lt;=50,"36-50","51+")))</f>
        <v>18-25</v>
      </c>
      <c r="G3018" t="s">
        <v>34</v>
      </c>
      <c r="H3018" t="s">
        <v>25</v>
      </c>
      <c r="I3018" t="s">
        <v>298</v>
      </c>
      <c r="J3018" t="s">
        <v>36</v>
      </c>
      <c r="K3018" t="s">
        <v>230</v>
      </c>
      <c r="L3018">
        <v>8</v>
      </c>
      <c r="M3018">
        <v>34992.04</v>
      </c>
      <c r="N3018">
        <v>0.11</v>
      </c>
      <c r="O3018">
        <v>286556.78000000003</v>
      </c>
      <c r="P3018">
        <v>82342.39</v>
      </c>
      <c r="Q3018">
        <v>35.17</v>
      </c>
      <c r="R3018" t="s">
        <v>43</v>
      </c>
      <c r="S3018">
        <v>4</v>
      </c>
      <c r="T3018" t="b">
        <v>0</v>
      </c>
      <c r="U3018" t="s">
        <v>193</v>
      </c>
      <c r="V3018">
        <v>1</v>
      </c>
    </row>
    <row r="3019" spans="1:22" x14ac:dyDescent="0.25">
      <c r="A3019" t="s">
        <v>6508</v>
      </c>
      <c r="B3019" s="1">
        <v>45189</v>
      </c>
      <c r="C3019" t="s">
        <v>6509</v>
      </c>
      <c r="D3019" t="s">
        <v>1719</v>
      </c>
      <c r="E3019">
        <v>34</v>
      </c>
      <c r="F3019" t="str">
        <f>IF(Table1[[#This Row],[age]]&lt;=25,"18-25",IF(Table1[[#This Row],[age]]&lt;=35,"26-35",IF(Table1[[#This Row],[age]]&lt;=50,"36-50","51+")))</f>
        <v>26-35</v>
      </c>
      <c r="G3019" t="s">
        <v>54</v>
      </c>
      <c r="H3019" t="s">
        <v>55</v>
      </c>
      <c r="I3019" t="s">
        <v>114</v>
      </c>
      <c r="J3019" t="s">
        <v>101</v>
      </c>
      <c r="K3019" t="s">
        <v>124</v>
      </c>
      <c r="L3019">
        <v>9</v>
      </c>
      <c r="M3019">
        <v>3722.56</v>
      </c>
      <c r="N3019">
        <v>0.09</v>
      </c>
      <c r="O3019">
        <v>35748.44</v>
      </c>
      <c r="P3019">
        <v>8661.64</v>
      </c>
      <c r="Q3019">
        <v>41.2</v>
      </c>
      <c r="R3019" t="s">
        <v>65</v>
      </c>
      <c r="S3019">
        <v>4</v>
      </c>
      <c r="T3019" t="b">
        <v>0</v>
      </c>
      <c r="U3019" t="s">
        <v>71</v>
      </c>
      <c r="V3019">
        <v>2</v>
      </c>
    </row>
    <row r="3020" spans="1:22" x14ac:dyDescent="0.25">
      <c r="A3020" t="s">
        <v>6510</v>
      </c>
      <c r="B3020" s="1">
        <v>44845</v>
      </c>
      <c r="C3020" t="s">
        <v>6511</v>
      </c>
      <c r="D3020" t="s">
        <v>564</v>
      </c>
      <c r="E3020">
        <v>21</v>
      </c>
      <c r="F3020" t="str">
        <f>IF(Table1[[#This Row],[age]]&lt;=25,"18-25",IF(Table1[[#This Row],[age]]&lt;=35,"26-35",IF(Table1[[#This Row],[age]]&lt;=50,"36-50","51+")))</f>
        <v>18-25</v>
      </c>
      <c r="G3020" t="s">
        <v>24</v>
      </c>
      <c r="H3020" t="s">
        <v>80</v>
      </c>
      <c r="I3020" t="s">
        <v>242</v>
      </c>
      <c r="J3020" t="s">
        <v>47</v>
      </c>
      <c r="K3020" t="s">
        <v>48</v>
      </c>
      <c r="L3020">
        <v>4</v>
      </c>
      <c r="M3020">
        <v>1497.67</v>
      </c>
      <c r="N3020">
        <v>0.21</v>
      </c>
      <c r="O3020">
        <v>4793.8900000000003</v>
      </c>
      <c r="P3020">
        <v>1329.44</v>
      </c>
      <c r="Q3020">
        <v>68.06</v>
      </c>
      <c r="R3020" t="s">
        <v>92</v>
      </c>
      <c r="S3020">
        <v>5</v>
      </c>
      <c r="T3020" t="b">
        <v>0</v>
      </c>
      <c r="U3020" t="s">
        <v>30</v>
      </c>
      <c r="V3020">
        <v>7</v>
      </c>
    </row>
    <row r="3021" spans="1:22" x14ac:dyDescent="0.25">
      <c r="A3021" t="s">
        <v>6512</v>
      </c>
      <c r="B3021" s="1">
        <v>45108</v>
      </c>
      <c r="C3021" t="s">
        <v>6513</v>
      </c>
      <c r="D3021" t="s">
        <v>1417</v>
      </c>
      <c r="E3021">
        <v>46</v>
      </c>
      <c r="F3021" t="str">
        <f>IF(Table1[[#This Row],[age]]&lt;=25,"18-25",IF(Table1[[#This Row],[age]]&lt;=35,"26-35",IF(Table1[[#This Row],[age]]&lt;=50,"36-50","51+")))</f>
        <v>36-50</v>
      </c>
      <c r="G3021" t="s">
        <v>24</v>
      </c>
      <c r="H3021" t="s">
        <v>25</v>
      </c>
      <c r="I3021" t="s">
        <v>26</v>
      </c>
      <c r="J3021" t="s">
        <v>101</v>
      </c>
      <c r="K3021" t="s">
        <v>102</v>
      </c>
      <c r="L3021">
        <v>2</v>
      </c>
      <c r="M3021">
        <v>10865.46</v>
      </c>
      <c r="N3021">
        <v>0.25</v>
      </c>
      <c r="O3021">
        <v>25165.9</v>
      </c>
      <c r="P3021">
        <v>6993.08</v>
      </c>
      <c r="Q3021">
        <v>49.79</v>
      </c>
      <c r="R3021" t="s">
        <v>49</v>
      </c>
      <c r="S3021">
        <v>1</v>
      </c>
      <c r="T3021" t="b">
        <v>1</v>
      </c>
      <c r="U3021" t="s">
        <v>50</v>
      </c>
      <c r="V3021">
        <v>7</v>
      </c>
    </row>
    <row r="3022" spans="1:22" x14ac:dyDescent="0.25">
      <c r="A3022" t="s">
        <v>6514</v>
      </c>
      <c r="B3022" s="1">
        <v>44100</v>
      </c>
      <c r="C3022" t="s">
        <v>6515</v>
      </c>
      <c r="D3022" t="s">
        <v>1373</v>
      </c>
      <c r="E3022">
        <v>50</v>
      </c>
      <c r="F3022" t="str">
        <f>IF(Table1[[#This Row],[age]]&lt;=25,"18-25",IF(Table1[[#This Row],[age]]&lt;=35,"26-35",IF(Table1[[#This Row],[age]]&lt;=50,"36-50","51+")))</f>
        <v>36-50</v>
      </c>
      <c r="G3022" t="s">
        <v>34</v>
      </c>
      <c r="H3022" t="s">
        <v>80</v>
      </c>
      <c r="I3022" t="s">
        <v>81</v>
      </c>
      <c r="J3022" t="s">
        <v>106</v>
      </c>
      <c r="K3022" t="s">
        <v>331</v>
      </c>
      <c r="L3022">
        <v>9</v>
      </c>
      <c r="M3022">
        <v>60.08</v>
      </c>
      <c r="N3022">
        <v>0.36</v>
      </c>
      <c r="O3022">
        <v>346.37</v>
      </c>
      <c r="P3022">
        <v>13.3</v>
      </c>
      <c r="Q3022">
        <v>67.3</v>
      </c>
      <c r="R3022" t="s">
        <v>65</v>
      </c>
      <c r="S3022">
        <v>4</v>
      </c>
      <c r="T3022" t="b">
        <v>0</v>
      </c>
      <c r="U3022" t="s">
        <v>30</v>
      </c>
      <c r="V3022">
        <v>3</v>
      </c>
    </row>
    <row r="3023" spans="1:22" x14ac:dyDescent="0.25">
      <c r="A3023" t="s">
        <v>6516</v>
      </c>
      <c r="B3023" s="1">
        <v>45531</v>
      </c>
      <c r="C3023" t="s">
        <v>6517</v>
      </c>
      <c r="D3023" t="s">
        <v>1017</v>
      </c>
      <c r="E3023">
        <v>26</v>
      </c>
      <c r="F3023" t="str">
        <f>IF(Table1[[#This Row],[age]]&lt;=25,"18-25",IF(Table1[[#This Row],[age]]&lt;=35,"26-35",IF(Table1[[#This Row],[age]]&lt;=50,"36-50","51+")))</f>
        <v>26-35</v>
      </c>
      <c r="G3023" t="s">
        <v>54</v>
      </c>
      <c r="H3023" t="s">
        <v>80</v>
      </c>
      <c r="I3023" t="s">
        <v>236</v>
      </c>
      <c r="J3023" t="s">
        <v>106</v>
      </c>
      <c r="K3023" t="s">
        <v>718</v>
      </c>
      <c r="L3023">
        <v>5</v>
      </c>
      <c r="M3023">
        <v>228.28</v>
      </c>
      <c r="N3023">
        <v>0.28999999999999998</v>
      </c>
      <c r="O3023">
        <v>1160.5</v>
      </c>
      <c r="P3023">
        <v>93.76</v>
      </c>
      <c r="Q3023">
        <v>62.68</v>
      </c>
      <c r="R3023" t="s">
        <v>92</v>
      </c>
      <c r="S3023">
        <v>4</v>
      </c>
      <c r="T3023" t="b">
        <v>0</v>
      </c>
      <c r="U3023" t="s">
        <v>30</v>
      </c>
      <c r="V3023">
        <v>8</v>
      </c>
    </row>
    <row r="3024" spans="1:22" x14ac:dyDescent="0.25">
      <c r="A3024" t="s">
        <v>6518</v>
      </c>
      <c r="B3024" s="1">
        <v>45224</v>
      </c>
      <c r="C3024" t="s">
        <v>6519</v>
      </c>
      <c r="D3024" t="s">
        <v>1338</v>
      </c>
      <c r="E3024">
        <v>31</v>
      </c>
      <c r="F3024" t="str">
        <f>IF(Table1[[#This Row],[age]]&lt;=25,"18-25",IF(Table1[[#This Row],[age]]&lt;=35,"26-35",IF(Table1[[#This Row],[age]]&lt;=50,"36-50","51+")))</f>
        <v>26-35</v>
      </c>
      <c r="G3024" t="s">
        <v>54</v>
      </c>
      <c r="H3024" t="s">
        <v>69</v>
      </c>
      <c r="I3024" t="s">
        <v>221</v>
      </c>
      <c r="J3024" t="s">
        <v>47</v>
      </c>
      <c r="K3024" t="s">
        <v>120</v>
      </c>
      <c r="L3024">
        <v>9</v>
      </c>
      <c r="M3024">
        <v>224.99</v>
      </c>
      <c r="N3024">
        <v>0.21</v>
      </c>
      <c r="O3024">
        <v>1955.07</v>
      </c>
      <c r="P3024">
        <v>489.85</v>
      </c>
      <c r="Q3024">
        <v>81.53</v>
      </c>
      <c r="R3024" t="s">
        <v>43</v>
      </c>
      <c r="S3024">
        <v>3</v>
      </c>
      <c r="T3024" t="b">
        <v>0</v>
      </c>
      <c r="U3024" t="s">
        <v>93</v>
      </c>
      <c r="V3024">
        <v>1</v>
      </c>
    </row>
    <row r="3025" spans="1:22" x14ac:dyDescent="0.25">
      <c r="A3025" t="s">
        <v>6520</v>
      </c>
      <c r="B3025" s="1">
        <v>44002</v>
      </c>
      <c r="C3025" t="s">
        <v>6521</v>
      </c>
      <c r="D3025" t="s">
        <v>40</v>
      </c>
      <c r="E3025">
        <v>51</v>
      </c>
      <c r="F3025" t="str">
        <f>IF(Table1[[#This Row],[age]]&lt;=25,"18-25",IF(Table1[[#This Row],[age]]&lt;=35,"26-35",IF(Table1[[#This Row],[age]]&lt;=50,"36-50","51+")))</f>
        <v>51+</v>
      </c>
      <c r="G3025" t="s">
        <v>24</v>
      </c>
      <c r="H3025" t="s">
        <v>25</v>
      </c>
      <c r="I3025" t="s">
        <v>35</v>
      </c>
      <c r="J3025" t="s">
        <v>47</v>
      </c>
      <c r="K3025" t="s">
        <v>272</v>
      </c>
      <c r="L3025">
        <v>4</v>
      </c>
      <c r="M3025">
        <v>579.35</v>
      </c>
      <c r="N3025">
        <v>0.35</v>
      </c>
      <c r="O3025">
        <v>1835.02</v>
      </c>
      <c r="P3025">
        <v>1058.6500000000001</v>
      </c>
      <c r="Q3025">
        <v>60.19</v>
      </c>
      <c r="R3025" t="s">
        <v>43</v>
      </c>
      <c r="S3025">
        <v>2</v>
      </c>
      <c r="T3025" t="b">
        <v>0</v>
      </c>
      <c r="U3025" t="s">
        <v>93</v>
      </c>
      <c r="V3025">
        <v>7</v>
      </c>
    </row>
    <row r="3026" spans="1:22" x14ac:dyDescent="0.25">
      <c r="A3026" t="s">
        <v>6522</v>
      </c>
      <c r="B3026" s="1">
        <v>44020</v>
      </c>
      <c r="C3026" t="s">
        <v>6523</v>
      </c>
      <c r="D3026" t="s">
        <v>904</v>
      </c>
      <c r="E3026">
        <v>46</v>
      </c>
      <c r="F3026" t="str">
        <f>IF(Table1[[#This Row],[age]]&lt;=25,"18-25",IF(Table1[[#This Row],[age]]&lt;=35,"26-35",IF(Table1[[#This Row],[age]]&lt;=50,"36-50","51+")))</f>
        <v>36-50</v>
      </c>
      <c r="G3026" t="s">
        <v>24</v>
      </c>
      <c r="H3026" t="s">
        <v>80</v>
      </c>
      <c r="I3026" t="s">
        <v>236</v>
      </c>
      <c r="J3026" t="s">
        <v>101</v>
      </c>
      <c r="K3026" t="s">
        <v>214</v>
      </c>
      <c r="L3026">
        <v>8</v>
      </c>
      <c r="M3026">
        <v>14501.84</v>
      </c>
      <c r="N3026">
        <v>0.35</v>
      </c>
      <c r="O3026">
        <v>102399.25</v>
      </c>
      <c r="P3026">
        <v>25057.46</v>
      </c>
      <c r="Q3026">
        <v>74.64</v>
      </c>
      <c r="R3026" t="s">
        <v>29</v>
      </c>
      <c r="S3026">
        <v>1</v>
      </c>
      <c r="T3026" t="b">
        <v>0</v>
      </c>
      <c r="U3026" t="s">
        <v>30</v>
      </c>
      <c r="V3026">
        <v>5</v>
      </c>
    </row>
    <row r="3027" spans="1:22" x14ac:dyDescent="0.25">
      <c r="A3027" t="s">
        <v>6524</v>
      </c>
      <c r="B3027" s="1">
        <v>43839</v>
      </c>
      <c r="C3027" t="s">
        <v>6525</v>
      </c>
      <c r="D3027" t="s">
        <v>3259</v>
      </c>
      <c r="E3027">
        <v>54</v>
      </c>
      <c r="F3027" t="str">
        <f>IF(Table1[[#This Row],[age]]&lt;=25,"18-25",IF(Table1[[#This Row],[age]]&lt;=35,"26-35",IF(Table1[[#This Row],[age]]&lt;=50,"36-50","51+")))</f>
        <v>51+</v>
      </c>
      <c r="G3027" t="s">
        <v>24</v>
      </c>
      <c r="H3027" t="s">
        <v>80</v>
      </c>
      <c r="I3027" t="s">
        <v>86</v>
      </c>
      <c r="J3027" t="s">
        <v>106</v>
      </c>
      <c r="K3027" t="s">
        <v>188</v>
      </c>
      <c r="L3027">
        <v>1</v>
      </c>
      <c r="M3027">
        <v>454.8</v>
      </c>
      <c r="N3027">
        <v>0.36</v>
      </c>
      <c r="O3027">
        <v>220.25</v>
      </c>
      <c r="P3027">
        <v>21.68</v>
      </c>
      <c r="Q3027">
        <v>67.900000000000006</v>
      </c>
      <c r="R3027" t="s">
        <v>49</v>
      </c>
      <c r="S3027">
        <v>2</v>
      </c>
      <c r="T3027" t="b">
        <v>0</v>
      </c>
      <c r="U3027" t="s">
        <v>30</v>
      </c>
      <c r="V3027">
        <v>6</v>
      </c>
    </row>
    <row r="3028" spans="1:22" x14ac:dyDescent="0.25">
      <c r="A3028" t="s">
        <v>6526</v>
      </c>
      <c r="B3028" s="1">
        <v>44301</v>
      </c>
      <c r="C3028" t="s">
        <v>6527</v>
      </c>
      <c r="D3028" t="s">
        <v>1977</v>
      </c>
      <c r="E3028">
        <v>33</v>
      </c>
      <c r="F3028" t="str">
        <f>IF(Table1[[#This Row],[age]]&lt;=25,"18-25",IF(Table1[[#This Row],[age]]&lt;=35,"26-35",IF(Table1[[#This Row],[age]]&lt;=50,"36-50","51+")))</f>
        <v>26-35</v>
      </c>
      <c r="G3028" t="s">
        <v>34</v>
      </c>
      <c r="H3028" t="s">
        <v>80</v>
      </c>
      <c r="I3028" t="s">
        <v>86</v>
      </c>
      <c r="J3028" t="s">
        <v>115</v>
      </c>
      <c r="K3028" t="s">
        <v>545</v>
      </c>
      <c r="L3028">
        <v>10</v>
      </c>
      <c r="M3028">
        <v>76400.639999999999</v>
      </c>
      <c r="N3028">
        <v>0.21</v>
      </c>
      <c r="O3028">
        <v>741543.82</v>
      </c>
      <c r="P3028">
        <v>80532.820000000007</v>
      </c>
      <c r="Q3028">
        <v>72.349999999999994</v>
      </c>
      <c r="R3028" t="s">
        <v>57</v>
      </c>
      <c r="S3028">
        <v>2</v>
      </c>
      <c r="T3028" t="b">
        <v>0</v>
      </c>
      <c r="U3028" t="s">
        <v>193</v>
      </c>
      <c r="V3028">
        <v>9</v>
      </c>
    </row>
    <row r="3029" spans="1:22" x14ac:dyDescent="0.25">
      <c r="A3029" t="s">
        <v>6528</v>
      </c>
      <c r="B3029" s="1">
        <v>44829</v>
      </c>
      <c r="C3029" t="s">
        <v>6529</v>
      </c>
      <c r="D3029" t="s">
        <v>1141</v>
      </c>
      <c r="E3029">
        <v>52</v>
      </c>
      <c r="F3029" t="str">
        <f>IF(Table1[[#This Row],[age]]&lt;=25,"18-25",IF(Table1[[#This Row],[age]]&lt;=35,"26-35",IF(Table1[[#This Row],[age]]&lt;=50,"36-50","51+")))</f>
        <v>51+</v>
      </c>
      <c r="G3029" t="s">
        <v>34</v>
      </c>
      <c r="H3029" t="s">
        <v>80</v>
      </c>
      <c r="I3029" t="s">
        <v>236</v>
      </c>
      <c r="J3029" t="s">
        <v>27</v>
      </c>
      <c r="K3029" t="s">
        <v>128</v>
      </c>
      <c r="L3029">
        <v>3</v>
      </c>
      <c r="M3029">
        <v>1334.72</v>
      </c>
      <c r="N3029">
        <v>0.14000000000000001</v>
      </c>
      <c r="O3029">
        <v>4167.5</v>
      </c>
      <c r="P3029">
        <v>1517.77</v>
      </c>
      <c r="Q3029">
        <v>68.86</v>
      </c>
      <c r="R3029" t="s">
        <v>92</v>
      </c>
      <c r="S3029">
        <v>1</v>
      </c>
      <c r="T3029" t="b">
        <v>0</v>
      </c>
      <c r="U3029" t="s">
        <v>30</v>
      </c>
      <c r="V3029">
        <v>5</v>
      </c>
    </row>
    <row r="3030" spans="1:22" x14ac:dyDescent="0.25">
      <c r="A3030" t="s">
        <v>6530</v>
      </c>
      <c r="B3030" s="1">
        <v>44216</v>
      </c>
      <c r="C3030" t="s">
        <v>6531</v>
      </c>
      <c r="D3030" t="s">
        <v>1644</v>
      </c>
      <c r="E3030">
        <v>43</v>
      </c>
      <c r="F3030" t="str">
        <f>IF(Table1[[#This Row],[age]]&lt;=25,"18-25",IF(Table1[[#This Row],[age]]&lt;=35,"26-35",IF(Table1[[#This Row],[age]]&lt;=50,"36-50","51+")))</f>
        <v>36-50</v>
      </c>
      <c r="G3030" t="s">
        <v>34</v>
      </c>
      <c r="H3030" t="s">
        <v>80</v>
      </c>
      <c r="I3030" t="s">
        <v>236</v>
      </c>
      <c r="J3030" t="s">
        <v>101</v>
      </c>
      <c r="K3030" t="s">
        <v>164</v>
      </c>
      <c r="L3030">
        <v>7</v>
      </c>
      <c r="M3030">
        <v>12247.06</v>
      </c>
      <c r="N3030">
        <v>7.0000000000000007E-2</v>
      </c>
      <c r="O3030">
        <v>61250.51</v>
      </c>
      <c r="P3030">
        <v>11670.83</v>
      </c>
      <c r="Q3030">
        <v>87.17</v>
      </c>
      <c r="R3030" t="s">
        <v>57</v>
      </c>
      <c r="S3030">
        <v>4</v>
      </c>
      <c r="T3030" t="b">
        <v>0</v>
      </c>
      <c r="U3030" t="s">
        <v>193</v>
      </c>
      <c r="V3030">
        <v>5</v>
      </c>
    </row>
    <row r="3031" spans="1:22" x14ac:dyDescent="0.25">
      <c r="A3031" t="s">
        <v>6532</v>
      </c>
      <c r="B3031" s="1">
        <v>45083</v>
      </c>
      <c r="C3031" t="s">
        <v>6533</v>
      </c>
      <c r="D3031" t="s">
        <v>281</v>
      </c>
      <c r="E3031">
        <v>25</v>
      </c>
      <c r="F3031" t="str">
        <f>IF(Table1[[#This Row],[age]]&lt;=25,"18-25",IF(Table1[[#This Row],[age]]&lt;=35,"26-35",IF(Table1[[#This Row],[age]]&lt;=50,"36-50","51+")))</f>
        <v>18-25</v>
      </c>
      <c r="G3031" t="s">
        <v>34</v>
      </c>
      <c r="H3031" t="s">
        <v>69</v>
      </c>
      <c r="I3031" t="s">
        <v>181</v>
      </c>
      <c r="J3031" t="s">
        <v>27</v>
      </c>
      <c r="K3031" t="s">
        <v>480</v>
      </c>
      <c r="L3031">
        <v>1</v>
      </c>
      <c r="M3031">
        <v>123.79</v>
      </c>
      <c r="N3031">
        <v>0.17</v>
      </c>
      <c r="O3031">
        <v>167.72</v>
      </c>
      <c r="P3031">
        <v>67.47</v>
      </c>
      <c r="Q3031">
        <v>49.95</v>
      </c>
      <c r="R3031" t="s">
        <v>57</v>
      </c>
      <c r="S3031">
        <v>3</v>
      </c>
      <c r="T3031" t="b">
        <v>0</v>
      </c>
      <c r="U3031" t="s">
        <v>30</v>
      </c>
      <c r="V3031">
        <v>3</v>
      </c>
    </row>
    <row r="3032" spans="1:22" x14ac:dyDescent="0.25">
      <c r="A3032" t="s">
        <v>6534</v>
      </c>
      <c r="B3032" s="1">
        <v>44961</v>
      </c>
      <c r="C3032" t="s">
        <v>6535</v>
      </c>
      <c r="D3032" t="s">
        <v>140</v>
      </c>
      <c r="E3032">
        <v>27</v>
      </c>
      <c r="F3032" t="str">
        <f>IF(Table1[[#This Row],[age]]&lt;=25,"18-25",IF(Table1[[#This Row],[age]]&lt;=35,"26-35",IF(Table1[[#This Row],[age]]&lt;=50,"36-50","51+")))</f>
        <v>26-35</v>
      </c>
      <c r="G3032" t="s">
        <v>54</v>
      </c>
      <c r="H3032" t="s">
        <v>61</v>
      </c>
      <c r="I3032" t="s">
        <v>62</v>
      </c>
      <c r="J3032" t="s">
        <v>27</v>
      </c>
      <c r="K3032" t="s">
        <v>480</v>
      </c>
      <c r="L3032">
        <v>5</v>
      </c>
      <c r="M3032">
        <v>1931.12</v>
      </c>
      <c r="N3032">
        <v>0.02</v>
      </c>
      <c r="O3032">
        <v>10949.84</v>
      </c>
      <c r="P3032">
        <v>3362.6</v>
      </c>
      <c r="Q3032">
        <v>79.88</v>
      </c>
      <c r="R3032" t="s">
        <v>92</v>
      </c>
      <c r="S3032">
        <v>1</v>
      </c>
      <c r="T3032" t="b">
        <v>0</v>
      </c>
      <c r="U3032" t="s">
        <v>30</v>
      </c>
      <c r="V3032">
        <v>9</v>
      </c>
    </row>
    <row r="3033" spans="1:22" x14ac:dyDescent="0.25">
      <c r="A3033" t="s">
        <v>6536</v>
      </c>
      <c r="B3033" s="1">
        <v>45313</v>
      </c>
      <c r="C3033" t="s">
        <v>6537</v>
      </c>
      <c r="D3033" t="s">
        <v>671</v>
      </c>
      <c r="E3033">
        <v>47</v>
      </c>
      <c r="F3033" t="str">
        <f>IF(Table1[[#This Row],[age]]&lt;=25,"18-25",IF(Table1[[#This Row],[age]]&lt;=35,"26-35",IF(Table1[[#This Row],[age]]&lt;=50,"36-50","51+")))</f>
        <v>36-50</v>
      </c>
      <c r="G3033" t="s">
        <v>34</v>
      </c>
      <c r="H3033" t="s">
        <v>80</v>
      </c>
      <c r="I3033" t="s">
        <v>242</v>
      </c>
      <c r="J3033" t="s">
        <v>106</v>
      </c>
      <c r="K3033" t="s">
        <v>247</v>
      </c>
      <c r="L3033">
        <v>7</v>
      </c>
      <c r="M3033">
        <v>317.18</v>
      </c>
      <c r="N3033">
        <v>0.04</v>
      </c>
      <c r="O3033">
        <v>2340.06</v>
      </c>
      <c r="P3033">
        <v>216.78</v>
      </c>
      <c r="Q3033">
        <v>80.19</v>
      </c>
      <c r="R3033" t="s">
        <v>49</v>
      </c>
      <c r="S3033">
        <v>4</v>
      </c>
      <c r="T3033" t="b">
        <v>0</v>
      </c>
      <c r="U3033" t="s">
        <v>30</v>
      </c>
      <c r="V3033">
        <v>9</v>
      </c>
    </row>
    <row r="3034" spans="1:22" x14ac:dyDescent="0.25">
      <c r="A3034" t="s">
        <v>6538</v>
      </c>
      <c r="B3034" s="1">
        <v>44576</v>
      </c>
      <c r="C3034" t="s">
        <v>6539</v>
      </c>
      <c r="D3034" t="s">
        <v>3692</v>
      </c>
      <c r="E3034">
        <v>29</v>
      </c>
      <c r="F3034" t="str">
        <f>IF(Table1[[#This Row],[age]]&lt;=25,"18-25",IF(Table1[[#This Row],[age]]&lt;=35,"26-35",IF(Table1[[#This Row],[age]]&lt;=50,"36-50","51+")))</f>
        <v>26-35</v>
      </c>
      <c r="G3034" t="s">
        <v>54</v>
      </c>
      <c r="H3034" t="s">
        <v>61</v>
      </c>
      <c r="I3034" t="s">
        <v>141</v>
      </c>
      <c r="J3034" t="s">
        <v>63</v>
      </c>
      <c r="K3034" t="s">
        <v>64</v>
      </c>
      <c r="L3034">
        <v>2</v>
      </c>
      <c r="M3034">
        <v>2248.1</v>
      </c>
      <c r="N3034">
        <v>0.26</v>
      </c>
      <c r="O3034">
        <v>3192.69</v>
      </c>
      <c r="P3034">
        <v>1599.72</v>
      </c>
      <c r="Q3034">
        <v>34.36</v>
      </c>
      <c r="R3034" t="s">
        <v>49</v>
      </c>
      <c r="S3034">
        <v>4</v>
      </c>
      <c r="T3034" t="b">
        <v>1</v>
      </c>
      <c r="U3034" t="s">
        <v>50</v>
      </c>
      <c r="V3034">
        <v>5</v>
      </c>
    </row>
    <row r="3035" spans="1:22" x14ac:dyDescent="0.25">
      <c r="A3035" t="s">
        <v>6540</v>
      </c>
      <c r="B3035" s="1">
        <v>44422</v>
      </c>
      <c r="C3035" t="s">
        <v>6541</v>
      </c>
      <c r="D3035" t="s">
        <v>227</v>
      </c>
      <c r="E3035">
        <v>44</v>
      </c>
      <c r="F3035" t="str">
        <f>IF(Table1[[#This Row],[age]]&lt;=25,"18-25",IF(Table1[[#This Row],[age]]&lt;=35,"26-35",IF(Table1[[#This Row],[age]]&lt;=50,"36-50","51+")))</f>
        <v>36-50</v>
      </c>
      <c r="G3035" t="s">
        <v>34</v>
      </c>
      <c r="H3035" t="s">
        <v>80</v>
      </c>
      <c r="I3035" t="s">
        <v>86</v>
      </c>
      <c r="J3035" t="s">
        <v>36</v>
      </c>
      <c r="K3035" t="s">
        <v>42</v>
      </c>
      <c r="L3035">
        <v>3</v>
      </c>
      <c r="M3035">
        <v>6100.73</v>
      </c>
      <c r="N3035">
        <v>0.35</v>
      </c>
      <c r="O3035">
        <v>16831.689999999999</v>
      </c>
      <c r="P3035">
        <v>4667.8999999999996</v>
      </c>
      <c r="Q3035">
        <v>82.45</v>
      </c>
      <c r="R3035" t="s">
        <v>49</v>
      </c>
      <c r="S3035">
        <v>5</v>
      </c>
      <c r="T3035" t="b">
        <v>0</v>
      </c>
      <c r="U3035" t="s">
        <v>93</v>
      </c>
      <c r="V3035">
        <v>2</v>
      </c>
    </row>
    <row r="3036" spans="1:22" x14ac:dyDescent="0.25">
      <c r="A3036" t="s">
        <v>6542</v>
      </c>
      <c r="B3036" s="1">
        <v>44647</v>
      </c>
      <c r="C3036" t="s">
        <v>6543</v>
      </c>
      <c r="D3036" t="s">
        <v>1641</v>
      </c>
      <c r="E3036">
        <v>43</v>
      </c>
      <c r="F3036" t="str">
        <f>IF(Table1[[#This Row],[age]]&lt;=25,"18-25",IF(Table1[[#This Row],[age]]&lt;=35,"26-35",IF(Table1[[#This Row],[age]]&lt;=50,"36-50","51+")))</f>
        <v>36-50</v>
      </c>
      <c r="G3036" t="s">
        <v>24</v>
      </c>
      <c r="H3036" t="s">
        <v>80</v>
      </c>
      <c r="I3036" t="s">
        <v>81</v>
      </c>
      <c r="J3036" t="s">
        <v>115</v>
      </c>
      <c r="K3036" t="s">
        <v>137</v>
      </c>
      <c r="L3036">
        <v>6</v>
      </c>
      <c r="M3036">
        <v>36964.92</v>
      </c>
      <c r="N3036">
        <v>7.0000000000000007E-2</v>
      </c>
      <c r="O3036">
        <v>229078.34</v>
      </c>
      <c r="P3036">
        <v>22543.08</v>
      </c>
      <c r="Q3036">
        <v>71.02</v>
      </c>
      <c r="R3036" t="s">
        <v>65</v>
      </c>
      <c r="S3036">
        <v>3</v>
      </c>
      <c r="T3036" t="b">
        <v>0</v>
      </c>
      <c r="U3036" t="s">
        <v>30</v>
      </c>
      <c r="V3036">
        <v>6</v>
      </c>
    </row>
    <row r="3037" spans="1:22" x14ac:dyDescent="0.25">
      <c r="A3037" t="s">
        <v>6544</v>
      </c>
      <c r="B3037" s="1">
        <v>45166</v>
      </c>
      <c r="C3037" t="s">
        <v>6545</v>
      </c>
      <c r="D3037" t="s">
        <v>685</v>
      </c>
      <c r="E3037">
        <v>19</v>
      </c>
      <c r="F3037" t="str">
        <f>IF(Table1[[#This Row],[age]]&lt;=25,"18-25",IF(Table1[[#This Row],[age]]&lt;=35,"26-35",IF(Table1[[#This Row],[age]]&lt;=50,"36-50","51+")))</f>
        <v>18-25</v>
      </c>
      <c r="G3037" t="s">
        <v>34</v>
      </c>
      <c r="H3037" t="s">
        <v>69</v>
      </c>
      <c r="I3037" t="s">
        <v>70</v>
      </c>
      <c r="J3037" t="s">
        <v>47</v>
      </c>
      <c r="K3037" t="s">
        <v>272</v>
      </c>
      <c r="L3037">
        <v>7</v>
      </c>
      <c r="M3037">
        <v>1441.05</v>
      </c>
      <c r="N3037">
        <v>0.28999999999999998</v>
      </c>
      <c r="O3037">
        <v>9079.99</v>
      </c>
      <c r="P3037">
        <v>2820.94</v>
      </c>
      <c r="Q3037">
        <v>86.34</v>
      </c>
      <c r="R3037" t="s">
        <v>29</v>
      </c>
      <c r="S3037">
        <v>3</v>
      </c>
      <c r="T3037" t="b">
        <v>1</v>
      </c>
      <c r="U3037" t="s">
        <v>50</v>
      </c>
      <c r="V3037">
        <v>10</v>
      </c>
    </row>
    <row r="3038" spans="1:22" x14ac:dyDescent="0.25">
      <c r="A3038" t="s">
        <v>6546</v>
      </c>
      <c r="B3038" s="1">
        <v>43938</v>
      </c>
      <c r="C3038" t="s">
        <v>6547</v>
      </c>
      <c r="D3038" t="s">
        <v>772</v>
      </c>
      <c r="E3038">
        <v>40</v>
      </c>
      <c r="F3038" t="str">
        <f>IF(Table1[[#This Row],[age]]&lt;=25,"18-25",IF(Table1[[#This Row],[age]]&lt;=35,"26-35",IF(Table1[[#This Row],[age]]&lt;=50,"36-50","51+")))</f>
        <v>36-50</v>
      </c>
      <c r="G3038" t="s">
        <v>54</v>
      </c>
      <c r="H3038" t="s">
        <v>69</v>
      </c>
      <c r="I3038" t="s">
        <v>221</v>
      </c>
      <c r="J3038" t="s">
        <v>106</v>
      </c>
      <c r="K3038" t="s">
        <v>718</v>
      </c>
      <c r="L3038">
        <v>3</v>
      </c>
      <c r="M3038">
        <v>211.24</v>
      </c>
      <c r="N3038">
        <v>0.18</v>
      </c>
      <c r="O3038">
        <v>628.26</v>
      </c>
      <c r="P3038">
        <v>55.71</v>
      </c>
      <c r="Q3038">
        <v>90.81</v>
      </c>
      <c r="R3038" t="s">
        <v>57</v>
      </c>
      <c r="S3038">
        <v>3</v>
      </c>
      <c r="T3038" t="b">
        <v>0</v>
      </c>
      <c r="U3038" t="s">
        <v>30</v>
      </c>
      <c r="V3038">
        <v>10</v>
      </c>
    </row>
    <row r="3039" spans="1:22" x14ac:dyDescent="0.25">
      <c r="A3039" t="s">
        <v>6548</v>
      </c>
      <c r="B3039" s="1">
        <v>44252</v>
      </c>
      <c r="C3039" t="s">
        <v>6549</v>
      </c>
      <c r="D3039" t="s">
        <v>85</v>
      </c>
      <c r="E3039">
        <v>33</v>
      </c>
      <c r="F3039" t="str">
        <f>IF(Table1[[#This Row],[age]]&lt;=25,"18-25",IF(Table1[[#This Row],[age]]&lt;=35,"26-35",IF(Table1[[#This Row],[age]]&lt;=50,"36-50","51+")))</f>
        <v>26-35</v>
      </c>
      <c r="G3039" t="s">
        <v>34</v>
      </c>
      <c r="H3039" t="s">
        <v>80</v>
      </c>
      <c r="I3039" t="s">
        <v>242</v>
      </c>
      <c r="J3039" t="s">
        <v>115</v>
      </c>
      <c r="K3039" t="s">
        <v>145</v>
      </c>
      <c r="L3039">
        <v>10</v>
      </c>
      <c r="M3039">
        <v>39470.47</v>
      </c>
      <c r="N3039">
        <v>0.03</v>
      </c>
      <c r="O3039">
        <v>381281.41</v>
      </c>
      <c r="P3039">
        <v>61665.08</v>
      </c>
      <c r="Q3039">
        <v>68.19</v>
      </c>
      <c r="R3039" t="s">
        <v>29</v>
      </c>
      <c r="S3039">
        <v>1</v>
      </c>
      <c r="T3039" t="b">
        <v>1</v>
      </c>
      <c r="U3039" t="s">
        <v>50</v>
      </c>
      <c r="V3039">
        <v>9</v>
      </c>
    </row>
    <row r="3040" spans="1:22" x14ac:dyDescent="0.25">
      <c r="A3040" t="s">
        <v>6550</v>
      </c>
      <c r="B3040" s="1">
        <v>44871</v>
      </c>
      <c r="C3040" t="s">
        <v>6551</v>
      </c>
      <c r="D3040" t="s">
        <v>754</v>
      </c>
      <c r="E3040">
        <v>45</v>
      </c>
      <c r="F3040" t="str">
        <f>IF(Table1[[#This Row],[age]]&lt;=25,"18-25",IF(Table1[[#This Row],[age]]&lt;=35,"26-35",IF(Table1[[#This Row],[age]]&lt;=50,"36-50","51+")))</f>
        <v>36-50</v>
      </c>
      <c r="G3040" t="s">
        <v>24</v>
      </c>
      <c r="H3040" t="s">
        <v>80</v>
      </c>
      <c r="I3040" t="s">
        <v>242</v>
      </c>
      <c r="J3040" t="s">
        <v>47</v>
      </c>
      <c r="K3040" t="s">
        <v>600</v>
      </c>
      <c r="L3040">
        <v>6</v>
      </c>
      <c r="M3040">
        <v>922.08</v>
      </c>
      <c r="N3040">
        <v>0.39</v>
      </c>
      <c r="O3040">
        <v>2622.16</v>
      </c>
      <c r="P3040">
        <v>1193.45</v>
      </c>
      <c r="Q3040">
        <v>101.28</v>
      </c>
      <c r="R3040" t="s">
        <v>65</v>
      </c>
      <c r="S3040">
        <v>5</v>
      </c>
      <c r="T3040" t="b">
        <v>0</v>
      </c>
      <c r="U3040" t="s">
        <v>30</v>
      </c>
      <c r="V3040">
        <v>9</v>
      </c>
    </row>
    <row r="3041" spans="1:22" x14ac:dyDescent="0.25">
      <c r="A3041" t="s">
        <v>6552</v>
      </c>
      <c r="B3041" s="1">
        <v>44772</v>
      </c>
      <c r="C3041" t="s">
        <v>6553</v>
      </c>
      <c r="D3041" t="s">
        <v>191</v>
      </c>
      <c r="E3041">
        <v>45</v>
      </c>
      <c r="F3041" t="str">
        <f>IF(Table1[[#This Row],[age]]&lt;=25,"18-25",IF(Table1[[#This Row],[age]]&lt;=35,"26-35",IF(Table1[[#This Row],[age]]&lt;=50,"36-50","51+")))</f>
        <v>36-50</v>
      </c>
      <c r="G3041" t="s">
        <v>34</v>
      </c>
      <c r="H3041" t="s">
        <v>25</v>
      </c>
      <c r="I3041" t="s">
        <v>41</v>
      </c>
      <c r="J3041" t="s">
        <v>63</v>
      </c>
      <c r="K3041" t="s">
        <v>87</v>
      </c>
      <c r="L3041">
        <v>3</v>
      </c>
      <c r="M3041">
        <v>1239.18</v>
      </c>
      <c r="N3041">
        <v>0.11</v>
      </c>
      <c r="O3041">
        <v>4592.68</v>
      </c>
      <c r="P3041">
        <v>1338.61</v>
      </c>
      <c r="Q3041">
        <v>61.11</v>
      </c>
      <c r="R3041" t="s">
        <v>43</v>
      </c>
      <c r="S3041">
        <v>1</v>
      </c>
      <c r="T3041" t="b">
        <v>0</v>
      </c>
      <c r="U3041" t="s">
        <v>71</v>
      </c>
      <c r="V3041">
        <v>10</v>
      </c>
    </row>
    <row r="3042" spans="1:22" x14ac:dyDescent="0.25">
      <c r="A3042" t="s">
        <v>6554</v>
      </c>
      <c r="B3042" s="1">
        <v>44502</v>
      </c>
      <c r="C3042" t="s">
        <v>6555</v>
      </c>
      <c r="D3042" t="s">
        <v>1921</v>
      </c>
      <c r="E3042">
        <v>52</v>
      </c>
      <c r="F3042" t="str">
        <f>IF(Table1[[#This Row],[age]]&lt;=25,"18-25",IF(Table1[[#This Row],[age]]&lt;=35,"26-35",IF(Table1[[#This Row],[age]]&lt;=50,"36-50","51+")))</f>
        <v>51+</v>
      </c>
      <c r="G3042" t="s">
        <v>34</v>
      </c>
      <c r="H3042" t="s">
        <v>25</v>
      </c>
      <c r="I3042" t="s">
        <v>26</v>
      </c>
      <c r="J3042" t="s">
        <v>106</v>
      </c>
      <c r="K3042" t="s">
        <v>188</v>
      </c>
      <c r="L3042">
        <v>3</v>
      </c>
      <c r="M3042">
        <v>398.14</v>
      </c>
      <c r="N3042">
        <v>0.25</v>
      </c>
      <c r="O3042">
        <v>680.62</v>
      </c>
      <c r="P3042">
        <v>46.49</v>
      </c>
      <c r="Q3042">
        <v>38.92</v>
      </c>
      <c r="R3042" t="s">
        <v>43</v>
      </c>
      <c r="S3042">
        <v>1</v>
      </c>
      <c r="T3042" t="b">
        <v>1</v>
      </c>
      <c r="U3042" t="s">
        <v>50</v>
      </c>
      <c r="V3042">
        <v>10</v>
      </c>
    </row>
    <row r="3043" spans="1:22" x14ac:dyDescent="0.25">
      <c r="A3043" t="s">
        <v>6556</v>
      </c>
      <c r="B3043" s="1">
        <v>44950</v>
      </c>
      <c r="C3043" t="s">
        <v>6557</v>
      </c>
      <c r="D3043" t="s">
        <v>711</v>
      </c>
      <c r="E3043">
        <v>33</v>
      </c>
      <c r="F3043" t="str">
        <f>IF(Table1[[#This Row],[age]]&lt;=25,"18-25",IF(Table1[[#This Row],[age]]&lt;=35,"26-35",IF(Table1[[#This Row],[age]]&lt;=50,"36-50","51+")))</f>
        <v>26-35</v>
      </c>
      <c r="G3043" t="s">
        <v>24</v>
      </c>
      <c r="H3043" t="s">
        <v>55</v>
      </c>
      <c r="I3043" t="s">
        <v>114</v>
      </c>
      <c r="J3043" t="s">
        <v>47</v>
      </c>
      <c r="K3043" t="s">
        <v>156</v>
      </c>
      <c r="L3043">
        <v>6</v>
      </c>
      <c r="M3043">
        <v>1149.8599999999999</v>
      </c>
      <c r="N3043">
        <v>0.21</v>
      </c>
      <c r="O3043">
        <v>5203.29</v>
      </c>
      <c r="P3043">
        <v>2215.79</v>
      </c>
      <c r="Q3043">
        <v>26.1</v>
      </c>
      <c r="R3043" t="s">
        <v>29</v>
      </c>
      <c r="S3043">
        <v>4</v>
      </c>
      <c r="T3043" t="b">
        <v>1</v>
      </c>
      <c r="U3043" t="s">
        <v>50</v>
      </c>
      <c r="V3043">
        <v>8</v>
      </c>
    </row>
    <row r="3044" spans="1:22" x14ac:dyDescent="0.25">
      <c r="A3044" t="s">
        <v>6558</v>
      </c>
      <c r="B3044" s="1">
        <v>44528</v>
      </c>
      <c r="C3044" t="s">
        <v>6559</v>
      </c>
      <c r="D3044" t="s">
        <v>711</v>
      </c>
      <c r="E3044">
        <v>32</v>
      </c>
      <c r="F3044" t="str">
        <f>IF(Table1[[#This Row],[age]]&lt;=25,"18-25",IF(Table1[[#This Row],[age]]&lt;=35,"26-35",IF(Table1[[#This Row],[age]]&lt;=50,"36-50","51+")))</f>
        <v>26-35</v>
      </c>
      <c r="G3044" t="s">
        <v>24</v>
      </c>
      <c r="H3044" t="s">
        <v>69</v>
      </c>
      <c r="I3044" t="s">
        <v>221</v>
      </c>
      <c r="J3044" t="s">
        <v>27</v>
      </c>
      <c r="K3044" t="s">
        <v>128</v>
      </c>
      <c r="L3044">
        <v>8</v>
      </c>
      <c r="M3044">
        <v>1512.26</v>
      </c>
      <c r="N3044">
        <v>0.28999999999999998</v>
      </c>
      <c r="O3044">
        <v>7442.04</v>
      </c>
      <c r="P3044">
        <v>1712.58</v>
      </c>
      <c r="Q3044">
        <v>87.62</v>
      </c>
      <c r="R3044" t="s">
        <v>92</v>
      </c>
      <c r="S3044">
        <v>3</v>
      </c>
      <c r="T3044" t="b">
        <v>0</v>
      </c>
      <c r="U3044" t="s">
        <v>30</v>
      </c>
      <c r="V3044">
        <v>3</v>
      </c>
    </row>
    <row r="3045" spans="1:22" x14ac:dyDescent="0.25">
      <c r="A3045" t="s">
        <v>6560</v>
      </c>
      <c r="B3045" s="1">
        <v>45225</v>
      </c>
      <c r="C3045" t="s">
        <v>6561</v>
      </c>
      <c r="D3045" t="s">
        <v>2008</v>
      </c>
      <c r="E3045">
        <v>37</v>
      </c>
      <c r="F3045" t="str">
        <f>IF(Table1[[#This Row],[age]]&lt;=25,"18-25",IF(Table1[[#This Row],[age]]&lt;=35,"26-35",IF(Table1[[#This Row],[age]]&lt;=50,"36-50","51+")))</f>
        <v>36-50</v>
      </c>
      <c r="G3045" t="s">
        <v>24</v>
      </c>
      <c r="H3045" t="s">
        <v>55</v>
      </c>
      <c r="I3045" t="s">
        <v>114</v>
      </c>
      <c r="J3045" t="s">
        <v>63</v>
      </c>
      <c r="K3045" t="s">
        <v>64</v>
      </c>
      <c r="L3045">
        <v>4</v>
      </c>
      <c r="M3045">
        <v>594.33000000000004</v>
      </c>
      <c r="N3045">
        <v>7.0000000000000007E-2</v>
      </c>
      <c r="O3045">
        <v>2462.17</v>
      </c>
      <c r="P3045">
        <v>786.24</v>
      </c>
      <c r="Q3045">
        <v>84.06</v>
      </c>
      <c r="R3045" t="s">
        <v>65</v>
      </c>
      <c r="S3045">
        <v>1</v>
      </c>
      <c r="T3045" t="b">
        <v>0</v>
      </c>
      <c r="U3045" t="s">
        <v>30</v>
      </c>
      <c r="V3045">
        <v>8</v>
      </c>
    </row>
    <row r="3046" spans="1:22" x14ac:dyDescent="0.25">
      <c r="A3046" t="s">
        <v>6562</v>
      </c>
      <c r="B3046" s="1">
        <v>45304</v>
      </c>
      <c r="C3046" t="s">
        <v>6563</v>
      </c>
      <c r="D3046" t="s">
        <v>397</v>
      </c>
      <c r="E3046">
        <v>34</v>
      </c>
      <c r="F3046" t="str">
        <f>IF(Table1[[#This Row],[age]]&lt;=25,"18-25",IF(Table1[[#This Row],[age]]&lt;=35,"26-35",IF(Table1[[#This Row],[age]]&lt;=50,"36-50","51+")))</f>
        <v>26-35</v>
      </c>
      <c r="G3046" t="s">
        <v>54</v>
      </c>
      <c r="H3046" t="s">
        <v>25</v>
      </c>
      <c r="I3046" t="s">
        <v>41</v>
      </c>
      <c r="J3046" t="s">
        <v>27</v>
      </c>
      <c r="K3046" t="s">
        <v>480</v>
      </c>
      <c r="L3046">
        <v>4</v>
      </c>
      <c r="M3046">
        <v>1042.68</v>
      </c>
      <c r="N3046">
        <v>0.12</v>
      </c>
      <c r="O3046">
        <v>3735.87</v>
      </c>
      <c r="P3046">
        <v>1923.69</v>
      </c>
      <c r="Q3046">
        <v>43.55</v>
      </c>
      <c r="R3046" t="s">
        <v>92</v>
      </c>
      <c r="S3046">
        <v>4</v>
      </c>
      <c r="T3046" t="b">
        <v>0</v>
      </c>
      <c r="U3046" t="s">
        <v>30</v>
      </c>
      <c r="V3046">
        <v>4</v>
      </c>
    </row>
    <row r="3047" spans="1:22" x14ac:dyDescent="0.25">
      <c r="A3047" t="s">
        <v>6564</v>
      </c>
      <c r="B3047" s="1">
        <v>45271</v>
      </c>
      <c r="C3047" t="s">
        <v>6565</v>
      </c>
      <c r="D3047" t="s">
        <v>381</v>
      </c>
      <c r="E3047">
        <v>29</v>
      </c>
      <c r="F3047" t="str">
        <f>IF(Table1[[#This Row],[age]]&lt;=25,"18-25",IF(Table1[[#This Row],[age]]&lt;=35,"26-35",IF(Table1[[#This Row],[age]]&lt;=50,"36-50","51+")))</f>
        <v>26-35</v>
      </c>
      <c r="G3047" t="s">
        <v>24</v>
      </c>
      <c r="H3047" t="s">
        <v>61</v>
      </c>
      <c r="I3047" t="s">
        <v>62</v>
      </c>
      <c r="J3047" t="s">
        <v>27</v>
      </c>
      <c r="K3047" t="s">
        <v>128</v>
      </c>
      <c r="L3047">
        <v>7</v>
      </c>
      <c r="M3047">
        <v>1649.29</v>
      </c>
      <c r="N3047">
        <v>0.18</v>
      </c>
      <c r="O3047">
        <v>7846.93</v>
      </c>
      <c r="P3047">
        <v>3544.75</v>
      </c>
      <c r="Q3047">
        <v>37.21</v>
      </c>
      <c r="R3047" t="s">
        <v>92</v>
      </c>
      <c r="S3047">
        <v>2</v>
      </c>
      <c r="T3047" t="b">
        <v>0</v>
      </c>
      <c r="U3047" t="s">
        <v>30</v>
      </c>
      <c r="V3047">
        <v>2</v>
      </c>
    </row>
    <row r="3048" spans="1:22" x14ac:dyDescent="0.25">
      <c r="A3048" t="s">
        <v>6566</v>
      </c>
      <c r="B3048" s="1">
        <v>44631</v>
      </c>
      <c r="C3048" t="s">
        <v>6567</v>
      </c>
      <c r="D3048" t="s">
        <v>407</v>
      </c>
      <c r="E3048">
        <v>25</v>
      </c>
      <c r="F3048" t="str">
        <f>IF(Table1[[#This Row],[age]]&lt;=25,"18-25",IF(Table1[[#This Row],[age]]&lt;=35,"26-35",IF(Table1[[#This Row],[age]]&lt;=50,"36-50","51+")))</f>
        <v>18-25</v>
      </c>
      <c r="G3048" t="s">
        <v>34</v>
      </c>
      <c r="H3048" t="s">
        <v>80</v>
      </c>
      <c r="I3048" t="s">
        <v>81</v>
      </c>
      <c r="J3048" t="s">
        <v>115</v>
      </c>
      <c r="K3048" t="s">
        <v>137</v>
      </c>
      <c r="L3048">
        <v>9</v>
      </c>
      <c r="M3048">
        <v>15199.01</v>
      </c>
      <c r="N3048">
        <v>0.23</v>
      </c>
      <c r="O3048">
        <v>129545.79</v>
      </c>
      <c r="P3048">
        <v>19098.669999999998</v>
      </c>
      <c r="Q3048">
        <v>60.16</v>
      </c>
      <c r="R3048" t="s">
        <v>49</v>
      </c>
      <c r="S3048">
        <v>1</v>
      </c>
      <c r="T3048" t="b">
        <v>0</v>
      </c>
      <c r="U3048" t="s">
        <v>30</v>
      </c>
      <c r="V3048">
        <v>6</v>
      </c>
    </row>
    <row r="3049" spans="1:22" x14ac:dyDescent="0.25">
      <c r="A3049" t="s">
        <v>6568</v>
      </c>
      <c r="B3049" s="1">
        <v>45082</v>
      </c>
      <c r="C3049" t="s">
        <v>6569</v>
      </c>
      <c r="D3049" t="s">
        <v>674</v>
      </c>
      <c r="E3049">
        <v>41</v>
      </c>
      <c r="F3049" t="str">
        <f>IF(Table1[[#This Row],[age]]&lt;=25,"18-25",IF(Table1[[#This Row],[age]]&lt;=35,"26-35",IF(Table1[[#This Row],[age]]&lt;=50,"36-50","51+")))</f>
        <v>36-50</v>
      </c>
      <c r="G3049" t="s">
        <v>54</v>
      </c>
      <c r="H3049" t="s">
        <v>80</v>
      </c>
      <c r="I3049" t="s">
        <v>236</v>
      </c>
      <c r="J3049" t="s">
        <v>27</v>
      </c>
      <c r="K3049" t="s">
        <v>28</v>
      </c>
      <c r="L3049">
        <v>2</v>
      </c>
      <c r="M3049">
        <v>1297.33</v>
      </c>
      <c r="N3049">
        <v>0.22</v>
      </c>
      <c r="O3049">
        <v>3312.56</v>
      </c>
      <c r="P3049">
        <v>1518.57</v>
      </c>
      <c r="Q3049">
        <v>46.51</v>
      </c>
      <c r="R3049" t="s">
        <v>29</v>
      </c>
      <c r="S3049">
        <v>1</v>
      </c>
      <c r="T3049" t="b">
        <v>0</v>
      </c>
      <c r="U3049" t="s">
        <v>30</v>
      </c>
      <c r="V3049">
        <v>9</v>
      </c>
    </row>
    <row r="3050" spans="1:22" x14ac:dyDescent="0.25">
      <c r="A3050" t="s">
        <v>6570</v>
      </c>
      <c r="B3050" s="1">
        <v>44919</v>
      </c>
      <c r="C3050" t="s">
        <v>3439</v>
      </c>
      <c r="D3050" t="s">
        <v>1327</v>
      </c>
      <c r="E3050">
        <v>36</v>
      </c>
      <c r="F3050" t="str">
        <f>IF(Table1[[#This Row],[age]]&lt;=25,"18-25",IF(Table1[[#This Row],[age]]&lt;=35,"26-35",IF(Table1[[#This Row],[age]]&lt;=50,"36-50","51+")))</f>
        <v>36-50</v>
      </c>
      <c r="G3050" t="s">
        <v>34</v>
      </c>
      <c r="H3050" t="s">
        <v>55</v>
      </c>
      <c r="I3050" t="s">
        <v>114</v>
      </c>
      <c r="J3050" t="s">
        <v>101</v>
      </c>
      <c r="K3050" t="s">
        <v>318</v>
      </c>
      <c r="L3050">
        <v>9</v>
      </c>
      <c r="M3050">
        <v>5484.95</v>
      </c>
      <c r="N3050">
        <v>0.09</v>
      </c>
      <c r="O3050">
        <v>32970.07</v>
      </c>
      <c r="P3050">
        <v>5646.17</v>
      </c>
      <c r="Q3050">
        <v>31.22</v>
      </c>
      <c r="R3050" t="s">
        <v>29</v>
      </c>
      <c r="S3050">
        <v>3</v>
      </c>
      <c r="T3050" t="b">
        <v>0</v>
      </c>
      <c r="U3050" t="s">
        <v>30</v>
      </c>
      <c r="V3050">
        <v>9</v>
      </c>
    </row>
    <row r="3051" spans="1:22" x14ac:dyDescent="0.25">
      <c r="A3051" t="s">
        <v>6571</v>
      </c>
      <c r="B3051" s="1">
        <v>44864</v>
      </c>
      <c r="C3051" t="s">
        <v>6572</v>
      </c>
      <c r="D3051" t="s">
        <v>1048</v>
      </c>
      <c r="E3051">
        <v>33</v>
      </c>
      <c r="F3051" t="str">
        <f>IF(Table1[[#This Row],[age]]&lt;=25,"18-25",IF(Table1[[#This Row],[age]]&lt;=35,"26-35",IF(Table1[[#This Row],[age]]&lt;=50,"36-50","51+")))</f>
        <v>26-35</v>
      </c>
      <c r="G3051" t="s">
        <v>24</v>
      </c>
      <c r="H3051" t="s">
        <v>25</v>
      </c>
      <c r="I3051" t="s">
        <v>41</v>
      </c>
      <c r="J3051" t="s">
        <v>63</v>
      </c>
      <c r="K3051" t="s">
        <v>434</v>
      </c>
      <c r="L3051">
        <v>8</v>
      </c>
      <c r="M3051">
        <v>3591.12</v>
      </c>
      <c r="N3051">
        <v>0.04</v>
      </c>
      <c r="O3051">
        <v>23914.76</v>
      </c>
      <c r="P3051">
        <v>6348.6</v>
      </c>
      <c r="Q3051">
        <v>50.27</v>
      </c>
      <c r="R3051" t="s">
        <v>49</v>
      </c>
      <c r="S3051">
        <v>2</v>
      </c>
      <c r="T3051" t="b">
        <v>0</v>
      </c>
      <c r="U3051" t="s">
        <v>71</v>
      </c>
      <c r="V3051">
        <v>8</v>
      </c>
    </row>
    <row r="3052" spans="1:22" x14ac:dyDescent="0.25">
      <c r="A3052" t="s">
        <v>6573</v>
      </c>
      <c r="B3052" s="1">
        <v>44938</v>
      </c>
      <c r="C3052" t="s">
        <v>6574</v>
      </c>
      <c r="D3052" t="s">
        <v>23</v>
      </c>
      <c r="E3052">
        <v>32</v>
      </c>
      <c r="F3052" t="str">
        <f>IF(Table1[[#This Row],[age]]&lt;=25,"18-25",IF(Table1[[#This Row],[age]]&lt;=35,"26-35",IF(Table1[[#This Row],[age]]&lt;=50,"36-50","51+")))</f>
        <v>26-35</v>
      </c>
      <c r="G3052" t="s">
        <v>24</v>
      </c>
      <c r="H3052" t="s">
        <v>61</v>
      </c>
      <c r="I3052" t="s">
        <v>163</v>
      </c>
      <c r="J3052" t="s">
        <v>27</v>
      </c>
      <c r="K3052" t="s">
        <v>192</v>
      </c>
      <c r="L3052">
        <v>5</v>
      </c>
      <c r="M3052">
        <v>1481.3</v>
      </c>
      <c r="N3052">
        <v>0.31</v>
      </c>
      <c r="O3052">
        <v>4531.1499999999996</v>
      </c>
      <c r="P3052">
        <v>1360.74</v>
      </c>
      <c r="Q3052">
        <v>44.59</v>
      </c>
      <c r="R3052" t="s">
        <v>49</v>
      </c>
      <c r="S3052">
        <v>2</v>
      </c>
      <c r="T3052" t="b">
        <v>0</v>
      </c>
      <c r="U3052" t="s">
        <v>193</v>
      </c>
      <c r="V3052">
        <v>2</v>
      </c>
    </row>
    <row r="3053" spans="1:22" x14ac:dyDescent="0.25">
      <c r="A3053" t="s">
        <v>6575</v>
      </c>
      <c r="B3053" s="1">
        <v>44611</v>
      </c>
      <c r="C3053" t="s">
        <v>6576</v>
      </c>
      <c r="D3053" t="s">
        <v>449</v>
      </c>
      <c r="E3053">
        <v>60</v>
      </c>
      <c r="F3053" t="str">
        <f>IF(Table1[[#This Row],[age]]&lt;=25,"18-25",IF(Table1[[#This Row],[age]]&lt;=35,"26-35",IF(Table1[[#This Row],[age]]&lt;=50,"36-50","51+")))</f>
        <v>51+</v>
      </c>
      <c r="G3053" t="s">
        <v>54</v>
      </c>
      <c r="H3053" t="s">
        <v>69</v>
      </c>
      <c r="I3053" t="s">
        <v>221</v>
      </c>
      <c r="J3053" t="s">
        <v>63</v>
      </c>
      <c r="K3053" t="s">
        <v>64</v>
      </c>
      <c r="L3053">
        <v>1</v>
      </c>
      <c r="M3053">
        <v>944.02</v>
      </c>
      <c r="N3053">
        <v>0.18</v>
      </c>
      <c r="O3053">
        <v>670.28</v>
      </c>
      <c r="P3053">
        <v>181.9</v>
      </c>
      <c r="Q3053">
        <v>78.510000000000005</v>
      </c>
      <c r="R3053" t="s">
        <v>57</v>
      </c>
      <c r="S3053">
        <v>5</v>
      </c>
      <c r="T3053" t="b">
        <v>0</v>
      </c>
      <c r="U3053" t="s">
        <v>30</v>
      </c>
      <c r="V3053">
        <v>3</v>
      </c>
    </row>
    <row r="3054" spans="1:22" x14ac:dyDescent="0.25">
      <c r="A3054" t="s">
        <v>6577</v>
      </c>
      <c r="B3054" s="1">
        <v>45247</v>
      </c>
      <c r="C3054" t="s">
        <v>6578</v>
      </c>
      <c r="D3054" t="s">
        <v>2340</v>
      </c>
      <c r="E3054">
        <v>40</v>
      </c>
      <c r="F3054" t="str">
        <f>IF(Table1[[#This Row],[age]]&lt;=25,"18-25",IF(Table1[[#This Row],[age]]&lt;=35,"26-35",IF(Table1[[#This Row],[age]]&lt;=50,"36-50","51+")))</f>
        <v>36-50</v>
      </c>
      <c r="G3054" t="s">
        <v>34</v>
      </c>
      <c r="H3054" t="s">
        <v>69</v>
      </c>
      <c r="I3054" t="s">
        <v>221</v>
      </c>
      <c r="J3054" t="s">
        <v>47</v>
      </c>
      <c r="K3054" t="s">
        <v>156</v>
      </c>
      <c r="L3054">
        <v>6</v>
      </c>
      <c r="M3054">
        <v>1395.75</v>
      </c>
      <c r="N3054">
        <v>0.22</v>
      </c>
      <c r="O3054">
        <v>5091</v>
      </c>
      <c r="P3054">
        <v>2066.2800000000002</v>
      </c>
      <c r="Q3054">
        <v>73.099999999999994</v>
      </c>
      <c r="R3054" t="s">
        <v>29</v>
      </c>
      <c r="S3054">
        <v>2</v>
      </c>
      <c r="T3054" t="b">
        <v>0</v>
      </c>
      <c r="U3054" t="s">
        <v>30</v>
      </c>
      <c r="V3054">
        <v>7</v>
      </c>
    </row>
    <row r="3055" spans="1:22" x14ac:dyDescent="0.25">
      <c r="A3055" t="s">
        <v>6579</v>
      </c>
      <c r="B3055" s="1">
        <v>45108</v>
      </c>
      <c r="C3055" t="s">
        <v>6580</v>
      </c>
      <c r="D3055" t="s">
        <v>375</v>
      </c>
      <c r="E3055">
        <v>20</v>
      </c>
      <c r="F3055" t="str">
        <f>IF(Table1[[#This Row],[age]]&lt;=25,"18-25",IF(Table1[[#This Row],[age]]&lt;=35,"26-35",IF(Table1[[#This Row],[age]]&lt;=50,"36-50","51+")))</f>
        <v>18-25</v>
      </c>
      <c r="G3055" t="s">
        <v>34</v>
      </c>
      <c r="H3055" t="s">
        <v>69</v>
      </c>
      <c r="I3055" t="s">
        <v>181</v>
      </c>
      <c r="J3055" t="s">
        <v>106</v>
      </c>
      <c r="K3055" t="s">
        <v>331</v>
      </c>
      <c r="L3055">
        <v>3</v>
      </c>
      <c r="M3055">
        <v>108.19</v>
      </c>
      <c r="N3055">
        <v>0.4</v>
      </c>
      <c r="O3055">
        <v>272.74</v>
      </c>
      <c r="P3055">
        <v>18.29</v>
      </c>
      <c r="Q3055">
        <v>82.45</v>
      </c>
      <c r="R3055" t="s">
        <v>49</v>
      </c>
      <c r="S3055">
        <v>2</v>
      </c>
      <c r="T3055" t="b">
        <v>0</v>
      </c>
      <c r="U3055" t="s">
        <v>71</v>
      </c>
      <c r="V3055">
        <v>5</v>
      </c>
    </row>
    <row r="3056" spans="1:22" x14ac:dyDescent="0.25">
      <c r="A3056" t="s">
        <v>6581</v>
      </c>
      <c r="B3056" s="1">
        <v>45190</v>
      </c>
      <c r="C3056" t="s">
        <v>6582</v>
      </c>
      <c r="D3056" t="s">
        <v>904</v>
      </c>
      <c r="E3056">
        <v>31</v>
      </c>
      <c r="F3056" t="str">
        <f>IF(Table1[[#This Row],[age]]&lt;=25,"18-25",IF(Table1[[#This Row],[age]]&lt;=35,"26-35",IF(Table1[[#This Row],[age]]&lt;=50,"36-50","51+")))</f>
        <v>26-35</v>
      </c>
      <c r="G3056" t="s">
        <v>24</v>
      </c>
      <c r="H3056" t="s">
        <v>55</v>
      </c>
      <c r="I3056" t="s">
        <v>56</v>
      </c>
      <c r="J3056" t="s">
        <v>115</v>
      </c>
      <c r="K3056" t="s">
        <v>116</v>
      </c>
      <c r="L3056">
        <v>3</v>
      </c>
      <c r="M3056">
        <v>56628.56</v>
      </c>
      <c r="N3056">
        <v>0.32</v>
      </c>
      <c r="O3056">
        <v>145921.20000000001</v>
      </c>
      <c r="P3056">
        <v>15624.65</v>
      </c>
      <c r="Q3056">
        <v>47.88</v>
      </c>
      <c r="R3056" t="s">
        <v>57</v>
      </c>
      <c r="S3056">
        <v>1</v>
      </c>
      <c r="T3056" t="b">
        <v>0</v>
      </c>
      <c r="U3056" t="s">
        <v>93</v>
      </c>
      <c r="V3056">
        <v>8</v>
      </c>
    </row>
    <row r="3057" spans="1:22" x14ac:dyDescent="0.25">
      <c r="A3057" t="s">
        <v>6583</v>
      </c>
      <c r="B3057" s="1">
        <v>44028</v>
      </c>
      <c r="C3057" t="s">
        <v>6584</v>
      </c>
      <c r="D3057" t="s">
        <v>2598</v>
      </c>
      <c r="E3057">
        <v>48</v>
      </c>
      <c r="F3057" t="str">
        <f>IF(Table1[[#This Row],[age]]&lt;=25,"18-25",IF(Table1[[#This Row],[age]]&lt;=35,"26-35",IF(Table1[[#This Row],[age]]&lt;=50,"36-50","51+")))</f>
        <v>36-50</v>
      </c>
      <c r="G3057" t="s">
        <v>24</v>
      </c>
      <c r="H3057" t="s">
        <v>69</v>
      </c>
      <c r="I3057" t="s">
        <v>136</v>
      </c>
      <c r="J3057" t="s">
        <v>115</v>
      </c>
      <c r="K3057" t="s">
        <v>545</v>
      </c>
      <c r="L3057">
        <v>10</v>
      </c>
      <c r="M3057">
        <v>19028.599999999999</v>
      </c>
      <c r="N3057">
        <v>0.16</v>
      </c>
      <c r="O3057">
        <v>211424.88</v>
      </c>
      <c r="P3057">
        <v>15185.24</v>
      </c>
      <c r="Q3057">
        <v>90.95</v>
      </c>
      <c r="R3057" t="s">
        <v>65</v>
      </c>
      <c r="S3057">
        <v>4</v>
      </c>
      <c r="T3057" t="b">
        <v>0</v>
      </c>
      <c r="U3057" t="s">
        <v>30</v>
      </c>
      <c r="V3057">
        <v>7</v>
      </c>
    </row>
    <row r="3058" spans="1:22" x14ac:dyDescent="0.25">
      <c r="A3058" t="s">
        <v>6585</v>
      </c>
      <c r="B3058" s="1">
        <v>44751</v>
      </c>
      <c r="C3058" t="s">
        <v>6586</v>
      </c>
      <c r="D3058" t="s">
        <v>317</v>
      </c>
      <c r="E3058">
        <v>43</v>
      </c>
      <c r="F3058" t="str">
        <f>IF(Table1[[#This Row],[age]]&lt;=25,"18-25",IF(Table1[[#This Row],[age]]&lt;=35,"26-35",IF(Table1[[#This Row],[age]]&lt;=50,"36-50","51+")))</f>
        <v>36-50</v>
      </c>
      <c r="G3058" t="s">
        <v>34</v>
      </c>
      <c r="H3058" t="s">
        <v>25</v>
      </c>
      <c r="I3058" t="s">
        <v>26</v>
      </c>
      <c r="J3058" t="s">
        <v>27</v>
      </c>
      <c r="K3058" t="s">
        <v>28</v>
      </c>
      <c r="L3058">
        <v>6</v>
      </c>
      <c r="M3058">
        <v>2056.5</v>
      </c>
      <c r="N3058">
        <v>0.18</v>
      </c>
      <c r="O3058">
        <v>13191.89</v>
      </c>
      <c r="P3058">
        <v>5400.15</v>
      </c>
      <c r="Q3058">
        <v>38.67</v>
      </c>
      <c r="R3058" t="s">
        <v>92</v>
      </c>
      <c r="S3058">
        <v>5</v>
      </c>
      <c r="T3058" t="b">
        <v>0</v>
      </c>
      <c r="U3058" t="s">
        <v>71</v>
      </c>
      <c r="V3058">
        <v>5</v>
      </c>
    </row>
    <row r="3059" spans="1:22" x14ac:dyDescent="0.25">
      <c r="A3059" t="s">
        <v>6587</v>
      </c>
      <c r="B3059" s="1">
        <v>44402</v>
      </c>
      <c r="C3059" t="s">
        <v>6588</v>
      </c>
      <c r="D3059" t="s">
        <v>789</v>
      </c>
      <c r="E3059">
        <v>43</v>
      </c>
      <c r="F3059" t="str">
        <f>IF(Table1[[#This Row],[age]]&lt;=25,"18-25",IF(Table1[[#This Row],[age]]&lt;=35,"26-35",IF(Table1[[#This Row],[age]]&lt;=50,"36-50","51+")))</f>
        <v>36-50</v>
      </c>
      <c r="G3059" t="s">
        <v>24</v>
      </c>
      <c r="H3059" t="s">
        <v>25</v>
      </c>
      <c r="I3059" t="s">
        <v>298</v>
      </c>
      <c r="J3059" t="s">
        <v>36</v>
      </c>
      <c r="K3059" t="s">
        <v>42</v>
      </c>
      <c r="L3059">
        <v>3</v>
      </c>
      <c r="M3059">
        <v>6493.94</v>
      </c>
      <c r="N3059">
        <v>0.18</v>
      </c>
      <c r="O3059">
        <v>18197.59</v>
      </c>
      <c r="P3059">
        <v>5074.92</v>
      </c>
      <c r="Q3059">
        <v>35.799999999999997</v>
      </c>
      <c r="R3059" t="s">
        <v>92</v>
      </c>
      <c r="S3059">
        <v>4</v>
      </c>
      <c r="T3059" t="b">
        <v>0</v>
      </c>
      <c r="U3059" t="s">
        <v>93</v>
      </c>
      <c r="V3059">
        <v>8</v>
      </c>
    </row>
    <row r="3060" spans="1:22" x14ac:dyDescent="0.25">
      <c r="A3060" t="s">
        <v>6589</v>
      </c>
      <c r="B3060" s="1">
        <v>45022</v>
      </c>
      <c r="C3060" t="s">
        <v>6590</v>
      </c>
      <c r="D3060" t="s">
        <v>2031</v>
      </c>
      <c r="E3060">
        <v>52</v>
      </c>
      <c r="F3060" t="str">
        <f>IF(Table1[[#This Row],[age]]&lt;=25,"18-25",IF(Table1[[#This Row],[age]]&lt;=35,"26-35",IF(Table1[[#This Row],[age]]&lt;=50,"36-50","51+")))</f>
        <v>51+</v>
      </c>
      <c r="G3060" t="s">
        <v>54</v>
      </c>
      <c r="H3060" t="s">
        <v>69</v>
      </c>
      <c r="I3060" t="s">
        <v>70</v>
      </c>
      <c r="J3060" t="s">
        <v>101</v>
      </c>
      <c r="K3060" t="s">
        <v>214</v>
      </c>
      <c r="L3060">
        <v>5</v>
      </c>
      <c r="M3060">
        <v>12633.19</v>
      </c>
      <c r="N3060">
        <v>0.18</v>
      </c>
      <c r="O3060">
        <v>75906</v>
      </c>
      <c r="P3060">
        <v>19171.82</v>
      </c>
      <c r="Q3060">
        <v>62.92</v>
      </c>
      <c r="R3060" t="s">
        <v>49</v>
      </c>
      <c r="S3060">
        <v>2</v>
      </c>
      <c r="T3060" t="b">
        <v>1</v>
      </c>
      <c r="U3060" t="s">
        <v>50</v>
      </c>
      <c r="V3060">
        <v>8</v>
      </c>
    </row>
    <row r="3061" spans="1:22" x14ac:dyDescent="0.25">
      <c r="A3061" t="s">
        <v>6591</v>
      </c>
      <c r="B3061" s="1">
        <v>44318</v>
      </c>
      <c r="C3061" t="s">
        <v>6592</v>
      </c>
      <c r="D3061" t="s">
        <v>674</v>
      </c>
      <c r="E3061">
        <v>29</v>
      </c>
      <c r="F3061" t="str">
        <f>IF(Table1[[#This Row],[age]]&lt;=25,"18-25",IF(Table1[[#This Row],[age]]&lt;=35,"26-35",IF(Table1[[#This Row],[age]]&lt;=50,"36-50","51+")))</f>
        <v>26-35</v>
      </c>
      <c r="G3061" t="s">
        <v>54</v>
      </c>
      <c r="H3061" t="s">
        <v>25</v>
      </c>
      <c r="I3061" t="s">
        <v>26</v>
      </c>
      <c r="J3061" t="s">
        <v>106</v>
      </c>
      <c r="K3061" t="s">
        <v>718</v>
      </c>
      <c r="L3061">
        <v>2</v>
      </c>
      <c r="M3061">
        <v>413.27</v>
      </c>
      <c r="N3061">
        <v>0.22</v>
      </c>
      <c r="O3061">
        <v>843.51</v>
      </c>
      <c r="P3061">
        <v>59.92</v>
      </c>
      <c r="Q3061">
        <v>45.09</v>
      </c>
      <c r="R3061" t="s">
        <v>65</v>
      </c>
      <c r="S3061">
        <v>1</v>
      </c>
      <c r="T3061" t="b">
        <v>0</v>
      </c>
      <c r="U3061" t="s">
        <v>30</v>
      </c>
      <c r="V3061">
        <v>8</v>
      </c>
    </row>
    <row r="3062" spans="1:22" x14ac:dyDescent="0.25">
      <c r="A3062" t="s">
        <v>6593</v>
      </c>
      <c r="B3062" s="1">
        <v>45081</v>
      </c>
      <c r="C3062" t="s">
        <v>6594</v>
      </c>
      <c r="D3062" t="s">
        <v>1220</v>
      </c>
      <c r="E3062">
        <v>39</v>
      </c>
      <c r="F3062" t="str">
        <f>IF(Table1[[#This Row],[age]]&lt;=25,"18-25",IF(Table1[[#This Row],[age]]&lt;=35,"26-35",IF(Table1[[#This Row],[age]]&lt;=50,"36-50","51+")))</f>
        <v>36-50</v>
      </c>
      <c r="G3062" t="s">
        <v>24</v>
      </c>
      <c r="H3062" t="s">
        <v>25</v>
      </c>
      <c r="I3062" t="s">
        <v>26</v>
      </c>
      <c r="J3062" t="s">
        <v>101</v>
      </c>
      <c r="K3062" t="s">
        <v>102</v>
      </c>
      <c r="L3062">
        <v>9</v>
      </c>
      <c r="M3062">
        <v>3434.17</v>
      </c>
      <c r="N3062">
        <v>0.08</v>
      </c>
      <c r="O3062">
        <v>46040.29</v>
      </c>
      <c r="P3062">
        <v>10782.3</v>
      </c>
      <c r="Q3062">
        <v>55.14</v>
      </c>
      <c r="R3062" t="s">
        <v>65</v>
      </c>
      <c r="S3062">
        <v>2</v>
      </c>
      <c r="T3062" t="b">
        <v>0</v>
      </c>
      <c r="U3062" t="s">
        <v>30</v>
      </c>
      <c r="V3062">
        <v>5</v>
      </c>
    </row>
    <row r="3063" spans="1:22" x14ac:dyDescent="0.25">
      <c r="A3063" t="s">
        <v>6595</v>
      </c>
      <c r="B3063" s="1">
        <v>45244</v>
      </c>
      <c r="C3063" t="s">
        <v>6596</v>
      </c>
      <c r="D3063" t="s">
        <v>932</v>
      </c>
      <c r="E3063">
        <v>31</v>
      </c>
      <c r="F3063" t="str">
        <f>IF(Table1[[#This Row],[age]]&lt;=25,"18-25",IF(Table1[[#This Row],[age]]&lt;=35,"26-35",IF(Table1[[#This Row],[age]]&lt;=50,"36-50","51+")))</f>
        <v>26-35</v>
      </c>
      <c r="G3063" t="s">
        <v>24</v>
      </c>
      <c r="H3063" t="s">
        <v>55</v>
      </c>
      <c r="I3063" t="s">
        <v>75</v>
      </c>
      <c r="J3063" t="s">
        <v>106</v>
      </c>
      <c r="K3063" t="s">
        <v>247</v>
      </c>
      <c r="L3063">
        <v>6</v>
      </c>
      <c r="M3063">
        <v>470.13</v>
      </c>
      <c r="N3063">
        <v>0.34</v>
      </c>
      <c r="O3063">
        <v>1607.31</v>
      </c>
      <c r="P3063">
        <v>145.53</v>
      </c>
      <c r="Q3063">
        <v>73.23</v>
      </c>
      <c r="R3063" t="s">
        <v>29</v>
      </c>
      <c r="S3063">
        <v>4</v>
      </c>
      <c r="T3063" t="b">
        <v>0</v>
      </c>
      <c r="U3063" t="s">
        <v>30</v>
      </c>
      <c r="V3063">
        <v>2</v>
      </c>
    </row>
    <row r="3064" spans="1:22" x14ac:dyDescent="0.25">
      <c r="A3064" t="s">
        <v>6597</v>
      </c>
      <c r="B3064" s="1">
        <v>44384</v>
      </c>
      <c r="C3064" t="s">
        <v>6598</v>
      </c>
      <c r="D3064" t="s">
        <v>1156</v>
      </c>
      <c r="E3064">
        <v>31</v>
      </c>
      <c r="F3064" t="str">
        <f>IF(Table1[[#This Row],[age]]&lt;=25,"18-25",IF(Table1[[#This Row],[age]]&lt;=35,"26-35",IF(Table1[[#This Row],[age]]&lt;=50,"36-50","51+")))</f>
        <v>26-35</v>
      </c>
      <c r="G3064" t="s">
        <v>54</v>
      </c>
      <c r="H3064" t="s">
        <v>69</v>
      </c>
      <c r="I3064" t="s">
        <v>70</v>
      </c>
      <c r="J3064" t="s">
        <v>47</v>
      </c>
      <c r="K3064" t="s">
        <v>48</v>
      </c>
      <c r="L3064">
        <v>3</v>
      </c>
      <c r="M3064">
        <v>453.81</v>
      </c>
      <c r="N3064">
        <v>0.14000000000000001</v>
      </c>
      <c r="O3064">
        <v>1633.5</v>
      </c>
      <c r="P3064">
        <v>658.01</v>
      </c>
      <c r="Q3064">
        <v>88.97</v>
      </c>
      <c r="R3064" t="s">
        <v>49</v>
      </c>
      <c r="S3064">
        <v>2</v>
      </c>
      <c r="T3064" t="b">
        <v>0</v>
      </c>
      <c r="U3064" t="s">
        <v>30</v>
      </c>
      <c r="V3064">
        <v>6</v>
      </c>
    </row>
    <row r="3065" spans="1:22" x14ac:dyDescent="0.25">
      <c r="A3065" t="s">
        <v>6599</v>
      </c>
      <c r="B3065" s="1">
        <v>44348</v>
      </c>
      <c r="C3065" t="s">
        <v>779</v>
      </c>
      <c r="D3065" t="s">
        <v>1294</v>
      </c>
      <c r="E3065">
        <v>50</v>
      </c>
      <c r="F3065" t="str">
        <f>IF(Table1[[#This Row],[age]]&lt;=25,"18-25",IF(Table1[[#This Row],[age]]&lt;=35,"26-35",IF(Table1[[#This Row],[age]]&lt;=50,"36-50","51+")))</f>
        <v>36-50</v>
      </c>
      <c r="G3065" t="s">
        <v>54</v>
      </c>
      <c r="H3065" t="s">
        <v>25</v>
      </c>
      <c r="I3065" t="s">
        <v>41</v>
      </c>
      <c r="J3065" t="s">
        <v>47</v>
      </c>
      <c r="K3065" t="s">
        <v>204</v>
      </c>
      <c r="L3065">
        <v>10</v>
      </c>
      <c r="M3065">
        <v>736.78</v>
      </c>
      <c r="N3065">
        <v>0.05</v>
      </c>
      <c r="O3065">
        <v>8312.64</v>
      </c>
      <c r="P3065">
        <v>3354.33</v>
      </c>
      <c r="Q3065">
        <v>65.760000000000005</v>
      </c>
      <c r="R3065" t="s">
        <v>57</v>
      </c>
      <c r="S3065">
        <v>3</v>
      </c>
      <c r="T3065" t="b">
        <v>0</v>
      </c>
      <c r="U3065" t="s">
        <v>30</v>
      </c>
      <c r="V3065">
        <v>9</v>
      </c>
    </row>
    <row r="3066" spans="1:22" x14ac:dyDescent="0.25">
      <c r="A3066" t="s">
        <v>6600</v>
      </c>
      <c r="B3066" s="1">
        <v>45456</v>
      </c>
      <c r="C3066" t="s">
        <v>6601</v>
      </c>
      <c r="D3066" t="s">
        <v>468</v>
      </c>
      <c r="E3066">
        <v>48</v>
      </c>
      <c r="F3066" t="str">
        <f>IF(Table1[[#This Row],[age]]&lt;=25,"18-25",IF(Table1[[#This Row],[age]]&lt;=35,"26-35",IF(Table1[[#This Row],[age]]&lt;=50,"36-50","51+")))</f>
        <v>36-50</v>
      </c>
      <c r="G3066" t="s">
        <v>54</v>
      </c>
      <c r="H3066" t="s">
        <v>80</v>
      </c>
      <c r="I3066" t="s">
        <v>81</v>
      </c>
      <c r="J3066" t="s">
        <v>27</v>
      </c>
      <c r="K3066" t="s">
        <v>168</v>
      </c>
      <c r="L3066">
        <v>3</v>
      </c>
      <c r="M3066">
        <v>1059.55</v>
      </c>
      <c r="N3066">
        <v>0.28999999999999998</v>
      </c>
      <c r="O3066">
        <v>3720.84</v>
      </c>
      <c r="P3066">
        <v>1778.64</v>
      </c>
      <c r="Q3066">
        <v>88.2</v>
      </c>
      <c r="R3066" t="s">
        <v>57</v>
      </c>
      <c r="S3066">
        <v>4</v>
      </c>
      <c r="T3066" t="b">
        <v>0</v>
      </c>
      <c r="U3066" t="s">
        <v>93</v>
      </c>
      <c r="V3066">
        <v>6</v>
      </c>
    </row>
    <row r="3067" spans="1:22" x14ac:dyDescent="0.25">
      <c r="A3067" t="s">
        <v>6602</v>
      </c>
      <c r="B3067" s="1">
        <v>45581</v>
      </c>
      <c r="C3067" t="s">
        <v>6603</v>
      </c>
      <c r="D3067" t="s">
        <v>1417</v>
      </c>
      <c r="E3067">
        <v>36</v>
      </c>
      <c r="F3067" t="str">
        <f>IF(Table1[[#This Row],[age]]&lt;=25,"18-25",IF(Table1[[#This Row],[age]]&lt;=35,"26-35",IF(Table1[[#This Row],[age]]&lt;=50,"36-50","51+")))</f>
        <v>36-50</v>
      </c>
      <c r="G3067" t="s">
        <v>34</v>
      </c>
      <c r="H3067" t="s">
        <v>55</v>
      </c>
      <c r="I3067" t="s">
        <v>75</v>
      </c>
      <c r="J3067" t="s">
        <v>101</v>
      </c>
      <c r="K3067" t="s">
        <v>214</v>
      </c>
      <c r="L3067">
        <v>4</v>
      </c>
      <c r="M3067">
        <v>10043.459999999999</v>
      </c>
      <c r="N3067">
        <v>0.01</v>
      </c>
      <c r="O3067">
        <v>42595.96</v>
      </c>
      <c r="P3067">
        <v>8765.23</v>
      </c>
      <c r="Q3067">
        <v>45.62</v>
      </c>
      <c r="R3067" t="s">
        <v>43</v>
      </c>
      <c r="S3067">
        <v>4</v>
      </c>
      <c r="T3067" t="b">
        <v>0</v>
      </c>
      <c r="U3067" t="s">
        <v>71</v>
      </c>
      <c r="V3067">
        <v>2</v>
      </c>
    </row>
    <row r="3068" spans="1:22" x14ac:dyDescent="0.25">
      <c r="A3068" t="s">
        <v>6604</v>
      </c>
      <c r="B3068" s="1">
        <v>45529</v>
      </c>
      <c r="C3068" t="s">
        <v>6605</v>
      </c>
      <c r="D3068" t="s">
        <v>2008</v>
      </c>
      <c r="E3068">
        <v>37</v>
      </c>
      <c r="F3068" t="str">
        <f>IF(Table1[[#This Row],[age]]&lt;=25,"18-25",IF(Table1[[#This Row],[age]]&lt;=35,"26-35",IF(Table1[[#This Row],[age]]&lt;=50,"36-50","51+")))</f>
        <v>36-50</v>
      </c>
      <c r="G3068" t="s">
        <v>54</v>
      </c>
      <c r="H3068" t="s">
        <v>80</v>
      </c>
      <c r="I3068" t="s">
        <v>86</v>
      </c>
      <c r="J3068" t="s">
        <v>27</v>
      </c>
      <c r="K3068" t="s">
        <v>28</v>
      </c>
      <c r="L3068">
        <v>3</v>
      </c>
      <c r="M3068">
        <v>1547.78</v>
      </c>
      <c r="N3068">
        <v>0.27</v>
      </c>
      <c r="O3068">
        <v>4796.68</v>
      </c>
      <c r="P3068">
        <v>2149.21</v>
      </c>
      <c r="Q3068">
        <v>79.739999999999995</v>
      </c>
      <c r="R3068" t="s">
        <v>29</v>
      </c>
      <c r="S3068">
        <v>4</v>
      </c>
      <c r="T3068" t="b">
        <v>0</v>
      </c>
      <c r="U3068" t="s">
        <v>30</v>
      </c>
      <c r="V3068">
        <v>6</v>
      </c>
    </row>
    <row r="3069" spans="1:22" x14ac:dyDescent="0.25">
      <c r="A3069" t="s">
        <v>6606</v>
      </c>
      <c r="B3069" s="1">
        <v>44391</v>
      </c>
      <c r="C3069" t="s">
        <v>6607</v>
      </c>
      <c r="D3069" t="s">
        <v>674</v>
      </c>
      <c r="E3069">
        <v>39</v>
      </c>
      <c r="F3069" t="str">
        <f>IF(Table1[[#This Row],[age]]&lt;=25,"18-25",IF(Table1[[#This Row],[age]]&lt;=35,"26-35",IF(Table1[[#This Row],[age]]&lt;=50,"36-50","51+")))</f>
        <v>36-50</v>
      </c>
      <c r="G3069" t="s">
        <v>54</v>
      </c>
      <c r="H3069" t="s">
        <v>61</v>
      </c>
      <c r="I3069" t="s">
        <v>91</v>
      </c>
      <c r="J3069" t="s">
        <v>101</v>
      </c>
      <c r="K3069" t="s">
        <v>214</v>
      </c>
      <c r="L3069">
        <v>9</v>
      </c>
      <c r="M3069">
        <v>8547.4599999999991</v>
      </c>
      <c r="N3069">
        <v>0.01</v>
      </c>
      <c r="O3069">
        <v>109622.85</v>
      </c>
      <c r="P3069">
        <v>14504.29</v>
      </c>
      <c r="Q3069">
        <v>50.6</v>
      </c>
      <c r="R3069" t="s">
        <v>92</v>
      </c>
      <c r="S3069">
        <v>3</v>
      </c>
      <c r="T3069" t="b">
        <v>0</v>
      </c>
      <c r="U3069" t="s">
        <v>30</v>
      </c>
      <c r="V3069">
        <v>1</v>
      </c>
    </row>
    <row r="3070" spans="1:22" x14ac:dyDescent="0.25">
      <c r="A3070" t="s">
        <v>6608</v>
      </c>
      <c r="B3070" s="1">
        <v>44654</v>
      </c>
      <c r="C3070" t="s">
        <v>6609</v>
      </c>
      <c r="D3070" t="s">
        <v>256</v>
      </c>
      <c r="E3070">
        <v>39</v>
      </c>
      <c r="F3070" t="str">
        <f>IF(Table1[[#This Row],[age]]&lt;=25,"18-25",IF(Table1[[#This Row],[age]]&lt;=35,"26-35",IF(Table1[[#This Row],[age]]&lt;=50,"36-50","51+")))</f>
        <v>36-50</v>
      </c>
      <c r="G3070" t="s">
        <v>34</v>
      </c>
      <c r="H3070" t="s">
        <v>69</v>
      </c>
      <c r="I3070" t="s">
        <v>221</v>
      </c>
      <c r="J3070" t="s">
        <v>101</v>
      </c>
      <c r="K3070" t="s">
        <v>124</v>
      </c>
      <c r="L3070">
        <v>4</v>
      </c>
      <c r="M3070">
        <v>1061.5899999999999</v>
      </c>
      <c r="N3070">
        <v>0.01</v>
      </c>
      <c r="O3070">
        <v>5761.67</v>
      </c>
      <c r="P3070">
        <v>990.61</v>
      </c>
      <c r="Q3070">
        <v>66.63</v>
      </c>
      <c r="R3070" t="s">
        <v>57</v>
      </c>
      <c r="S3070">
        <v>1</v>
      </c>
      <c r="T3070" t="b">
        <v>0</v>
      </c>
      <c r="U3070" t="s">
        <v>30</v>
      </c>
      <c r="V3070">
        <v>7</v>
      </c>
    </row>
    <row r="3071" spans="1:22" x14ac:dyDescent="0.25">
      <c r="A3071" t="s">
        <v>6610</v>
      </c>
      <c r="B3071" s="1">
        <v>45202</v>
      </c>
      <c r="C3071" t="s">
        <v>6611</v>
      </c>
      <c r="D3071" t="s">
        <v>2368</v>
      </c>
      <c r="E3071">
        <v>45</v>
      </c>
      <c r="F3071" t="str">
        <f>IF(Table1[[#This Row],[age]]&lt;=25,"18-25",IF(Table1[[#This Row],[age]]&lt;=35,"26-35",IF(Table1[[#This Row],[age]]&lt;=50,"36-50","51+")))</f>
        <v>36-50</v>
      </c>
      <c r="G3071" t="s">
        <v>54</v>
      </c>
      <c r="H3071" t="s">
        <v>80</v>
      </c>
      <c r="I3071" t="s">
        <v>81</v>
      </c>
      <c r="J3071" t="s">
        <v>106</v>
      </c>
      <c r="K3071" t="s">
        <v>107</v>
      </c>
      <c r="L3071">
        <v>2</v>
      </c>
      <c r="M3071">
        <v>487.25</v>
      </c>
      <c r="N3071">
        <v>0.31</v>
      </c>
      <c r="O3071">
        <v>715.47</v>
      </c>
      <c r="P3071">
        <v>59.76</v>
      </c>
      <c r="Q3071">
        <v>64.430000000000007</v>
      </c>
      <c r="R3071" t="s">
        <v>29</v>
      </c>
      <c r="S3071">
        <v>1</v>
      </c>
      <c r="T3071" t="b">
        <v>0</v>
      </c>
      <c r="U3071" t="s">
        <v>30</v>
      </c>
      <c r="V3071">
        <v>6</v>
      </c>
    </row>
    <row r="3072" spans="1:22" x14ac:dyDescent="0.25">
      <c r="A3072" t="s">
        <v>6612</v>
      </c>
      <c r="B3072" s="1">
        <v>45425</v>
      </c>
      <c r="C3072" t="s">
        <v>6613</v>
      </c>
      <c r="D3072" t="s">
        <v>381</v>
      </c>
      <c r="E3072">
        <v>39</v>
      </c>
      <c r="F3072" t="str">
        <f>IF(Table1[[#This Row],[age]]&lt;=25,"18-25",IF(Table1[[#This Row],[age]]&lt;=35,"26-35",IF(Table1[[#This Row],[age]]&lt;=50,"36-50","51+")))</f>
        <v>36-50</v>
      </c>
      <c r="G3072" t="s">
        <v>24</v>
      </c>
      <c r="H3072" t="s">
        <v>80</v>
      </c>
      <c r="I3072" t="s">
        <v>86</v>
      </c>
      <c r="J3072" t="s">
        <v>106</v>
      </c>
      <c r="K3072" t="s">
        <v>107</v>
      </c>
      <c r="L3072">
        <v>9</v>
      </c>
      <c r="M3072">
        <v>188.1</v>
      </c>
      <c r="N3072">
        <v>0.08</v>
      </c>
      <c r="O3072">
        <v>2301.06</v>
      </c>
      <c r="P3072">
        <v>192.79</v>
      </c>
      <c r="Q3072">
        <v>67.95</v>
      </c>
      <c r="R3072" t="s">
        <v>43</v>
      </c>
      <c r="S3072">
        <v>2</v>
      </c>
      <c r="T3072" t="b">
        <v>1</v>
      </c>
      <c r="U3072" t="s">
        <v>50</v>
      </c>
      <c r="V3072">
        <v>9</v>
      </c>
    </row>
    <row r="3073" spans="1:22" x14ac:dyDescent="0.25">
      <c r="A3073" t="s">
        <v>6614</v>
      </c>
      <c r="B3073" s="1">
        <v>44973</v>
      </c>
      <c r="C3073" t="s">
        <v>6615</v>
      </c>
      <c r="D3073" t="s">
        <v>626</v>
      </c>
      <c r="E3073">
        <v>34</v>
      </c>
      <c r="F3073" t="str">
        <f>IF(Table1[[#This Row],[age]]&lt;=25,"18-25",IF(Table1[[#This Row],[age]]&lt;=35,"26-35",IF(Table1[[#This Row],[age]]&lt;=50,"36-50","51+")))</f>
        <v>26-35</v>
      </c>
      <c r="G3073" t="s">
        <v>24</v>
      </c>
      <c r="H3073" t="s">
        <v>25</v>
      </c>
      <c r="I3073" t="s">
        <v>26</v>
      </c>
      <c r="J3073" t="s">
        <v>36</v>
      </c>
      <c r="K3073" t="s">
        <v>132</v>
      </c>
      <c r="L3073">
        <v>4</v>
      </c>
      <c r="M3073">
        <v>17789.72</v>
      </c>
      <c r="N3073">
        <v>7.0000000000000007E-2</v>
      </c>
      <c r="O3073">
        <v>69297.429999999993</v>
      </c>
      <c r="P3073">
        <v>19802.240000000002</v>
      </c>
      <c r="Q3073">
        <v>80.3</v>
      </c>
      <c r="R3073" t="s">
        <v>43</v>
      </c>
      <c r="S3073">
        <v>3</v>
      </c>
      <c r="T3073" t="b">
        <v>0</v>
      </c>
      <c r="U3073" t="s">
        <v>30</v>
      </c>
      <c r="V3073">
        <v>5</v>
      </c>
    </row>
    <row r="3074" spans="1:22" x14ac:dyDescent="0.25">
      <c r="A3074" t="s">
        <v>6616</v>
      </c>
      <c r="B3074" s="1">
        <v>44109</v>
      </c>
      <c r="C3074" t="s">
        <v>6617</v>
      </c>
      <c r="D3074" t="s">
        <v>1625</v>
      </c>
      <c r="E3074">
        <v>32</v>
      </c>
      <c r="F3074" t="str">
        <f>IF(Table1[[#This Row],[age]]&lt;=25,"18-25",IF(Table1[[#This Row],[age]]&lt;=35,"26-35",IF(Table1[[#This Row],[age]]&lt;=50,"36-50","51+")))</f>
        <v>26-35</v>
      </c>
      <c r="G3074" t="s">
        <v>54</v>
      </c>
      <c r="H3074" t="s">
        <v>25</v>
      </c>
      <c r="I3074" t="s">
        <v>41</v>
      </c>
      <c r="J3074" t="s">
        <v>115</v>
      </c>
      <c r="K3074" t="s">
        <v>145</v>
      </c>
      <c r="L3074">
        <v>6</v>
      </c>
      <c r="M3074">
        <v>25397.18</v>
      </c>
      <c r="N3074">
        <v>0.27</v>
      </c>
      <c r="O3074">
        <v>82799.59</v>
      </c>
      <c r="P3074">
        <v>14030.93</v>
      </c>
      <c r="Q3074">
        <v>71.52</v>
      </c>
      <c r="R3074" t="s">
        <v>57</v>
      </c>
      <c r="S3074">
        <v>4</v>
      </c>
      <c r="T3074" t="b">
        <v>0</v>
      </c>
      <c r="U3074" t="s">
        <v>30</v>
      </c>
      <c r="V3074">
        <v>3</v>
      </c>
    </row>
    <row r="3075" spans="1:22" x14ac:dyDescent="0.25">
      <c r="A3075" t="s">
        <v>6618</v>
      </c>
      <c r="B3075" s="1">
        <v>44938</v>
      </c>
      <c r="C3075" t="s">
        <v>6619</v>
      </c>
      <c r="D3075" t="s">
        <v>1785</v>
      </c>
      <c r="E3075">
        <v>40</v>
      </c>
      <c r="F3075" t="str">
        <f>IF(Table1[[#This Row],[age]]&lt;=25,"18-25",IF(Table1[[#This Row],[age]]&lt;=35,"26-35",IF(Table1[[#This Row],[age]]&lt;=50,"36-50","51+")))</f>
        <v>36-50</v>
      </c>
      <c r="G3075" t="s">
        <v>54</v>
      </c>
      <c r="H3075" t="s">
        <v>61</v>
      </c>
      <c r="I3075" t="s">
        <v>91</v>
      </c>
      <c r="J3075" t="s">
        <v>27</v>
      </c>
      <c r="K3075" t="s">
        <v>192</v>
      </c>
      <c r="L3075">
        <v>10</v>
      </c>
      <c r="M3075">
        <v>544.05999999999995</v>
      </c>
      <c r="N3075">
        <v>0.02</v>
      </c>
      <c r="O3075">
        <v>4863.92</v>
      </c>
      <c r="P3075">
        <v>2369.17</v>
      </c>
      <c r="Q3075">
        <v>69.040000000000006</v>
      </c>
      <c r="R3075" t="s">
        <v>49</v>
      </c>
      <c r="S3075">
        <v>3</v>
      </c>
      <c r="T3075" t="b">
        <v>0</v>
      </c>
      <c r="U3075" t="s">
        <v>93</v>
      </c>
      <c r="V3075">
        <v>6</v>
      </c>
    </row>
    <row r="3076" spans="1:22" x14ac:dyDescent="0.25">
      <c r="A3076" t="s">
        <v>6620</v>
      </c>
      <c r="B3076" s="1">
        <v>45116</v>
      </c>
      <c r="C3076" t="s">
        <v>6621</v>
      </c>
      <c r="D3076" t="s">
        <v>572</v>
      </c>
      <c r="E3076">
        <v>41</v>
      </c>
      <c r="F3076" t="str">
        <f>IF(Table1[[#This Row],[age]]&lt;=25,"18-25",IF(Table1[[#This Row],[age]]&lt;=35,"26-35",IF(Table1[[#This Row],[age]]&lt;=50,"36-50","51+")))</f>
        <v>36-50</v>
      </c>
      <c r="G3076" t="s">
        <v>54</v>
      </c>
      <c r="H3076" t="s">
        <v>69</v>
      </c>
      <c r="I3076" t="s">
        <v>136</v>
      </c>
      <c r="J3076" t="s">
        <v>63</v>
      </c>
      <c r="K3076" t="s">
        <v>64</v>
      </c>
      <c r="L3076">
        <v>2</v>
      </c>
      <c r="M3076">
        <v>1764.31</v>
      </c>
      <c r="N3076">
        <v>0.05</v>
      </c>
      <c r="O3076">
        <v>4950.24</v>
      </c>
      <c r="P3076">
        <v>1681.63</v>
      </c>
      <c r="Q3076">
        <v>91.22</v>
      </c>
      <c r="R3076" t="s">
        <v>43</v>
      </c>
      <c r="S3076">
        <v>5</v>
      </c>
      <c r="T3076" t="b">
        <v>0</v>
      </c>
      <c r="U3076" t="s">
        <v>30</v>
      </c>
      <c r="V3076">
        <v>7</v>
      </c>
    </row>
    <row r="3077" spans="1:22" x14ac:dyDescent="0.25">
      <c r="A3077" t="s">
        <v>6622</v>
      </c>
      <c r="B3077" s="1">
        <v>44794</v>
      </c>
      <c r="C3077" t="s">
        <v>6623</v>
      </c>
      <c r="D3077" t="s">
        <v>430</v>
      </c>
      <c r="E3077">
        <v>35</v>
      </c>
      <c r="F3077" t="str">
        <f>IF(Table1[[#This Row],[age]]&lt;=25,"18-25",IF(Table1[[#This Row],[age]]&lt;=35,"26-35",IF(Table1[[#This Row],[age]]&lt;=50,"36-50","51+")))</f>
        <v>26-35</v>
      </c>
      <c r="G3077" t="s">
        <v>34</v>
      </c>
      <c r="H3077" t="s">
        <v>25</v>
      </c>
      <c r="I3077" t="s">
        <v>35</v>
      </c>
      <c r="J3077" t="s">
        <v>115</v>
      </c>
      <c r="K3077" t="s">
        <v>116</v>
      </c>
      <c r="L3077">
        <v>7</v>
      </c>
      <c r="M3077">
        <v>5978.14</v>
      </c>
      <c r="N3077">
        <v>0.38</v>
      </c>
      <c r="O3077">
        <v>31403.119999999999</v>
      </c>
      <c r="P3077">
        <v>3202.9</v>
      </c>
      <c r="Q3077">
        <v>68.28</v>
      </c>
      <c r="R3077" t="s">
        <v>43</v>
      </c>
      <c r="S3077">
        <v>2</v>
      </c>
      <c r="T3077" t="b">
        <v>0</v>
      </c>
      <c r="U3077" t="s">
        <v>71</v>
      </c>
      <c r="V3077">
        <v>9</v>
      </c>
    </row>
    <row r="3078" spans="1:22" x14ac:dyDescent="0.25">
      <c r="A3078" t="s">
        <v>6624</v>
      </c>
      <c r="B3078" s="1">
        <v>45335</v>
      </c>
      <c r="C3078" t="s">
        <v>6625</v>
      </c>
      <c r="D3078" t="s">
        <v>387</v>
      </c>
      <c r="E3078">
        <v>30</v>
      </c>
      <c r="F3078" t="str">
        <f>IF(Table1[[#This Row],[age]]&lt;=25,"18-25",IF(Table1[[#This Row],[age]]&lt;=35,"26-35",IF(Table1[[#This Row],[age]]&lt;=50,"36-50","51+")))</f>
        <v>26-35</v>
      </c>
      <c r="G3078" t="s">
        <v>54</v>
      </c>
      <c r="H3078" t="s">
        <v>61</v>
      </c>
      <c r="I3078" t="s">
        <v>141</v>
      </c>
      <c r="J3078" t="s">
        <v>36</v>
      </c>
      <c r="K3078" t="s">
        <v>76</v>
      </c>
      <c r="L3078">
        <v>1</v>
      </c>
      <c r="M3078">
        <v>34040.99</v>
      </c>
      <c r="N3078">
        <v>0.35</v>
      </c>
      <c r="O3078">
        <v>24095.35</v>
      </c>
      <c r="P3078">
        <v>6731.99</v>
      </c>
      <c r="Q3078">
        <v>44</v>
      </c>
      <c r="R3078" t="s">
        <v>43</v>
      </c>
      <c r="S3078">
        <v>2</v>
      </c>
      <c r="T3078" t="b">
        <v>0</v>
      </c>
      <c r="U3078" t="s">
        <v>71</v>
      </c>
      <c r="V3078">
        <v>7</v>
      </c>
    </row>
    <row r="3079" spans="1:22" x14ac:dyDescent="0.25">
      <c r="A3079" t="s">
        <v>6626</v>
      </c>
      <c r="B3079" s="1">
        <v>44068</v>
      </c>
      <c r="C3079" t="s">
        <v>6627</v>
      </c>
      <c r="D3079" t="s">
        <v>1630</v>
      </c>
      <c r="E3079">
        <v>41</v>
      </c>
      <c r="F3079" t="str">
        <f>IF(Table1[[#This Row],[age]]&lt;=25,"18-25",IF(Table1[[#This Row],[age]]&lt;=35,"26-35",IF(Table1[[#This Row],[age]]&lt;=50,"36-50","51+")))</f>
        <v>36-50</v>
      </c>
      <c r="G3079" t="s">
        <v>54</v>
      </c>
      <c r="H3079" t="s">
        <v>55</v>
      </c>
      <c r="I3079" t="s">
        <v>75</v>
      </c>
      <c r="J3079" t="s">
        <v>106</v>
      </c>
      <c r="K3079" t="s">
        <v>331</v>
      </c>
      <c r="L3079">
        <v>5</v>
      </c>
      <c r="M3079">
        <v>195.75</v>
      </c>
      <c r="N3079">
        <v>0.23</v>
      </c>
      <c r="O3079">
        <v>857.03</v>
      </c>
      <c r="P3079">
        <v>70.849999999999994</v>
      </c>
      <c r="Q3079">
        <v>48.01</v>
      </c>
      <c r="R3079" t="s">
        <v>49</v>
      </c>
      <c r="S3079">
        <v>1</v>
      </c>
      <c r="T3079" t="b">
        <v>1</v>
      </c>
      <c r="U3079" t="s">
        <v>50</v>
      </c>
      <c r="V3079">
        <v>7</v>
      </c>
    </row>
    <row r="3080" spans="1:22" x14ac:dyDescent="0.25">
      <c r="A3080" t="s">
        <v>6628</v>
      </c>
      <c r="B3080" s="1">
        <v>45471</v>
      </c>
      <c r="C3080" t="s">
        <v>6629</v>
      </c>
      <c r="D3080" t="s">
        <v>471</v>
      </c>
      <c r="E3080">
        <v>42</v>
      </c>
      <c r="F3080" t="str">
        <f>IF(Table1[[#This Row],[age]]&lt;=25,"18-25",IF(Table1[[#This Row],[age]]&lt;=35,"26-35",IF(Table1[[#This Row],[age]]&lt;=50,"36-50","51+")))</f>
        <v>36-50</v>
      </c>
      <c r="G3080" t="s">
        <v>54</v>
      </c>
      <c r="H3080" t="s">
        <v>25</v>
      </c>
      <c r="I3080" t="s">
        <v>298</v>
      </c>
      <c r="J3080" t="s">
        <v>63</v>
      </c>
      <c r="K3080" t="s">
        <v>64</v>
      </c>
      <c r="L3080">
        <v>9</v>
      </c>
      <c r="M3080">
        <v>419.53</v>
      </c>
      <c r="N3080">
        <v>0.09</v>
      </c>
      <c r="O3080">
        <v>6597.21</v>
      </c>
      <c r="P3080">
        <v>2226.42</v>
      </c>
      <c r="Q3080">
        <v>55.39</v>
      </c>
      <c r="R3080" t="s">
        <v>43</v>
      </c>
      <c r="S3080">
        <v>1</v>
      </c>
      <c r="T3080" t="b">
        <v>0</v>
      </c>
      <c r="U3080" t="s">
        <v>30</v>
      </c>
      <c r="V3080">
        <v>6</v>
      </c>
    </row>
    <row r="3081" spans="1:22" x14ac:dyDescent="0.25">
      <c r="A3081" t="s">
        <v>6630</v>
      </c>
      <c r="B3081" s="1">
        <v>44824</v>
      </c>
      <c r="C3081" t="s">
        <v>6631</v>
      </c>
      <c r="D3081" t="s">
        <v>1503</v>
      </c>
      <c r="E3081">
        <v>28</v>
      </c>
      <c r="F3081" t="str">
        <f>IF(Table1[[#This Row],[age]]&lt;=25,"18-25",IF(Table1[[#This Row],[age]]&lt;=35,"26-35",IF(Table1[[#This Row],[age]]&lt;=50,"36-50","51+")))</f>
        <v>26-35</v>
      </c>
      <c r="G3081" t="s">
        <v>34</v>
      </c>
      <c r="H3081" t="s">
        <v>69</v>
      </c>
      <c r="I3081" t="s">
        <v>181</v>
      </c>
      <c r="J3081" t="s">
        <v>115</v>
      </c>
      <c r="K3081" t="s">
        <v>116</v>
      </c>
      <c r="L3081">
        <v>5</v>
      </c>
      <c r="M3081">
        <v>76773.58</v>
      </c>
      <c r="N3081">
        <v>0.12</v>
      </c>
      <c r="O3081">
        <v>367938.22</v>
      </c>
      <c r="P3081">
        <v>45756.9</v>
      </c>
      <c r="Q3081">
        <v>84.18</v>
      </c>
      <c r="R3081" t="s">
        <v>65</v>
      </c>
      <c r="S3081">
        <v>2</v>
      </c>
      <c r="T3081" t="b">
        <v>0</v>
      </c>
      <c r="U3081" t="s">
        <v>30</v>
      </c>
      <c r="V3081">
        <v>5</v>
      </c>
    </row>
    <row r="3082" spans="1:22" x14ac:dyDescent="0.25">
      <c r="A3082" t="s">
        <v>6632</v>
      </c>
      <c r="B3082" s="1">
        <v>43835</v>
      </c>
      <c r="C3082" t="s">
        <v>6633</v>
      </c>
      <c r="D3082" t="s">
        <v>643</v>
      </c>
      <c r="E3082">
        <v>52</v>
      </c>
      <c r="F3082" t="str">
        <f>IF(Table1[[#This Row],[age]]&lt;=25,"18-25",IF(Table1[[#This Row],[age]]&lt;=35,"26-35",IF(Table1[[#This Row],[age]]&lt;=50,"36-50","51+")))</f>
        <v>51+</v>
      </c>
      <c r="G3082" t="s">
        <v>24</v>
      </c>
      <c r="H3082" t="s">
        <v>25</v>
      </c>
      <c r="I3082" t="s">
        <v>35</v>
      </c>
      <c r="J3082" t="s">
        <v>63</v>
      </c>
      <c r="K3082" t="s">
        <v>82</v>
      </c>
      <c r="L3082">
        <v>3</v>
      </c>
      <c r="M3082">
        <v>471.05</v>
      </c>
      <c r="N3082">
        <v>0.16</v>
      </c>
      <c r="O3082">
        <v>815.57</v>
      </c>
      <c r="P3082">
        <v>414.35</v>
      </c>
      <c r="Q3082">
        <v>64.239999999999995</v>
      </c>
      <c r="R3082" t="s">
        <v>49</v>
      </c>
      <c r="S3082">
        <v>2</v>
      </c>
      <c r="T3082" t="b">
        <v>0</v>
      </c>
      <c r="U3082" t="s">
        <v>30</v>
      </c>
      <c r="V3082">
        <v>6</v>
      </c>
    </row>
    <row r="3083" spans="1:22" x14ac:dyDescent="0.25">
      <c r="A3083" t="s">
        <v>6634</v>
      </c>
      <c r="B3083" s="1">
        <v>44168</v>
      </c>
      <c r="C3083" t="s">
        <v>6635</v>
      </c>
      <c r="D3083" t="s">
        <v>123</v>
      </c>
      <c r="E3083">
        <v>39</v>
      </c>
      <c r="F3083" t="str">
        <f>IF(Table1[[#This Row],[age]]&lt;=25,"18-25",IF(Table1[[#This Row],[age]]&lt;=35,"26-35",IF(Table1[[#This Row],[age]]&lt;=50,"36-50","51+")))</f>
        <v>36-50</v>
      </c>
      <c r="G3083" t="s">
        <v>24</v>
      </c>
      <c r="H3083" t="s">
        <v>80</v>
      </c>
      <c r="I3083" t="s">
        <v>242</v>
      </c>
      <c r="J3083" t="s">
        <v>115</v>
      </c>
      <c r="K3083" t="s">
        <v>398</v>
      </c>
      <c r="L3083">
        <v>5</v>
      </c>
      <c r="M3083">
        <v>17354.95</v>
      </c>
      <c r="N3083">
        <v>0.32</v>
      </c>
      <c r="O3083">
        <v>42550.65</v>
      </c>
      <c r="P3083">
        <v>5443.79</v>
      </c>
      <c r="Q3083">
        <v>87.73</v>
      </c>
      <c r="R3083" t="s">
        <v>65</v>
      </c>
      <c r="S3083">
        <v>3</v>
      </c>
      <c r="T3083" t="b">
        <v>0</v>
      </c>
      <c r="U3083" t="s">
        <v>30</v>
      </c>
      <c r="V3083">
        <v>4</v>
      </c>
    </row>
    <row r="3084" spans="1:22" x14ac:dyDescent="0.25">
      <c r="A3084" t="s">
        <v>6636</v>
      </c>
      <c r="B3084" s="1">
        <v>45120</v>
      </c>
      <c r="C3084" t="s">
        <v>6637</v>
      </c>
      <c r="D3084" t="s">
        <v>723</v>
      </c>
      <c r="E3084">
        <v>36</v>
      </c>
      <c r="F3084" t="str">
        <f>IF(Table1[[#This Row],[age]]&lt;=25,"18-25",IF(Table1[[#This Row],[age]]&lt;=35,"26-35",IF(Table1[[#This Row],[age]]&lt;=50,"36-50","51+")))</f>
        <v>36-50</v>
      </c>
      <c r="G3084" t="s">
        <v>24</v>
      </c>
      <c r="H3084" t="s">
        <v>80</v>
      </c>
      <c r="I3084" t="s">
        <v>86</v>
      </c>
      <c r="J3084" t="s">
        <v>63</v>
      </c>
      <c r="K3084" t="s">
        <v>82</v>
      </c>
      <c r="L3084">
        <v>3</v>
      </c>
      <c r="M3084">
        <v>3416.07</v>
      </c>
      <c r="N3084">
        <v>0.14000000000000001</v>
      </c>
      <c r="O3084">
        <v>15099.86</v>
      </c>
      <c r="P3084">
        <v>6787.12</v>
      </c>
      <c r="Q3084">
        <v>56.49</v>
      </c>
      <c r="R3084" t="s">
        <v>49</v>
      </c>
      <c r="S3084">
        <v>4</v>
      </c>
      <c r="T3084" t="b">
        <v>0</v>
      </c>
      <c r="U3084" t="s">
        <v>93</v>
      </c>
      <c r="V3084">
        <v>8</v>
      </c>
    </row>
    <row r="3085" spans="1:22" x14ac:dyDescent="0.25">
      <c r="A3085" t="s">
        <v>6638</v>
      </c>
      <c r="B3085" s="1">
        <v>45295</v>
      </c>
      <c r="C3085" t="s">
        <v>3664</v>
      </c>
      <c r="D3085" t="s">
        <v>2333</v>
      </c>
      <c r="E3085">
        <v>30</v>
      </c>
      <c r="F3085" t="str">
        <f>IF(Table1[[#This Row],[age]]&lt;=25,"18-25",IF(Table1[[#This Row],[age]]&lt;=35,"26-35",IF(Table1[[#This Row],[age]]&lt;=50,"36-50","51+")))</f>
        <v>26-35</v>
      </c>
      <c r="G3085" t="s">
        <v>54</v>
      </c>
      <c r="H3085" t="s">
        <v>25</v>
      </c>
      <c r="I3085" t="s">
        <v>35</v>
      </c>
      <c r="J3085" t="s">
        <v>36</v>
      </c>
      <c r="K3085" t="s">
        <v>132</v>
      </c>
      <c r="L3085">
        <v>6</v>
      </c>
      <c r="M3085">
        <v>20348.09</v>
      </c>
      <c r="N3085">
        <v>0.27</v>
      </c>
      <c r="O3085">
        <v>89448.76</v>
      </c>
      <c r="P3085">
        <v>23773.69</v>
      </c>
      <c r="Q3085">
        <v>74.42</v>
      </c>
      <c r="R3085" t="s">
        <v>43</v>
      </c>
      <c r="S3085">
        <v>2</v>
      </c>
      <c r="T3085" t="b">
        <v>0</v>
      </c>
      <c r="U3085" t="s">
        <v>71</v>
      </c>
      <c r="V3085">
        <v>1</v>
      </c>
    </row>
    <row r="3086" spans="1:22" x14ac:dyDescent="0.25">
      <c r="A3086" t="s">
        <v>6639</v>
      </c>
      <c r="B3086" s="1">
        <v>44457</v>
      </c>
      <c r="C3086" t="s">
        <v>6640</v>
      </c>
      <c r="D3086" t="s">
        <v>833</v>
      </c>
      <c r="E3086">
        <v>26</v>
      </c>
      <c r="F3086" t="str">
        <f>IF(Table1[[#This Row],[age]]&lt;=25,"18-25",IF(Table1[[#This Row],[age]]&lt;=35,"26-35",IF(Table1[[#This Row],[age]]&lt;=50,"36-50","51+")))</f>
        <v>26-35</v>
      </c>
      <c r="G3086" t="s">
        <v>24</v>
      </c>
      <c r="H3086" t="s">
        <v>69</v>
      </c>
      <c r="I3086" t="s">
        <v>181</v>
      </c>
      <c r="J3086" t="s">
        <v>27</v>
      </c>
      <c r="K3086" t="s">
        <v>28</v>
      </c>
      <c r="L3086">
        <v>9</v>
      </c>
      <c r="M3086">
        <v>1633.93</v>
      </c>
      <c r="N3086">
        <v>0.26</v>
      </c>
      <c r="O3086">
        <v>13364.21</v>
      </c>
      <c r="P3086">
        <v>6165.22</v>
      </c>
      <c r="Q3086">
        <v>62.78</v>
      </c>
      <c r="R3086" t="s">
        <v>65</v>
      </c>
      <c r="S3086">
        <v>4</v>
      </c>
      <c r="T3086" t="b">
        <v>0</v>
      </c>
      <c r="U3086" t="s">
        <v>30</v>
      </c>
      <c r="V3086">
        <v>2</v>
      </c>
    </row>
    <row r="3087" spans="1:22" x14ac:dyDescent="0.25">
      <c r="A3087" t="s">
        <v>6641</v>
      </c>
      <c r="B3087" s="1">
        <v>45070</v>
      </c>
      <c r="C3087" t="s">
        <v>6642</v>
      </c>
      <c r="D3087" t="s">
        <v>2716</v>
      </c>
      <c r="E3087">
        <v>48</v>
      </c>
      <c r="F3087" t="str">
        <f>IF(Table1[[#This Row],[age]]&lt;=25,"18-25",IF(Table1[[#This Row],[age]]&lt;=35,"26-35",IF(Table1[[#This Row],[age]]&lt;=50,"36-50","51+")))</f>
        <v>36-50</v>
      </c>
      <c r="G3087" t="s">
        <v>24</v>
      </c>
      <c r="H3087" t="s">
        <v>25</v>
      </c>
      <c r="I3087" t="s">
        <v>26</v>
      </c>
      <c r="J3087" t="s">
        <v>36</v>
      </c>
      <c r="K3087" t="s">
        <v>243</v>
      </c>
      <c r="L3087">
        <v>2</v>
      </c>
      <c r="M3087">
        <v>16498.439999999999</v>
      </c>
      <c r="N3087">
        <v>0.32</v>
      </c>
      <c r="O3087">
        <v>35854.5</v>
      </c>
      <c r="P3087">
        <v>11294.07</v>
      </c>
      <c r="Q3087">
        <v>57.11</v>
      </c>
      <c r="R3087" t="s">
        <v>57</v>
      </c>
      <c r="S3087">
        <v>4</v>
      </c>
      <c r="T3087" t="b">
        <v>0</v>
      </c>
      <c r="U3087" t="s">
        <v>30</v>
      </c>
      <c r="V3087">
        <v>5</v>
      </c>
    </row>
    <row r="3088" spans="1:22" x14ac:dyDescent="0.25">
      <c r="A3088" t="s">
        <v>6643</v>
      </c>
      <c r="B3088" s="1">
        <v>44870</v>
      </c>
      <c r="C3088" t="s">
        <v>6644</v>
      </c>
      <c r="D3088" t="s">
        <v>1281</v>
      </c>
      <c r="E3088">
        <v>33</v>
      </c>
      <c r="F3088" t="str">
        <f>IF(Table1[[#This Row],[age]]&lt;=25,"18-25",IF(Table1[[#This Row],[age]]&lt;=35,"26-35",IF(Table1[[#This Row],[age]]&lt;=50,"36-50","51+")))</f>
        <v>26-35</v>
      </c>
      <c r="G3088" t="s">
        <v>24</v>
      </c>
      <c r="H3088" t="s">
        <v>25</v>
      </c>
      <c r="I3088" t="s">
        <v>35</v>
      </c>
      <c r="J3088" t="s">
        <v>115</v>
      </c>
      <c r="K3088" t="s">
        <v>116</v>
      </c>
      <c r="L3088">
        <v>4</v>
      </c>
      <c r="M3088">
        <v>6142.5</v>
      </c>
      <c r="N3088">
        <v>0.28000000000000003</v>
      </c>
      <c r="O3088">
        <v>15055.56</v>
      </c>
      <c r="P3088">
        <v>2596.19</v>
      </c>
      <c r="Q3088">
        <v>76.47</v>
      </c>
      <c r="R3088" t="s">
        <v>43</v>
      </c>
      <c r="S3088">
        <v>5</v>
      </c>
      <c r="T3088" t="b">
        <v>0</v>
      </c>
      <c r="U3088" t="s">
        <v>30</v>
      </c>
      <c r="V3088">
        <v>4</v>
      </c>
    </row>
    <row r="3089" spans="1:22" x14ac:dyDescent="0.25">
      <c r="A3089" t="s">
        <v>6645</v>
      </c>
      <c r="B3089" s="1">
        <v>43976</v>
      </c>
      <c r="C3089" t="s">
        <v>6646</v>
      </c>
      <c r="D3089" t="s">
        <v>1473</v>
      </c>
      <c r="E3089">
        <v>45</v>
      </c>
      <c r="F3089" t="str">
        <f>IF(Table1[[#This Row],[age]]&lt;=25,"18-25",IF(Table1[[#This Row],[age]]&lt;=35,"26-35",IF(Table1[[#This Row],[age]]&lt;=50,"36-50","51+")))</f>
        <v>36-50</v>
      </c>
      <c r="G3089" t="s">
        <v>54</v>
      </c>
      <c r="H3089" t="s">
        <v>25</v>
      </c>
      <c r="I3089" t="s">
        <v>298</v>
      </c>
      <c r="J3089" t="s">
        <v>63</v>
      </c>
      <c r="K3089" t="s">
        <v>82</v>
      </c>
      <c r="L3089">
        <v>2</v>
      </c>
      <c r="M3089">
        <v>2283.88</v>
      </c>
      <c r="N3089">
        <v>0.38</v>
      </c>
      <c r="O3089">
        <v>3053.06</v>
      </c>
      <c r="P3089">
        <v>1108.5</v>
      </c>
      <c r="Q3089">
        <v>35.32</v>
      </c>
      <c r="R3089" t="s">
        <v>29</v>
      </c>
      <c r="S3089">
        <v>4</v>
      </c>
      <c r="T3089" t="b">
        <v>1</v>
      </c>
      <c r="U3089" t="s">
        <v>50</v>
      </c>
      <c r="V3089">
        <v>5</v>
      </c>
    </row>
    <row r="3090" spans="1:22" x14ac:dyDescent="0.25">
      <c r="A3090" t="s">
        <v>6647</v>
      </c>
      <c r="B3090" s="1">
        <v>45015</v>
      </c>
      <c r="C3090" t="s">
        <v>6648</v>
      </c>
      <c r="D3090" t="s">
        <v>324</v>
      </c>
      <c r="E3090">
        <v>34</v>
      </c>
      <c r="F3090" t="str">
        <f>IF(Table1[[#This Row],[age]]&lt;=25,"18-25",IF(Table1[[#This Row],[age]]&lt;=35,"26-35",IF(Table1[[#This Row],[age]]&lt;=50,"36-50","51+")))</f>
        <v>26-35</v>
      </c>
      <c r="G3090" t="s">
        <v>34</v>
      </c>
      <c r="H3090" t="s">
        <v>69</v>
      </c>
      <c r="I3090" t="s">
        <v>181</v>
      </c>
      <c r="J3090" t="s">
        <v>63</v>
      </c>
      <c r="K3090" t="s">
        <v>82</v>
      </c>
      <c r="L3090">
        <v>4</v>
      </c>
      <c r="M3090">
        <v>1407.93</v>
      </c>
      <c r="N3090">
        <v>0.05</v>
      </c>
      <c r="O3090">
        <v>6398.88</v>
      </c>
      <c r="P3090">
        <v>2389.35</v>
      </c>
      <c r="Q3090">
        <v>107.41</v>
      </c>
      <c r="R3090" t="s">
        <v>29</v>
      </c>
      <c r="S3090">
        <v>5</v>
      </c>
      <c r="T3090" t="b">
        <v>0</v>
      </c>
      <c r="U3090" t="s">
        <v>30</v>
      </c>
      <c r="V3090">
        <v>2</v>
      </c>
    </row>
    <row r="3091" spans="1:22" x14ac:dyDescent="0.25">
      <c r="A3091" t="s">
        <v>6649</v>
      </c>
      <c r="B3091" s="1">
        <v>45351</v>
      </c>
      <c r="C3091" t="s">
        <v>3725</v>
      </c>
      <c r="D3091" t="s">
        <v>1719</v>
      </c>
      <c r="E3091">
        <v>26</v>
      </c>
      <c r="F3091" t="str">
        <f>IF(Table1[[#This Row],[age]]&lt;=25,"18-25",IF(Table1[[#This Row],[age]]&lt;=35,"26-35",IF(Table1[[#This Row],[age]]&lt;=50,"36-50","51+")))</f>
        <v>26-35</v>
      </c>
      <c r="G3091" t="s">
        <v>54</v>
      </c>
      <c r="H3091" t="s">
        <v>25</v>
      </c>
      <c r="I3091" t="s">
        <v>41</v>
      </c>
      <c r="J3091" t="s">
        <v>63</v>
      </c>
      <c r="K3091" t="s">
        <v>82</v>
      </c>
      <c r="L3091">
        <v>3</v>
      </c>
      <c r="M3091">
        <v>1849.16</v>
      </c>
      <c r="N3091">
        <v>0.24</v>
      </c>
      <c r="O3091">
        <v>4817.3500000000004</v>
      </c>
      <c r="P3091">
        <v>2118.33</v>
      </c>
      <c r="Q3091">
        <v>38.42</v>
      </c>
      <c r="R3091" t="s">
        <v>92</v>
      </c>
      <c r="S3091">
        <v>2</v>
      </c>
      <c r="T3091" t="b">
        <v>0</v>
      </c>
      <c r="U3091" t="s">
        <v>30</v>
      </c>
      <c r="V3091">
        <v>4</v>
      </c>
    </row>
    <row r="3092" spans="1:22" x14ac:dyDescent="0.25">
      <c r="A3092" t="s">
        <v>6650</v>
      </c>
      <c r="B3092" s="1">
        <v>45125</v>
      </c>
      <c r="C3092" t="s">
        <v>6651</v>
      </c>
      <c r="D3092" t="s">
        <v>1291</v>
      </c>
      <c r="E3092">
        <v>25</v>
      </c>
      <c r="F3092" t="str">
        <f>IF(Table1[[#This Row],[age]]&lt;=25,"18-25",IF(Table1[[#This Row],[age]]&lt;=35,"26-35",IF(Table1[[#This Row],[age]]&lt;=50,"36-50","51+")))</f>
        <v>18-25</v>
      </c>
      <c r="G3092" t="s">
        <v>34</v>
      </c>
      <c r="H3092" t="s">
        <v>69</v>
      </c>
      <c r="I3092" t="s">
        <v>70</v>
      </c>
      <c r="J3092" t="s">
        <v>27</v>
      </c>
      <c r="K3092" t="s">
        <v>335</v>
      </c>
      <c r="L3092">
        <v>2</v>
      </c>
      <c r="M3092">
        <v>524.05999999999995</v>
      </c>
      <c r="N3092">
        <v>0.35</v>
      </c>
      <c r="O3092">
        <v>992.13</v>
      </c>
      <c r="P3092">
        <v>703.91</v>
      </c>
      <c r="Q3092">
        <v>91.44</v>
      </c>
      <c r="R3092" t="s">
        <v>49</v>
      </c>
      <c r="S3092">
        <v>5</v>
      </c>
      <c r="T3092" t="b">
        <v>0</v>
      </c>
      <c r="U3092" t="s">
        <v>30</v>
      </c>
      <c r="V3092">
        <v>3</v>
      </c>
    </row>
    <row r="3093" spans="1:22" x14ac:dyDescent="0.25">
      <c r="A3093" t="s">
        <v>6652</v>
      </c>
      <c r="B3093" s="1">
        <v>45303</v>
      </c>
      <c r="C3093" t="s">
        <v>6653</v>
      </c>
      <c r="D3093" t="s">
        <v>2142</v>
      </c>
      <c r="E3093">
        <v>27</v>
      </c>
      <c r="F3093" t="str">
        <f>IF(Table1[[#This Row],[age]]&lt;=25,"18-25",IF(Table1[[#This Row],[age]]&lt;=35,"26-35",IF(Table1[[#This Row],[age]]&lt;=50,"36-50","51+")))</f>
        <v>26-35</v>
      </c>
      <c r="G3093" t="s">
        <v>34</v>
      </c>
      <c r="H3093" t="s">
        <v>25</v>
      </c>
      <c r="I3093" t="s">
        <v>26</v>
      </c>
      <c r="J3093" t="s">
        <v>106</v>
      </c>
      <c r="K3093" t="s">
        <v>314</v>
      </c>
      <c r="L3093">
        <v>8</v>
      </c>
      <c r="M3093">
        <v>381.64</v>
      </c>
      <c r="N3093">
        <v>0.15</v>
      </c>
      <c r="O3093">
        <v>2926.92</v>
      </c>
      <c r="P3093">
        <v>195.11</v>
      </c>
      <c r="Q3093">
        <v>61.1</v>
      </c>
      <c r="R3093" t="s">
        <v>92</v>
      </c>
      <c r="S3093">
        <v>1</v>
      </c>
      <c r="T3093" t="b">
        <v>0</v>
      </c>
      <c r="U3093" t="s">
        <v>93</v>
      </c>
      <c r="V3093">
        <v>1</v>
      </c>
    </row>
    <row r="3094" spans="1:22" x14ac:dyDescent="0.25">
      <c r="A3094" t="s">
        <v>6654</v>
      </c>
      <c r="B3094" s="1">
        <v>45150</v>
      </c>
      <c r="C3094" t="s">
        <v>6655</v>
      </c>
      <c r="D3094" t="s">
        <v>275</v>
      </c>
      <c r="E3094">
        <v>48</v>
      </c>
      <c r="F3094" t="str">
        <f>IF(Table1[[#This Row],[age]]&lt;=25,"18-25",IF(Table1[[#This Row],[age]]&lt;=35,"26-35",IF(Table1[[#This Row],[age]]&lt;=50,"36-50","51+")))</f>
        <v>36-50</v>
      </c>
      <c r="G3094" t="s">
        <v>34</v>
      </c>
      <c r="H3094" t="s">
        <v>61</v>
      </c>
      <c r="I3094" t="s">
        <v>141</v>
      </c>
      <c r="J3094" t="s">
        <v>36</v>
      </c>
      <c r="K3094" t="s">
        <v>37</v>
      </c>
      <c r="L3094">
        <v>5</v>
      </c>
      <c r="M3094">
        <v>2325.92</v>
      </c>
      <c r="N3094">
        <v>0.02</v>
      </c>
      <c r="O3094">
        <v>17516.82</v>
      </c>
      <c r="P3094">
        <v>4426.97</v>
      </c>
      <c r="Q3094">
        <v>68.39</v>
      </c>
      <c r="R3094" t="s">
        <v>49</v>
      </c>
      <c r="S3094">
        <v>1</v>
      </c>
      <c r="T3094" t="b">
        <v>0</v>
      </c>
      <c r="U3094" t="s">
        <v>30</v>
      </c>
      <c r="V3094">
        <v>5</v>
      </c>
    </row>
    <row r="3095" spans="1:22" x14ac:dyDescent="0.25">
      <c r="A3095" t="s">
        <v>6656</v>
      </c>
      <c r="B3095" s="1">
        <v>44805</v>
      </c>
      <c r="C3095" t="s">
        <v>6657</v>
      </c>
      <c r="D3095" t="s">
        <v>1756</v>
      </c>
      <c r="E3095">
        <v>34</v>
      </c>
      <c r="F3095" t="str">
        <f>IF(Table1[[#This Row],[age]]&lt;=25,"18-25",IF(Table1[[#This Row],[age]]&lt;=35,"26-35",IF(Table1[[#This Row],[age]]&lt;=50,"36-50","51+")))</f>
        <v>26-35</v>
      </c>
      <c r="G3095" t="s">
        <v>54</v>
      </c>
      <c r="H3095" t="s">
        <v>80</v>
      </c>
      <c r="I3095" t="s">
        <v>242</v>
      </c>
      <c r="J3095" t="s">
        <v>27</v>
      </c>
      <c r="K3095" t="s">
        <v>480</v>
      </c>
      <c r="L3095">
        <v>9</v>
      </c>
      <c r="M3095">
        <v>1011.72</v>
      </c>
      <c r="N3095">
        <v>0.19</v>
      </c>
      <c r="O3095">
        <v>8905.76</v>
      </c>
      <c r="P3095">
        <v>2925.83</v>
      </c>
      <c r="Q3095">
        <v>96.59</v>
      </c>
      <c r="R3095" t="s">
        <v>92</v>
      </c>
      <c r="S3095">
        <v>1</v>
      </c>
      <c r="T3095" t="b">
        <v>0</v>
      </c>
      <c r="U3095" t="s">
        <v>30</v>
      </c>
      <c r="V3095">
        <v>4</v>
      </c>
    </row>
    <row r="3096" spans="1:22" x14ac:dyDescent="0.25">
      <c r="A3096" t="s">
        <v>6658</v>
      </c>
      <c r="B3096" s="1">
        <v>44257</v>
      </c>
      <c r="C3096" t="s">
        <v>6659</v>
      </c>
      <c r="D3096" t="s">
        <v>2432</v>
      </c>
      <c r="E3096">
        <v>26</v>
      </c>
      <c r="F3096" t="str">
        <f>IF(Table1[[#This Row],[age]]&lt;=25,"18-25",IF(Table1[[#This Row],[age]]&lt;=35,"26-35",IF(Table1[[#This Row],[age]]&lt;=50,"36-50","51+")))</f>
        <v>26-35</v>
      </c>
      <c r="G3096" t="s">
        <v>34</v>
      </c>
      <c r="H3096" t="s">
        <v>25</v>
      </c>
      <c r="I3096" t="s">
        <v>298</v>
      </c>
      <c r="J3096" t="s">
        <v>27</v>
      </c>
      <c r="K3096" t="s">
        <v>28</v>
      </c>
      <c r="L3096">
        <v>10</v>
      </c>
      <c r="M3096">
        <v>1967.69</v>
      </c>
      <c r="N3096">
        <v>0.12</v>
      </c>
      <c r="O3096">
        <v>19952.419999999998</v>
      </c>
      <c r="P3096">
        <v>8446.34</v>
      </c>
      <c r="Q3096">
        <v>29.78</v>
      </c>
      <c r="R3096" t="s">
        <v>57</v>
      </c>
      <c r="S3096">
        <v>4</v>
      </c>
      <c r="T3096" t="b">
        <v>0</v>
      </c>
      <c r="U3096" t="s">
        <v>93</v>
      </c>
      <c r="V3096">
        <v>4</v>
      </c>
    </row>
    <row r="3097" spans="1:22" x14ac:dyDescent="0.25">
      <c r="A3097" t="s">
        <v>6660</v>
      </c>
      <c r="B3097" s="1">
        <v>45108</v>
      </c>
      <c r="C3097" t="s">
        <v>6661</v>
      </c>
      <c r="D3097" t="s">
        <v>2067</v>
      </c>
      <c r="E3097">
        <v>36</v>
      </c>
      <c r="F3097" t="str">
        <f>IF(Table1[[#This Row],[age]]&lt;=25,"18-25",IF(Table1[[#This Row],[age]]&lt;=35,"26-35",IF(Table1[[#This Row],[age]]&lt;=50,"36-50","51+")))</f>
        <v>36-50</v>
      </c>
      <c r="G3097" t="s">
        <v>24</v>
      </c>
      <c r="H3097" t="s">
        <v>61</v>
      </c>
      <c r="I3097" t="s">
        <v>141</v>
      </c>
      <c r="J3097" t="s">
        <v>27</v>
      </c>
      <c r="K3097" t="s">
        <v>128</v>
      </c>
      <c r="L3097">
        <v>9</v>
      </c>
      <c r="M3097">
        <v>384.12</v>
      </c>
      <c r="N3097">
        <v>0.06</v>
      </c>
      <c r="O3097">
        <v>5112.1400000000003</v>
      </c>
      <c r="P3097">
        <v>2559.12</v>
      </c>
      <c r="Q3097">
        <v>26.49</v>
      </c>
      <c r="R3097" t="s">
        <v>65</v>
      </c>
      <c r="S3097">
        <v>3</v>
      </c>
      <c r="T3097" t="b">
        <v>0</v>
      </c>
      <c r="U3097" t="s">
        <v>30</v>
      </c>
      <c r="V3097">
        <v>8</v>
      </c>
    </row>
    <row r="3098" spans="1:22" x14ac:dyDescent="0.25">
      <c r="A3098" t="s">
        <v>6662</v>
      </c>
      <c r="B3098" s="1">
        <v>44363</v>
      </c>
      <c r="C3098" t="s">
        <v>6663</v>
      </c>
      <c r="D3098" t="s">
        <v>1370</v>
      </c>
      <c r="E3098">
        <v>48</v>
      </c>
      <c r="F3098" t="str">
        <f>IF(Table1[[#This Row],[age]]&lt;=25,"18-25",IF(Table1[[#This Row],[age]]&lt;=35,"26-35",IF(Table1[[#This Row],[age]]&lt;=50,"36-50","51+")))</f>
        <v>36-50</v>
      </c>
      <c r="G3098" t="s">
        <v>34</v>
      </c>
      <c r="H3098" t="s">
        <v>25</v>
      </c>
      <c r="I3098" t="s">
        <v>41</v>
      </c>
      <c r="J3098" t="s">
        <v>101</v>
      </c>
      <c r="K3098" t="s">
        <v>164</v>
      </c>
      <c r="L3098">
        <v>7</v>
      </c>
      <c r="M3098">
        <v>13866.5</v>
      </c>
      <c r="N3098">
        <v>0.4</v>
      </c>
      <c r="O3098">
        <v>89463.92</v>
      </c>
      <c r="P3098">
        <v>27530.1</v>
      </c>
      <c r="Q3098">
        <v>63.5</v>
      </c>
      <c r="R3098" t="s">
        <v>43</v>
      </c>
      <c r="S3098">
        <v>2</v>
      </c>
      <c r="T3098" t="b">
        <v>1</v>
      </c>
      <c r="U3098" t="s">
        <v>50</v>
      </c>
      <c r="V3098">
        <v>9</v>
      </c>
    </row>
    <row r="3099" spans="1:22" x14ac:dyDescent="0.25">
      <c r="A3099" t="s">
        <v>6664</v>
      </c>
      <c r="B3099" s="1">
        <v>44820</v>
      </c>
      <c r="C3099" t="s">
        <v>6665</v>
      </c>
      <c r="D3099" t="s">
        <v>437</v>
      </c>
      <c r="E3099">
        <v>28</v>
      </c>
      <c r="F3099" t="str">
        <f>IF(Table1[[#This Row],[age]]&lt;=25,"18-25",IF(Table1[[#This Row],[age]]&lt;=35,"26-35",IF(Table1[[#This Row],[age]]&lt;=50,"36-50","51+")))</f>
        <v>26-35</v>
      </c>
      <c r="G3099" t="s">
        <v>54</v>
      </c>
      <c r="H3099" t="s">
        <v>69</v>
      </c>
      <c r="I3099" t="s">
        <v>181</v>
      </c>
      <c r="J3099" t="s">
        <v>101</v>
      </c>
      <c r="K3099" t="s">
        <v>214</v>
      </c>
      <c r="L3099">
        <v>5</v>
      </c>
      <c r="M3099">
        <v>10621.22</v>
      </c>
      <c r="N3099">
        <v>0.03</v>
      </c>
      <c r="O3099">
        <v>58513.74</v>
      </c>
      <c r="P3099">
        <v>13918.5</v>
      </c>
      <c r="Q3099">
        <v>72.95</v>
      </c>
      <c r="R3099" t="s">
        <v>57</v>
      </c>
      <c r="S3099">
        <v>4</v>
      </c>
      <c r="T3099" t="b">
        <v>0</v>
      </c>
      <c r="U3099" t="s">
        <v>193</v>
      </c>
      <c r="V3099">
        <v>3</v>
      </c>
    </row>
    <row r="3100" spans="1:22" x14ac:dyDescent="0.25">
      <c r="A3100" t="s">
        <v>6666</v>
      </c>
      <c r="B3100" s="1">
        <v>45529</v>
      </c>
      <c r="C3100" t="s">
        <v>6667</v>
      </c>
      <c r="D3100" t="s">
        <v>407</v>
      </c>
      <c r="E3100">
        <v>45</v>
      </c>
      <c r="F3100" t="str">
        <f>IF(Table1[[#This Row],[age]]&lt;=25,"18-25",IF(Table1[[#This Row],[age]]&lt;=35,"26-35",IF(Table1[[#This Row],[age]]&lt;=50,"36-50","51+")))</f>
        <v>36-50</v>
      </c>
      <c r="G3100" t="s">
        <v>54</v>
      </c>
      <c r="H3100" t="s">
        <v>55</v>
      </c>
      <c r="I3100" t="s">
        <v>75</v>
      </c>
      <c r="J3100" t="s">
        <v>36</v>
      </c>
      <c r="K3100" t="s">
        <v>132</v>
      </c>
      <c r="L3100">
        <v>7</v>
      </c>
      <c r="M3100">
        <v>26483.31</v>
      </c>
      <c r="N3100">
        <v>0.19</v>
      </c>
      <c r="O3100">
        <v>218498.09</v>
      </c>
      <c r="P3100">
        <v>59352.07</v>
      </c>
      <c r="Q3100">
        <v>51.56</v>
      </c>
      <c r="R3100" t="s">
        <v>29</v>
      </c>
      <c r="S3100">
        <v>2</v>
      </c>
      <c r="T3100" t="b">
        <v>0</v>
      </c>
      <c r="U3100" t="s">
        <v>30</v>
      </c>
      <c r="V3100">
        <v>8</v>
      </c>
    </row>
    <row r="3101" spans="1:22" x14ac:dyDescent="0.25">
      <c r="A3101" t="s">
        <v>6668</v>
      </c>
      <c r="B3101" s="1">
        <v>44650</v>
      </c>
      <c r="C3101" t="s">
        <v>6669</v>
      </c>
      <c r="D3101" t="s">
        <v>1573</v>
      </c>
      <c r="E3101">
        <v>21</v>
      </c>
      <c r="F3101" t="str">
        <f>IF(Table1[[#This Row],[age]]&lt;=25,"18-25",IF(Table1[[#This Row],[age]]&lt;=35,"26-35",IF(Table1[[#This Row],[age]]&lt;=50,"36-50","51+")))</f>
        <v>18-25</v>
      </c>
      <c r="G3101" t="s">
        <v>54</v>
      </c>
      <c r="H3101" t="s">
        <v>55</v>
      </c>
      <c r="I3101" t="s">
        <v>97</v>
      </c>
      <c r="J3101" t="s">
        <v>27</v>
      </c>
      <c r="K3101" t="s">
        <v>480</v>
      </c>
      <c r="L3101">
        <v>1</v>
      </c>
      <c r="M3101">
        <v>2086.4699999999998</v>
      </c>
      <c r="N3101">
        <v>0.4</v>
      </c>
      <c r="O3101">
        <v>1378.93</v>
      </c>
      <c r="P3101">
        <v>777.51</v>
      </c>
      <c r="Q3101">
        <v>51</v>
      </c>
      <c r="R3101" t="s">
        <v>43</v>
      </c>
      <c r="S3101">
        <v>5</v>
      </c>
      <c r="T3101" t="b">
        <v>0</v>
      </c>
      <c r="U3101" t="s">
        <v>93</v>
      </c>
      <c r="V3101">
        <v>6</v>
      </c>
    </row>
    <row r="3102" spans="1:22" x14ac:dyDescent="0.25">
      <c r="A3102" t="s">
        <v>6670</v>
      </c>
      <c r="B3102" s="1">
        <v>45630</v>
      </c>
      <c r="C3102" t="s">
        <v>6671</v>
      </c>
      <c r="D3102" t="s">
        <v>998</v>
      </c>
      <c r="E3102">
        <v>25</v>
      </c>
      <c r="F3102" t="str">
        <f>IF(Table1[[#This Row],[age]]&lt;=25,"18-25",IF(Table1[[#This Row],[age]]&lt;=35,"26-35",IF(Table1[[#This Row],[age]]&lt;=50,"36-50","51+")))</f>
        <v>18-25</v>
      </c>
      <c r="G3102" t="s">
        <v>24</v>
      </c>
      <c r="H3102" t="s">
        <v>55</v>
      </c>
      <c r="I3102" t="s">
        <v>97</v>
      </c>
      <c r="J3102" t="s">
        <v>47</v>
      </c>
      <c r="K3102" t="s">
        <v>156</v>
      </c>
      <c r="L3102">
        <v>1</v>
      </c>
      <c r="M3102">
        <v>395.88</v>
      </c>
      <c r="N3102">
        <v>0.05</v>
      </c>
      <c r="O3102">
        <v>323.02999999999997</v>
      </c>
      <c r="P3102">
        <v>152.9</v>
      </c>
      <c r="Q3102">
        <v>52.45</v>
      </c>
      <c r="R3102" t="s">
        <v>49</v>
      </c>
      <c r="S3102">
        <v>3</v>
      </c>
      <c r="T3102" t="b">
        <v>0</v>
      </c>
      <c r="U3102" t="s">
        <v>30</v>
      </c>
      <c r="V3102">
        <v>5</v>
      </c>
    </row>
    <row r="3103" spans="1:22" x14ac:dyDescent="0.25">
      <c r="A3103" t="s">
        <v>6672</v>
      </c>
      <c r="B3103" s="1">
        <v>45044</v>
      </c>
      <c r="C3103" t="s">
        <v>6673</v>
      </c>
      <c r="D3103" t="s">
        <v>187</v>
      </c>
      <c r="E3103">
        <v>37</v>
      </c>
      <c r="F3103" t="str">
        <f>IF(Table1[[#This Row],[age]]&lt;=25,"18-25",IF(Table1[[#This Row],[age]]&lt;=35,"26-35",IF(Table1[[#This Row],[age]]&lt;=50,"36-50","51+")))</f>
        <v>36-50</v>
      </c>
      <c r="G3103" t="s">
        <v>54</v>
      </c>
      <c r="H3103" t="s">
        <v>25</v>
      </c>
      <c r="I3103" t="s">
        <v>35</v>
      </c>
      <c r="J3103" t="s">
        <v>106</v>
      </c>
      <c r="K3103" t="s">
        <v>247</v>
      </c>
      <c r="L3103">
        <v>7</v>
      </c>
      <c r="M3103">
        <v>345.21</v>
      </c>
      <c r="N3103">
        <v>0.31</v>
      </c>
      <c r="O3103">
        <v>2467.58</v>
      </c>
      <c r="P3103">
        <v>210.23</v>
      </c>
      <c r="Q3103">
        <v>60.08</v>
      </c>
      <c r="R3103" t="s">
        <v>43</v>
      </c>
      <c r="S3103">
        <v>4</v>
      </c>
      <c r="T3103" t="b">
        <v>0</v>
      </c>
      <c r="U3103" t="s">
        <v>30</v>
      </c>
      <c r="V3103">
        <v>10</v>
      </c>
    </row>
    <row r="3104" spans="1:22" x14ac:dyDescent="0.25">
      <c r="A3104" t="s">
        <v>6674</v>
      </c>
      <c r="B3104" s="1">
        <v>44664</v>
      </c>
      <c r="C3104" t="s">
        <v>6675</v>
      </c>
      <c r="D3104" t="s">
        <v>187</v>
      </c>
      <c r="E3104">
        <v>27</v>
      </c>
      <c r="F3104" t="str">
        <f>IF(Table1[[#This Row],[age]]&lt;=25,"18-25",IF(Table1[[#This Row],[age]]&lt;=35,"26-35",IF(Table1[[#This Row],[age]]&lt;=50,"36-50","51+")))</f>
        <v>26-35</v>
      </c>
      <c r="G3104" t="s">
        <v>24</v>
      </c>
      <c r="H3104" t="s">
        <v>55</v>
      </c>
      <c r="I3104" t="s">
        <v>75</v>
      </c>
      <c r="J3104" t="s">
        <v>101</v>
      </c>
      <c r="K3104" t="s">
        <v>164</v>
      </c>
      <c r="L3104">
        <v>8</v>
      </c>
      <c r="M3104">
        <v>10307.31</v>
      </c>
      <c r="N3104">
        <v>0.04</v>
      </c>
      <c r="O3104">
        <v>110726.11</v>
      </c>
      <c r="P3104">
        <v>34280.730000000003</v>
      </c>
      <c r="Q3104">
        <v>65.12</v>
      </c>
      <c r="R3104" t="s">
        <v>65</v>
      </c>
      <c r="S3104">
        <v>4</v>
      </c>
      <c r="T3104" t="b">
        <v>0</v>
      </c>
      <c r="U3104" t="s">
        <v>30</v>
      </c>
      <c r="V3104">
        <v>8</v>
      </c>
    </row>
    <row r="3105" spans="1:22" x14ac:dyDescent="0.25">
      <c r="A3105" t="s">
        <v>6676</v>
      </c>
      <c r="B3105" s="1">
        <v>45404</v>
      </c>
      <c r="C3105" t="s">
        <v>6677</v>
      </c>
      <c r="D3105" t="s">
        <v>1498</v>
      </c>
      <c r="E3105">
        <v>33</v>
      </c>
      <c r="F3105" t="str">
        <f>IF(Table1[[#This Row],[age]]&lt;=25,"18-25",IF(Table1[[#This Row],[age]]&lt;=35,"26-35",IF(Table1[[#This Row],[age]]&lt;=50,"36-50","51+")))</f>
        <v>26-35</v>
      </c>
      <c r="G3105" t="s">
        <v>34</v>
      </c>
      <c r="H3105" t="s">
        <v>69</v>
      </c>
      <c r="I3105" t="s">
        <v>221</v>
      </c>
      <c r="J3105" t="s">
        <v>36</v>
      </c>
      <c r="K3105" t="s">
        <v>230</v>
      </c>
      <c r="L3105">
        <v>9</v>
      </c>
      <c r="M3105">
        <v>14817.04</v>
      </c>
      <c r="N3105">
        <v>0</v>
      </c>
      <c r="O3105">
        <v>202150.56</v>
      </c>
      <c r="P3105">
        <v>62640.08</v>
      </c>
      <c r="Q3105">
        <v>83.25</v>
      </c>
      <c r="R3105" t="s">
        <v>65</v>
      </c>
      <c r="S3105">
        <v>2</v>
      </c>
      <c r="T3105" t="b">
        <v>0</v>
      </c>
      <c r="U3105" t="s">
        <v>30</v>
      </c>
      <c r="V3105">
        <v>2</v>
      </c>
    </row>
    <row r="3106" spans="1:22" x14ac:dyDescent="0.25">
      <c r="A3106" t="s">
        <v>6678</v>
      </c>
      <c r="B3106" s="1">
        <v>44868</v>
      </c>
      <c r="C3106" t="s">
        <v>6679</v>
      </c>
      <c r="D3106" t="s">
        <v>397</v>
      </c>
      <c r="E3106">
        <v>23</v>
      </c>
      <c r="F3106" t="str">
        <f>IF(Table1[[#This Row],[age]]&lt;=25,"18-25",IF(Table1[[#This Row],[age]]&lt;=35,"26-35",IF(Table1[[#This Row],[age]]&lt;=50,"36-50","51+")))</f>
        <v>18-25</v>
      </c>
      <c r="G3106" t="s">
        <v>24</v>
      </c>
      <c r="H3106" t="s">
        <v>69</v>
      </c>
      <c r="I3106" t="s">
        <v>221</v>
      </c>
      <c r="J3106" t="s">
        <v>63</v>
      </c>
      <c r="K3106" t="s">
        <v>82</v>
      </c>
      <c r="L3106">
        <v>1</v>
      </c>
      <c r="M3106">
        <v>978.49</v>
      </c>
      <c r="N3106">
        <v>0.12</v>
      </c>
      <c r="O3106">
        <v>736.31</v>
      </c>
      <c r="P3106">
        <v>317.25</v>
      </c>
      <c r="Q3106">
        <v>92.46</v>
      </c>
      <c r="R3106" t="s">
        <v>43</v>
      </c>
      <c r="S3106">
        <v>2</v>
      </c>
      <c r="T3106" t="b">
        <v>0</v>
      </c>
      <c r="U3106" t="s">
        <v>30</v>
      </c>
      <c r="V3106">
        <v>2</v>
      </c>
    </row>
    <row r="3107" spans="1:22" x14ac:dyDescent="0.25">
      <c r="A3107" t="s">
        <v>6680</v>
      </c>
      <c r="B3107" s="1">
        <v>44752</v>
      </c>
      <c r="C3107" t="s">
        <v>6681</v>
      </c>
      <c r="D3107" t="s">
        <v>1126</v>
      </c>
      <c r="E3107">
        <v>28</v>
      </c>
      <c r="F3107" t="str">
        <f>IF(Table1[[#This Row],[age]]&lt;=25,"18-25",IF(Table1[[#This Row],[age]]&lt;=35,"26-35",IF(Table1[[#This Row],[age]]&lt;=50,"36-50","51+")))</f>
        <v>26-35</v>
      </c>
      <c r="G3107" t="s">
        <v>54</v>
      </c>
      <c r="H3107" t="s">
        <v>69</v>
      </c>
      <c r="I3107" t="s">
        <v>221</v>
      </c>
      <c r="J3107" t="s">
        <v>101</v>
      </c>
      <c r="K3107" t="s">
        <v>102</v>
      </c>
      <c r="L3107">
        <v>8</v>
      </c>
      <c r="M3107">
        <v>3340.32</v>
      </c>
      <c r="N3107">
        <v>0.25</v>
      </c>
      <c r="O3107">
        <v>28705.040000000001</v>
      </c>
      <c r="P3107">
        <v>6012.3</v>
      </c>
      <c r="Q3107">
        <v>87.45</v>
      </c>
      <c r="R3107" t="s">
        <v>92</v>
      </c>
      <c r="S3107">
        <v>3</v>
      </c>
      <c r="T3107" t="b">
        <v>0</v>
      </c>
      <c r="U3107" t="s">
        <v>93</v>
      </c>
      <c r="V3107">
        <v>5</v>
      </c>
    </row>
    <row r="3108" spans="1:22" x14ac:dyDescent="0.25">
      <c r="A3108" t="s">
        <v>6682</v>
      </c>
      <c r="B3108" s="1">
        <v>45434</v>
      </c>
      <c r="C3108" t="s">
        <v>6683</v>
      </c>
      <c r="D3108" t="s">
        <v>1188</v>
      </c>
      <c r="E3108">
        <v>42</v>
      </c>
      <c r="F3108" t="str">
        <f>IF(Table1[[#This Row],[age]]&lt;=25,"18-25",IF(Table1[[#This Row],[age]]&lt;=35,"26-35",IF(Table1[[#This Row],[age]]&lt;=50,"36-50","51+")))</f>
        <v>36-50</v>
      </c>
      <c r="G3108" t="s">
        <v>34</v>
      </c>
      <c r="H3108" t="s">
        <v>55</v>
      </c>
      <c r="I3108" t="s">
        <v>56</v>
      </c>
      <c r="J3108" t="s">
        <v>115</v>
      </c>
      <c r="K3108" t="s">
        <v>145</v>
      </c>
      <c r="L3108">
        <v>1</v>
      </c>
      <c r="M3108">
        <v>44361.97</v>
      </c>
      <c r="N3108">
        <v>0.28000000000000003</v>
      </c>
      <c r="O3108">
        <v>54397.95</v>
      </c>
      <c r="P3108">
        <v>6985.15</v>
      </c>
      <c r="Q3108">
        <v>30.74</v>
      </c>
      <c r="R3108" t="s">
        <v>57</v>
      </c>
      <c r="S3108">
        <v>4</v>
      </c>
      <c r="T3108" t="b">
        <v>0</v>
      </c>
      <c r="U3108" t="s">
        <v>30</v>
      </c>
      <c r="V3108">
        <v>2</v>
      </c>
    </row>
    <row r="3109" spans="1:22" x14ac:dyDescent="0.25">
      <c r="A3109" t="s">
        <v>6684</v>
      </c>
      <c r="B3109" s="1">
        <v>43841</v>
      </c>
      <c r="C3109" t="s">
        <v>6685</v>
      </c>
      <c r="D3109" t="s">
        <v>737</v>
      </c>
      <c r="E3109">
        <v>35</v>
      </c>
      <c r="F3109" t="str">
        <f>IF(Table1[[#This Row],[age]]&lt;=25,"18-25",IF(Table1[[#This Row],[age]]&lt;=35,"26-35",IF(Table1[[#This Row],[age]]&lt;=50,"36-50","51+")))</f>
        <v>26-35</v>
      </c>
      <c r="G3109" t="s">
        <v>34</v>
      </c>
      <c r="H3109" t="s">
        <v>69</v>
      </c>
      <c r="I3109" t="s">
        <v>221</v>
      </c>
      <c r="J3109" t="s">
        <v>47</v>
      </c>
      <c r="K3109" t="s">
        <v>204</v>
      </c>
      <c r="L3109">
        <v>2</v>
      </c>
      <c r="M3109">
        <v>1132.17</v>
      </c>
      <c r="N3109">
        <v>0.12</v>
      </c>
      <c r="O3109">
        <v>1451.01</v>
      </c>
      <c r="P3109">
        <v>458.01</v>
      </c>
      <c r="Q3109">
        <v>90.46</v>
      </c>
      <c r="R3109" t="s">
        <v>65</v>
      </c>
      <c r="S3109">
        <v>5</v>
      </c>
      <c r="T3109" t="b">
        <v>0</v>
      </c>
      <c r="U3109" t="s">
        <v>71</v>
      </c>
      <c r="V3109">
        <v>6</v>
      </c>
    </row>
    <row r="3110" spans="1:22" x14ac:dyDescent="0.25">
      <c r="A3110" t="s">
        <v>6686</v>
      </c>
      <c r="B3110" s="1">
        <v>44985</v>
      </c>
      <c r="C3110" t="s">
        <v>6687</v>
      </c>
      <c r="D3110" t="s">
        <v>995</v>
      </c>
      <c r="E3110">
        <v>39</v>
      </c>
      <c r="F3110" t="str">
        <f>IF(Table1[[#This Row],[age]]&lt;=25,"18-25",IF(Table1[[#This Row],[age]]&lt;=35,"26-35",IF(Table1[[#This Row],[age]]&lt;=50,"36-50","51+")))</f>
        <v>36-50</v>
      </c>
      <c r="G3110" t="s">
        <v>54</v>
      </c>
      <c r="H3110" t="s">
        <v>61</v>
      </c>
      <c r="I3110" t="s">
        <v>163</v>
      </c>
      <c r="J3110" t="s">
        <v>101</v>
      </c>
      <c r="K3110" t="s">
        <v>124</v>
      </c>
      <c r="L3110">
        <v>3</v>
      </c>
      <c r="M3110">
        <v>12089.59</v>
      </c>
      <c r="N3110">
        <v>0.15</v>
      </c>
      <c r="O3110">
        <v>27702.22</v>
      </c>
      <c r="P3110">
        <v>5345.08</v>
      </c>
      <c r="Q3110">
        <v>42.62</v>
      </c>
      <c r="R3110" t="s">
        <v>65</v>
      </c>
      <c r="S3110">
        <v>5</v>
      </c>
      <c r="T3110" t="b">
        <v>0</v>
      </c>
      <c r="U3110" t="s">
        <v>93</v>
      </c>
      <c r="V3110">
        <v>5</v>
      </c>
    </row>
    <row r="3111" spans="1:22" x14ac:dyDescent="0.25">
      <c r="A3111" t="s">
        <v>6688</v>
      </c>
      <c r="B3111" s="1">
        <v>45636</v>
      </c>
      <c r="C3111" t="s">
        <v>6689</v>
      </c>
      <c r="D3111" t="s">
        <v>748</v>
      </c>
      <c r="E3111">
        <v>56</v>
      </c>
      <c r="F3111" t="str">
        <f>IF(Table1[[#This Row],[age]]&lt;=25,"18-25",IF(Table1[[#This Row],[age]]&lt;=35,"26-35",IF(Table1[[#This Row],[age]]&lt;=50,"36-50","51+")))</f>
        <v>51+</v>
      </c>
      <c r="G3111" t="s">
        <v>24</v>
      </c>
      <c r="H3111" t="s">
        <v>80</v>
      </c>
      <c r="I3111" t="s">
        <v>236</v>
      </c>
      <c r="J3111" t="s">
        <v>36</v>
      </c>
      <c r="K3111" t="s">
        <v>132</v>
      </c>
      <c r="L3111">
        <v>6</v>
      </c>
      <c r="M3111">
        <v>10501.71</v>
      </c>
      <c r="N3111">
        <v>0.38</v>
      </c>
      <c r="O3111">
        <v>35801.199999999997</v>
      </c>
      <c r="P3111">
        <v>13056.43</v>
      </c>
      <c r="Q3111">
        <v>75.180000000000007</v>
      </c>
      <c r="R3111" t="s">
        <v>57</v>
      </c>
      <c r="S3111">
        <v>1</v>
      </c>
      <c r="T3111" t="b">
        <v>0</v>
      </c>
      <c r="U3111" t="s">
        <v>71</v>
      </c>
      <c r="V3111">
        <v>6</v>
      </c>
    </row>
    <row r="3112" spans="1:22" x14ac:dyDescent="0.25">
      <c r="A3112" t="s">
        <v>6690</v>
      </c>
      <c r="B3112" s="1">
        <v>44330</v>
      </c>
      <c r="C3112" t="s">
        <v>6691</v>
      </c>
      <c r="D3112" t="s">
        <v>674</v>
      </c>
      <c r="E3112">
        <v>25</v>
      </c>
      <c r="F3112" t="str">
        <f>IF(Table1[[#This Row],[age]]&lt;=25,"18-25",IF(Table1[[#This Row],[age]]&lt;=35,"26-35",IF(Table1[[#This Row],[age]]&lt;=50,"36-50","51+")))</f>
        <v>18-25</v>
      </c>
      <c r="G3112" t="s">
        <v>54</v>
      </c>
      <c r="H3112" t="s">
        <v>25</v>
      </c>
      <c r="I3112" t="s">
        <v>41</v>
      </c>
      <c r="J3112" t="s">
        <v>36</v>
      </c>
      <c r="K3112" t="s">
        <v>243</v>
      </c>
      <c r="L3112">
        <v>1</v>
      </c>
      <c r="M3112">
        <v>5140.1899999999996</v>
      </c>
      <c r="N3112">
        <v>0.1</v>
      </c>
      <c r="O3112">
        <v>6859.73</v>
      </c>
      <c r="P3112">
        <v>1640.29</v>
      </c>
      <c r="Q3112">
        <v>59.15</v>
      </c>
      <c r="R3112" t="s">
        <v>43</v>
      </c>
      <c r="S3112">
        <v>3</v>
      </c>
      <c r="T3112" t="b">
        <v>0</v>
      </c>
      <c r="U3112" t="s">
        <v>30</v>
      </c>
      <c r="V3112">
        <v>4</v>
      </c>
    </row>
    <row r="3113" spans="1:22" x14ac:dyDescent="0.25">
      <c r="A3113" t="s">
        <v>6692</v>
      </c>
      <c r="B3113" s="1">
        <v>44047</v>
      </c>
      <c r="C3113" t="s">
        <v>6693</v>
      </c>
      <c r="D3113" t="s">
        <v>1166</v>
      </c>
      <c r="E3113">
        <v>28</v>
      </c>
      <c r="F3113" t="str">
        <f>IF(Table1[[#This Row],[age]]&lt;=25,"18-25",IF(Table1[[#This Row],[age]]&lt;=35,"26-35",IF(Table1[[#This Row],[age]]&lt;=50,"36-50","51+")))</f>
        <v>26-35</v>
      </c>
      <c r="G3113" t="s">
        <v>24</v>
      </c>
      <c r="H3113" t="s">
        <v>69</v>
      </c>
      <c r="I3113" t="s">
        <v>70</v>
      </c>
      <c r="J3113" t="s">
        <v>101</v>
      </c>
      <c r="K3113" t="s">
        <v>318</v>
      </c>
      <c r="L3113">
        <v>10</v>
      </c>
      <c r="M3113">
        <v>9368.59</v>
      </c>
      <c r="N3113">
        <v>0.14000000000000001</v>
      </c>
      <c r="O3113">
        <v>92987.57</v>
      </c>
      <c r="P3113">
        <v>23130.27</v>
      </c>
      <c r="Q3113">
        <v>86.8</v>
      </c>
      <c r="R3113" t="s">
        <v>92</v>
      </c>
      <c r="S3113">
        <v>3</v>
      </c>
      <c r="T3113" t="b">
        <v>0</v>
      </c>
      <c r="U3113" t="s">
        <v>30</v>
      </c>
      <c r="V3113">
        <v>2</v>
      </c>
    </row>
    <row r="3114" spans="1:22" x14ac:dyDescent="0.25">
      <c r="A3114" t="s">
        <v>6694</v>
      </c>
      <c r="B3114" s="1">
        <v>44494</v>
      </c>
      <c r="C3114" t="s">
        <v>6695</v>
      </c>
      <c r="D3114" t="s">
        <v>1126</v>
      </c>
      <c r="E3114">
        <v>34</v>
      </c>
      <c r="F3114" t="str">
        <f>IF(Table1[[#This Row],[age]]&lt;=25,"18-25",IF(Table1[[#This Row],[age]]&lt;=35,"26-35",IF(Table1[[#This Row],[age]]&lt;=50,"36-50","51+")))</f>
        <v>26-35</v>
      </c>
      <c r="G3114" t="s">
        <v>24</v>
      </c>
      <c r="H3114" t="s">
        <v>80</v>
      </c>
      <c r="I3114" t="s">
        <v>81</v>
      </c>
      <c r="J3114" t="s">
        <v>106</v>
      </c>
      <c r="K3114" t="s">
        <v>188</v>
      </c>
      <c r="L3114">
        <v>2</v>
      </c>
      <c r="M3114">
        <v>94.21</v>
      </c>
      <c r="N3114">
        <v>0.04</v>
      </c>
      <c r="O3114">
        <v>161.58000000000001</v>
      </c>
      <c r="P3114">
        <v>12.72</v>
      </c>
      <c r="Q3114">
        <v>51.52</v>
      </c>
      <c r="R3114" t="s">
        <v>29</v>
      </c>
      <c r="S3114">
        <v>3</v>
      </c>
      <c r="T3114" t="b">
        <v>0</v>
      </c>
      <c r="U3114" t="s">
        <v>30</v>
      </c>
      <c r="V3114">
        <v>7</v>
      </c>
    </row>
    <row r="3115" spans="1:22" x14ac:dyDescent="0.25">
      <c r="A3115" t="s">
        <v>6696</v>
      </c>
      <c r="B3115" s="1">
        <v>43994</v>
      </c>
      <c r="C3115" t="s">
        <v>6697</v>
      </c>
      <c r="D3115" t="s">
        <v>2326</v>
      </c>
      <c r="E3115">
        <v>25</v>
      </c>
      <c r="F3115" t="str">
        <f>IF(Table1[[#This Row],[age]]&lt;=25,"18-25",IF(Table1[[#This Row],[age]]&lt;=35,"26-35",IF(Table1[[#This Row],[age]]&lt;=50,"36-50","51+")))</f>
        <v>18-25</v>
      </c>
      <c r="G3115" t="s">
        <v>24</v>
      </c>
      <c r="H3115" t="s">
        <v>61</v>
      </c>
      <c r="I3115" t="s">
        <v>141</v>
      </c>
      <c r="J3115" t="s">
        <v>47</v>
      </c>
      <c r="K3115" t="s">
        <v>272</v>
      </c>
      <c r="L3115">
        <v>9</v>
      </c>
      <c r="M3115">
        <v>1096.6400000000001</v>
      </c>
      <c r="N3115">
        <v>0.38</v>
      </c>
      <c r="O3115">
        <v>7522.38</v>
      </c>
      <c r="P3115">
        <v>2771.77</v>
      </c>
      <c r="Q3115">
        <v>69.739999999999995</v>
      </c>
      <c r="R3115" t="s">
        <v>29</v>
      </c>
      <c r="S3115">
        <v>4</v>
      </c>
      <c r="T3115" t="b">
        <v>0</v>
      </c>
      <c r="U3115" t="s">
        <v>71</v>
      </c>
      <c r="V3115">
        <v>8</v>
      </c>
    </row>
    <row r="3116" spans="1:22" x14ac:dyDescent="0.25">
      <c r="A3116" t="s">
        <v>6698</v>
      </c>
      <c r="B3116" s="1">
        <v>45394</v>
      </c>
      <c r="C3116" t="s">
        <v>6699</v>
      </c>
      <c r="D3116" t="s">
        <v>757</v>
      </c>
      <c r="E3116">
        <v>49</v>
      </c>
      <c r="F3116" t="str">
        <f>IF(Table1[[#This Row],[age]]&lt;=25,"18-25",IF(Table1[[#This Row],[age]]&lt;=35,"26-35",IF(Table1[[#This Row],[age]]&lt;=50,"36-50","51+")))</f>
        <v>36-50</v>
      </c>
      <c r="G3116" t="s">
        <v>24</v>
      </c>
      <c r="H3116" t="s">
        <v>69</v>
      </c>
      <c r="I3116" t="s">
        <v>221</v>
      </c>
      <c r="J3116" t="s">
        <v>115</v>
      </c>
      <c r="K3116" t="s">
        <v>545</v>
      </c>
      <c r="L3116">
        <v>9</v>
      </c>
      <c r="M3116">
        <v>64870.17</v>
      </c>
      <c r="N3116">
        <v>0.04</v>
      </c>
      <c r="O3116">
        <v>931056.13</v>
      </c>
      <c r="P3116">
        <v>126890.46</v>
      </c>
      <c r="Q3116">
        <v>83.98</v>
      </c>
      <c r="R3116" t="s">
        <v>49</v>
      </c>
      <c r="S3116">
        <v>4</v>
      </c>
      <c r="T3116" t="b">
        <v>0</v>
      </c>
      <c r="U3116" t="s">
        <v>193</v>
      </c>
      <c r="V3116">
        <v>8</v>
      </c>
    </row>
    <row r="3117" spans="1:22" x14ac:dyDescent="0.25">
      <c r="A3117" t="s">
        <v>6700</v>
      </c>
      <c r="B3117" s="1">
        <v>44028</v>
      </c>
      <c r="C3117" t="s">
        <v>6701</v>
      </c>
      <c r="D3117" t="s">
        <v>2326</v>
      </c>
      <c r="E3117">
        <v>22</v>
      </c>
      <c r="F3117" t="str">
        <f>IF(Table1[[#This Row],[age]]&lt;=25,"18-25",IF(Table1[[#This Row],[age]]&lt;=35,"26-35",IF(Table1[[#This Row],[age]]&lt;=50,"36-50","51+")))</f>
        <v>18-25</v>
      </c>
      <c r="G3117" t="s">
        <v>34</v>
      </c>
      <c r="H3117" t="s">
        <v>80</v>
      </c>
      <c r="I3117" t="s">
        <v>242</v>
      </c>
      <c r="J3117" t="s">
        <v>36</v>
      </c>
      <c r="K3117" t="s">
        <v>230</v>
      </c>
      <c r="L3117">
        <v>3</v>
      </c>
      <c r="M3117">
        <v>7359.98</v>
      </c>
      <c r="N3117">
        <v>0.26</v>
      </c>
      <c r="O3117">
        <v>18237.3</v>
      </c>
      <c r="P3117">
        <v>4022.85</v>
      </c>
      <c r="Q3117">
        <v>82.84</v>
      </c>
      <c r="R3117" t="s">
        <v>57</v>
      </c>
      <c r="S3117">
        <v>1</v>
      </c>
      <c r="T3117" t="b">
        <v>0</v>
      </c>
      <c r="U3117" t="s">
        <v>30</v>
      </c>
      <c r="V3117">
        <v>8</v>
      </c>
    </row>
    <row r="3118" spans="1:22" x14ac:dyDescent="0.25">
      <c r="A3118" t="s">
        <v>6702</v>
      </c>
      <c r="B3118" s="1">
        <v>45061</v>
      </c>
      <c r="C3118" t="s">
        <v>6703</v>
      </c>
      <c r="D3118" t="s">
        <v>1825</v>
      </c>
      <c r="E3118">
        <v>27</v>
      </c>
      <c r="F3118" t="str">
        <f>IF(Table1[[#This Row],[age]]&lt;=25,"18-25",IF(Table1[[#This Row],[age]]&lt;=35,"26-35",IF(Table1[[#This Row],[age]]&lt;=50,"36-50","51+")))</f>
        <v>26-35</v>
      </c>
      <c r="G3118" t="s">
        <v>24</v>
      </c>
      <c r="H3118" t="s">
        <v>80</v>
      </c>
      <c r="I3118" t="s">
        <v>81</v>
      </c>
      <c r="J3118" t="s">
        <v>27</v>
      </c>
      <c r="K3118" t="s">
        <v>168</v>
      </c>
      <c r="L3118">
        <v>7</v>
      </c>
      <c r="M3118">
        <v>1149.53</v>
      </c>
      <c r="N3118">
        <v>0.19</v>
      </c>
      <c r="O3118">
        <v>11894.14</v>
      </c>
      <c r="P3118">
        <v>7264.17</v>
      </c>
      <c r="Q3118">
        <v>62.38</v>
      </c>
      <c r="R3118" t="s">
        <v>49</v>
      </c>
      <c r="S3118">
        <v>4</v>
      </c>
      <c r="T3118" t="b">
        <v>0</v>
      </c>
      <c r="U3118" t="s">
        <v>193</v>
      </c>
      <c r="V3118">
        <v>2</v>
      </c>
    </row>
    <row r="3119" spans="1:22" x14ac:dyDescent="0.25">
      <c r="A3119" t="s">
        <v>6704</v>
      </c>
      <c r="B3119" s="1">
        <v>44333</v>
      </c>
      <c r="C3119" t="s">
        <v>6705</v>
      </c>
      <c r="D3119" t="s">
        <v>539</v>
      </c>
      <c r="E3119">
        <v>38</v>
      </c>
      <c r="F3119" t="str">
        <f>IF(Table1[[#This Row],[age]]&lt;=25,"18-25",IF(Table1[[#This Row],[age]]&lt;=35,"26-35",IF(Table1[[#This Row],[age]]&lt;=50,"36-50","51+")))</f>
        <v>36-50</v>
      </c>
      <c r="G3119" t="s">
        <v>24</v>
      </c>
      <c r="H3119" t="s">
        <v>80</v>
      </c>
      <c r="I3119" t="s">
        <v>242</v>
      </c>
      <c r="J3119" t="s">
        <v>101</v>
      </c>
      <c r="K3119" t="s">
        <v>164</v>
      </c>
      <c r="L3119">
        <v>6</v>
      </c>
      <c r="M3119">
        <v>13738.11</v>
      </c>
      <c r="N3119">
        <v>0.34</v>
      </c>
      <c r="O3119">
        <v>71562.45</v>
      </c>
      <c r="P3119">
        <v>13685.23</v>
      </c>
      <c r="Q3119">
        <v>96.34</v>
      </c>
      <c r="R3119" t="s">
        <v>65</v>
      </c>
      <c r="S3119">
        <v>4</v>
      </c>
      <c r="T3119" t="b">
        <v>1</v>
      </c>
      <c r="U3119" t="s">
        <v>50</v>
      </c>
      <c r="V3119">
        <v>4</v>
      </c>
    </row>
    <row r="3120" spans="1:22" x14ac:dyDescent="0.25">
      <c r="A3120" t="s">
        <v>6706</v>
      </c>
      <c r="B3120" s="1">
        <v>44497</v>
      </c>
      <c r="C3120" t="s">
        <v>6707</v>
      </c>
      <c r="D3120" t="s">
        <v>262</v>
      </c>
      <c r="E3120">
        <v>48</v>
      </c>
      <c r="F3120" t="str">
        <f>IF(Table1[[#This Row],[age]]&lt;=25,"18-25",IF(Table1[[#This Row],[age]]&lt;=35,"26-35",IF(Table1[[#This Row],[age]]&lt;=50,"36-50","51+")))</f>
        <v>36-50</v>
      </c>
      <c r="G3120" t="s">
        <v>54</v>
      </c>
      <c r="H3120" t="s">
        <v>69</v>
      </c>
      <c r="I3120" t="s">
        <v>70</v>
      </c>
      <c r="J3120" t="s">
        <v>63</v>
      </c>
      <c r="K3120" t="s">
        <v>82</v>
      </c>
      <c r="L3120">
        <v>5</v>
      </c>
      <c r="M3120">
        <v>3082.63</v>
      </c>
      <c r="N3120">
        <v>0.21</v>
      </c>
      <c r="O3120">
        <v>11512.76</v>
      </c>
      <c r="P3120">
        <v>2611.62</v>
      </c>
      <c r="Q3120">
        <v>79.569999999999993</v>
      </c>
      <c r="R3120" t="s">
        <v>43</v>
      </c>
      <c r="S3120">
        <v>4</v>
      </c>
      <c r="T3120" t="b">
        <v>0</v>
      </c>
      <c r="U3120" t="s">
        <v>193</v>
      </c>
      <c r="V3120">
        <v>7</v>
      </c>
    </row>
    <row r="3121" spans="1:22" x14ac:dyDescent="0.25">
      <c r="A3121" t="s">
        <v>6708</v>
      </c>
      <c r="B3121" s="1">
        <v>45121</v>
      </c>
      <c r="C3121" t="s">
        <v>6709</v>
      </c>
      <c r="D3121" t="s">
        <v>1630</v>
      </c>
      <c r="E3121">
        <v>28</v>
      </c>
      <c r="F3121" t="str">
        <f>IF(Table1[[#This Row],[age]]&lt;=25,"18-25",IF(Table1[[#This Row],[age]]&lt;=35,"26-35",IF(Table1[[#This Row],[age]]&lt;=50,"36-50","51+")))</f>
        <v>26-35</v>
      </c>
      <c r="G3121" t="s">
        <v>24</v>
      </c>
      <c r="H3121" t="s">
        <v>61</v>
      </c>
      <c r="I3121" t="s">
        <v>91</v>
      </c>
      <c r="J3121" t="s">
        <v>101</v>
      </c>
      <c r="K3121" t="s">
        <v>102</v>
      </c>
      <c r="L3121">
        <v>4</v>
      </c>
      <c r="M3121">
        <v>10069.780000000001</v>
      </c>
      <c r="N3121">
        <v>0.33</v>
      </c>
      <c r="O3121">
        <v>43500.13</v>
      </c>
      <c r="P3121">
        <v>6733.75</v>
      </c>
      <c r="Q3121">
        <v>81.56</v>
      </c>
      <c r="R3121" t="s">
        <v>65</v>
      </c>
      <c r="S3121">
        <v>2</v>
      </c>
      <c r="T3121" t="b">
        <v>0</v>
      </c>
      <c r="U3121" t="s">
        <v>30</v>
      </c>
      <c r="V3121">
        <v>9</v>
      </c>
    </row>
    <row r="3122" spans="1:22" x14ac:dyDescent="0.25">
      <c r="A3122" t="s">
        <v>6710</v>
      </c>
      <c r="B3122" s="1">
        <v>45213</v>
      </c>
      <c r="C3122" t="s">
        <v>6711</v>
      </c>
      <c r="D3122" t="s">
        <v>2003</v>
      </c>
      <c r="E3122">
        <v>27</v>
      </c>
      <c r="F3122" t="str">
        <f>IF(Table1[[#This Row],[age]]&lt;=25,"18-25",IF(Table1[[#This Row],[age]]&lt;=35,"26-35",IF(Table1[[#This Row],[age]]&lt;=50,"36-50","51+")))</f>
        <v>26-35</v>
      </c>
      <c r="G3122" t="s">
        <v>34</v>
      </c>
      <c r="H3122" t="s">
        <v>25</v>
      </c>
      <c r="I3122" t="s">
        <v>35</v>
      </c>
      <c r="J3122" t="s">
        <v>36</v>
      </c>
      <c r="K3122" t="s">
        <v>37</v>
      </c>
      <c r="L3122">
        <v>6</v>
      </c>
      <c r="M3122">
        <v>28759.21</v>
      </c>
      <c r="N3122">
        <v>0.28000000000000003</v>
      </c>
      <c r="O3122">
        <v>142656.4</v>
      </c>
      <c r="P3122">
        <v>33781.29</v>
      </c>
      <c r="Q3122">
        <v>54.72</v>
      </c>
      <c r="R3122" t="s">
        <v>29</v>
      </c>
      <c r="S3122">
        <v>1</v>
      </c>
      <c r="T3122" t="b">
        <v>0</v>
      </c>
      <c r="U3122" t="s">
        <v>71</v>
      </c>
      <c r="V3122">
        <v>5</v>
      </c>
    </row>
    <row r="3123" spans="1:22" x14ac:dyDescent="0.25">
      <c r="A3123" t="s">
        <v>6712</v>
      </c>
      <c r="B3123" s="1">
        <v>45485</v>
      </c>
      <c r="C3123" t="s">
        <v>6713</v>
      </c>
      <c r="D3123" t="s">
        <v>256</v>
      </c>
      <c r="E3123">
        <v>34</v>
      </c>
      <c r="F3123" t="str">
        <f>IF(Table1[[#This Row],[age]]&lt;=25,"18-25",IF(Table1[[#This Row],[age]]&lt;=35,"26-35",IF(Table1[[#This Row],[age]]&lt;=50,"36-50","51+")))</f>
        <v>26-35</v>
      </c>
      <c r="G3123" t="s">
        <v>24</v>
      </c>
      <c r="H3123" t="s">
        <v>25</v>
      </c>
      <c r="I3123" t="s">
        <v>26</v>
      </c>
      <c r="J3123" t="s">
        <v>63</v>
      </c>
      <c r="K3123" t="s">
        <v>434</v>
      </c>
      <c r="L3123">
        <v>9</v>
      </c>
      <c r="M3123">
        <v>1781.89</v>
      </c>
      <c r="N3123">
        <v>0.21</v>
      </c>
      <c r="O3123">
        <v>20730.43</v>
      </c>
      <c r="P3123">
        <v>4832</v>
      </c>
      <c r="Q3123">
        <v>54.08</v>
      </c>
      <c r="R3123" t="s">
        <v>43</v>
      </c>
      <c r="S3123">
        <v>2</v>
      </c>
      <c r="T3123" t="b">
        <v>1</v>
      </c>
      <c r="U3123" t="s">
        <v>50</v>
      </c>
      <c r="V3123">
        <v>5</v>
      </c>
    </row>
    <row r="3124" spans="1:22" x14ac:dyDescent="0.25">
      <c r="A3124" t="s">
        <v>6714</v>
      </c>
      <c r="B3124" s="1">
        <v>43834</v>
      </c>
      <c r="C3124" t="s">
        <v>6715</v>
      </c>
      <c r="D3124" t="s">
        <v>657</v>
      </c>
      <c r="E3124">
        <v>21</v>
      </c>
      <c r="F3124" t="str">
        <f>IF(Table1[[#This Row],[age]]&lt;=25,"18-25",IF(Table1[[#This Row],[age]]&lt;=35,"26-35",IF(Table1[[#This Row],[age]]&lt;=50,"36-50","51+")))</f>
        <v>18-25</v>
      </c>
      <c r="G3124" t="s">
        <v>24</v>
      </c>
      <c r="H3124" t="s">
        <v>25</v>
      </c>
      <c r="I3124" t="s">
        <v>41</v>
      </c>
      <c r="J3124" t="s">
        <v>115</v>
      </c>
      <c r="K3124" t="s">
        <v>116</v>
      </c>
      <c r="L3124">
        <v>9</v>
      </c>
      <c r="M3124">
        <v>29868.65</v>
      </c>
      <c r="N3124">
        <v>0.32</v>
      </c>
      <c r="O3124">
        <v>117822.65</v>
      </c>
      <c r="P3124">
        <v>12480.5</v>
      </c>
      <c r="Q3124">
        <v>51.76</v>
      </c>
      <c r="R3124" t="s">
        <v>65</v>
      </c>
      <c r="S3124">
        <v>1</v>
      </c>
      <c r="T3124" t="b">
        <v>0</v>
      </c>
      <c r="U3124" t="s">
        <v>30</v>
      </c>
      <c r="V3124">
        <v>9</v>
      </c>
    </row>
    <row r="3125" spans="1:22" x14ac:dyDescent="0.25">
      <c r="A3125" t="s">
        <v>6716</v>
      </c>
      <c r="B3125" s="1">
        <v>44703</v>
      </c>
      <c r="C3125" t="s">
        <v>6717</v>
      </c>
      <c r="D3125" t="s">
        <v>1825</v>
      </c>
      <c r="E3125">
        <v>25</v>
      </c>
      <c r="F3125" t="str">
        <f>IF(Table1[[#This Row],[age]]&lt;=25,"18-25",IF(Table1[[#This Row],[age]]&lt;=35,"26-35",IF(Table1[[#This Row],[age]]&lt;=50,"36-50","51+")))</f>
        <v>18-25</v>
      </c>
      <c r="G3125" t="s">
        <v>54</v>
      </c>
      <c r="H3125" t="s">
        <v>80</v>
      </c>
      <c r="I3125" t="s">
        <v>81</v>
      </c>
      <c r="J3125" t="s">
        <v>47</v>
      </c>
      <c r="K3125" t="s">
        <v>48</v>
      </c>
      <c r="L3125">
        <v>1</v>
      </c>
      <c r="M3125">
        <v>429.32</v>
      </c>
      <c r="N3125">
        <v>0.37</v>
      </c>
      <c r="O3125">
        <v>331.72</v>
      </c>
      <c r="P3125">
        <v>193.26</v>
      </c>
      <c r="Q3125">
        <v>89.48</v>
      </c>
      <c r="R3125" t="s">
        <v>92</v>
      </c>
      <c r="S3125">
        <v>3</v>
      </c>
      <c r="T3125" t="b">
        <v>0</v>
      </c>
      <c r="U3125" t="s">
        <v>71</v>
      </c>
      <c r="V3125">
        <v>9</v>
      </c>
    </row>
    <row r="3126" spans="1:22" x14ac:dyDescent="0.25">
      <c r="A3126" t="s">
        <v>6718</v>
      </c>
      <c r="B3126" s="1">
        <v>44624</v>
      </c>
      <c r="C3126" t="s">
        <v>6719</v>
      </c>
      <c r="D3126" t="s">
        <v>1354</v>
      </c>
      <c r="E3126">
        <v>49</v>
      </c>
      <c r="F3126" t="str">
        <f>IF(Table1[[#This Row],[age]]&lt;=25,"18-25",IF(Table1[[#This Row],[age]]&lt;=35,"26-35",IF(Table1[[#This Row],[age]]&lt;=50,"36-50","51+")))</f>
        <v>36-50</v>
      </c>
      <c r="G3126" t="s">
        <v>24</v>
      </c>
      <c r="H3126" t="s">
        <v>55</v>
      </c>
      <c r="I3126" t="s">
        <v>114</v>
      </c>
      <c r="J3126" t="s">
        <v>63</v>
      </c>
      <c r="K3126" t="s">
        <v>434</v>
      </c>
      <c r="L3126">
        <v>1</v>
      </c>
      <c r="M3126">
        <v>2434.6</v>
      </c>
      <c r="N3126">
        <v>0.04</v>
      </c>
      <c r="O3126">
        <v>2589.54</v>
      </c>
      <c r="P3126">
        <v>635.65</v>
      </c>
      <c r="Q3126">
        <v>29.56</v>
      </c>
      <c r="R3126" t="s">
        <v>43</v>
      </c>
      <c r="S3126">
        <v>3</v>
      </c>
      <c r="T3126" t="b">
        <v>0</v>
      </c>
      <c r="U3126" t="s">
        <v>30</v>
      </c>
      <c r="V3126">
        <v>1</v>
      </c>
    </row>
    <row r="3127" spans="1:22" x14ac:dyDescent="0.25">
      <c r="A3127" t="s">
        <v>6720</v>
      </c>
      <c r="B3127" s="1">
        <v>44869</v>
      </c>
      <c r="C3127" t="s">
        <v>232</v>
      </c>
      <c r="D3127" t="s">
        <v>2262</v>
      </c>
      <c r="E3127">
        <v>21</v>
      </c>
      <c r="F3127" t="str">
        <f>IF(Table1[[#This Row],[age]]&lt;=25,"18-25",IF(Table1[[#This Row],[age]]&lt;=35,"26-35",IF(Table1[[#This Row],[age]]&lt;=50,"36-50","51+")))</f>
        <v>18-25</v>
      </c>
      <c r="G3127" t="s">
        <v>24</v>
      </c>
      <c r="H3127" t="s">
        <v>61</v>
      </c>
      <c r="I3127" t="s">
        <v>141</v>
      </c>
      <c r="J3127" t="s">
        <v>63</v>
      </c>
      <c r="K3127" t="s">
        <v>434</v>
      </c>
      <c r="L3127">
        <v>9</v>
      </c>
      <c r="M3127">
        <v>3802.99</v>
      </c>
      <c r="N3127">
        <v>0.17</v>
      </c>
      <c r="O3127">
        <v>24949.89</v>
      </c>
      <c r="P3127">
        <v>9516.59</v>
      </c>
      <c r="Q3127">
        <v>50.21</v>
      </c>
      <c r="R3127" t="s">
        <v>57</v>
      </c>
      <c r="S3127">
        <v>1</v>
      </c>
      <c r="T3127" t="b">
        <v>0</v>
      </c>
      <c r="U3127" t="s">
        <v>93</v>
      </c>
      <c r="V3127">
        <v>4</v>
      </c>
    </row>
    <row r="3128" spans="1:22" x14ac:dyDescent="0.25">
      <c r="A3128" t="s">
        <v>6721</v>
      </c>
      <c r="B3128" s="1">
        <v>45001</v>
      </c>
      <c r="C3128" t="s">
        <v>6722</v>
      </c>
      <c r="D3128" t="s">
        <v>1129</v>
      </c>
      <c r="E3128">
        <v>37</v>
      </c>
      <c r="F3128" t="str">
        <f>IF(Table1[[#This Row],[age]]&lt;=25,"18-25",IF(Table1[[#This Row],[age]]&lt;=35,"26-35",IF(Table1[[#This Row],[age]]&lt;=50,"36-50","51+")))</f>
        <v>36-50</v>
      </c>
      <c r="G3128" t="s">
        <v>34</v>
      </c>
      <c r="H3128" t="s">
        <v>25</v>
      </c>
      <c r="I3128" t="s">
        <v>298</v>
      </c>
      <c r="J3128" t="s">
        <v>27</v>
      </c>
      <c r="K3128" t="s">
        <v>128</v>
      </c>
      <c r="L3128">
        <v>3</v>
      </c>
      <c r="M3128">
        <v>2346.2600000000002</v>
      </c>
      <c r="N3128">
        <v>0.36</v>
      </c>
      <c r="O3128">
        <v>6011.01</v>
      </c>
      <c r="P3128">
        <v>2771.99</v>
      </c>
      <c r="Q3128">
        <v>60.72</v>
      </c>
      <c r="R3128" t="s">
        <v>57</v>
      </c>
      <c r="S3128">
        <v>1</v>
      </c>
      <c r="T3128" t="b">
        <v>0</v>
      </c>
      <c r="U3128" t="s">
        <v>30</v>
      </c>
      <c r="V3128">
        <v>6</v>
      </c>
    </row>
    <row r="3129" spans="1:22" x14ac:dyDescent="0.25">
      <c r="A3129" t="s">
        <v>6723</v>
      </c>
      <c r="B3129" s="1">
        <v>44181</v>
      </c>
      <c r="C3129" t="s">
        <v>6724</v>
      </c>
      <c r="D3129" t="s">
        <v>640</v>
      </c>
      <c r="E3129">
        <v>32</v>
      </c>
      <c r="F3129" t="str">
        <f>IF(Table1[[#This Row],[age]]&lt;=25,"18-25",IF(Table1[[#This Row],[age]]&lt;=35,"26-35",IF(Table1[[#This Row],[age]]&lt;=50,"36-50","51+")))</f>
        <v>26-35</v>
      </c>
      <c r="G3129" t="s">
        <v>34</v>
      </c>
      <c r="H3129" t="s">
        <v>25</v>
      </c>
      <c r="I3129" t="s">
        <v>41</v>
      </c>
      <c r="J3129" t="s">
        <v>101</v>
      </c>
      <c r="K3129" t="s">
        <v>102</v>
      </c>
      <c r="L3129">
        <v>9</v>
      </c>
      <c r="M3129">
        <v>12132.54</v>
      </c>
      <c r="N3129">
        <v>0.37</v>
      </c>
      <c r="O3129">
        <v>48966.18</v>
      </c>
      <c r="P3129">
        <v>9632.31</v>
      </c>
      <c r="Q3129">
        <v>31.17</v>
      </c>
      <c r="R3129" t="s">
        <v>57</v>
      </c>
      <c r="S3129">
        <v>4</v>
      </c>
      <c r="T3129" t="b">
        <v>0</v>
      </c>
      <c r="U3129" t="s">
        <v>93</v>
      </c>
      <c r="V3129">
        <v>5</v>
      </c>
    </row>
    <row r="3130" spans="1:22" x14ac:dyDescent="0.25">
      <c r="A3130" t="s">
        <v>6725</v>
      </c>
      <c r="B3130" s="1">
        <v>44192</v>
      </c>
      <c r="C3130" t="s">
        <v>6726</v>
      </c>
      <c r="D3130" t="s">
        <v>338</v>
      </c>
      <c r="E3130">
        <v>33</v>
      </c>
      <c r="F3130" t="str">
        <f>IF(Table1[[#This Row],[age]]&lt;=25,"18-25",IF(Table1[[#This Row],[age]]&lt;=35,"26-35",IF(Table1[[#This Row],[age]]&lt;=50,"36-50","51+")))</f>
        <v>26-35</v>
      </c>
      <c r="G3130" t="s">
        <v>24</v>
      </c>
      <c r="H3130" t="s">
        <v>55</v>
      </c>
      <c r="I3130" t="s">
        <v>114</v>
      </c>
      <c r="J3130" t="s">
        <v>36</v>
      </c>
      <c r="K3130" t="s">
        <v>42</v>
      </c>
      <c r="L3130">
        <v>10</v>
      </c>
      <c r="M3130">
        <v>20725.97</v>
      </c>
      <c r="N3130">
        <v>0.06</v>
      </c>
      <c r="O3130">
        <v>123725.25</v>
      </c>
      <c r="P3130">
        <v>32970.370000000003</v>
      </c>
      <c r="Q3130">
        <v>54.51</v>
      </c>
      <c r="R3130" t="s">
        <v>29</v>
      </c>
      <c r="S3130">
        <v>5</v>
      </c>
      <c r="T3130" t="b">
        <v>0</v>
      </c>
      <c r="U3130" t="s">
        <v>71</v>
      </c>
      <c r="V3130">
        <v>5</v>
      </c>
    </row>
    <row r="3131" spans="1:22" x14ac:dyDescent="0.25">
      <c r="A3131" t="s">
        <v>6727</v>
      </c>
      <c r="B3131" s="1">
        <v>45091</v>
      </c>
      <c r="C3131" t="s">
        <v>6728</v>
      </c>
      <c r="D3131" t="s">
        <v>859</v>
      </c>
      <c r="E3131">
        <v>20</v>
      </c>
      <c r="F3131" t="str">
        <f>IF(Table1[[#This Row],[age]]&lt;=25,"18-25",IF(Table1[[#This Row],[age]]&lt;=35,"26-35",IF(Table1[[#This Row],[age]]&lt;=50,"36-50","51+")))</f>
        <v>18-25</v>
      </c>
      <c r="G3131" t="s">
        <v>34</v>
      </c>
      <c r="H3131" t="s">
        <v>80</v>
      </c>
      <c r="I3131" t="s">
        <v>242</v>
      </c>
      <c r="J3131" t="s">
        <v>106</v>
      </c>
      <c r="K3131" t="s">
        <v>247</v>
      </c>
      <c r="L3131">
        <v>8</v>
      </c>
      <c r="M3131">
        <v>246.15</v>
      </c>
      <c r="N3131">
        <v>0.21</v>
      </c>
      <c r="O3131">
        <v>2555.54</v>
      </c>
      <c r="P3131">
        <v>179.49</v>
      </c>
      <c r="Q3131">
        <v>95.73</v>
      </c>
      <c r="R3131" t="s">
        <v>92</v>
      </c>
      <c r="S3131">
        <v>1</v>
      </c>
      <c r="T3131" t="b">
        <v>0</v>
      </c>
      <c r="U3131" t="s">
        <v>30</v>
      </c>
      <c r="V3131">
        <v>2</v>
      </c>
    </row>
    <row r="3132" spans="1:22" x14ac:dyDescent="0.25">
      <c r="A3132" t="s">
        <v>6729</v>
      </c>
      <c r="B3132" s="1">
        <v>44764</v>
      </c>
      <c r="C3132" t="s">
        <v>6730</v>
      </c>
      <c r="D3132" t="s">
        <v>367</v>
      </c>
      <c r="E3132">
        <v>54</v>
      </c>
      <c r="F3132" t="str">
        <f>IF(Table1[[#This Row],[age]]&lt;=25,"18-25",IF(Table1[[#This Row],[age]]&lt;=35,"26-35",IF(Table1[[#This Row],[age]]&lt;=50,"36-50","51+")))</f>
        <v>51+</v>
      </c>
      <c r="G3132" t="s">
        <v>34</v>
      </c>
      <c r="H3132" t="s">
        <v>69</v>
      </c>
      <c r="I3132" t="s">
        <v>181</v>
      </c>
      <c r="J3132" t="s">
        <v>27</v>
      </c>
      <c r="K3132" t="s">
        <v>335</v>
      </c>
      <c r="L3132">
        <v>9</v>
      </c>
      <c r="M3132">
        <v>1933.74</v>
      </c>
      <c r="N3132">
        <v>0.4</v>
      </c>
      <c r="O3132">
        <v>14508.76</v>
      </c>
      <c r="P3132">
        <v>4077.16</v>
      </c>
      <c r="Q3132">
        <v>88.26</v>
      </c>
      <c r="R3132" t="s">
        <v>29</v>
      </c>
      <c r="S3132">
        <v>4</v>
      </c>
      <c r="T3132" t="b">
        <v>0</v>
      </c>
      <c r="U3132" t="s">
        <v>30</v>
      </c>
      <c r="V3132">
        <v>6</v>
      </c>
    </row>
    <row r="3133" spans="1:22" x14ac:dyDescent="0.25">
      <c r="A3133" t="s">
        <v>6731</v>
      </c>
      <c r="B3133" s="1">
        <v>44528</v>
      </c>
      <c r="C3133" t="s">
        <v>6732</v>
      </c>
      <c r="D3133" t="s">
        <v>317</v>
      </c>
      <c r="E3133">
        <v>32</v>
      </c>
      <c r="F3133" t="str">
        <f>IF(Table1[[#This Row],[age]]&lt;=25,"18-25",IF(Table1[[#This Row],[age]]&lt;=35,"26-35",IF(Table1[[#This Row],[age]]&lt;=50,"36-50","51+")))</f>
        <v>26-35</v>
      </c>
      <c r="G3133" t="s">
        <v>24</v>
      </c>
      <c r="H3133" t="s">
        <v>61</v>
      </c>
      <c r="I3133" t="s">
        <v>163</v>
      </c>
      <c r="J3133" t="s">
        <v>106</v>
      </c>
      <c r="K3133" t="s">
        <v>331</v>
      </c>
      <c r="L3133">
        <v>3</v>
      </c>
      <c r="M3133">
        <v>60.31</v>
      </c>
      <c r="N3133">
        <v>0.18</v>
      </c>
      <c r="O3133">
        <v>108.58</v>
      </c>
      <c r="P3133">
        <v>6.36</v>
      </c>
      <c r="Q3133">
        <v>35.049999999999997</v>
      </c>
      <c r="R3133" t="s">
        <v>57</v>
      </c>
      <c r="S3133">
        <v>2</v>
      </c>
      <c r="T3133" t="b">
        <v>0</v>
      </c>
      <c r="U3133" t="s">
        <v>30</v>
      </c>
      <c r="V3133">
        <v>2</v>
      </c>
    </row>
    <row r="3134" spans="1:22" x14ac:dyDescent="0.25">
      <c r="A3134" t="s">
        <v>6733</v>
      </c>
      <c r="B3134" s="1">
        <v>45185</v>
      </c>
      <c r="C3134" t="s">
        <v>6734</v>
      </c>
      <c r="D3134" t="s">
        <v>174</v>
      </c>
      <c r="E3134">
        <v>43</v>
      </c>
      <c r="F3134" t="str">
        <f>IF(Table1[[#This Row],[age]]&lt;=25,"18-25",IF(Table1[[#This Row],[age]]&lt;=35,"26-35",IF(Table1[[#This Row],[age]]&lt;=50,"36-50","51+")))</f>
        <v>36-50</v>
      </c>
      <c r="G3134" t="s">
        <v>34</v>
      </c>
      <c r="H3134" t="s">
        <v>61</v>
      </c>
      <c r="I3134" t="s">
        <v>163</v>
      </c>
      <c r="J3134" t="s">
        <v>47</v>
      </c>
      <c r="K3134" t="s">
        <v>272</v>
      </c>
      <c r="L3134">
        <v>10</v>
      </c>
      <c r="M3134">
        <v>344.89</v>
      </c>
      <c r="N3134">
        <v>0.21</v>
      </c>
      <c r="O3134">
        <v>2919.85</v>
      </c>
      <c r="P3134">
        <v>480.69</v>
      </c>
      <c r="Q3134">
        <v>36.51</v>
      </c>
      <c r="R3134" t="s">
        <v>49</v>
      </c>
      <c r="S3134">
        <v>4</v>
      </c>
      <c r="T3134" t="b">
        <v>0</v>
      </c>
      <c r="U3134" t="s">
        <v>30</v>
      </c>
      <c r="V3134">
        <v>1</v>
      </c>
    </row>
    <row r="3135" spans="1:22" x14ac:dyDescent="0.25">
      <c r="A3135" t="s">
        <v>6735</v>
      </c>
      <c r="B3135" s="1">
        <v>45079</v>
      </c>
      <c r="C3135" t="s">
        <v>6736</v>
      </c>
      <c r="D3135" t="s">
        <v>583</v>
      </c>
      <c r="E3135">
        <v>27</v>
      </c>
      <c r="F3135" t="str">
        <f>IF(Table1[[#This Row],[age]]&lt;=25,"18-25",IF(Table1[[#This Row],[age]]&lt;=35,"26-35",IF(Table1[[#This Row],[age]]&lt;=50,"36-50","51+")))</f>
        <v>26-35</v>
      </c>
      <c r="G3135" t="s">
        <v>34</v>
      </c>
      <c r="H3135" t="s">
        <v>69</v>
      </c>
      <c r="I3135" t="s">
        <v>221</v>
      </c>
      <c r="J3135" t="s">
        <v>106</v>
      </c>
      <c r="K3135" t="s">
        <v>188</v>
      </c>
      <c r="L3135">
        <v>6</v>
      </c>
      <c r="M3135">
        <v>386.8</v>
      </c>
      <c r="N3135">
        <v>0.21</v>
      </c>
      <c r="O3135">
        <v>3078.58</v>
      </c>
      <c r="P3135">
        <v>318.39</v>
      </c>
      <c r="Q3135">
        <v>79.260000000000005</v>
      </c>
      <c r="R3135" t="s">
        <v>43</v>
      </c>
      <c r="S3135">
        <v>1</v>
      </c>
      <c r="T3135" t="b">
        <v>0</v>
      </c>
      <c r="U3135" t="s">
        <v>93</v>
      </c>
      <c r="V3135">
        <v>5</v>
      </c>
    </row>
    <row r="3136" spans="1:22" x14ac:dyDescent="0.25">
      <c r="A3136" t="s">
        <v>6737</v>
      </c>
      <c r="B3136" s="1">
        <v>45050</v>
      </c>
      <c r="C3136" t="s">
        <v>6738</v>
      </c>
      <c r="D3136" t="s">
        <v>2058</v>
      </c>
      <c r="E3136">
        <v>35</v>
      </c>
      <c r="F3136" t="str">
        <f>IF(Table1[[#This Row],[age]]&lt;=25,"18-25",IF(Table1[[#This Row],[age]]&lt;=35,"26-35",IF(Table1[[#This Row],[age]]&lt;=50,"36-50","51+")))</f>
        <v>26-35</v>
      </c>
      <c r="G3136" t="s">
        <v>54</v>
      </c>
      <c r="H3136" t="s">
        <v>61</v>
      </c>
      <c r="I3136" t="s">
        <v>163</v>
      </c>
      <c r="J3136" t="s">
        <v>27</v>
      </c>
      <c r="K3136" t="s">
        <v>192</v>
      </c>
      <c r="L3136">
        <v>10</v>
      </c>
      <c r="M3136">
        <v>239.33</v>
      </c>
      <c r="N3136">
        <v>0.23</v>
      </c>
      <c r="O3136">
        <v>2481.9299999999998</v>
      </c>
      <c r="P3136">
        <v>780.04</v>
      </c>
      <c r="Q3136">
        <v>61.7</v>
      </c>
      <c r="R3136" t="s">
        <v>92</v>
      </c>
      <c r="S3136">
        <v>4</v>
      </c>
      <c r="T3136" t="b">
        <v>0</v>
      </c>
      <c r="U3136" t="s">
        <v>30</v>
      </c>
      <c r="V3136">
        <v>10</v>
      </c>
    </row>
    <row r="3137" spans="1:22" x14ac:dyDescent="0.25">
      <c r="A3137" t="s">
        <v>6739</v>
      </c>
      <c r="B3137" s="1">
        <v>44305</v>
      </c>
      <c r="C3137" t="s">
        <v>6740</v>
      </c>
      <c r="D3137" t="s">
        <v>177</v>
      </c>
      <c r="E3137">
        <v>27</v>
      </c>
      <c r="F3137" t="str">
        <f>IF(Table1[[#This Row],[age]]&lt;=25,"18-25",IF(Table1[[#This Row],[age]]&lt;=35,"26-35",IF(Table1[[#This Row],[age]]&lt;=50,"36-50","51+")))</f>
        <v>26-35</v>
      </c>
      <c r="G3137" t="s">
        <v>54</v>
      </c>
      <c r="H3137" t="s">
        <v>69</v>
      </c>
      <c r="I3137" t="s">
        <v>181</v>
      </c>
      <c r="J3137" t="s">
        <v>47</v>
      </c>
      <c r="K3137" t="s">
        <v>272</v>
      </c>
      <c r="L3137">
        <v>8</v>
      </c>
      <c r="M3137">
        <v>1199.3399999999999</v>
      </c>
      <c r="N3137">
        <v>0.14000000000000001</v>
      </c>
      <c r="O3137">
        <v>11154.85</v>
      </c>
      <c r="P3137">
        <v>6783.73</v>
      </c>
      <c r="Q3137">
        <v>76.89</v>
      </c>
      <c r="R3137" t="s">
        <v>29</v>
      </c>
      <c r="S3137">
        <v>2</v>
      </c>
      <c r="T3137" t="b">
        <v>1</v>
      </c>
      <c r="U3137" t="s">
        <v>50</v>
      </c>
      <c r="V3137">
        <v>7</v>
      </c>
    </row>
    <row r="3138" spans="1:22" x14ac:dyDescent="0.25">
      <c r="A3138" t="s">
        <v>6741</v>
      </c>
      <c r="B3138" s="1">
        <v>43938</v>
      </c>
      <c r="C3138" t="s">
        <v>6742</v>
      </c>
      <c r="D3138" t="s">
        <v>3692</v>
      </c>
      <c r="E3138">
        <v>30</v>
      </c>
      <c r="F3138" t="str">
        <f>IF(Table1[[#This Row],[age]]&lt;=25,"18-25",IF(Table1[[#This Row],[age]]&lt;=35,"26-35",IF(Table1[[#This Row],[age]]&lt;=50,"36-50","51+")))</f>
        <v>26-35</v>
      </c>
      <c r="G3138" t="s">
        <v>54</v>
      </c>
      <c r="H3138" t="s">
        <v>55</v>
      </c>
      <c r="I3138" t="s">
        <v>75</v>
      </c>
      <c r="J3138" t="s">
        <v>106</v>
      </c>
      <c r="K3138" t="s">
        <v>331</v>
      </c>
      <c r="L3138">
        <v>4</v>
      </c>
      <c r="M3138">
        <v>368.44</v>
      </c>
      <c r="N3138">
        <v>0.05</v>
      </c>
      <c r="O3138">
        <v>1419.14</v>
      </c>
      <c r="P3138">
        <v>133.75</v>
      </c>
      <c r="Q3138">
        <v>54.97</v>
      </c>
      <c r="R3138" t="s">
        <v>57</v>
      </c>
      <c r="S3138">
        <v>2</v>
      </c>
      <c r="T3138" t="b">
        <v>0</v>
      </c>
      <c r="U3138" t="s">
        <v>30</v>
      </c>
      <c r="V3138">
        <v>2</v>
      </c>
    </row>
    <row r="3139" spans="1:22" x14ac:dyDescent="0.25">
      <c r="A3139" t="s">
        <v>6743</v>
      </c>
      <c r="B3139" s="1">
        <v>44722</v>
      </c>
      <c r="C3139" t="s">
        <v>6744</v>
      </c>
      <c r="D3139" t="s">
        <v>2736</v>
      </c>
      <c r="E3139">
        <v>41</v>
      </c>
      <c r="F3139" t="str">
        <f>IF(Table1[[#This Row],[age]]&lt;=25,"18-25",IF(Table1[[#This Row],[age]]&lt;=35,"26-35",IF(Table1[[#This Row],[age]]&lt;=50,"36-50","51+")))</f>
        <v>36-50</v>
      </c>
      <c r="G3139" t="s">
        <v>24</v>
      </c>
      <c r="H3139" t="s">
        <v>61</v>
      </c>
      <c r="I3139" t="s">
        <v>62</v>
      </c>
      <c r="J3139" t="s">
        <v>101</v>
      </c>
      <c r="K3139" t="s">
        <v>164</v>
      </c>
      <c r="L3139">
        <v>4</v>
      </c>
      <c r="M3139">
        <v>11418.62</v>
      </c>
      <c r="N3139">
        <v>0.21</v>
      </c>
      <c r="O3139">
        <v>52022.28</v>
      </c>
      <c r="P3139">
        <v>11855.66</v>
      </c>
      <c r="Q3139">
        <v>52.64</v>
      </c>
      <c r="R3139" t="s">
        <v>49</v>
      </c>
      <c r="S3139">
        <v>2</v>
      </c>
      <c r="T3139" t="b">
        <v>0</v>
      </c>
      <c r="U3139" t="s">
        <v>30</v>
      </c>
      <c r="V3139">
        <v>1</v>
      </c>
    </row>
    <row r="3140" spans="1:22" x14ac:dyDescent="0.25">
      <c r="A3140" t="s">
        <v>6745</v>
      </c>
      <c r="B3140" s="1">
        <v>44029</v>
      </c>
      <c r="C3140" t="s">
        <v>6746</v>
      </c>
      <c r="D3140" t="s">
        <v>637</v>
      </c>
      <c r="E3140">
        <v>29</v>
      </c>
      <c r="F3140" t="str">
        <f>IF(Table1[[#This Row],[age]]&lt;=25,"18-25",IF(Table1[[#This Row],[age]]&lt;=35,"26-35",IF(Table1[[#This Row],[age]]&lt;=50,"36-50","51+")))</f>
        <v>26-35</v>
      </c>
      <c r="G3140" t="s">
        <v>34</v>
      </c>
      <c r="H3140" t="s">
        <v>80</v>
      </c>
      <c r="I3140" t="s">
        <v>242</v>
      </c>
      <c r="J3140" t="s">
        <v>36</v>
      </c>
      <c r="K3140" t="s">
        <v>76</v>
      </c>
      <c r="L3140">
        <v>10</v>
      </c>
      <c r="M3140">
        <v>9945.43</v>
      </c>
      <c r="N3140">
        <v>0.24</v>
      </c>
      <c r="O3140">
        <v>94093.98</v>
      </c>
      <c r="P3140">
        <v>30233.13</v>
      </c>
      <c r="Q3140">
        <v>76.34</v>
      </c>
      <c r="R3140" t="s">
        <v>57</v>
      </c>
      <c r="S3140">
        <v>3</v>
      </c>
      <c r="T3140" t="b">
        <v>0</v>
      </c>
      <c r="U3140" t="s">
        <v>30</v>
      </c>
      <c r="V3140">
        <v>10</v>
      </c>
    </row>
    <row r="3141" spans="1:22" x14ac:dyDescent="0.25">
      <c r="A3141" t="s">
        <v>6747</v>
      </c>
      <c r="B3141" s="1">
        <v>45601</v>
      </c>
      <c r="C3141" t="s">
        <v>6748</v>
      </c>
      <c r="D3141" t="s">
        <v>68</v>
      </c>
      <c r="E3141">
        <v>19</v>
      </c>
      <c r="F3141" t="str">
        <f>IF(Table1[[#This Row],[age]]&lt;=25,"18-25",IF(Table1[[#This Row],[age]]&lt;=35,"26-35",IF(Table1[[#This Row],[age]]&lt;=50,"36-50","51+")))</f>
        <v>18-25</v>
      </c>
      <c r="G3141" t="s">
        <v>54</v>
      </c>
      <c r="H3141" t="s">
        <v>69</v>
      </c>
      <c r="I3141" t="s">
        <v>136</v>
      </c>
      <c r="J3141" t="s">
        <v>106</v>
      </c>
      <c r="K3141" t="s">
        <v>107</v>
      </c>
      <c r="L3141">
        <v>10</v>
      </c>
      <c r="M3141">
        <v>400.5</v>
      </c>
      <c r="N3141">
        <v>0.32</v>
      </c>
      <c r="O3141">
        <v>2696.95</v>
      </c>
      <c r="P3141">
        <v>174.53</v>
      </c>
      <c r="Q3141">
        <v>55.61</v>
      </c>
      <c r="R3141" t="s">
        <v>43</v>
      </c>
      <c r="S3141">
        <v>4</v>
      </c>
      <c r="T3141" t="b">
        <v>0</v>
      </c>
      <c r="U3141" t="s">
        <v>30</v>
      </c>
      <c r="V3141">
        <v>9</v>
      </c>
    </row>
    <row r="3142" spans="1:22" x14ac:dyDescent="0.25">
      <c r="A3142" t="s">
        <v>6749</v>
      </c>
      <c r="B3142" s="1">
        <v>45330</v>
      </c>
      <c r="C3142" t="s">
        <v>6750</v>
      </c>
      <c r="D3142" t="s">
        <v>2021</v>
      </c>
      <c r="E3142">
        <v>25</v>
      </c>
      <c r="F3142" t="str">
        <f>IF(Table1[[#This Row],[age]]&lt;=25,"18-25",IF(Table1[[#This Row],[age]]&lt;=35,"26-35",IF(Table1[[#This Row],[age]]&lt;=50,"36-50","51+")))</f>
        <v>18-25</v>
      </c>
      <c r="G3142" t="s">
        <v>24</v>
      </c>
      <c r="H3142" t="s">
        <v>80</v>
      </c>
      <c r="I3142" t="s">
        <v>242</v>
      </c>
      <c r="J3142" t="s">
        <v>63</v>
      </c>
      <c r="K3142" t="s">
        <v>434</v>
      </c>
      <c r="L3142">
        <v>7</v>
      </c>
      <c r="M3142">
        <v>3147.97</v>
      </c>
      <c r="N3142">
        <v>0.13</v>
      </c>
      <c r="O3142">
        <v>22125.94</v>
      </c>
      <c r="P3142">
        <v>10153.44</v>
      </c>
      <c r="Q3142">
        <v>38.76</v>
      </c>
      <c r="R3142" t="s">
        <v>43</v>
      </c>
      <c r="S3142">
        <v>2</v>
      </c>
      <c r="T3142" t="b">
        <v>0</v>
      </c>
      <c r="U3142" t="s">
        <v>71</v>
      </c>
      <c r="V3142">
        <v>2</v>
      </c>
    </row>
    <row r="3143" spans="1:22" x14ac:dyDescent="0.25">
      <c r="A3143" t="s">
        <v>6751</v>
      </c>
      <c r="B3143" s="1">
        <v>44603</v>
      </c>
      <c r="C3143" t="s">
        <v>6752</v>
      </c>
      <c r="D3143" t="s">
        <v>1262</v>
      </c>
      <c r="E3143">
        <v>40</v>
      </c>
      <c r="F3143" t="str">
        <f>IF(Table1[[#This Row],[age]]&lt;=25,"18-25",IF(Table1[[#This Row],[age]]&lt;=35,"26-35",IF(Table1[[#This Row],[age]]&lt;=50,"36-50","51+")))</f>
        <v>36-50</v>
      </c>
      <c r="G3143" t="s">
        <v>54</v>
      </c>
      <c r="H3143" t="s">
        <v>69</v>
      </c>
      <c r="I3143" t="s">
        <v>181</v>
      </c>
      <c r="J3143" t="s">
        <v>47</v>
      </c>
      <c r="K3143" t="s">
        <v>600</v>
      </c>
      <c r="L3143">
        <v>5</v>
      </c>
      <c r="M3143">
        <v>1456.57</v>
      </c>
      <c r="N3143">
        <v>0.27</v>
      </c>
      <c r="O3143">
        <v>4835.66</v>
      </c>
      <c r="P3143">
        <v>2312.44</v>
      </c>
      <c r="Q3143">
        <v>71.900000000000006</v>
      </c>
      <c r="R3143" t="s">
        <v>49</v>
      </c>
      <c r="S3143">
        <v>1</v>
      </c>
      <c r="T3143" t="b">
        <v>0</v>
      </c>
      <c r="U3143" t="s">
        <v>71</v>
      </c>
      <c r="V3143">
        <v>4</v>
      </c>
    </row>
    <row r="3144" spans="1:22" x14ac:dyDescent="0.25">
      <c r="A3144" t="s">
        <v>6753</v>
      </c>
      <c r="B3144" s="1">
        <v>45231</v>
      </c>
      <c r="C3144" t="s">
        <v>6754</v>
      </c>
      <c r="D3144" t="s">
        <v>2326</v>
      </c>
      <c r="E3144">
        <v>23</v>
      </c>
      <c r="F3144" t="str">
        <f>IF(Table1[[#This Row],[age]]&lt;=25,"18-25",IF(Table1[[#This Row],[age]]&lt;=35,"26-35",IF(Table1[[#This Row],[age]]&lt;=50,"36-50","51+")))</f>
        <v>18-25</v>
      </c>
      <c r="G3144" t="s">
        <v>34</v>
      </c>
      <c r="H3144" t="s">
        <v>61</v>
      </c>
      <c r="I3144" t="s">
        <v>91</v>
      </c>
      <c r="J3144" t="s">
        <v>36</v>
      </c>
      <c r="K3144" t="s">
        <v>230</v>
      </c>
      <c r="L3144">
        <v>10</v>
      </c>
      <c r="M3144">
        <v>28349.81</v>
      </c>
      <c r="N3144">
        <v>0.14000000000000001</v>
      </c>
      <c r="O3144">
        <v>211857.48</v>
      </c>
      <c r="P3144">
        <v>59966.21</v>
      </c>
      <c r="Q3144">
        <v>53.88</v>
      </c>
      <c r="R3144" t="s">
        <v>29</v>
      </c>
      <c r="S3144">
        <v>2</v>
      </c>
      <c r="T3144" t="b">
        <v>0</v>
      </c>
      <c r="U3144" t="s">
        <v>30</v>
      </c>
      <c r="V3144">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Teena</dc:creator>
  <cp:lastModifiedBy>teenambikaselvam@gmail.com</cp:lastModifiedBy>
  <cp:lastPrinted>2026-08-11T09:51:36Z</cp:lastPrinted>
  <dcterms:created xsi:type="dcterms:W3CDTF">2026-08-08T12:13:43Z</dcterms:created>
  <dcterms:modified xsi:type="dcterms:W3CDTF">2026-08-11T11:12:31Z</dcterms:modified>
</cp:coreProperties>
</file>